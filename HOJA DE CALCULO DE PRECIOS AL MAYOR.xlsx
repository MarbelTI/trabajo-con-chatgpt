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eicy\Documents\PRUEBA  99\EXCEL NEICY\"/>
    </mc:Choice>
  </mc:AlternateContent>
  <xr:revisionPtr revIDLastSave="0" documentId="13_ncr:1_{1157E12D-AEEC-4A6C-ACA1-46B8984B6664}" xr6:coauthVersionLast="47" xr6:coauthVersionMax="47" xr10:uidLastSave="{00000000-0000-0000-0000-000000000000}"/>
  <bookViews>
    <workbookView xWindow="-120" yWindow="-120" windowWidth="15600" windowHeight="11310" tabRatio="873" firstSheet="37" activeTab="37" xr2:uid="{00000000-000D-0000-FFFF-FFFF00000000}"/>
  </bookViews>
  <sheets>
    <sheet name="P COSTURA" sheetId="1" r:id="rId1"/>
    <sheet name="COJINES" sheetId="35" r:id="rId2"/>
    <sheet name="FRA MUSE MICR" sheetId="2" r:id="rId3"/>
    <sheet name="VESTIDO PROMOTORA" sheetId="51" r:id="rId4"/>
    <sheet name="WALL MEDIA " sheetId="39" r:id="rId5"/>
    <sheet name="WALL " sheetId="52" r:id="rId6"/>
    <sheet name="LANYARD" sheetId="54" r:id="rId7"/>
    <sheet name="franelas cucuta" sheetId="34" r:id="rId8"/>
    <sheet name="CHALECOS" sheetId="29" r:id="rId9"/>
    <sheet name="FRA ALGODON" sheetId="3" r:id="rId10"/>
    <sheet name="HODDI  MONO" sheetId="4" r:id="rId11"/>
    <sheet name="TAPASOL" sheetId="58" r:id="rId12"/>
    <sheet name="CHAQUETA NORF" sheetId="48" r:id="rId13"/>
    <sheet name="PANTALON MONO" sheetId="20" r:id="rId14"/>
    <sheet name="HODDI TERRY" sheetId="8" r:id="rId15"/>
    <sheet name="SUETER" sheetId="5" r:id="rId16"/>
    <sheet name="BUZO" sheetId="6" r:id="rId17"/>
    <sheet name="FALDA SHORT LICRA" sheetId="55" r:id="rId18"/>
    <sheet name="CROPTOP LICRA" sheetId="56" r:id="rId19"/>
    <sheet name="MANUBRIO" sheetId="57" r:id="rId20"/>
    <sheet name="ESTANDARTE " sheetId="49" r:id="rId21"/>
    <sheet name="SHORT" sheetId="7" r:id="rId22"/>
    <sheet name="CV TASLAN" sheetId="9" r:id="rId23"/>
    <sheet name="MOUSE" sheetId="38" r:id="rId24"/>
    <sheet name="PAÑOLETA" sheetId="41" r:id="rId25"/>
    <sheet name="PROMO" sheetId="37" r:id="rId26"/>
    <sheet name="CV MEMORY" sheetId="10" r:id="rId27"/>
    <sheet name="KSAKAS" sheetId="44" r:id="rId28"/>
    <sheet name="F. SUBLIM 1,3" sheetId="12" r:id="rId29"/>
    <sheet name="UNI FUTBOL" sheetId="11" r:id="rId30"/>
    <sheet name="FULL SUBLI" sheetId="13" r:id="rId31"/>
    <sheet name="LICRAS " sheetId="14" r:id="rId32"/>
    <sheet name="PIJAMAS " sheetId="15" r:id="rId33"/>
    <sheet name="CANILLERAS " sheetId="18" r:id="rId34"/>
    <sheet name="FUNDACANILLERA" sheetId="19" r:id="rId35"/>
    <sheet name="TULA " sheetId="17" r:id="rId36"/>
    <sheet name="CHEMIS " sheetId="16" r:id="rId37"/>
    <sheet name="BRAGA " sheetId="50" r:id="rId38"/>
    <sheet name="BEISBOL" sheetId="21" r:id="rId39"/>
    <sheet name="VELAS " sheetId="22" r:id="rId40"/>
    <sheet name="BOLSAS POP" sheetId="46" r:id="rId41"/>
    <sheet name="CAMISAS " sheetId="23" r:id="rId42"/>
    <sheet name="FILIPINA" sheetId="53" r:id="rId43"/>
    <sheet name="VINILES " sheetId="47" r:id="rId44"/>
    <sheet name="MONO QUIRURGICO" sheetId="43" r:id="rId45"/>
    <sheet name="TUTU " sheetId="24" r:id="rId46"/>
    <sheet name="DELANTAL " sheetId="25" r:id="rId47"/>
    <sheet name="FRANELILLAS " sheetId="26" r:id="rId48"/>
    <sheet name="MANGAS " sheetId="27" r:id="rId49"/>
    <sheet name="GORRA " sheetId="32" r:id="rId50"/>
    <sheet name="TOP DAMA" sheetId="28" r:id="rId51"/>
  </sheets>
  <definedNames>
    <definedName name="_xlnm.Print_Area" localSheetId="16">BUZO!$A$1:$BD$230</definedName>
    <definedName name="_xlnm.Print_Area" localSheetId="33">'CANILLERAS '!$A$1:$O$45</definedName>
    <definedName name="_xlnm.Print_Area" localSheetId="26">'CV MEMORY'!$A$1:$P$76</definedName>
    <definedName name="_xlnm.Print_Area" localSheetId="28">'F. SUBLIM 1,3'!$A$1:$O$39</definedName>
    <definedName name="_xlnm.Print_Area" localSheetId="9">'FRA ALGODON'!$A$1:$G$73</definedName>
    <definedName name="_xlnm.Print_Area" localSheetId="2">'FRA MUSE MICR'!$A$1:$K$263</definedName>
    <definedName name="_xlnm.Print_Area" localSheetId="7">'franelas cucuta'!$A$1:$V$54</definedName>
    <definedName name="_xlnm.Print_Area" localSheetId="30">'FULL SUBLI'!$A$1:$O$74</definedName>
    <definedName name="_xlnm.Print_Area" localSheetId="10">'HODDI  MONO'!$A$1:$G$102</definedName>
    <definedName name="_xlnm.Print_Area" localSheetId="14">'HODDI TERRY'!$A$1:$G$115</definedName>
    <definedName name="_xlnm.Print_Area" localSheetId="31">'LICRAS '!$A$1:$Z$163</definedName>
    <definedName name="_xlnm.Print_Area" localSheetId="21">SHORT!$A$1:$G$192</definedName>
    <definedName name="_xlnm.Print_Area" localSheetId="15">SUETER!$A$1:$N$115</definedName>
    <definedName name="_xlnm.Print_Area" localSheetId="29">'UNI FUTBOL'!$A$1:$V$160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26" l="1"/>
  <c r="D13" i="26"/>
  <c r="E13" i="26"/>
  <c r="B13" i="26"/>
  <c r="B5" i="26"/>
  <c r="B24" i="2"/>
  <c r="G52" i="2"/>
  <c r="G68" i="2"/>
  <c r="B20" i="26" l="1"/>
  <c r="G48" i="26"/>
  <c r="B25" i="10"/>
  <c r="B20" i="10"/>
  <c r="B24" i="10"/>
  <c r="B4" i="56"/>
  <c r="Q41" i="6"/>
  <c r="J41" i="6"/>
  <c r="J45" i="6"/>
  <c r="E134" i="11"/>
  <c r="B125" i="11"/>
  <c r="E57" i="11"/>
  <c r="B50" i="11"/>
  <c r="B47" i="11"/>
  <c r="G250" i="2"/>
  <c r="G253" i="2"/>
  <c r="E36" i="9"/>
  <c r="B25" i="9"/>
  <c r="G37" i="2"/>
  <c r="L9" i="1"/>
  <c r="D50" i="23" l="1"/>
  <c r="B41" i="23"/>
  <c r="B23" i="44"/>
  <c r="B20" i="44"/>
  <c r="D32" i="44"/>
  <c r="B25" i="44"/>
  <c r="B34" i="44"/>
  <c r="B3" i="44"/>
  <c r="B12" i="17"/>
  <c r="B11" i="17"/>
  <c r="B10" i="17"/>
  <c r="B8" i="17"/>
  <c r="B7" i="17"/>
  <c r="B6" i="17"/>
  <c r="B5" i="17"/>
  <c r="F31" i="44" l="1"/>
  <c r="F26" i="44" s="1"/>
  <c r="D31" i="44"/>
  <c r="D26" i="44" s="1"/>
  <c r="E31" i="44"/>
  <c r="E26" i="44" s="1"/>
  <c r="M94" i="11" l="1"/>
  <c r="J87" i="11"/>
  <c r="E15" i="11"/>
  <c r="B7" i="11"/>
  <c r="B4" i="11"/>
  <c r="G17" i="2"/>
  <c r="G14" i="2"/>
  <c r="N84" i="10"/>
  <c r="O84" i="10"/>
  <c r="J73" i="10"/>
  <c r="J72" i="10"/>
  <c r="E23" i="46"/>
  <c r="F23" i="46" s="1"/>
  <c r="G23" i="46" s="1"/>
  <c r="E22" i="46"/>
  <c r="F22" i="46" s="1"/>
  <c r="G22" i="46" s="1"/>
  <c r="E21" i="46"/>
  <c r="F21" i="46" s="1"/>
  <c r="G21" i="46" s="1"/>
  <c r="G18" i="46"/>
  <c r="G17" i="46"/>
  <c r="F18" i="46"/>
  <c r="F17" i="46"/>
  <c r="G16" i="46"/>
  <c r="F16" i="46"/>
  <c r="J87" i="10" l="1"/>
  <c r="B30" i="14"/>
  <c r="F19" i="14"/>
  <c r="B9" i="14"/>
  <c r="B8" i="14"/>
  <c r="F12" i="22"/>
  <c r="E12" i="22"/>
  <c r="D12" i="22"/>
  <c r="B15" i="22"/>
  <c r="B7" i="22"/>
  <c r="B4" i="22"/>
  <c r="B45" i="23"/>
  <c r="J78" i="10"/>
  <c r="D85" i="10"/>
  <c r="B75" i="10"/>
  <c r="B73" i="10"/>
  <c r="B72" i="10"/>
  <c r="L84" i="10" l="1"/>
  <c r="M80" i="10"/>
  <c r="M84" i="10"/>
  <c r="L80" i="10" s="1"/>
  <c r="N80" i="10"/>
  <c r="B78" i="10" l="1"/>
  <c r="B83" i="10" s="1"/>
  <c r="E85" i="10" s="1"/>
  <c r="F18" i="57"/>
  <c r="E18" i="57"/>
  <c r="E17" i="57"/>
  <c r="B13" i="57"/>
  <c r="B14" i="57" s="1"/>
  <c r="I12" i="57"/>
  <c r="F12" i="57"/>
  <c r="B12" i="57"/>
  <c r="I11" i="57"/>
  <c r="F11" i="57"/>
  <c r="B11" i="57"/>
  <c r="I10" i="57"/>
  <c r="F10" i="57"/>
  <c r="B10" i="57"/>
  <c r="I8" i="57"/>
  <c r="F8" i="57"/>
  <c r="B8" i="57"/>
  <c r="I5" i="57"/>
  <c r="I4" i="57"/>
  <c r="F5" i="57"/>
  <c r="F4" i="57"/>
  <c r="I6" i="57"/>
  <c r="F6" i="57"/>
  <c r="B6" i="57"/>
  <c r="B5" i="57"/>
  <c r="B4" i="57"/>
  <c r="C17" i="55"/>
  <c r="F85" i="10" l="1"/>
  <c r="D80" i="10"/>
  <c r="F13" i="57"/>
  <c r="I13" i="57"/>
  <c r="I14" i="57" s="1"/>
  <c r="B17" i="56"/>
  <c r="F15" i="56" s="1"/>
  <c r="B14" i="56"/>
  <c r="E15" i="55"/>
  <c r="B4" i="55"/>
  <c r="B17" i="55" s="1"/>
  <c r="B14" i="55"/>
  <c r="AL44" i="6"/>
  <c r="AL41" i="6"/>
  <c r="AE41" i="6"/>
  <c r="J54" i="6"/>
  <c r="C41" i="6"/>
  <c r="B6" i="54"/>
  <c r="B12" i="54" s="1"/>
  <c r="F10" i="54" s="1"/>
  <c r="G111" i="2"/>
  <c r="E13" i="53"/>
  <c r="F13" i="53"/>
  <c r="D13" i="53"/>
  <c r="B8" i="53"/>
  <c r="B16" i="53" s="1"/>
  <c r="B4" i="53"/>
  <c r="B53" i="23"/>
  <c r="F50" i="23" s="1"/>
  <c r="B36" i="20"/>
  <c r="G24" i="2"/>
  <c r="G29" i="2"/>
  <c r="M48" i="6" l="1"/>
  <c r="L48" i="6"/>
  <c r="K48" i="6"/>
  <c r="E80" i="10"/>
  <c r="F80" i="10"/>
  <c r="F14" i="57"/>
  <c r="F9" i="56"/>
  <c r="E15" i="56"/>
  <c r="E9" i="56" s="1"/>
  <c r="D15" i="56"/>
  <c r="D15" i="55"/>
  <c r="D9" i="55" s="1"/>
  <c r="C15" i="55"/>
  <c r="E9" i="55"/>
  <c r="D10" i="54"/>
  <c r="E10" i="54"/>
  <c r="F10" i="53"/>
  <c r="E10" i="53"/>
  <c r="D10" i="53"/>
  <c r="D47" i="23"/>
  <c r="E50" i="23"/>
  <c r="E47" i="23" s="1"/>
  <c r="F47" i="23"/>
  <c r="F19" i="39"/>
  <c r="F11" i="39"/>
  <c r="D11" i="39"/>
  <c r="B23" i="39"/>
  <c r="B22" i="39"/>
  <c r="B21" i="39"/>
  <c r="B19" i="39"/>
  <c r="B16" i="39"/>
  <c r="B15" i="39"/>
  <c r="B14" i="39"/>
  <c r="B13" i="39"/>
  <c r="B12" i="39"/>
  <c r="B11" i="39"/>
  <c r="B9" i="39"/>
  <c r="B8" i="39"/>
  <c r="B7" i="39"/>
  <c r="B6" i="39"/>
  <c r="B5" i="39"/>
  <c r="B4" i="39"/>
  <c r="B11" i="52"/>
  <c r="E7" i="52" s="1"/>
  <c r="B2" i="52"/>
  <c r="B6" i="52"/>
  <c r="B5" i="52"/>
  <c r="B3" i="52"/>
  <c r="B250" i="2"/>
  <c r="B253" i="2"/>
  <c r="B255" i="2"/>
  <c r="J60" i="10"/>
  <c r="J59" i="10"/>
  <c r="J55" i="10"/>
  <c r="D9" i="56" l="1"/>
  <c r="C9" i="55"/>
  <c r="D7" i="52"/>
  <c r="J4" i="11"/>
  <c r="B38" i="10" l="1"/>
  <c r="B37" i="10"/>
  <c r="F14" i="51"/>
  <c r="E14" i="51"/>
  <c r="B25" i="51"/>
  <c r="B34" i="51" s="1"/>
  <c r="B21" i="51"/>
  <c r="B4" i="51"/>
  <c r="B17" i="51"/>
  <c r="H112" i="2"/>
  <c r="H111" i="2"/>
  <c r="I111" i="2"/>
  <c r="F31" i="51" l="1"/>
  <c r="F26" i="51" s="1"/>
  <c r="E31" i="51"/>
  <c r="E26" i="51" s="1"/>
  <c r="D31" i="51"/>
  <c r="D26" i="51" s="1"/>
  <c r="F9" i="51"/>
  <c r="E9" i="51"/>
  <c r="D14" i="51"/>
  <c r="D9" i="51" s="1"/>
  <c r="I112" i="2"/>
  <c r="AL25" i="6"/>
  <c r="AL22" i="6"/>
  <c r="J41" i="16" l="1"/>
  <c r="J38" i="16"/>
  <c r="B22" i="22" l="1"/>
  <c r="B20" i="22"/>
  <c r="B19" i="22"/>
  <c r="R23" i="23" l="1"/>
  <c r="B19" i="41"/>
  <c r="B18" i="41"/>
  <c r="B23" i="41" s="1"/>
  <c r="D21" i="41" s="1"/>
  <c r="G223" i="2" l="1"/>
  <c r="G220" i="2"/>
  <c r="B14" i="17" l="1"/>
  <c r="B13" i="17"/>
  <c r="B4" i="17"/>
  <c r="B3" i="17"/>
  <c r="G235" i="2" l="1"/>
  <c r="G238" i="2"/>
  <c r="N239" i="2"/>
  <c r="N242" i="2"/>
  <c r="G231" i="2" l="1"/>
  <c r="I228" i="2" l="1"/>
  <c r="I223" i="2" s="1"/>
  <c r="H228" i="2"/>
  <c r="H223" i="2" s="1"/>
  <c r="J228" i="2"/>
  <c r="J223" i="2" s="1"/>
  <c r="B54" i="16"/>
  <c r="B4" i="43" l="1"/>
  <c r="B106" i="11" l="1"/>
  <c r="B22" i="29" l="1"/>
  <c r="B148" i="11" l="1"/>
  <c r="B145" i="11"/>
  <c r="K8" i="14" l="1"/>
  <c r="J5" i="16" l="1"/>
  <c r="B52" i="2" l="1"/>
  <c r="G157" i="2" l="1"/>
  <c r="I34" i="34"/>
  <c r="K30" i="34" s="1"/>
  <c r="I25" i="34"/>
  <c r="B111" i="2"/>
  <c r="B68" i="2" l="1"/>
  <c r="J125" i="11" l="1"/>
  <c r="B130" i="7" l="1"/>
  <c r="B128" i="7"/>
  <c r="B11" i="25" l="1"/>
  <c r="B4" i="25"/>
  <c r="B3" i="25"/>
  <c r="I41" i="4"/>
  <c r="J37" i="10" l="1"/>
  <c r="R34" i="23" l="1"/>
  <c r="T32" i="23" s="1"/>
  <c r="V32" i="23" l="1"/>
  <c r="V29" i="23" s="1"/>
  <c r="T29" i="23"/>
  <c r="U32" i="23"/>
  <c r="U29" i="23" s="1"/>
  <c r="B14" i="2" l="1"/>
  <c r="B57" i="3" l="1"/>
  <c r="E7" i="50"/>
  <c r="B7" i="50"/>
  <c r="E21" i="50"/>
  <c r="E22" i="50" s="1"/>
  <c r="B21" i="50"/>
  <c r="B22" i="50" s="1"/>
  <c r="B4" i="27" l="1"/>
  <c r="B20" i="3"/>
  <c r="B65" i="26" l="1"/>
  <c r="B23" i="23" l="1"/>
  <c r="B25" i="23"/>
  <c r="B3" i="15" l="1"/>
  <c r="B23" i="15"/>
  <c r="B22" i="7" l="1"/>
  <c r="Q22" i="6" l="1"/>
  <c r="B83" i="26"/>
  <c r="E35" i="15" l="1"/>
  <c r="AE3" i="6"/>
  <c r="G4" i="2" l="1"/>
  <c r="B4" i="46" l="1"/>
  <c r="X41" i="6" l="1"/>
  <c r="B5" i="27" l="1"/>
  <c r="B15" i="27" s="1"/>
  <c r="F11" i="27" s="1"/>
  <c r="E11" i="27" l="1"/>
  <c r="D11" i="27"/>
  <c r="B22" i="17" l="1"/>
  <c r="B25" i="17"/>
  <c r="B26" i="17"/>
  <c r="E22" i="17" s="1"/>
  <c r="B27" i="17"/>
  <c r="B28" i="17"/>
  <c r="B29" i="17"/>
  <c r="B31" i="17" l="1"/>
  <c r="B188" i="2"/>
  <c r="B203" i="2"/>
  <c r="K247" i="2"/>
  <c r="K246" i="2"/>
  <c r="K245" i="2" s="1"/>
  <c r="I246" i="2"/>
  <c r="H246" i="2"/>
  <c r="G246" i="2"/>
  <c r="J246" i="2"/>
  <c r="H244" i="2" l="1"/>
  <c r="H239" i="2" s="1"/>
  <c r="J244" i="2"/>
  <c r="J239" i="2" s="1"/>
  <c r="I244" i="2"/>
  <c r="I239" i="2" s="1"/>
  <c r="B4" i="2"/>
  <c r="J7" i="6"/>
  <c r="J3" i="6"/>
  <c r="T8" i="14" l="1"/>
  <c r="B7" i="49" l="1"/>
  <c r="B4" i="49"/>
  <c r="B18" i="49" s="1"/>
  <c r="D8" i="49" s="1"/>
  <c r="B5" i="48" l="1"/>
  <c r="B19" i="48" s="1"/>
  <c r="F16" i="48" l="1"/>
  <c r="E16" i="48"/>
  <c r="E11" i="48"/>
  <c r="F11" i="48"/>
  <c r="D16" i="48"/>
  <c r="D11" i="48" s="1"/>
  <c r="B34" i="4" l="1"/>
  <c r="B10" i="39" l="1"/>
  <c r="B36" i="29"/>
  <c r="D33" i="29" s="1"/>
  <c r="B4" i="29"/>
  <c r="E33" i="29" l="1"/>
  <c r="E29" i="29" s="1"/>
  <c r="F33" i="29"/>
  <c r="F29" i="29" s="1"/>
  <c r="D29" i="29"/>
  <c r="B47" i="10" l="1"/>
  <c r="B42" i="10" l="1"/>
  <c r="D5" i="47" l="1"/>
  <c r="E5" i="47" s="1"/>
  <c r="D6" i="47"/>
  <c r="E6" i="47" s="1"/>
  <c r="J23" i="23" l="1"/>
  <c r="G145" i="2" l="1"/>
  <c r="G142" i="2"/>
  <c r="K23" i="39" l="1"/>
  <c r="K22" i="39"/>
  <c r="K21" i="39"/>
  <c r="K9" i="39"/>
  <c r="K8" i="39"/>
  <c r="K26" i="39" s="1"/>
  <c r="K27" i="39" s="1"/>
  <c r="H19" i="39" s="1"/>
  <c r="K5" i="39"/>
  <c r="K19" i="39"/>
  <c r="K16" i="39"/>
  <c r="K15" i="39"/>
  <c r="K14" i="39"/>
  <c r="K13" i="39"/>
  <c r="K12" i="39"/>
  <c r="K11" i="39"/>
  <c r="K10" i="39"/>
  <c r="K7" i="39"/>
  <c r="K6" i="39"/>
  <c r="K4" i="39"/>
  <c r="B26" i="39"/>
  <c r="B27" i="39" s="1"/>
  <c r="H11" i="39" s="1"/>
  <c r="E19" i="39" l="1"/>
  <c r="D19" i="39"/>
  <c r="E11" i="39"/>
  <c r="T13" i="14" l="1"/>
  <c r="T9" i="14"/>
  <c r="T21" i="14" l="1"/>
  <c r="V18" i="14" s="1"/>
  <c r="V15" i="14" s="1"/>
  <c r="X25" i="6"/>
  <c r="X22" i="6"/>
  <c r="W18" i="14" l="1"/>
  <c r="X18" i="14"/>
  <c r="X15" i="14" s="1"/>
  <c r="W15" i="14" l="1"/>
  <c r="W19" i="14"/>
  <c r="G206" i="2" l="1"/>
  <c r="G203" i="2" l="1"/>
  <c r="N203" i="2"/>
  <c r="N206" i="2"/>
  <c r="N214" i="2" s="1"/>
  <c r="Q212" i="2" s="1"/>
  <c r="R212" i="2" l="1"/>
  <c r="R207" i="2" s="1"/>
  <c r="P212" i="2"/>
  <c r="P207" i="2" s="1"/>
  <c r="Q207" i="2"/>
  <c r="J26" i="11" l="1"/>
  <c r="B9" i="29" l="1"/>
  <c r="B5" i="46" l="1"/>
  <c r="B14" i="46"/>
  <c r="F8" i="46" s="1"/>
  <c r="D8" i="46" l="1"/>
  <c r="E8" i="46"/>
  <c r="B157" i="2"/>
  <c r="B160" i="2"/>
  <c r="J43" i="10" l="1"/>
  <c r="B168" i="2" l="1"/>
  <c r="D164" i="2" s="1"/>
  <c r="C164" i="2" l="1"/>
  <c r="B87" i="11" l="1"/>
  <c r="B18" i="29" l="1"/>
  <c r="E15" i="29" l="1"/>
  <c r="D15" i="29"/>
  <c r="J46" i="10" l="1"/>
  <c r="J20" i="10"/>
  <c r="B30" i="22"/>
  <c r="F27" i="22" l="1"/>
  <c r="D27" i="22"/>
  <c r="E27" i="22"/>
  <c r="B5" i="22"/>
  <c r="L51" i="16" l="1"/>
  <c r="D15" i="44" l="1"/>
  <c r="B8" i="44"/>
  <c r="B17" i="44" l="1"/>
  <c r="D14" i="44" s="1"/>
  <c r="D9" i="44" l="1"/>
  <c r="E14" i="44"/>
  <c r="E9" i="44" s="1"/>
  <c r="F14" i="44"/>
  <c r="F9" i="44" s="1"/>
  <c r="B45" i="7" l="1"/>
  <c r="C22" i="6" l="1"/>
  <c r="X36" i="6" l="1"/>
  <c r="Y32" i="6" s="1"/>
  <c r="B22" i="16"/>
  <c r="B223" i="2" l="1"/>
  <c r="B220" i="2"/>
  <c r="Y28" i="9" l="1"/>
  <c r="Y31" i="9"/>
  <c r="Y25" i="9"/>
  <c r="C54" i="6" l="1"/>
  <c r="G188" i="2"/>
  <c r="F50" i="6" l="1"/>
  <c r="E50" i="6"/>
  <c r="D50" i="6"/>
  <c r="D53" i="6"/>
  <c r="B10" i="21"/>
  <c r="B5" i="21"/>
  <c r="B238" i="2" l="1"/>
  <c r="B235" i="2"/>
  <c r="B20" i="20"/>
  <c r="B4" i="20"/>
  <c r="I2" i="5"/>
  <c r="B20" i="5"/>
  <c r="B33" i="5" s="1"/>
  <c r="B2" i="5"/>
  <c r="J25" i="6"/>
  <c r="J22" i="6"/>
  <c r="AL35" i="6"/>
  <c r="AL55" i="6"/>
  <c r="AN51" i="6" s="1"/>
  <c r="AA32" i="6"/>
  <c r="X54" i="6"/>
  <c r="Z52" i="6" s="1"/>
  <c r="Q54" i="6"/>
  <c r="R51" i="6" s="1"/>
  <c r="Q35" i="6"/>
  <c r="S31" i="6" s="1"/>
  <c r="AM31" i="6" l="1"/>
  <c r="AN31" i="6"/>
  <c r="Y52" i="6"/>
  <c r="AA52" i="6"/>
  <c r="AO51" i="6"/>
  <c r="AM51" i="6"/>
  <c r="Z32" i="6"/>
  <c r="H24" i="2" l="1"/>
  <c r="B98" i="2" l="1"/>
  <c r="B101" i="2"/>
  <c r="I24" i="4" l="1"/>
  <c r="I6" i="4"/>
  <c r="I18" i="4" s="1"/>
  <c r="K17" i="4" s="1"/>
  <c r="I28" i="4"/>
  <c r="I10" i="4"/>
  <c r="I52" i="4"/>
  <c r="I35" i="4"/>
  <c r="I34" i="4"/>
  <c r="I33" i="4"/>
  <c r="I30" i="4"/>
  <c r="M49" i="4" l="1"/>
  <c r="K49" i="4"/>
  <c r="K45" i="4" s="1"/>
  <c r="L49" i="4"/>
  <c r="L45" i="4" s="1"/>
  <c r="I36" i="4"/>
  <c r="L17" i="4"/>
  <c r="L12" i="4" s="1"/>
  <c r="K12" i="4"/>
  <c r="M17" i="4"/>
  <c r="M12" i="4" s="1"/>
  <c r="M45" i="4"/>
  <c r="B206" i="2"/>
  <c r="M33" i="4" l="1"/>
  <c r="M27" i="4" s="1"/>
  <c r="K33" i="4"/>
  <c r="K27" i="4" s="1"/>
  <c r="L33" i="4"/>
  <c r="L27" i="4" s="1"/>
  <c r="B10" i="43" l="1"/>
  <c r="F7" i="43" l="1"/>
  <c r="D7" i="43"/>
  <c r="E7" i="43"/>
  <c r="B86" i="2" l="1"/>
  <c r="B89" i="2"/>
  <c r="C3" i="6"/>
  <c r="B3" i="10"/>
  <c r="J3" i="10"/>
  <c r="B107" i="7"/>
  <c r="B49" i="10"/>
  <c r="B7" i="41" l="1"/>
  <c r="B6" i="41"/>
  <c r="B4" i="41"/>
  <c r="B14" i="41" s="1"/>
  <c r="E9" i="41" s="1"/>
  <c r="B13" i="41"/>
  <c r="B12" i="41"/>
  <c r="B11" i="41"/>
  <c r="B10" i="41"/>
  <c r="B9" i="41"/>
  <c r="B8" i="41"/>
  <c r="B5" i="41"/>
  <c r="B5" i="25"/>
  <c r="B38" i="16"/>
  <c r="G127" i="2"/>
  <c r="G130" i="2"/>
  <c r="G173" i="2"/>
  <c r="E6" i="41" l="1"/>
  <c r="F9" i="41"/>
  <c r="F6" i="41" s="1"/>
  <c r="D9" i="41"/>
  <c r="D6" i="41" s="1"/>
  <c r="B69" i="4" l="1"/>
  <c r="B5" i="38" l="1"/>
  <c r="B9" i="38" s="1"/>
  <c r="D6" i="38" s="1"/>
  <c r="B173" i="2"/>
  <c r="F6" i="38" l="1"/>
  <c r="E6" i="38"/>
  <c r="N250" i="2" l="1"/>
  <c r="N253" i="2"/>
  <c r="Q239" i="2"/>
  <c r="Q250" i="2" s="1"/>
  <c r="N256" i="2"/>
  <c r="N264" i="2" l="1"/>
  <c r="B6" i="21"/>
  <c r="B26" i="34" l="1"/>
  <c r="B14" i="35" l="1"/>
  <c r="B13" i="35"/>
  <c r="B9" i="35"/>
  <c r="B6" i="35"/>
  <c r="B3" i="35"/>
  <c r="B15" i="35" l="1"/>
  <c r="E13" i="35" s="1"/>
  <c r="D13" i="35"/>
  <c r="D8" i="35" s="1"/>
  <c r="F13" i="35"/>
  <c r="F8" i="35" s="1"/>
  <c r="E8" i="35"/>
  <c r="U22" i="34" l="1"/>
  <c r="I46" i="34"/>
  <c r="B46" i="34"/>
  <c r="I36" i="34"/>
  <c r="B36" i="34"/>
  <c r="I15" i="34"/>
  <c r="B15" i="34"/>
  <c r="I4" i="34"/>
  <c r="B4" i="34"/>
  <c r="B12" i="34" s="1"/>
  <c r="I44" i="34"/>
  <c r="M41" i="34" s="1"/>
  <c r="B17" i="34"/>
  <c r="B28" i="34" s="1"/>
  <c r="B16" i="34"/>
  <c r="B27" i="34" s="1"/>
  <c r="I11" i="34"/>
  <c r="I10" i="34"/>
  <c r="D9" i="34" l="1"/>
  <c r="O7" i="34" s="1"/>
  <c r="E9" i="34"/>
  <c r="P7" i="34" s="1"/>
  <c r="M30" i="34"/>
  <c r="U17" i="34" s="1"/>
  <c r="L30" i="34"/>
  <c r="T17" i="34" s="1"/>
  <c r="L41" i="34"/>
  <c r="T22" i="34" s="1"/>
  <c r="K41" i="34"/>
  <c r="S22" i="34" s="1"/>
  <c r="S17" i="34"/>
  <c r="B44" i="34"/>
  <c r="I54" i="34"/>
  <c r="I12" i="34"/>
  <c r="I23" i="34"/>
  <c r="F9" i="34"/>
  <c r="Q7" i="34" s="1"/>
  <c r="B34" i="34"/>
  <c r="B23" i="34"/>
  <c r="B22" i="21"/>
  <c r="C22" i="21" s="1"/>
  <c r="M9" i="34" l="1"/>
  <c r="U7" i="34" s="1"/>
  <c r="L9" i="34"/>
  <c r="T7" i="34" s="1"/>
  <c r="K9" i="34"/>
  <c r="S7" i="34" s="1"/>
  <c r="D41" i="34"/>
  <c r="O22" i="34" s="1"/>
  <c r="L51" i="34"/>
  <c r="T27" i="34" s="1"/>
  <c r="M51" i="34"/>
  <c r="U27" i="34" s="1"/>
  <c r="K51" i="34"/>
  <c r="S27" i="34" s="1"/>
  <c r="F41" i="34"/>
  <c r="Q22" i="34" s="1"/>
  <c r="E41" i="34"/>
  <c r="P22" i="34" s="1"/>
  <c r="D31" i="34"/>
  <c r="O17" i="34" s="1"/>
  <c r="E31" i="34"/>
  <c r="P17" i="34" s="1"/>
  <c r="F31" i="34"/>
  <c r="Q17" i="34" s="1"/>
  <c r="M20" i="34"/>
  <c r="U12" i="34" s="1"/>
  <c r="K20" i="34"/>
  <c r="S12" i="34" s="1"/>
  <c r="L20" i="34"/>
  <c r="T12" i="34" s="1"/>
  <c r="F20" i="34"/>
  <c r="Q12" i="34" s="1"/>
  <c r="E20" i="34"/>
  <c r="P12" i="34" s="1"/>
  <c r="D20" i="34"/>
  <c r="O12" i="34" s="1"/>
  <c r="B54" i="34"/>
  <c r="F51" i="34" l="1"/>
  <c r="Q27" i="34" s="1"/>
  <c r="D51" i="34"/>
  <c r="O27" i="34" s="1"/>
  <c r="E51" i="34"/>
  <c r="P27" i="34" s="1"/>
  <c r="B75" i="14" l="1"/>
  <c r="B74" i="14"/>
  <c r="B96" i="14"/>
  <c r="B95" i="14"/>
  <c r="R4" i="23" l="1"/>
  <c r="B284" i="2" l="1"/>
  <c r="G301" i="2"/>
  <c r="B116" i="14" l="1"/>
  <c r="J9" i="23"/>
  <c r="J4" i="23"/>
  <c r="B66" i="16" l="1"/>
  <c r="D63" i="16" l="1"/>
  <c r="E63" i="16"/>
  <c r="D58" i="16"/>
  <c r="F63" i="16"/>
  <c r="F58" i="16" s="1"/>
  <c r="E58" i="16"/>
  <c r="K51" i="14" l="1"/>
  <c r="B13" i="32" l="1"/>
  <c r="D11" i="32" s="1"/>
  <c r="F11" i="32" l="1"/>
  <c r="B142" i="2" l="1"/>
  <c r="B4" i="23" l="1"/>
  <c r="Y4" i="9" l="1"/>
  <c r="B301" i="2"/>
  <c r="B4" i="9" l="1"/>
  <c r="F15" i="29" l="1"/>
  <c r="F11" i="29" s="1"/>
  <c r="D11" i="29"/>
  <c r="E11" i="29"/>
  <c r="B10" i="25"/>
  <c r="B9" i="25"/>
  <c r="B8" i="25"/>
  <c r="B7" i="25"/>
  <c r="Y16" i="9" l="1"/>
  <c r="Y35" i="9"/>
  <c r="Y38" i="9" s="1"/>
  <c r="AA34" i="9" s="1"/>
  <c r="G261" i="2"/>
  <c r="H258" i="2" s="1"/>
  <c r="I258" i="2" l="1"/>
  <c r="AC15" i="9"/>
  <c r="AA15" i="9"/>
  <c r="AB15" i="9"/>
  <c r="H260" i="2"/>
  <c r="H261" i="2" s="1"/>
  <c r="J258" i="2"/>
  <c r="AB34" i="9"/>
  <c r="AB31" i="9" s="1"/>
  <c r="AC34" i="9"/>
  <c r="AC31" i="9" s="1"/>
  <c r="AA31" i="9"/>
  <c r="AA11" i="9"/>
  <c r="AC11" i="9"/>
  <c r="AB11" i="9"/>
  <c r="B20" i="27" l="1"/>
  <c r="B30" i="27" s="1"/>
  <c r="E26" i="27" l="1"/>
  <c r="F26" i="27"/>
  <c r="D26" i="27"/>
  <c r="I39" i="28"/>
  <c r="I38" i="28"/>
  <c r="I32" i="28"/>
  <c r="I40" i="28" s="1"/>
  <c r="B32" i="28"/>
  <c r="B40" i="28" s="1"/>
  <c r="I19" i="28"/>
  <c r="I27" i="28" s="1"/>
  <c r="B19" i="28"/>
  <c r="B27" i="28" s="1"/>
  <c r="I12" i="28"/>
  <c r="I11" i="28"/>
  <c r="I5" i="28"/>
  <c r="I13" i="28" s="1"/>
  <c r="B4" i="28"/>
  <c r="B12" i="28" s="1"/>
  <c r="B184" i="2"/>
  <c r="E181" i="2" s="1"/>
  <c r="F39" i="28" l="1"/>
  <c r="F35" i="28" s="1"/>
  <c r="D39" i="28"/>
  <c r="D35" i="28" s="1"/>
  <c r="E39" i="28"/>
  <c r="E35" i="28" s="1"/>
  <c r="F12" i="28"/>
  <c r="F7" i="28" s="1"/>
  <c r="D12" i="28"/>
  <c r="D7" i="28" s="1"/>
  <c r="E12" i="28"/>
  <c r="E7" i="28" s="1"/>
  <c r="E27" i="28"/>
  <c r="E22" i="28" s="1"/>
  <c r="F27" i="28"/>
  <c r="F22" i="28" s="1"/>
  <c r="D27" i="28"/>
  <c r="D22" i="28" s="1"/>
  <c r="M11" i="28"/>
  <c r="M8" i="28" s="1"/>
  <c r="K11" i="28"/>
  <c r="K8" i="28" s="1"/>
  <c r="L11" i="28"/>
  <c r="L8" i="28" s="1"/>
  <c r="L26" i="28"/>
  <c r="L22" i="28" s="1"/>
  <c r="M26" i="28"/>
  <c r="M22" i="28" s="1"/>
  <c r="K26" i="28"/>
  <c r="K22" i="28" s="1"/>
  <c r="M39" i="28"/>
  <c r="M36" i="28" s="1"/>
  <c r="K39" i="28"/>
  <c r="K36" i="28" s="1"/>
  <c r="L39" i="28"/>
  <c r="L36" i="28" s="1"/>
  <c r="B127" i="2"/>
  <c r="B92" i="2"/>
  <c r="G98" i="2"/>
  <c r="G86" i="2"/>
  <c r="G103" i="2"/>
  <c r="G90" i="2"/>
  <c r="B122" i="2" l="1"/>
  <c r="C116" i="2" s="1"/>
  <c r="G92" i="2"/>
  <c r="G105" i="2"/>
  <c r="B105" i="2"/>
  <c r="G89" i="2"/>
  <c r="G101" i="2"/>
  <c r="E116" i="2" l="1"/>
  <c r="D116" i="2"/>
  <c r="D117" i="2" s="1"/>
  <c r="C117" i="2"/>
  <c r="G22" i="2"/>
  <c r="H17" i="2" s="1"/>
  <c r="B30" i="2"/>
  <c r="J17" i="2" l="1"/>
  <c r="B32" i="2"/>
  <c r="C27" i="2" s="1"/>
  <c r="B22" i="2"/>
  <c r="K27" i="14"/>
  <c r="AE22" i="6"/>
  <c r="Q3" i="6"/>
  <c r="Q16" i="6" s="1"/>
  <c r="T12" i="6" s="1"/>
  <c r="J25" i="9"/>
  <c r="C17" i="2" l="1"/>
  <c r="D17" i="2"/>
  <c r="I17" i="2"/>
  <c r="E27" i="2"/>
  <c r="U37" i="34" s="1"/>
  <c r="D27" i="2"/>
  <c r="E17" i="2"/>
  <c r="S37" i="34" l="1"/>
  <c r="T37" i="34"/>
  <c r="D36" i="22" l="1"/>
  <c r="B35" i="22"/>
  <c r="D35" i="22" s="1"/>
  <c r="B34" i="22"/>
  <c r="D34" i="22" s="1"/>
  <c r="B33" i="22"/>
  <c r="C33" i="22" s="1"/>
  <c r="D33" i="22" s="1"/>
  <c r="D37" i="22" l="1"/>
  <c r="B3" i="7" l="1"/>
  <c r="B55" i="10" l="1"/>
  <c r="B5" i="16" l="1"/>
  <c r="B324" i="26" l="1"/>
  <c r="B337" i="26" s="1"/>
  <c r="G324" i="26"/>
  <c r="G307" i="26"/>
  <c r="B306" i="26"/>
  <c r="G289" i="26"/>
  <c r="G302" i="26" s="1"/>
  <c r="B288" i="26"/>
  <c r="G272" i="26"/>
  <c r="G283" i="26" s="1"/>
  <c r="B272" i="26"/>
  <c r="B283" i="26" s="1"/>
  <c r="G257" i="26"/>
  <c r="B257" i="26"/>
  <c r="G242" i="26"/>
  <c r="B242" i="26"/>
  <c r="G225" i="26"/>
  <c r="B225" i="26"/>
  <c r="G210" i="26"/>
  <c r="B210" i="26"/>
  <c r="B221" i="26" s="1"/>
  <c r="G195" i="26"/>
  <c r="B195" i="26"/>
  <c r="G179" i="26"/>
  <c r="B179" i="26"/>
  <c r="B164" i="26"/>
  <c r="G164" i="26"/>
  <c r="G149" i="26"/>
  <c r="B149" i="26"/>
  <c r="G133" i="26"/>
  <c r="G103" i="26"/>
  <c r="G114" i="26" s="1"/>
  <c r="G118" i="26"/>
  <c r="G20" i="26"/>
  <c r="G66" i="26"/>
  <c r="G61" i="26"/>
  <c r="G84" i="26"/>
  <c r="B133" i="26"/>
  <c r="B144" i="26" s="1"/>
  <c r="B118" i="26"/>
  <c r="B103" i="26"/>
  <c r="B47" i="26"/>
  <c r="G33" i="26"/>
  <c r="G6" i="26"/>
  <c r="E8" i="26"/>
  <c r="B33" i="26"/>
  <c r="B41" i="26" s="1"/>
  <c r="G331" i="26"/>
  <c r="G319" i="26"/>
  <c r="G318" i="26"/>
  <c r="B318" i="26"/>
  <c r="G317" i="26"/>
  <c r="B317" i="26"/>
  <c r="B316" i="26"/>
  <c r="G314" i="26"/>
  <c r="G313" i="26"/>
  <c r="B313" i="26"/>
  <c r="G312" i="26"/>
  <c r="B312" i="26"/>
  <c r="G311" i="26"/>
  <c r="B311" i="26"/>
  <c r="B310" i="26"/>
  <c r="B319" i="26" s="1"/>
  <c r="B301" i="26"/>
  <c r="G260" i="26"/>
  <c r="G268" i="26" s="1"/>
  <c r="B260" i="26"/>
  <c r="G245" i="26"/>
  <c r="B245" i="26"/>
  <c r="B253" i="26" s="1"/>
  <c r="G253" i="26"/>
  <c r="G228" i="26"/>
  <c r="G236" i="26" s="1"/>
  <c r="B228" i="26"/>
  <c r="B236" i="26" s="1"/>
  <c r="G213" i="26"/>
  <c r="G198" i="26"/>
  <c r="B206" i="26"/>
  <c r="G182" i="26"/>
  <c r="G190" i="26" s="1"/>
  <c r="B182" i="26"/>
  <c r="B190" i="26" s="1"/>
  <c r="G167" i="26"/>
  <c r="B167" i="26"/>
  <c r="B175" i="26" s="1"/>
  <c r="G152" i="26"/>
  <c r="B152" i="26"/>
  <c r="G144" i="26"/>
  <c r="G129" i="26"/>
  <c r="B129" i="26"/>
  <c r="B106" i="26"/>
  <c r="G91" i="26"/>
  <c r="B96" i="26"/>
  <c r="D92" i="26" s="1"/>
  <c r="G78" i="26"/>
  <c r="G77" i="26"/>
  <c r="G76" i="26"/>
  <c r="B76" i="26"/>
  <c r="B75" i="26"/>
  <c r="G73" i="26"/>
  <c r="G72" i="26"/>
  <c r="G71" i="26"/>
  <c r="B71" i="26"/>
  <c r="G70" i="26"/>
  <c r="B70" i="26"/>
  <c r="B60" i="26"/>
  <c r="G40" i="26"/>
  <c r="G39" i="26"/>
  <c r="G28" i="26"/>
  <c r="B28" i="26"/>
  <c r="G13" i="26"/>
  <c r="G12" i="26"/>
  <c r="B160" i="26" l="1"/>
  <c r="G160" i="26"/>
  <c r="G175" i="26"/>
  <c r="G97" i="26"/>
  <c r="I94" i="26" s="1"/>
  <c r="I91" i="26" s="1"/>
  <c r="G221" i="26"/>
  <c r="G79" i="26"/>
  <c r="I76" i="26" s="1"/>
  <c r="I73" i="26" s="1"/>
  <c r="G41" i="26"/>
  <c r="J40" i="26" s="1"/>
  <c r="J37" i="26" s="1"/>
  <c r="G14" i="26"/>
  <c r="J12" i="26" s="1"/>
  <c r="J9" i="26" s="1"/>
  <c r="B268" i="26"/>
  <c r="E265" i="26" s="1"/>
  <c r="E261" i="26" s="1"/>
  <c r="G206" i="26"/>
  <c r="J202" i="26" s="1"/>
  <c r="J198" i="26" s="1"/>
  <c r="G320" i="26"/>
  <c r="I315" i="26" s="1"/>
  <c r="I311" i="26" s="1"/>
  <c r="G337" i="26"/>
  <c r="J331" i="26" s="1"/>
  <c r="J327" i="26" s="1"/>
  <c r="B114" i="26"/>
  <c r="D109" i="26" s="1"/>
  <c r="D106" i="26" s="1"/>
  <c r="B78" i="26"/>
  <c r="H94" i="26"/>
  <c r="H91" i="26" s="1"/>
  <c r="J94" i="26"/>
  <c r="J91" i="26" s="1"/>
  <c r="I27" i="26"/>
  <c r="I23" i="26" s="1"/>
  <c r="J27" i="26"/>
  <c r="J23" i="26" s="1"/>
  <c r="H27" i="26"/>
  <c r="H23" i="26" s="1"/>
  <c r="I60" i="26"/>
  <c r="I54" i="26" s="1"/>
  <c r="J60" i="26"/>
  <c r="J54" i="26" s="1"/>
  <c r="H60" i="26"/>
  <c r="H54" i="26" s="1"/>
  <c r="J127" i="26"/>
  <c r="J122" i="26" s="1"/>
  <c r="H127" i="26"/>
  <c r="H122" i="26" s="1"/>
  <c r="I127" i="26"/>
  <c r="I122" i="26" s="1"/>
  <c r="I141" i="26"/>
  <c r="I136" i="26" s="1"/>
  <c r="J141" i="26"/>
  <c r="J136" i="26" s="1"/>
  <c r="H141" i="26"/>
  <c r="H136" i="26" s="1"/>
  <c r="J111" i="26"/>
  <c r="J106" i="26" s="1"/>
  <c r="H111" i="26"/>
  <c r="H106" i="26" s="1"/>
  <c r="I111" i="26"/>
  <c r="I106" i="26" s="1"/>
  <c r="D28" i="26"/>
  <c r="D23" i="26" s="1"/>
  <c r="E28" i="26"/>
  <c r="E23" i="26" s="1"/>
  <c r="C28" i="26"/>
  <c r="C23" i="26" s="1"/>
  <c r="E40" i="26"/>
  <c r="E36" i="26" s="1"/>
  <c r="C40" i="26"/>
  <c r="C36" i="26" s="1"/>
  <c r="D40" i="26"/>
  <c r="D36" i="26" s="1"/>
  <c r="D58" i="26"/>
  <c r="D53" i="26" s="1"/>
  <c r="E58" i="26"/>
  <c r="E53" i="26" s="1"/>
  <c r="C58" i="26"/>
  <c r="C53" i="26" s="1"/>
  <c r="E92" i="26"/>
  <c r="E88" i="26" s="1"/>
  <c r="C92" i="26"/>
  <c r="C88" i="26" s="1"/>
  <c r="D88" i="26"/>
  <c r="D126" i="26"/>
  <c r="D122" i="26" s="1"/>
  <c r="E126" i="26"/>
  <c r="E122" i="26" s="1"/>
  <c r="C126" i="26"/>
  <c r="C122" i="26" s="1"/>
  <c r="E142" i="26"/>
  <c r="E137" i="26" s="1"/>
  <c r="C142" i="26"/>
  <c r="C137" i="26" s="1"/>
  <c r="D142" i="26"/>
  <c r="D137" i="26" s="1"/>
  <c r="D8" i="26"/>
  <c r="E155" i="26"/>
  <c r="E152" i="26" s="1"/>
  <c r="C155" i="26"/>
  <c r="C152" i="26" s="1"/>
  <c r="D155" i="26"/>
  <c r="D152" i="26" s="1"/>
  <c r="I173" i="26"/>
  <c r="I168" i="26" s="1"/>
  <c r="J173" i="26"/>
  <c r="J168" i="26" s="1"/>
  <c r="H173" i="26"/>
  <c r="H168" i="26" s="1"/>
  <c r="I186" i="26"/>
  <c r="I183" i="26" s="1"/>
  <c r="J186" i="26"/>
  <c r="J183" i="26" s="1"/>
  <c r="H186" i="26"/>
  <c r="H183" i="26" s="1"/>
  <c r="D218" i="26"/>
  <c r="D214" i="26" s="1"/>
  <c r="E218" i="26"/>
  <c r="E214" i="26" s="1"/>
  <c r="C218" i="26"/>
  <c r="C214" i="26" s="1"/>
  <c r="I234" i="26"/>
  <c r="I229" i="26" s="1"/>
  <c r="J234" i="26"/>
  <c r="J229" i="26" s="1"/>
  <c r="H234" i="26"/>
  <c r="H229" i="26" s="1"/>
  <c r="I250" i="26"/>
  <c r="I245" i="26" s="1"/>
  <c r="J250" i="26"/>
  <c r="J245" i="26" s="1"/>
  <c r="H250" i="26"/>
  <c r="H245" i="26" s="1"/>
  <c r="I266" i="26"/>
  <c r="I261" i="26" s="1"/>
  <c r="J266" i="26"/>
  <c r="J261" i="26" s="1"/>
  <c r="H266" i="26"/>
  <c r="H261" i="26" s="1"/>
  <c r="I280" i="26"/>
  <c r="I276" i="26" s="1"/>
  <c r="J280" i="26"/>
  <c r="J276" i="26" s="1"/>
  <c r="H280" i="26"/>
  <c r="H276" i="26" s="1"/>
  <c r="I297" i="26"/>
  <c r="I293" i="26" s="1"/>
  <c r="J297" i="26"/>
  <c r="J293" i="26" s="1"/>
  <c r="H297" i="26"/>
  <c r="H293" i="26" s="1"/>
  <c r="H315" i="26"/>
  <c r="H311" i="26" s="1"/>
  <c r="I331" i="26"/>
  <c r="I327" i="26" s="1"/>
  <c r="H331" i="26"/>
  <c r="H327" i="26" s="1"/>
  <c r="C8" i="26"/>
  <c r="I157" i="26"/>
  <c r="I152" i="26" s="1"/>
  <c r="J157" i="26"/>
  <c r="J152" i="26" s="1"/>
  <c r="H157" i="26"/>
  <c r="H152" i="26" s="1"/>
  <c r="E171" i="26"/>
  <c r="E168" i="26" s="1"/>
  <c r="C171" i="26"/>
  <c r="C168" i="26" s="1"/>
  <c r="D171" i="26"/>
  <c r="D168" i="26" s="1"/>
  <c r="E186" i="26"/>
  <c r="E183" i="26" s="1"/>
  <c r="C186" i="26"/>
  <c r="C183" i="26" s="1"/>
  <c r="D186" i="26"/>
  <c r="D183" i="26" s="1"/>
  <c r="E203" i="26"/>
  <c r="E199" i="26" s="1"/>
  <c r="C203" i="26"/>
  <c r="C199" i="26" s="1"/>
  <c r="D203" i="26"/>
  <c r="D199" i="26" s="1"/>
  <c r="J216" i="26"/>
  <c r="J213" i="26" s="1"/>
  <c r="H216" i="26"/>
  <c r="H213" i="26" s="1"/>
  <c r="I216" i="26"/>
  <c r="I213" i="26" s="1"/>
  <c r="E233" i="26"/>
  <c r="E229" i="26" s="1"/>
  <c r="C233" i="26"/>
  <c r="C229" i="26" s="1"/>
  <c r="D233" i="26"/>
  <c r="D229" i="26" s="1"/>
  <c r="E248" i="26"/>
  <c r="E245" i="26" s="1"/>
  <c r="C248" i="26"/>
  <c r="C245" i="26" s="1"/>
  <c r="D248" i="26"/>
  <c r="D245" i="26" s="1"/>
  <c r="C265" i="26"/>
  <c r="C261" i="26" s="1"/>
  <c r="E280" i="26"/>
  <c r="E276" i="26" s="1"/>
  <c r="C280" i="26"/>
  <c r="C276" i="26" s="1"/>
  <c r="D280" i="26"/>
  <c r="D276" i="26" s="1"/>
  <c r="E297" i="26"/>
  <c r="E293" i="26" s="1"/>
  <c r="C297" i="26"/>
  <c r="C293" i="26" s="1"/>
  <c r="D297" i="26"/>
  <c r="D293" i="26" s="1"/>
  <c r="E313" i="26"/>
  <c r="E309" i="26" s="1"/>
  <c r="C313" i="26"/>
  <c r="C309" i="26" s="1"/>
  <c r="D313" i="26"/>
  <c r="D309" i="26" s="1"/>
  <c r="E332" i="26"/>
  <c r="E327" i="26" s="1"/>
  <c r="C332" i="26"/>
  <c r="C327" i="26" s="1"/>
  <c r="D332" i="26"/>
  <c r="D327" i="26" s="1"/>
  <c r="I40" i="26" l="1"/>
  <c r="I37" i="26" s="1"/>
  <c r="H76" i="26"/>
  <c r="H73" i="26" s="1"/>
  <c r="H12" i="26"/>
  <c r="H9" i="26" s="1"/>
  <c r="I202" i="26"/>
  <c r="I198" i="26" s="1"/>
  <c r="D265" i="26"/>
  <c r="D261" i="26" s="1"/>
  <c r="I12" i="26"/>
  <c r="I9" i="26" s="1"/>
  <c r="J76" i="26"/>
  <c r="J73" i="26" s="1"/>
  <c r="J315" i="26"/>
  <c r="J311" i="26" s="1"/>
  <c r="H40" i="26"/>
  <c r="H37" i="26" s="1"/>
  <c r="C75" i="26"/>
  <c r="C72" i="26" s="1"/>
  <c r="D75" i="26"/>
  <c r="D72" i="26" s="1"/>
  <c r="E75" i="26"/>
  <c r="E72" i="26" s="1"/>
  <c r="H202" i="26"/>
  <c r="H198" i="26" s="1"/>
  <c r="E109" i="26"/>
  <c r="E106" i="26" s="1"/>
  <c r="C109" i="26"/>
  <c r="C106" i="26" s="1"/>
  <c r="B12" i="25" l="1"/>
  <c r="B13" i="25" l="1"/>
  <c r="D8" i="25" s="1"/>
  <c r="D5" i="25" l="1"/>
  <c r="E8" i="25"/>
  <c r="F8" i="25"/>
  <c r="F5" i="25" s="1"/>
  <c r="E5" i="25"/>
  <c r="B6" i="23"/>
  <c r="Z4" i="23" l="1"/>
  <c r="Z9" i="23"/>
  <c r="R9" i="23"/>
  <c r="Z6" i="23"/>
  <c r="R6" i="23"/>
  <c r="Z19" i="23"/>
  <c r="R19" i="23" l="1"/>
  <c r="AC13" i="23"/>
  <c r="AC10" i="23" s="1"/>
  <c r="AD13" i="23"/>
  <c r="AD10" i="23" s="1"/>
  <c r="AB13" i="23"/>
  <c r="AB10" i="23" s="1"/>
  <c r="U13" i="23" l="1"/>
  <c r="T13" i="23"/>
  <c r="T10" i="23" s="1"/>
  <c r="V13" i="23"/>
  <c r="V10" i="23" s="1"/>
  <c r="U10" i="23"/>
  <c r="T31" i="6"/>
  <c r="R31" i="6" l="1"/>
  <c r="AL6" i="6" l="1"/>
  <c r="B66" i="10" l="1"/>
  <c r="B65" i="10"/>
  <c r="J64" i="10"/>
  <c r="B64" i="10"/>
  <c r="B63" i="10"/>
  <c r="B62" i="10"/>
  <c r="B61" i="10"/>
  <c r="B60" i="10"/>
  <c r="B57" i="10"/>
  <c r="Q25" i="9" l="1"/>
  <c r="Q26" i="9"/>
  <c r="J39" i="9"/>
  <c r="L36" i="9" s="1"/>
  <c r="L42" i="9" l="1"/>
  <c r="Q39" i="9"/>
  <c r="M36" i="9"/>
  <c r="M31" i="9" s="1"/>
  <c r="U36" i="9" l="1"/>
  <c r="U31" i="9" s="1"/>
  <c r="S36" i="9"/>
  <c r="S31" i="9" s="1"/>
  <c r="T36" i="9"/>
  <c r="T31" i="9" s="1"/>
  <c r="N36" i="9"/>
  <c r="N31" i="9" s="1"/>
  <c r="L31" i="9"/>
  <c r="B214" i="2" l="1"/>
  <c r="L43" i="9"/>
  <c r="L44" i="9" s="1"/>
  <c r="M44" i="9" s="1"/>
  <c r="P42" i="9"/>
  <c r="D211" i="2" l="1"/>
  <c r="E211" i="2"/>
  <c r="C211" i="2"/>
  <c r="J37" i="23"/>
  <c r="B20" i="24"/>
  <c r="B26" i="24" s="1"/>
  <c r="B9" i="24"/>
  <c r="B8" i="24"/>
  <c r="B14" i="24" s="1"/>
  <c r="I8" i="24"/>
  <c r="I13" i="24" s="1"/>
  <c r="B37" i="23"/>
  <c r="D32" i="23" s="1"/>
  <c r="B18" i="9"/>
  <c r="D15" i="9" s="1"/>
  <c r="J19" i="23" l="1"/>
  <c r="M32" i="23"/>
  <c r="M29" i="23" s="1"/>
  <c r="N32" i="23"/>
  <c r="N29" i="23" s="1"/>
  <c r="L32" i="23"/>
  <c r="L29" i="23" s="1"/>
  <c r="L14" i="24"/>
  <c r="L10" i="24" s="1"/>
  <c r="M14" i="24"/>
  <c r="M10" i="24" s="1"/>
  <c r="K14" i="24"/>
  <c r="K10" i="24" s="1"/>
  <c r="F14" i="24"/>
  <c r="F10" i="24" s="1"/>
  <c r="D14" i="24"/>
  <c r="E14" i="24"/>
  <c r="E29" i="24"/>
  <c r="E25" i="24" s="1"/>
  <c r="F29" i="24"/>
  <c r="F25" i="24" s="1"/>
  <c r="D29" i="24"/>
  <c r="D25" i="24" s="1"/>
  <c r="D10" i="24"/>
  <c r="E10" i="24"/>
  <c r="E32" i="23"/>
  <c r="E29" i="23" s="1"/>
  <c r="F32" i="23"/>
  <c r="F29" i="23" s="1"/>
  <c r="D29" i="23"/>
  <c r="B17" i="23"/>
  <c r="F13" i="23" s="1"/>
  <c r="F10" i="23" s="1"/>
  <c r="J139" i="11"/>
  <c r="M133" i="11" s="1"/>
  <c r="J106" i="11"/>
  <c r="J120" i="11" s="1"/>
  <c r="J101" i="11"/>
  <c r="N94" i="11" s="1"/>
  <c r="M90" i="11" l="1"/>
  <c r="L13" i="23"/>
  <c r="L10" i="23" s="1"/>
  <c r="N13" i="23"/>
  <c r="M13" i="23"/>
  <c r="M10" i="23" s="1"/>
  <c r="N10" i="23"/>
  <c r="N133" i="11"/>
  <c r="N128" i="11" s="1"/>
  <c r="O133" i="11"/>
  <c r="O128" i="11" s="1"/>
  <c r="E13" i="23"/>
  <c r="E10" i="23" s="1"/>
  <c r="D13" i="23"/>
  <c r="D10" i="23" s="1"/>
  <c r="M128" i="11"/>
  <c r="N114" i="11"/>
  <c r="N109" i="11" s="1"/>
  <c r="O114" i="11"/>
  <c r="O109" i="11" s="1"/>
  <c r="M114" i="11"/>
  <c r="M109" i="11" s="1"/>
  <c r="N90" i="11"/>
  <c r="O94" i="11"/>
  <c r="O90" i="11" s="1"/>
  <c r="B70" i="11" l="1"/>
  <c r="B29" i="11"/>
  <c r="B55" i="14"/>
  <c r="X3" i="6" l="1"/>
  <c r="E22" i="22" l="1"/>
  <c r="F22" i="22"/>
  <c r="D22" i="22"/>
  <c r="J35" i="6" l="1"/>
  <c r="X7" i="6"/>
  <c r="L30" i="6" l="1"/>
  <c r="M30" i="6"/>
  <c r="M26" i="6" s="1"/>
  <c r="L26" i="6"/>
  <c r="K30" i="6"/>
  <c r="K26" i="6" s="1"/>
  <c r="B69" i="5" l="1"/>
  <c r="B25" i="13" l="1"/>
  <c r="B28" i="13"/>
  <c r="B163" i="14"/>
  <c r="B162" i="14"/>
  <c r="B176" i="14" s="1"/>
  <c r="F174" i="14" s="1"/>
  <c r="E174" i="14" l="1"/>
  <c r="D174" i="14"/>
  <c r="B19" i="21" l="1"/>
  <c r="K36" i="18"/>
  <c r="K30" i="18"/>
  <c r="K26" i="18"/>
  <c r="K42" i="18" s="1"/>
  <c r="O32" i="18" s="1"/>
  <c r="K16" i="18"/>
  <c r="K10" i="18"/>
  <c r="K21" i="18"/>
  <c r="O17" i="18" s="1"/>
  <c r="O18" i="18" s="1"/>
  <c r="N6" i="18"/>
  <c r="N7" i="18" s="1"/>
  <c r="N12" i="18" s="1"/>
  <c r="B7" i="18"/>
  <c r="B9" i="18"/>
  <c r="B16" i="18"/>
  <c r="B28" i="18"/>
  <c r="B29" i="18"/>
  <c r="B36" i="18"/>
  <c r="E17" i="21" l="1"/>
  <c r="D17" i="21"/>
  <c r="E13" i="21"/>
  <c r="D13" i="21"/>
  <c r="F17" i="21"/>
  <c r="F13" i="21" s="1"/>
  <c r="E7" i="22"/>
  <c r="N17" i="18"/>
  <c r="N18" i="18" s="1"/>
  <c r="N32" i="18"/>
  <c r="M17" i="18"/>
  <c r="M18" i="18" s="1"/>
  <c r="M32" i="18"/>
  <c r="F7" i="22"/>
  <c r="D7" i="22"/>
  <c r="B48" i="20" l="1"/>
  <c r="E46" i="20" s="1"/>
  <c r="B16" i="20"/>
  <c r="B29" i="20"/>
  <c r="B25" i="20"/>
  <c r="B32" i="20" l="1"/>
  <c r="E13" i="20"/>
  <c r="E9" i="20" s="1"/>
  <c r="F13" i="20"/>
  <c r="F9" i="20" s="1"/>
  <c r="D13" i="20"/>
  <c r="D9" i="20" s="1"/>
  <c r="E42" i="20"/>
  <c r="F46" i="20"/>
  <c r="F42" i="20" s="1"/>
  <c r="D46" i="20"/>
  <c r="D42" i="20" s="1"/>
  <c r="J49" i="10"/>
  <c r="J47" i="10"/>
  <c r="J17" i="10"/>
  <c r="J52" i="10" l="1"/>
  <c r="L49" i="10" s="1"/>
  <c r="E28" i="20"/>
  <c r="E24" i="20" s="1"/>
  <c r="D28" i="20"/>
  <c r="D24" i="20" s="1"/>
  <c r="F28" i="20"/>
  <c r="F24" i="20" s="1"/>
  <c r="L44" i="10"/>
  <c r="M14" i="10"/>
  <c r="M10" i="10" s="1"/>
  <c r="N14" i="10"/>
  <c r="N10" i="10" s="1"/>
  <c r="L14" i="10"/>
  <c r="L10" i="10" s="1"/>
  <c r="AL3" i="6"/>
  <c r="I79" i="5"/>
  <c r="I92" i="5" s="1"/>
  <c r="I53" i="5"/>
  <c r="I51" i="5"/>
  <c r="I41" i="5"/>
  <c r="B15" i="17"/>
  <c r="B261" i="2"/>
  <c r="C258" i="2" s="1"/>
  <c r="B246" i="2"/>
  <c r="E243" i="2" s="1"/>
  <c r="B231" i="2"/>
  <c r="C226" i="2" s="1"/>
  <c r="G191" i="2"/>
  <c r="B130" i="2"/>
  <c r="E13" i="17" l="1"/>
  <c r="D13" i="17"/>
  <c r="N49" i="10"/>
  <c r="N44" i="10" s="1"/>
  <c r="M49" i="10"/>
  <c r="M44" i="10" s="1"/>
  <c r="D258" i="2"/>
  <c r="E258" i="2"/>
  <c r="C261" i="2"/>
  <c r="C260" i="2" s="1"/>
  <c r="E226" i="2"/>
  <c r="D226" i="2"/>
  <c r="C243" i="2"/>
  <c r="D243" i="2"/>
  <c r="I54" i="5"/>
  <c r="L52" i="5" s="1"/>
  <c r="AL17" i="6"/>
  <c r="L89" i="5"/>
  <c r="L83" i="5" s="1"/>
  <c r="L84" i="5" s="1"/>
  <c r="M89" i="5"/>
  <c r="K89" i="5"/>
  <c r="I14" i="5"/>
  <c r="M52" i="5" l="1"/>
  <c r="K52" i="5"/>
  <c r="K53" i="5" s="1"/>
  <c r="L90" i="5"/>
  <c r="M90" i="5"/>
  <c r="M83" i="5"/>
  <c r="M84" i="5" s="1"/>
  <c r="K90" i="5"/>
  <c r="K83" i="5"/>
  <c r="K84" i="5" s="1"/>
  <c r="K47" i="5"/>
  <c r="K48" i="5" s="1"/>
  <c r="L53" i="5"/>
  <c r="L47" i="5"/>
  <c r="L48" i="5" s="1"/>
  <c r="L11" i="5"/>
  <c r="M11" i="5"/>
  <c r="K11" i="5"/>
  <c r="M47" i="5"/>
  <c r="M48" i="5" s="1"/>
  <c r="M53" i="5"/>
  <c r="B59" i="5"/>
  <c r="B79" i="5"/>
  <c r="B98" i="8"/>
  <c r="B78" i="8"/>
  <c r="B59" i="8"/>
  <c r="B39" i="8"/>
  <c r="B19" i="8"/>
  <c r="B2" i="8"/>
  <c r="B14" i="8" s="1"/>
  <c r="B86" i="4"/>
  <c r="B99" i="4" s="1"/>
  <c r="E94" i="4" s="1"/>
  <c r="E90" i="4" s="1"/>
  <c r="B51" i="4"/>
  <c r="B19" i="4"/>
  <c r="B3" i="4"/>
  <c r="B15" i="4" s="1"/>
  <c r="E12" i="4" s="1"/>
  <c r="E8" i="4" s="1"/>
  <c r="B41" i="5" l="1"/>
  <c r="D12" i="4"/>
  <c r="D8" i="4" s="1"/>
  <c r="F12" i="4"/>
  <c r="F8" i="4" s="1"/>
  <c r="K12" i="5"/>
  <c r="K6" i="5"/>
  <c r="K7" i="5" s="1"/>
  <c r="L6" i="5"/>
  <c r="L7" i="5" s="1"/>
  <c r="L12" i="5"/>
  <c r="M12" i="5"/>
  <c r="M6" i="5"/>
  <c r="M7" i="5" s="1"/>
  <c r="D94" i="4"/>
  <c r="D90" i="4" s="1"/>
  <c r="F94" i="4"/>
  <c r="F90" i="4" s="1"/>
  <c r="B26" i="11"/>
  <c r="B99" i="5" l="1"/>
  <c r="B30" i="4" l="1"/>
  <c r="B17" i="19"/>
  <c r="B8" i="13" l="1"/>
  <c r="B4" i="13"/>
  <c r="B30" i="18" l="1"/>
  <c r="B26" i="18"/>
  <c r="B42" i="18" s="1"/>
  <c r="B15" i="19"/>
  <c r="B10" i="19"/>
  <c r="B6" i="19"/>
  <c r="B5" i="19"/>
  <c r="B21" i="19" s="1"/>
  <c r="D13" i="19" l="1"/>
  <c r="B22" i="19"/>
  <c r="F13" i="19"/>
  <c r="E13" i="19"/>
  <c r="F32" i="18"/>
  <c r="G32" i="18"/>
  <c r="E32" i="18"/>
  <c r="F6" i="18"/>
  <c r="F7" i="18" s="1"/>
  <c r="F12" i="18" s="1"/>
  <c r="B10" i="18" l="1"/>
  <c r="B21" i="18" s="1"/>
  <c r="E17" i="18" s="1"/>
  <c r="E18" i="18" s="1"/>
  <c r="R26" i="15" l="1"/>
  <c r="N20" i="15"/>
  <c r="J20" i="15"/>
  <c r="N31" i="15"/>
  <c r="J31" i="15"/>
  <c r="R20" i="15"/>
  <c r="B12" i="15"/>
  <c r="F17" i="18" l="1"/>
  <c r="F18" i="18" s="1"/>
  <c r="G17" i="18"/>
  <c r="G18" i="18" s="1"/>
  <c r="Z27" i="6" l="1"/>
  <c r="Y27" i="6"/>
  <c r="AA27" i="6"/>
  <c r="AO12" i="6"/>
  <c r="AM12" i="6"/>
  <c r="AN12" i="6"/>
  <c r="AN46" i="6"/>
  <c r="AO46" i="6"/>
  <c r="AM46" i="6"/>
  <c r="J34" i="10"/>
  <c r="B34" i="10"/>
  <c r="D31" i="10" s="1"/>
  <c r="J22" i="16"/>
  <c r="J34" i="16" s="1"/>
  <c r="J17" i="16"/>
  <c r="M15" i="16" s="1"/>
  <c r="B17" i="16"/>
  <c r="J50" i="16"/>
  <c r="B50" i="16"/>
  <c r="E47" i="16" s="1"/>
  <c r="E48" i="16" s="1"/>
  <c r="B34" i="16"/>
  <c r="B69" i="10" l="1"/>
  <c r="E31" i="10"/>
  <c r="L47" i="16"/>
  <c r="M47" i="16"/>
  <c r="N47" i="16"/>
  <c r="E33" i="16"/>
  <c r="D33" i="16"/>
  <c r="J69" i="10"/>
  <c r="L66" i="10" s="1"/>
  <c r="L31" i="10"/>
  <c r="F47" i="16"/>
  <c r="D47" i="16"/>
  <c r="D48" i="16" s="1"/>
  <c r="F66" i="10"/>
  <c r="F61" i="10" s="1"/>
  <c r="E66" i="10"/>
  <c r="E61" i="10" s="1"/>
  <c r="D66" i="10"/>
  <c r="D61" i="10" s="1"/>
  <c r="N15" i="16"/>
  <c r="L15" i="16"/>
  <c r="E15" i="16"/>
  <c r="F15" i="16"/>
  <c r="D15" i="16"/>
  <c r="F33" i="16"/>
  <c r="M32" i="16"/>
  <c r="N32" i="16"/>
  <c r="L32" i="16"/>
  <c r="N42" i="16"/>
  <c r="N31" i="10"/>
  <c r="N27" i="10" s="1"/>
  <c r="L27" i="10"/>
  <c r="M31" i="10"/>
  <c r="F31" i="10"/>
  <c r="E8" i="17"/>
  <c r="F13" i="17"/>
  <c r="F8" i="17" s="1"/>
  <c r="D8" i="17"/>
  <c r="AM8" i="6"/>
  <c r="AN8" i="6"/>
  <c r="AO8" i="6"/>
  <c r="M27" i="10"/>
  <c r="B31" i="15"/>
  <c r="B30" i="15"/>
  <c r="B32" i="15"/>
  <c r="B33" i="15"/>
  <c r="B14" i="15"/>
  <c r="F42" i="16" l="1"/>
  <c r="F48" i="16"/>
  <c r="N66" i="10"/>
  <c r="N61" i="10" s="1"/>
  <c r="M66" i="10"/>
  <c r="M61" i="10" s="1"/>
  <c r="L61" i="10"/>
  <c r="F27" i="10"/>
  <c r="D27" i="10"/>
  <c r="E27" i="10"/>
  <c r="D42" i="16"/>
  <c r="M42" i="16"/>
  <c r="L42" i="16"/>
  <c r="E42" i="16"/>
  <c r="D28" i="16"/>
  <c r="E28" i="16"/>
  <c r="L28" i="16"/>
  <c r="F28" i="16"/>
  <c r="M28" i="16"/>
  <c r="N28" i="16"/>
  <c r="M11" i="16"/>
  <c r="N11" i="16"/>
  <c r="F11" i="16"/>
  <c r="L11" i="16"/>
  <c r="D11" i="16"/>
  <c r="E11" i="16"/>
  <c r="B37" i="15"/>
  <c r="E32" i="15" s="1"/>
  <c r="F32" i="15" l="1"/>
  <c r="F27" i="15" s="1"/>
  <c r="D32" i="15"/>
  <c r="D27" i="15" s="1"/>
  <c r="B18" i="15"/>
  <c r="E13" i="15" s="1"/>
  <c r="E27" i="15"/>
  <c r="F13" i="15" l="1"/>
  <c r="F8" i="15" s="1"/>
  <c r="J10" i="15" s="1"/>
  <c r="J11" i="15" s="1"/>
  <c r="D13" i="15"/>
  <c r="D8" i="15" s="1"/>
  <c r="H10" i="15" s="1"/>
  <c r="E8" i="15"/>
  <c r="I10" i="15" s="1"/>
  <c r="I11" i="15" s="1"/>
  <c r="B66" i="11"/>
  <c r="H11" i="15" l="1"/>
  <c r="B101" i="11"/>
  <c r="E94" i="11" s="1"/>
  <c r="B81" i="11"/>
  <c r="B61" i="11"/>
  <c r="B18" i="11"/>
  <c r="B12" i="2"/>
  <c r="E8" i="2" s="1"/>
  <c r="J40" i="11"/>
  <c r="L36" i="11" s="1"/>
  <c r="J18" i="11"/>
  <c r="M15" i="11" l="1"/>
  <c r="L15" i="11"/>
  <c r="N15" i="11"/>
  <c r="M36" i="11"/>
  <c r="D8" i="2"/>
  <c r="Q37" i="34"/>
  <c r="C8" i="2"/>
  <c r="N36" i="11"/>
  <c r="F74" i="11"/>
  <c r="G74" i="11"/>
  <c r="E74" i="11"/>
  <c r="G15" i="11"/>
  <c r="F15" i="11"/>
  <c r="G57" i="11"/>
  <c r="F57" i="11"/>
  <c r="G94" i="11"/>
  <c r="F94" i="11"/>
  <c r="B17" i="10"/>
  <c r="O37" i="34" l="1"/>
  <c r="P37" i="34"/>
  <c r="E15" i="9"/>
  <c r="F15" i="9"/>
  <c r="F14" i="10"/>
  <c r="D14" i="10"/>
  <c r="E14" i="10"/>
  <c r="M31" i="11"/>
  <c r="L9" i="11"/>
  <c r="M9" i="11"/>
  <c r="L31" i="11"/>
  <c r="N9" i="11"/>
  <c r="N31" i="11"/>
  <c r="C35" i="6"/>
  <c r="D30" i="6" s="1"/>
  <c r="AE34" i="6"/>
  <c r="AE32" i="6"/>
  <c r="AE29" i="6"/>
  <c r="AE28" i="6"/>
  <c r="J4" i="12"/>
  <c r="J25" i="12"/>
  <c r="J28" i="12"/>
  <c r="J38" i="12"/>
  <c r="J37" i="12"/>
  <c r="J36" i="12"/>
  <c r="J7" i="12"/>
  <c r="G109" i="2"/>
  <c r="B109" i="2"/>
  <c r="C104" i="2" s="1"/>
  <c r="G284" i="2"/>
  <c r="G266" i="2"/>
  <c r="G279" i="2" s="1"/>
  <c r="G288" i="2"/>
  <c r="G308" i="2"/>
  <c r="G296" i="2"/>
  <c r="G295" i="2"/>
  <c r="B296" i="2"/>
  <c r="G294" i="2"/>
  <c r="B295" i="2"/>
  <c r="B294" i="2"/>
  <c r="G291" i="2"/>
  <c r="G290" i="2"/>
  <c r="B291" i="2"/>
  <c r="G289" i="2"/>
  <c r="B290" i="2"/>
  <c r="B288" i="2"/>
  <c r="B266" i="2"/>
  <c r="B279" i="2" s="1"/>
  <c r="B138" i="2"/>
  <c r="C133" i="2" s="1"/>
  <c r="C130" i="2" s="1"/>
  <c r="B153" i="2"/>
  <c r="J4" i="13"/>
  <c r="J47" i="13"/>
  <c r="J8" i="13"/>
  <c r="J43" i="13"/>
  <c r="B61" i="13"/>
  <c r="B74" i="13" s="1"/>
  <c r="B44" i="13"/>
  <c r="B48" i="13"/>
  <c r="B38" i="13"/>
  <c r="G62" i="2"/>
  <c r="AE35" i="6" l="1"/>
  <c r="J56" i="13"/>
  <c r="L51" i="13" s="1"/>
  <c r="D275" i="2"/>
  <c r="D271" i="2" s="1"/>
  <c r="E275" i="2"/>
  <c r="C275" i="2"/>
  <c r="C271" i="2" s="1"/>
  <c r="J17" i="13"/>
  <c r="N15" i="13" s="1"/>
  <c r="B57" i="13"/>
  <c r="F52" i="13" s="1"/>
  <c r="B297" i="2"/>
  <c r="AF32" i="6"/>
  <c r="AF27" i="6" s="1"/>
  <c r="E68" i="13"/>
  <c r="F68" i="13"/>
  <c r="D68" i="13"/>
  <c r="M15" i="13"/>
  <c r="N51" i="13"/>
  <c r="M51" i="13"/>
  <c r="E30" i="6"/>
  <c r="F30" i="6"/>
  <c r="AN27" i="6"/>
  <c r="AO31" i="6"/>
  <c r="AO27" i="6" s="1"/>
  <c r="AM27" i="6"/>
  <c r="E149" i="2"/>
  <c r="E146" i="2" s="1"/>
  <c r="C149" i="2"/>
  <c r="C146" i="2" s="1"/>
  <c r="D149" i="2"/>
  <c r="D146" i="2" s="1"/>
  <c r="J274" i="2"/>
  <c r="J270" i="2" s="1"/>
  <c r="H274" i="2"/>
  <c r="H270" i="2" s="1"/>
  <c r="I274" i="2"/>
  <c r="I270" i="2" s="1"/>
  <c r="E104" i="2"/>
  <c r="D104" i="2"/>
  <c r="C181" i="2"/>
  <c r="C177" i="2" s="1"/>
  <c r="D181" i="2"/>
  <c r="D177" i="2" s="1"/>
  <c r="E177" i="2"/>
  <c r="E133" i="2"/>
  <c r="E130" i="2" s="1"/>
  <c r="D133" i="2"/>
  <c r="D130" i="2" s="1"/>
  <c r="I104" i="2"/>
  <c r="J104" i="2"/>
  <c r="H104" i="2"/>
  <c r="E271" i="2"/>
  <c r="G65" i="2"/>
  <c r="I60" i="2" s="1"/>
  <c r="G153" i="2"/>
  <c r="H151" i="2" s="1"/>
  <c r="B314" i="2"/>
  <c r="G214" i="2"/>
  <c r="I212" i="2" s="1"/>
  <c r="G96" i="2"/>
  <c r="G138" i="2"/>
  <c r="G314" i="2"/>
  <c r="I308" i="2" s="1"/>
  <c r="G297" i="2"/>
  <c r="G122" i="2"/>
  <c r="H116" i="2" s="1"/>
  <c r="B96" i="2"/>
  <c r="G184" i="2"/>
  <c r="J180" i="2" s="1"/>
  <c r="J39" i="12"/>
  <c r="J18" i="12"/>
  <c r="G49" i="2"/>
  <c r="B160" i="11"/>
  <c r="E154" i="11" s="1"/>
  <c r="B140" i="11"/>
  <c r="B120" i="11"/>
  <c r="E114" i="11" s="1"/>
  <c r="B40" i="11"/>
  <c r="B199" i="2"/>
  <c r="G168" i="2"/>
  <c r="H164" i="2" s="1"/>
  <c r="J44" i="2" l="1"/>
  <c r="H44" i="2"/>
  <c r="E52" i="13"/>
  <c r="I116" i="2"/>
  <c r="D52" i="13"/>
  <c r="L15" i="13"/>
  <c r="I164" i="2"/>
  <c r="I161" i="2" s="1"/>
  <c r="F134" i="11"/>
  <c r="J116" i="2"/>
  <c r="E196" i="2"/>
  <c r="C196" i="2"/>
  <c r="D196" i="2"/>
  <c r="D197" i="2" s="1"/>
  <c r="J212" i="2"/>
  <c r="H212" i="2"/>
  <c r="H207" i="2" s="1"/>
  <c r="I44" i="2"/>
  <c r="H135" i="2"/>
  <c r="H130" i="2" s="1"/>
  <c r="I135" i="2"/>
  <c r="I130" i="2" s="1"/>
  <c r="H180" i="2"/>
  <c r="H181" i="2" s="1"/>
  <c r="I180" i="2"/>
  <c r="I176" i="2" s="1"/>
  <c r="I207" i="2"/>
  <c r="J207" i="2"/>
  <c r="C291" i="2"/>
  <c r="C287" i="2" s="1"/>
  <c r="D291" i="2"/>
  <c r="D287" i="2" s="1"/>
  <c r="C309" i="2"/>
  <c r="C304" i="2" s="1"/>
  <c r="E309" i="2"/>
  <c r="E304" i="2" s="1"/>
  <c r="D309" i="2"/>
  <c r="F114" i="11"/>
  <c r="E291" i="2"/>
  <c r="H308" i="2"/>
  <c r="H304" i="2" s="1"/>
  <c r="J308" i="2"/>
  <c r="J304" i="2" s="1"/>
  <c r="J60" i="2"/>
  <c r="H60" i="2"/>
  <c r="D92" i="2"/>
  <c r="C92" i="2"/>
  <c r="E92" i="2"/>
  <c r="H92" i="2"/>
  <c r="J92" i="2"/>
  <c r="I92" i="2"/>
  <c r="E287" i="2"/>
  <c r="AH32" i="6"/>
  <c r="AH27" i="6" s="1"/>
  <c r="AG32" i="6"/>
  <c r="AG27" i="6" s="1"/>
  <c r="J164" i="2"/>
  <c r="J161" i="2" s="1"/>
  <c r="H161" i="2"/>
  <c r="D207" i="2"/>
  <c r="E207" i="2"/>
  <c r="C207" i="2"/>
  <c r="G199" i="2"/>
  <c r="E192" i="2"/>
  <c r="C192" i="2"/>
  <c r="D192" i="2"/>
  <c r="J176" i="2"/>
  <c r="J135" i="2"/>
  <c r="J130" i="2" s="1"/>
  <c r="I292" i="2"/>
  <c r="I288" i="2" s="1"/>
  <c r="J292" i="2"/>
  <c r="J288" i="2" s="1"/>
  <c r="H292" i="2"/>
  <c r="H288" i="2" s="1"/>
  <c r="E164" i="2"/>
  <c r="E161" i="2" s="1"/>
  <c r="D161" i="2"/>
  <c r="C161" i="2"/>
  <c r="J151" i="2"/>
  <c r="J146" i="2" s="1"/>
  <c r="H146" i="2"/>
  <c r="I151" i="2"/>
  <c r="I146" i="2" s="1"/>
  <c r="E36" i="11"/>
  <c r="F36" i="11"/>
  <c r="G36" i="11"/>
  <c r="G134" i="11"/>
  <c r="F154" i="11"/>
  <c r="G154" i="11"/>
  <c r="G114" i="11"/>
  <c r="M13" i="12"/>
  <c r="N13" i="12"/>
  <c r="N8" i="12" s="1"/>
  <c r="L13" i="12"/>
  <c r="N32" i="12"/>
  <c r="M32" i="12"/>
  <c r="L32" i="12"/>
  <c r="I304" i="2"/>
  <c r="D304" i="2"/>
  <c r="F26" i="6"/>
  <c r="D26" i="6"/>
  <c r="E26" i="6"/>
  <c r="L47" i="13"/>
  <c r="M47" i="13"/>
  <c r="N47" i="13"/>
  <c r="N11" i="13"/>
  <c r="L11" i="13"/>
  <c r="M11" i="13"/>
  <c r="D64" i="13"/>
  <c r="E64" i="13"/>
  <c r="F48" i="13"/>
  <c r="F64" i="13"/>
  <c r="D48" i="13"/>
  <c r="E48" i="13"/>
  <c r="B25" i="12"/>
  <c r="B28" i="12"/>
  <c r="B7" i="12"/>
  <c r="B4" i="12"/>
  <c r="B17" i="12"/>
  <c r="B38" i="12" s="1"/>
  <c r="B16" i="12"/>
  <c r="B37" i="12" s="1"/>
  <c r="B36" i="12"/>
  <c r="B11" i="12"/>
  <c r="B172" i="7"/>
  <c r="B188" i="7" s="1"/>
  <c r="B149" i="7"/>
  <c r="B165" i="7" s="1"/>
  <c r="B122" i="7"/>
  <c r="E115" i="7" s="1"/>
  <c r="B85" i="7"/>
  <c r="B100" i="7" s="1"/>
  <c r="B65" i="7"/>
  <c r="B80" i="7" s="1"/>
  <c r="B59" i="7"/>
  <c r="D54" i="7" s="1"/>
  <c r="B36" i="7"/>
  <c r="B17" i="7"/>
  <c r="D32" i="7" l="1"/>
  <c r="E32" i="7"/>
  <c r="H194" i="2"/>
  <c r="I194" i="2"/>
  <c r="I191" i="2" s="1"/>
  <c r="H176" i="2"/>
  <c r="B144" i="7"/>
  <c r="D137" i="7" s="1"/>
  <c r="J194" i="2"/>
  <c r="J191" i="2" s="1"/>
  <c r="H191" i="2"/>
  <c r="E54" i="7"/>
  <c r="F54" i="7"/>
  <c r="F115" i="7"/>
  <c r="D115" i="7"/>
  <c r="L8" i="12"/>
  <c r="M8" i="12"/>
  <c r="B32" i="12"/>
  <c r="B39" i="12" s="1"/>
  <c r="B18" i="12"/>
  <c r="F129" i="11"/>
  <c r="N29" i="12"/>
  <c r="L29" i="12"/>
  <c r="M29" i="12"/>
  <c r="E129" i="11"/>
  <c r="G129" i="11"/>
  <c r="E148" i="11"/>
  <c r="G148" i="11"/>
  <c r="B70" i="3"/>
  <c r="E68" i="3" s="1"/>
  <c r="B39" i="3"/>
  <c r="B52" i="3" s="1"/>
  <c r="B33" i="3"/>
  <c r="E30" i="3" s="1"/>
  <c r="B3" i="3"/>
  <c r="B15" i="3" s="1"/>
  <c r="F30" i="3" l="1"/>
  <c r="D30" i="3"/>
  <c r="D68" i="3"/>
  <c r="F68" i="3"/>
  <c r="F49" i="3"/>
  <c r="D49" i="3"/>
  <c r="E49" i="3"/>
  <c r="E12" i="12"/>
  <c r="E8" i="12" s="1"/>
  <c r="F12" i="12"/>
  <c r="D12" i="12"/>
  <c r="F33" i="12"/>
  <c r="D33" i="12"/>
  <c r="E33" i="12"/>
  <c r="E12" i="3"/>
  <c r="F12" i="3"/>
  <c r="D12" i="3"/>
  <c r="F148" i="11"/>
  <c r="F8" i="12"/>
  <c r="C16" i="6"/>
  <c r="D11" i="6" s="1"/>
  <c r="AS41" i="6"/>
  <c r="J16" i="6"/>
  <c r="AS3" i="6"/>
  <c r="AZ41" i="6"/>
  <c r="AZ54" i="6" l="1"/>
  <c r="BA49" i="6" s="1"/>
  <c r="M12" i="6"/>
  <c r="K12" i="6"/>
  <c r="T51" i="6"/>
  <c r="S51" i="6"/>
  <c r="T27" i="6"/>
  <c r="R27" i="6"/>
  <c r="S27" i="6"/>
  <c r="F11" i="6"/>
  <c r="E11" i="6"/>
  <c r="L12" i="6"/>
  <c r="D8" i="12"/>
  <c r="F29" i="12"/>
  <c r="D29" i="12"/>
  <c r="E29" i="12"/>
  <c r="B65" i="4"/>
  <c r="B47" i="4"/>
  <c r="F45" i="4" s="1"/>
  <c r="B80" i="2"/>
  <c r="B23" i="8"/>
  <c r="B24" i="8"/>
  <c r="B25" i="8"/>
  <c r="B30" i="8"/>
  <c r="D75" i="2" l="1"/>
  <c r="C75" i="2"/>
  <c r="E75" i="2"/>
  <c r="E45" i="4"/>
  <c r="E41" i="4" s="1"/>
  <c r="F41" i="4"/>
  <c r="D45" i="4"/>
  <c r="D41" i="4" s="1"/>
  <c r="F62" i="4"/>
  <c r="F57" i="4" s="1"/>
  <c r="D62" i="4"/>
  <c r="D57" i="4" s="1"/>
  <c r="E62" i="4"/>
  <c r="E57" i="4" s="1"/>
  <c r="B49" i="2"/>
  <c r="D44" i="2" l="1"/>
  <c r="E44" i="2"/>
  <c r="C44" i="2"/>
  <c r="K94" i="14"/>
  <c r="K98" i="14"/>
  <c r="K141" i="14"/>
  <c r="K153" i="14" s="1"/>
  <c r="B142" i="14"/>
  <c r="K116" i="14"/>
  <c r="K130" i="14" s="1"/>
  <c r="B145" i="14"/>
  <c r="B118" i="14"/>
  <c r="O127" i="14" l="1"/>
  <c r="M127" i="14"/>
  <c r="N127" i="14"/>
  <c r="N150" i="14"/>
  <c r="O150" i="14"/>
  <c r="M150" i="14"/>
  <c r="K108" i="14"/>
  <c r="B130" i="14"/>
  <c r="F128" i="14" s="1"/>
  <c r="B156" i="14"/>
  <c r="K76" i="14"/>
  <c r="K75" i="14"/>
  <c r="K74" i="14"/>
  <c r="K87" i="14" s="1"/>
  <c r="O84" i="14" l="1"/>
  <c r="M84" i="14"/>
  <c r="N84" i="14"/>
  <c r="E153" i="14"/>
  <c r="E148" i="14" s="1"/>
  <c r="F153" i="14"/>
  <c r="F148" i="14" s="1"/>
  <c r="D153" i="14"/>
  <c r="D128" i="14"/>
  <c r="D124" i="14" s="1"/>
  <c r="E128" i="14"/>
  <c r="E124" i="14" s="1"/>
  <c r="N104" i="14"/>
  <c r="O104" i="14"/>
  <c r="M104" i="14"/>
  <c r="B109" i="14"/>
  <c r="B88" i="14"/>
  <c r="E86" i="14" s="1"/>
  <c r="N100" i="14"/>
  <c r="O100" i="14"/>
  <c r="M100" i="14"/>
  <c r="O146" i="14"/>
  <c r="M146" i="14"/>
  <c r="N146" i="14"/>
  <c r="F124" i="14"/>
  <c r="M123" i="14"/>
  <c r="D148" i="14"/>
  <c r="N123" i="14"/>
  <c r="O123" i="14"/>
  <c r="K21" i="14"/>
  <c r="B21" i="14"/>
  <c r="E19" i="14" s="1"/>
  <c r="B43" i="14"/>
  <c r="N18" i="14" l="1"/>
  <c r="M18" i="14"/>
  <c r="E40" i="14"/>
  <c r="F40" i="14"/>
  <c r="D40" i="14"/>
  <c r="O18" i="14"/>
  <c r="F86" i="14"/>
  <c r="F82" i="14" s="1"/>
  <c r="D86" i="14"/>
  <c r="E82" i="14"/>
  <c r="E107" i="14"/>
  <c r="E103" i="14" s="1"/>
  <c r="F107" i="14"/>
  <c r="F103" i="14" s="1"/>
  <c r="D107" i="14"/>
  <c r="D103" i="14" s="1"/>
  <c r="K64" i="14"/>
  <c r="K40" i="14"/>
  <c r="B67" i="14"/>
  <c r="N80" i="14"/>
  <c r="O38" i="14" l="1"/>
  <c r="M38" i="14"/>
  <c r="N38" i="14"/>
  <c r="N34" i="14" s="1"/>
  <c r="O62" i="14"/>
  <c r="N62" i="14"/>
  <c r="N58" i="14" s="1"/>
  <c r="M62" i="14"/>
  <c r="M58" i="14" s="1"/>
  <c r="O34" i="14"/>
  <c r="M34" i="14"/>
  <c r="E65" i="14"/>
  <c r="E61" i="14" s="1"/>
  <c r="F65" i="14"/>
  <c r="F61" i="14" s="1"/>
  <c r="D65" i="14"/>
  <c r="D61" i="14" s="1"/>
  <c r="O58" i="14"/>
  <c r="M80" i="14"/>
  <c r="O80" i="14"/>
  <c r="D82" i="14"/>
  <c r="B17" i="13"/>
  <c r="B52" i="10"/>
  <c r="B68" i="9"/>
  <c r="D66" i="9"/>
  <c r="B62" i="9"/>
  <c r="D60" i="9"/>
  <c r="B55" i="9"/>
  <c r="D53" i="9"/>
  <c r="B48" i="9"/>
  <c r="D46" i="9"/>
  <c r="B36" i="9"/>
  <c r="K19" i="9"/>
  <c r="L19" i="9" s="1"/>
  <c r="K18" i="9"/>
  <c r="L18" i="9" s="1"/>
  <c r="K17" i="9"/>
  <c r="L17" i="9" s="1"/>
  <c r="K16" i="9"/>
  <c r="L16" i="9" s="1"/>
  <c r="K15" i="9"/>
  <c r="L15" i="9" s="1"/>
  <c r="N14" i="9"/>
  <c r="K14" i="9"/>
  <c r="L14" i="9" s="1"/>
  <c r="J13" i="9"/>
  <c r="L13" i="9" s="1"/>
  <c r="K12" i="9"/>
  <c r="L12" i="9" s="1"/>
  <c r="K11" i="9"/>
  <c r="L11" i="9" s="1"/>
  <c r="O9" i="9"/>
  <c r="K8" i="9"/>
  <c r="K7" i="9"/>
  <c r="K6" i="9"/>
  <c r="X15" i="6"/>
  <c r="AS15" i="6" s="1"/>
  <c r="AS10" i="6"/>
  <c r="AS9" i="6"/>
  <c r="X14" i="6"/>
  <c r="AS14" i="6" s="1"/>
  <c r="X13" i="6"/>
  <c r="AE51" i="6"/>
  <c r="AE54" i="6" s="1"/>
  <c r="AG52" i="6" s="1"/>
  <c r="AS53" i="6"/>
  <c r="AE15" i="6"/>
  <c r="AE13" i="6"/>
  <c r="AE16" i="6" s="1"/>
  <c r="B71" i="5"/>
  <c r="B72" i="5" s="1"/>
  <c r="B53" i="5"/>
  <c r="B51" i="5"/>
  <c r="B54" i="5" s="1"/>
  <c r="B14" i="5"/>
  <c r="B111" i="8"/>
  <c r="B90" i="8"/>
  <c r="B85" i="8"/>
  <c r="B84" i="8"/>
  <c r="B83" i="8"/>
  <c r="B82" i="8"/>
  <c r="B89" i="8"/>
  <c r="B88" i="8"/>
  <c r="B72" i="8"/>
  <c r="B51" i="8"/>
  <c r="B29" i="8"/>
  <c r="B28" i="8"/>
  <c r="B31" i="8" s="1"/>
  <c r="B82" i="4"/>
  <c r="B77" i="4"/>
  <c r="B76" i="4"/>
  <c r="B75" i="4"/>
  <c r="B81" i="4"/>
  <c r="B80" i="4"/>
  <c r="B25" i="4"/>
  <c r="B24" i="4"/>
  <c r="B23" i="4"/>
  <c r="B29" i="4"/>
  <c r="B28" i="4"/>
  <c r="G80" i="2"/>
  <c r="B62" i="2"/>
  <c r="B65" i="2" s="1"/>
  <c r="G30" i="2"/>
  <c r="G32" i="2" s="1"/>
  <c r="I75" i="2" l="1"/>
  <c r="H75" i="2"/>
  <c r="E49" i="10"/>
  <c r="D49" i="10"/>
  <c r="F49" i="10"/>
  <c r="AS13" i="6"/>
  <c r="X16" i="6"/>
  <c r="D60" i="2"/>
  <c r="D61" i="2" s="1"/>
  <c r="C60" i="2"/>
  <c r="E60" i="2"/>
  <c r="AG13" i="6"/>
  <c r="AH13" i="6"/>
  <c r="AF13" i="6"/>
  <c r="I27" i="2"/>
  <c r="J27" i="2"/>
  <c r="H27" i="2"/>
  <c r="AT50" i="6"/>
  <c r="AU50" i="6"/>
  <c r="AV50" i="6"/>
  <c r="D52" i="10"/>
  <c r="E52" i="10" s="1"/>
  <c r="J75" i="2"/>
  <c r="B39" i="9"/>
  <c r="K9" i="9"/>
  <c r="L9" i="9" s="1"/>
  <c r="L20" i="9" s="1"/>
  <c r="L21" i="9" s="1"/>
  <c r="M21" i="9" s="1"/>
  <c r="N21" i="9" s="1"/>
  <c r="S12" i="6"/>
  <c r="R12" i="6"/>
  <c r="AA47" i="6"/>
  <c r="Z47" i="6"/>
  <c r="Y47" i="6"/>
  <c r="F13" i="13"/>
  <c r="D13" i="13"/>
  <c r="E13" i="13"/>
  <c r="B31" i="4"/>
  <c r="B83" i="4"/>
  <c r="E78" i="4" s="1"/>
  <c r="BB49" i="6"/>
  <c r="BC49" i="6"/>
  <c r="G12" i="2"/>
  <c r="J8" i="2" s="1"/>
  <c r="E106" i="8"/>
  <c r="F106" i="8"/>
  <c r="D106" i="8"/>
  <c r="E69" i="8"/>
  <c r="D69" i="8"/>
  <c r="F69" i="8"/>
  <c r="F47" i="8"/>
  <c r="D47" i="8"/>
  <c r="E47" i="8"/>
  <c r="E29" i="8"/>
  <c r="F29" i="8"/>
  <c r="D29" i="8"/>
  <c r="AS8" i="6"/>
  <c r="AS16" i="6" s="1"/>
  <c r="E30" i="5"/>
  <c r="F30" i="5"/>
  <c r="D30" i="5"/>
  <c r="D11" i="5"/>
  <c r="E11" i="5"/>
  <c r="F11" i="5"/>
  <c r="E34" i="13"/>
  <c r="F34" i="13"/>
  <c r="F181" i="7"/>
  <c r="D181" i="7"/>
  <c r="E181" i="7"/>
  <c r="D96" i="7"/>
  <c r="E96" i="7"/>
  <c r="F96" i="7"/>
  <c r="E73" i="7"/>
  <c r="F73" i="7"/>
  <c r="D73" i="7"/>
  <c r="F157" i="7"/>
  <c r="D157" i="7"/>
  <c r="E157" i="7"/>
  <c r="F137" i="7"/>
  <c r="E137" i="7"/>
  <c r="F32" i="7"/>
  <c r="F12" i="7"/>
  <c r="E12" i="7"/>
  <c r="D12" i="7"/>
  <c r="D19" i="14"/>
  <c r="D15" i="14" s="1"/>
  <c r="E15" i="14"/>
  <c r="F37" i="14"/>
  <c r="D37" i="14"/>
  <c r="E37" i="14"/>
  <c r="F15" i="14"/>
  <c r="N15" i="14"/>
  <c r="O15" i="14"/>
  <c r="M15" i="14"/>
  <c r="B91" i="8"/>
  <c r="B92" i="5"/>
  <c r="B112" i="5"/>
  <c r="L22" i="9"/>
  <c r="F8" i="13"/>
  <c r="D34" i="13"/>
  <c r="H28" i="2" l="1"/>
  <c r="S32" i="34"/>
  <c r="J28" i="2"/>
  <c r="U32" i="34"/>
  <c r="I28" i="2"/>
  <c r="T32" i="34"/>
  <c r="Z13" i="6"/>
  <c r="Y13" i="6"/>
  <c r="AA13" i="6"/>
  <c r="D36" i="9"/>
  <c r="F36" i="9"/>
  <c r="J9" i="2"/>
  <c r="H8" i="2"/>
  <c r="H9" i="2" s="1"/>
  <c r="I8" i="2"/>
  <c r="I9" i="2" s="1"/>
  <c r="Q32" i="34"/>
  <c r="AH52" i="6"/>
  <c r="AF52" i="6"/>
  <c r="AF54" i="6" s="1"/>
  <c r="E68" i="5"/>
  <c r="D68" i="5"/>
  <c r="F68" i="5"/>
  <c r="F78" i="4"/>
  <c r="F72" i="4" s="1"/>
  <c r="D78" i="4"/>
  <c r="D72" i="4" s="1"/>
  <c r="E72" i="4"/>
  <c r="F27" i="4"/>
  <c r="F23" i="4" s="1"/>
  <c r="D27" i="4"/>
  <c r="D23" i="4" s="1"/>
  <c r="E27" i="4"/>
  <c r="E23" i="4" s="1"/>
  <c r="AU13" i="6"/>
  <c r="AV13" i="6"/>
  <c r="AT13" i="6"/>
  <c r="F87" i="8"/>
  <c r="D87" i="8"/>
  <c r="E87" i="8"/>
  <c r="D12" i="8"/>
  <c r="D13" i="8" s="1"/>
  <c r="D8" i="8" s="1"/>
  <c r="F12" i="8"/>
  <c r="E12" i="8"/>
  <c r="E108" i="5"/>
  <c r="F108" i="5"/>
  <c r="D108" i="5"/>
  <c r="E52" i="5"/>
  <c r="F52" i="5"/>
  <c r="D52" i="5"/>
  <c r="D47" i="5" s="1"/>
  <c r="F89" i="5"/>
  <c r="D89" i="5"/>
  <c r="E89" i="5"/>
  <c r="F90" i="11"/>
  <c r="G90" i="11"/>
  <c r="E90" i="11"/>
  <c r="F30" i="8"/>
  <c r="F23" i="8" s="1"/>
  <c r="E30" i="8"/>
  <c r="E23" i="8" s="1"/>
  <c r="D30" i="8"/>
  <c r="D23" i="8" s="1"/>
  <c r="D8" i="13"/>
  <c r="E8" i="13"/>
  <c r="D29" i="13"/>
  <c r="E29" i="13"/>
  <c r="F109" i="11"/>
  <c r="G109" i="11"/>
  <c r="F44" i="10"/>
  <c r="G52" i="11"/>
  <c r="E31" i="11"/>
  <c r="F31" i="11"/>
  <c r="G10" i="11"/>
  <c r="D10" i="10"/>
  <c r="E10" i="10"/>
  <c r="D11" i="9"/>
  <c r="E176" i="7"/>
  <c r="F176" i="7"/>
  <c r="D132" i="7"/>
  <c r="E111" i="7"/>
  <c r="F111" i="7"/>
  <c r="D68" i="7"/>
  <c r="E28" i="7"/>
  <c r="F28" i="7"/>
  <c r="D153" i="7"/>
  <c r="E93" i="7"/>
  <c r="F93" i="7"/>
  <c r="D49" i="7"/>
  <c r="E9" i="7"/>
  <c r="F9" i="7"/>
  <c r="AT46" i="6"/>
  <c r="R46" i="6"/>
  <c r="R49" i="6" s="1"/>
  <c r="F7" i="6"/>
  <c r="L6" i="6"/>
  <c r="M6" i="6"/>
  <c r="D31" i="5"/>
  <c r="D24" i="5"/>
  <c r="D25" i="5" s="1"/>
  <c r="E24" i="5"/>
  <c r="E25" i="5" s="1"/>
  <c r="E31" i="5"/>
  <c r="F12" i="5"/>
  <c r="F6" i="5"/>
  <c r="F7" i="5" s="1"/>
  <c r="D107" i="8"/>
  <c r="D103" i="8" s="1"/>
  <c r="E107" i="8"/>
  <c r="E103" i="8" s="1"/>
  <c r="D62" i="3"/>
  <c r="E62" i="3"/>
  <c r="D70" i="8"/>
  <c r="D66" i="8" s="1"/>
  <c r="E48" i="8"/>
  <c r="E44" i="8" s="1"/>
  <c r="F48" i="8"/>
  <c r="F44" i="8" s="1"/>
  <c r="D44" i="3"/>
  <c r="E25" i="3"/>
  <c r="F25" i="3"/>
  <c r="D6" i="3"/>
  <c r="F29" i="13"/>
  <c r="E70" i="11"/>
  <c r="E109" i="11"/>
  <c r="D44" i="10"/>
  <c r="E44" i="10"/>
  <c r="E52" i="11"/>
  <c r="F52" i="11"/>
  <c r="G31" i="11"/>
  <c r="E10" i="11"/>
  <c r="F10" i="11"/>
  <c r="F10" i="10"/>
  <c r="E11" i="9"/>
  <c r="F11" i="9"/>
  <c r="D176" i="7"/>
  <c r="E132" i="7"/>
  <c r="F132" i="7"/>
  <c r="D111" i="7"/>
  <c r="E68" i="7"/>
  <c r="F68" i="7"/>
  <c r="D28" i="7"/>
  <c r="E153" i="7"/>
  <c r="F153" i="7"/>
  <c r="D93" i="7"/>
  <c r="E49" i="7"/>
  <c r="F49" i="7"/>
  <c r="D9" i="7"/>
  <c r="AU46" i="6"/>
  <c r="AV46" i="6"/>
  <c r="S46" i="6"/>
  <c r="S49" i="6" s="1"/>
  <c r="T46" i="6"/>
  <c r="T49" i="6" s="1"/>
  <c r="D7" i="6"/>
  <c r="E7" i="6"/>
  <c r="K6" i="6"/>
  <c r="F31" i="5"/>
  <c r="F24" i="5"/>
  <c r="F25" i="5" s="1"/>
  <c r="D12" i="5"/>
  <c r="D6" i="5"/>
  <c r="D7" i="5" s="1"/>
  <c r="E6" i="5"/>
  <c r="E7" i="5" s="1"/>
  <c r="E12" i="5"/>
  <c r="F107" i="8"/>
  <c r="F103" i="8" s="1"/>
  <c r="F62" i="3"/>
  <c r="E70" i="8"/>
  <c r="E66" i="8" s="1"/>
  <c r="F70" i="8"/>
  <c r="F66" i="8" s="1"/>
  <c r="D48" i="8"/>
  <c r="D44" i="8" s="1"/>
  <c r="F13" i="8"/>
  <c r="F8" i="8" s="1"/>
  <c r="E44" i="3"/>
  <c r="F44" i="3"/>
  <c r="D25" i="3"/>
  <c r="E6" i="3"/>
  <c r="F6" i="3"/>
  <c r="P32" i="34" l="1"/>
  <c r="O32" i="34"/>
  <c r="F62" i="5"/>
  <c r="F63" i="5" s="1"/>
  <c r="F69" i="5"/>
  <c r="E62" i="5"/>
  <c r="E63" i="5" s="1"/>
  <c r="E69" i="5"/>
  <c r="D62" i="5"/>
  <c r="D63" i="5" s="1"/>
  <c r="D69" i="5"/>
  <c r="E13" i="8"/>
  <c r="E8" i="8" s="1"/>
  <c r="F70" i="11"/>
  <c r="G70" i="11"/>
  <c r="F88" i="8"/>
  <c r="F83" i="8" s="1"/>
  <c r="AF8" i="6"/>
  <c r="AG8" i="6"/>
  <c r="D45" i="6"/>
  <c r="E45" i="6"/>
  <c r="F109" i="5"/>
  <c r="F102" i="5"/>
  <c r="F103" i="5" s="1"/>
  <c r="AA8" i="6"/>
  <c r="BB44" i="6"/>
  <c r="BC44" i="6"/>
  <c r="S8" i="6"/>
  <c r="T8" i="6"/>
  <c r="AF46" i="6"/>
  <c r="AG46" i="6"/>
  <c r="E53" i="5"/>
  <c r="E47" i="5"/>
  <c r="E48" i="5" s="1"/>
  <c r="F53" i="5"/>
  <c r="F47" i="5"/>
  <c r="F48" i="5" s="1"/>
  <c r="F90" i="5"/>
  <c r="F83" i="5"/>
  <c r="F84" i="5" s="1"/>
  <c r="AT8" i="6"/>
  <c r="AU8" i="6"/>
  <c r="F31" i="9"/>
  <c r="K43" i="6"/>
  <c r="L43" i="6"/>
  <c r="D88" i="8"/>
  <c r="D83" i="8" s="1"/>
  <c r="E88" i="8"/>
  <c r="E83" i="8" s="1"/>
  <c r="AH8" i="6"/>
  <c r="F45" i="6"/>
  <c r="D109" i="5"/>
  <c r="D102" i="5"/>
  <c r="D103" i="5" s="1"/>
  <c r="E109" i="5"/>
  <c r="E102" i="5"/>
  <c r="E103" i="5" s="1"/>
  <c r="Y8" i="6"/>
  <c r="Z8" i="6"/>
  <c r="BA44" i="6"/>
  <c r="R8" i="6"/>
  <c r="AH46" i="6"/>
  <c r="D53" i="5"/>
  <c r="D48" i="5"/>
  <c r="D90" i="5"/>
  <c r="D83" i="5"/>
  <c r="D84" i="5" s="1"/>
  <c r="E90" i="5"/>
  <c r="E83" i="5"/>
  <c r="E84" i="5" s="1"/>
  <c r="AV8" i="6"/>
  <c r="D31" i="9"/>
  <c r="E31" i="9"/>
  <c r="M43" i="6"/>
  <c r="J254" i="2" l="1"/>
  <c r="I254" i="2"/>
  <c r="H254" i="2"/>
  <c r="E223" i="2"/>
  <c r="D223" i="2"/>
  <c r="C223" i="2"/>
  <c r="E254" i="2"/>
  <c r="D254" i="2"/>
  <c r="C254" i="2"/>
  <c r="D239" i="2"/>
  <c r="C239" i="2"/>
  <c r="E23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win7</author>
  </authors>
  <commentList>
    <comment ref="B8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 xml:space="preserve">salen 15 hojas cartas en 1,58*1 mts </t>
        </r>
      </text>
    </comment>
    <comment ref="B9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 xml:space="preserve">pago sublimacion y vinil a 250*2=500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win7</author>
  </authors>
  <commentList>
    <comment ref="B95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en 1,50 de ancho * 0,8 de alto saco 3 para sublimar y 3 de forro  </t>
        </r>
      </text>
    </comment>
    <comment ref="B96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en 1,58 de impresión saco 3 completos 
* 0,4 de alto</t>
        </r>
      </text>
    </comment>
    <comment ref="B97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en la plancha 90*78 sublimo 3 top completos</t>
        </r>
      </text>
    </comment>
    <comment ref="B142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en 1,50 de ancho * 0,8 de alto saco 3 para sublimar y 3 de forro  </t>
        </r>
      </text>
    </comment>
    <comment ref="B143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en la plancha 90*78 sublimo 3 top completos</t>
        </r>
      </text>
    </comment>
  </commentList>
</comments>
</file>

<file path=xl/sharedStrings.xml><?xml version="1.0" encoding="utf-8"?>
<sst xmlns="http://schemas.openxmlformats.org/spreadsheetml/2006/main" count="5461" uniqueCount="606">
  <si>
    <t xml:space="preserve">DESCRIPCION </t>
  </si>
  <si>
    <t xml:space="preserve">CORTE </t>
  </si>
  <si>
    <t xml:space="preserve">FRANELA </t>
  </si>
  <si>
    <t xml:space="preserve">CHEMIS </t>
  </si>
  <si>
    <t xml:space="preserve">SUETER CON GORRO </t>
  </si>
  <si>
    <t xml:space="preserve">SUETER SIMPLE </t>
  </si>
  <si>
    <t xml:space="preserve">SHORT </t>
  </si>
  <si>
    <t xml:space="preserve">MONO </t>
  </si>
  <si>
    <t xml:space="preserve">PESOS </t>
  </si>
  <si>
    <t xml:space="preserve">TELA </t>
  </si>
  <si>
    <t>COSTURA</t>
  </si>
  <si>
    <t>PLANCHA</t>
  </si>
  <si>
    <t xml:space="preserve">DISEÑO </t>
  </si>
  <si>
    <t xml:space="preserve">VINIL 15 CMS </t>
  </si>
  <si>
    <t>CORTE DEL PLOTTER</t>
  </si>
  <si>
    <t xml:space="preserve">DEPILADA </t>
  </si>
  <si>
    <t>HILO</t>
  </si>
  <si>
    <t xml:space="preserve">MARQUILLA </t>
  </si>
  <si>
    <t xml:space="preserve">GASTOS OPERATIVOS </t>
  </si>
  <si>
    <t>DÓLAR</t>
  </si>
  <si>
    <t>MICRO</t>
  </si>
  <si>
    <t>MUSELINA</t>
  </si>
  <si>
    <t xml:space="preserve">+5 DOC </t>
  </si>
  <si>
    <t xml:space="preserve">1 A 5 DOC </t>
  </si>
  <si>
    <t xml:space="preserve">DETAL </t>
  </si>
  <si>
    <t xml:space="preserve">DAMA </t>
  </si>
  <si>
    <t>CABALLERO</t>
  </si>
  <si>
    <t>ETIQUETA</t>
  </si>
  <si>
    <t>BOLSA</t>
  </si>
  <si>
    <t>TELA MONO</t>
  </si>
  <si>
    <t>TELA TERRY SPUN</t>
  </si>
  <si>
    <t xml:space="preserve">HODDI CON DISEÑO EN VINIL </t>
  </si>
  <si>
    <t xml:space="preserve">HODDI EN BLANCO </t>
  </si>
  <si>
    <t xml:space="preserve">ALGODÓN EN BLANCO </t>
  </si>
  <si>
    <t xml:space="preserve">ALGODÓN CON DISEÑO VINIL </t>
  </si>
  <si>
    <t xml:space="preserve">CON DISEÑO EN VINIL </t>
  </si>
  <si>
    <t xml:space="preserve">EN BLANCO </t>
  </si>
  <si>
    <t xml:space="preserve">MUSELINA </t>
  </si>
  <si>
    <t xml:space="preserve">MICRO </t>
  </si>
  <si>
    <t>EN BLANCO</t>
  </si>
  <si>
    <t>ALGODÓN</t>
  </si>
  <si>
    <t xml:space="preserve">ALGODÓN </t>
  </si>
  <si>
    <t>MUSE/ATLE</t>
  </si>
  <si>
    <t xml:space="preserve">CAUCHO </t>
  </si>
  <si>
    <t>CAUCHO</t>
  </si>
  <si>
    <t xml:space="preserve">MALLA </t>
  </si>
  <si>
    <t xml:space="preserve">BUZO     DAMA </t>
  </si>
  <si>
    <t>BUZO  CABALLERO</t>
  </si>
  <si>
    <t xml:space="preserve">SUETER DAMA </t>
  </si>
  <si>
    <t>SUETER CABALLERO</t>
  </si>
  <si>
    <t xml:space="preserve">SHORT DAMA </t>
  </si>
  <si>
    <t xml:space="preserve">SHORT CABALLERO </t>
  </si>
  <si>
    <t xml:space="preserve">FRANELAS </t>
  </si>
  <si>
    <t xml:space="preserve">HODDI DAMA </t>
  </si>
  <si>
    <t>HODDI CABALLERO</t>
  </si>
  <si>
    <t>SHORT NIÑO</t>
  </si>
  <si>
    <t xml:space="preserve">SHORT NIÑO </t>
  </si>
  <si>
    <t>TODO SUBLIMADO</t>
  </si>
  <si>
    <t xml:space="preserve">VINIL </t>
  </si>
  <si>
    <t>CON VINIL PQÑO</t>
  </si>
  <si>
    <t>CON VINIL MEDIANO</t>
  </si>
  <si>
    <t xml:space="preserve">DÓLAR </t>
  </si>
  <si>
    <t>CON VINIL PÑO</t>
  </si>
  <si>
    <t>CORTA VIENTO 
CABALLERO</t>
  </si>
  <si>
    <t xml:space="preserve">CORTA VIENTO
 DAMA </t>
  </si>
  <si>
    <t>CIERRE</t>
  </si>
  <si>
    <t xml:space="preserve">CORTA VIENTO DE DAMA IMPERMEABLE </t>
  </si>
  <si>
    <t xml:space="preserve">CORTA VIENTO DE CABALLERO IMPERMEABLE </t>
  </si>
  <si>
    <t>TELA MEMORY</t>
  </si>
  <si>
    <t>TELA TASLAN</t>
  </si>
  <si>
    <t>TELA DAMA 3 DOC</t>
  </si>
  <si>
    <t xml:space="preserve">Mts </t>
  </si>
  <si>
    <t>TELA caballero  6 DOC</t>
  </si>
  <si>
    <t>TELA caballero  1 DOC</t>
  </si>
  <si>
    <t>1,5S 1,5L</t>
  </si>
  <si>
    <t>3 M 3 L</t>
  </si>
  <si>
    <t xml:space="preserve">1 XL </t>
  </si>
  <si>
    <t>Cierres</t>
  </si>
  <si>
    <t>$</t>
  </si>
  <si>
    <t xml:space="preserve">vinil </t>
  </si>
  <si>
    <t xml:space="preserve">costura </t>
  </si>
  <si>
    <t>depilada</t>
  </si>
  <si>
    <t>etiqueta</t>
  </si>
  <si>
    <t>corte plotter</t>
  </si>
  <si>
    <t>diseño</t>
  </si>
  <si>
    <t>marquilla</t>
  </si>
  <si>
    <t xml:space="preserve">corte tela </t>
  </si>
  <si>
    <t>Ganancia</t>
  </si>
  <si>
    <t>Descripción</t>
  </si>
  <si>
    <t>Precio</t>
  </si>
  <si>
    <t>Cantd</t>
  </si>
  <si>
    <t>Total</t>
  </si>
  <si>
    <t>PESOS</t>
  </si>
  <si>
    <t xml:space="preserve">MICRO    DAMA </t>
  </si>
  <si>
    <t xml:space="preserve">SUBLIMACION </t>
  </si>
  <si>
    <t>TALLAS 16-S-M</t>
  </si>
  <si>
    <t>UNIFORME DE FUTBOL
FRANELA TODA SUBLIMADA
TEMA MUNDIAL 
TALLAS 8-14
SHORT LOGO Y NUMERO</t>
  </si>
  <si>
    <t>UNIFORME DE FUTBOL
FRANELA TODA SUBLIMADA
TEMA MUNDIAL 
TALLAS 16-S-M
SHORT LOGO Y NUMERO</t>
  </si>
  <si>
    <t>UNIFORME DE FUTBOL
FRANELA FRENTE SUBLIMADO
TEMA MUNDIAL 
TALLAS 8-14
SHORT LOGO Y NUMERO</t>
  </si>
  <si>
    <t>UNIFORME DE FUTBOL
FRANELA SOLO FRENTE SUBLIMADA
TEMA MUNDIAL 
TALLAS 16-S-M
SHORT LOGO Y NUMERO</t>
  </si>
  <si>
    <t xml:space="preserve">ABONO 70% ENTREGA 25 DIAS HABILES </t>
  </si>
  <si>
    <t>SUBLIMACION 1/3</t>
  </si>
  <si>
    <t>Muselina en blanco CABALLERO</t>
  </si>
  <si>
    <t>SUBLIMACION COMPLETA</t>
  </si>
  <si>
    <t xml:space="preserve">SUBLIMACION COMPLETA DAMA </t>
  </si>
  <si>
    <t>SUBLIMACION COMPLETA CABALLERO</t>
  </si>
  <si>
    <t>MARQUILLA</t>
  </si>
  <si>
    <t xml:space="preserve">SUBLIMACION 1/3 MAS VINIL </t>
  </si>
  <si>
    <t>DAMA</t>
  </si>
  <si>
    <t>SUBLIMACION 1/3 MAS VINIL DAMA</t>
  </si>
  <si>
    <t xml:space="preserve">LICRA </t>
  </si>
  <si>
    <t xml:space="preserve">BUZO    </t>
  </si>
  <si>
    <t>BUZO LICRA DAMA</t>
  </si>
  <si>
    <t xml:space="preserve">CABALLERO </t>
  </si>
  <si>
    <t xml:space="preserve">COLORES </t>
  </si>
  <si>
    <t>NIÑO</t>
  </si>
  <si>
    <t xml:space="preserve">NIÑO </t>
  </si>
  <si>
    <t xml:space="preserve"> NIÑO</t>
  </si>
  <si>
    <t xml:space="preserve">PANTALON LICRA </t>
  </si>
  <si>
    <t xml:space="preserve">SHORT LICRA </t>
  </si>
  <si>
    <t xml:space="preserve">ETIQUETA CARTON </t>
  </si>
  <si>
    <t xml:space="preserve">PRECIO SOLO PARA ESCUELAS </t>
  </si>
  <si>
    <t xml:space="preserve">todas las tallas SUBLIMACION TOTAL </t>
  </si>
  <si>
    <t xml:space="preserve">NJ </t>
  </si>
  <si>
    <t xml:space="preserve">VENDEDOR </t>
  </si>
  <si>
    <t>FRANELILLA LICRA</t>
  </si>
  <si>
    <t>TALLAS 8-16</t>
  </si>
  <si>
    <t>SHORT LICRA NIÑOS T8 a T16</t>
  </si>
  <si>
    <t xml:space="preserve">FRANELILLA LICRA </t>
  </si>
  <si>
    <t>T8 A T16</t>
  </si>
  <si>
    <t xml:space="preserve">TOP LICRA </t>
  </si>
  <si>
    <t xml:space="preserve">todas las tallas LOGO VINIL </t>
  </si>
  <si>
    <t xml:space="preserve">todas las tallas LOGO SUBLIMADO </t>
  </si>
  <si>
    <t xml:space="preserve">SUBLIMACION LOGO </t>
  </si>
  <si>
    <t xml:space="preserve">TELA MONO </t>
  </si>
  <si>
    <t xml:space="preserve">CORTA VIENTO </t>
  </si>
  <si>
    <t xml:space="preserve">TODAS LAS TALLAS </t>
  </si>
  <si>
    <t xml:space="preserve"> FRANELAS EN BLANCO</t>
  </si>
  <si>
    <t xml:space="preserve"> FRANELAS</t>
  </si>
  <si>
    <t xml:space="preserve">PLANCHADA </t>
  </si>
  <si>
    <t xml:space="preserve">HODDI NIÑO </t>
  </si>
  <si>
    <t xml:space="preserve">BUZO DAMA </t>
  </si>
  <si>
    <t xml:space="preserve">BUZO NIÑO </t>
  </si>
  <si>
    <t>CON LOGO Y VINIL#</t>
  </si>
  <si>
    <t xml:space="preserve">CORTA VIENTO  DAMA </t>
  </si>
  <si>
    <t>CORTA VIENTO  CABALLERO</t>
  </si>
  <si>
    <t xml:space="preserve">SUBLIMACION TAMAÑO CARTA </t>
  </si>
  <si>
    <t xml:space="preserve">SUBLIMACION CARTA </t>
  </si>
  <si>
    <t>SUBLIMACION TAMAÑO OFICIO</t>
  </si>
  <si>
    <t xml:space="preserve">TODO SUBLIMADO </t>
  </si>
  <si>
    <t>SUBLIMADOS TODO</t>
  </si>
  <si>
    <t xml:space="preserve"> 1/2 SUBLIMADO</t>
  </si>
  <si>
    <t>1/2 SUBLIMADO</t>
  </si>
  <si>
    <t xml:space="preserve">SHORT SOLO # Y LOGO </t>
  </si>
  <si>
    <t xml:space="preserve">SHORT TODO SUBLIMADO </t>
  </si>
  <si>
    <t xml:space="preserve">MUSELINA  REPLICA DAMA </t>
  </si>
  <si>
    <t xml:space="preserve">MICRO REPLICA DAMA </t>
  </si>
  <si>
    <t>MICRO REPLICA CABALLERO</t>
  </si>
  <si>
    <t>MICRO    NIÑO</t>
  </si>
  <si>
    <t xml:space="preserve">MUSELINA    DAMA </t>
  </si>
  <si>
    <t>SUBLIMACION FULL</t>
  </si>
  <si>
    <t>MUSELINA NIÑO</t>
  </si>
  <si>
    <t>CON DISEÑO EN VINIL GRANDE 25*30</t>
  </si>
  <si>
    <t>CON DISEÑO EN VINIL GRANDE 20*20</t>
  </si>
  <si>
    <t>VINIL 20*20</t>
  </si>
  <si>
    <t>VINIL 25*30</t>
  </si>
  <si>
    <t>MUSE</t>
  </si>
  <si>
    <t>VINIL PÑO</t>
  </si>
  <si>
    <t>BUZO     NIÑO</t>
  </si>
  <si>
    <t xml:space="preserve">SUETER SIN GORRO  </t>
  </si>
  <si>
    <t>TASLAN</t>
  </si>
  <si>
    <t xml:space="preserve">CABALLERO S-M-L </t>
  </si>
  <si>
    <t>FRANELA TODA SUBLIMADA T6-8-10</t>
  </si>
  <si>
    <t xml:space="preserve">dólar </t>
  </si>
  <si>
    <t xml:space="preserve">niños pijama buzo </t>
  </si>
  <si>
    <t xml:space="preserve">niños pijama pantalon </t>
  </si>
  <si>
    <t xml:space="preserve">PIJAMAS </t>
  </si>
  <si>
    <t xml:space="preserve">LOGO EN VINIL </t>
  </si>
  <si>
    <t xml:space="preserve">DTF ESCUDO </t>
  </si>
  <si>
    <t xml:space="preserve">MARQUILLA 2 DTF </t>
  </si>
  <si>
    <t xml:space="preserve">MARQUILLA 1 TALLA DTF </t>
  </si>
  <si>
    <t>CHEMIS</t>
  </si>
  <si>
    <t xml:space="preserve"> CON VINIL </t>
  </si>
  <si>
    <t xml:space="preserve">CON BORDADO </t>
  </si>
  <si>
    <t xml:space="preserve">CON VINIL </t>
  </si>
  <si>
    <t xml:space="preserve">CUELLO Y PUÑOS </t>
  </si>
  <si>
    <t xml:space="preserve">BORDADO </t>
  </si>
  <si>
    <t>DISEÑO</t>
  </si>
  <si>
    <t xml:space="preserve">SUBLIMACION TOTAL </t>
  </si>
  <si>
    <t xml:space="preserve">CORTA VIENTO
 NIÑO </t>
  </si>
  <si>
    <t xml:space="preserve">SUBLIMADA TODA </t>
  </si>
  <si>
    <t xml:space="preserve">CORDON </t>
  </si>
  <si>
    <t xml:space="preserve">TULAS DELANTERO SUBLIMADO </t>
  </si>
  <si>
    <t xml:space="preserve">TAFETA </t>
  </si>
  <si>
    <t xml:space="preserve">sublimacion total </t>
  </si>
  <si>
    <t xml:space="preserve">SUBIMACION </t>
  </si>
  <si>
    <t>Equipo</t>
  </si>
  <si>
    <t xml:space="preserve">Talla </t>
  </si>
  <si>
    <t xml:space="preserve">Cantidad </t>
  </si>
  <si>
    <t xml:space="preserve">Brasil </t>
  </si>
  <si>
    <t xml:space="preserve">Argentina </t>
  </si>
  <si>
    <t xml:space="preserve">Alemania </t>
  </si>
  <si>
    <t xml:space="preserve">España </t>
  </si>
  <si>
    <t xml:space="preserve">Portugal </t>
  </si>
  <si>
    <t>10</t>
  </si>
  <si>
    <t>12</t>
  </si>
  <si>
    <t>14</t>
  </si>
  <si>
    <t>16</t>
  </si>
  <si>
    <t>3</t>
  </si>
  <si>
    <t xml:space="preserve">total </t>
  </si>
  <si>
    <t>63</t>
  </si>
  <si>
    <t xml:space="preserve">CANILLERAS </t>
  </si>
  <si>
    <t xml:space="preserve">FLETE </t>
  </si>
  <si>
    <t xml:space="preserve">CANILLERAS EN BLANCO </t>
  </si>
  <si>
    <t>&amp;</t>
  </si>
  <si>
    <t xml:space="preserve">CANILLERAS SUBLIMADAS C/ BOLSO </t>
  </si>
  <si>
    <t>TELA BAHAMAS 1,35</t>
  </si>
  <si>
    <t>TELA MALLA FASHION MIX SPT (1,45)</t>
  </si>
  <si>
    <t xml:space="preserve">FUNDA CANILLERA </t>
  </si>
  <si>
    <t xml:space="preserve">DISEÑO PERSONALIZADO </t>
  </si>
  <si>
    <t>TALLAS 6-8-10-12</t>
  </si>
  <si>
    <t xml:space="preserve">CORTE LASER </t>
  </si>
  <si>
    <t xml:space="preserve">PORTA CANILLERAS C/ CORTE </t>
  </si>
  <si>
    <t>FUNDA PORTA CANILLERA S/C</t>
  </si>
  <si>
    <t xml:space="preserve">COSTURA Y CORTE </t>
  </si>
  <si>
    <t>PISA CORDON</t>
  </si>
  <si>
    <t>DAMA EN BLANCO</t>
  </si>
  <si>
    <t xml:space="preserve">CABALLERO EN BLANCO </t>
  </si>
  <si>
    <t xml:space="preserve">tulas con delantero sublimado </t>
  </si>
  <si>
    <t xml:space="preserve">REATA </t>
  </si>
  <si>
    <t xml:space="preserve">METIDA DE CORDON </t>
  </si>
  <si>
    <t>MUSELINA  REPLICA NIÑO</t>
  </si>
  <si>
    <t>MICRO REPLICA NIÑO</t>
  </si>
  <si>
    <t xml:space="preserve">MICRO TAMAÑO OFICIO DAMA </t>
  </si>
  <si>
    <t>MICRO TAMAÑO OFICIO NIÑO</t>
  </si>
  <si>
    <t xml:space="preserve">MUSE TAMAÑO OFICIO DAMA </t>
  </si>
  <si>
    <t>MUSE TAMAÑO OFICIO NIÑO</t>
  </si>
  <si>
    <t xml:space="preserve">MUSE TAMAÑO OFICIO CABALLERO </t>
  </si>
  <si>
    <t xml:space="preserve">MICRO TAMAÑO OFICIO CABALLERO </t>
  </si>
  <si>
    <t xml:space="preserve">MICRO TAMAÑO 30*30 NIÑO </t>
  </si>
  <si>
    <t xml:space="preserve">MUSE TAMAÑO 30*30 NIÑO </t>
  </si>
  <si>
    <t xml:space="preserve">MICRO TAMAÑO 30*30 DAMA </t>
  </si>
  <si>
    <t xml:space="preserve">MUSE TAMAÑO 30*30 DAMA </t>
  </si>
  <si>
    <t xml:space="preserve">MICRO TAMAÑO 30*30 CABALLERO </t>
  </si>
  <si>
    <t xml:space="preserve">MUSE TAMAÑO 30*30 CABALLERO </t>
  </si>
  <si>
    <t>MUSE REPLICA CABALLERO</t>
  </si>
  <si>
    <t xml:space="preserve">HODDI TERRY EN BLANCO DAMA </t>
  </si>
  <si>
    <t>HODDI TERRY EN BLANCO NIÑO</t>
  </si>
  <si>
    <t>HODDI TERRY EN BLANCO CABALLERO</t>
  </si>
  <si>
    <t xml:space="preserve">HODDI TERRY CON VINIL  DAMA </t>
  </si>
  <si>
    <t xml:space="preserve">HODDI TERRY CON VINIL  CABALLERO </t>
  </si>
  <si>
    <t>HODDI TERRY CON VINIL  NIÑO</t>
  </si>
  <si>
    <t xml:space="preserve">TELA DE MONO </t>
  </si>
  <si>
    <t xml:space="preserve">SUBLIMACION OFICIO </t>
  </si>
  <si>
    <t xml:space="preserve">SUBLIMACION DELANTERA </t>
  </si>
  <si>
    <t>DAMA CON VINIL PQÑO</t>
  </si>
  <si>
    <t>NIÑO EN BLANCO</t>
  </si>
  <si>
    <t>NIÑO CON VINIL PQÑO</t>
  </si>
  <si>
    <t xml:space="preserve">SUETER </t>
  </si>
  <si>
    <t>SUETER NIÑO</t>
  </si>
  <si>
    <t>NIÑO CON VINIL MEDIANO</t>
  </si>
  <si>
    <t>VINIL  PÑO</t>
  </si>
  <si>
    <t xml:space="preserve">PANTALON DE MONO </t>
  </si>
  <si>
    <t xml:space="preserve">PANTALON MONO DAMA </t>
  </si>
  <si>
    <t xml:space="preserve">PANTALON MONO CABALLERO </t>
  </si>
  <si>
    <t>PANTALON MONO NIÑO</t>
  </si>
  <si>
    <t xml:space="preserve">CHEMISS </t>
  </si>
  <si>
    <t xml:space="preserve">CANILLERAS  PERSONALIZADA SIN BOLSO </t>
  </si>
  <si>
    <t xml:space="preserve">CANILLERAS SUBLIMADAS PERSONALIZADA 
SIN BOLSO </t>
  </si>
  <si>
    <t>CANILLERAS CON BOLSO</t>
  </si>
  <si>
    <t>CANILLERAS  PERSONALIZADA CON BOLSO</t>
  </si>
  <si>
    <t>CANILLERAS SIN BOLSO</t>
  </si>
  <si>
    <t xml:space="preserve">CANILLERAS PERSONALIZADA C/ BOLSO </t>
  </si>
  <si>
    <t xml:space="preserve">CANILLERAS  C/ BOLSO </t>
  </si>
  <si>
    <t>BEISBOL</t>
  </si>
  <si>
    <t xml:space="preserve">TELA ATLETICA </t>
  </si>
  <si>
    <t xml:space="preserve">BOTONES </t>
  </si>
  <si>
    <t xml:space="preserve">PLOTTER </t>
  </si>
  <si>
    <t xml:space="preserve">VELAS </t>
  </si>
  <si>
    <t xml:space="preserve">TUBO </t>
  </si>
  <si>
    <t xml:space="preserve">IMPRESIÓN </t>
  </si>
  <si>
    <t xml:space="preserve">COSTURA </t>
  </si>
  <si>
    <t xml:space="preserve">TELA ORILLO </t>
  </si>
  <si>
    <t xml:space="preserve">BRAGA PROMOTORA </t>
  </si>
  <si>
    <t xml:space="preserve">TODA SUBLIMADA </t>
  </si>
  <si>
    <t xml:space="preserve">CIERRE </t>
  </si>
  <si>
    <t xml:space="preserve">PANTALON LICRA DAMA </t>
  </si>
  <si>
    <t>SUBLIMACION COMPLETA NIÑO</t>
  </si>
  <si>
    <t>CON DISEÑO EN VINIL PÑO</t>
  </si>
  <si>
    <t>NIÑOS PÑO</t>
  </si>
  <si>
    <t xml:space="preserve">Velas 1 cara con tubo </t>
  </si>
  <si>
    <t xml:space="preserve">Velas 2 cara con tubo </t>
  </si>
  <si>
    <t xml:space="preserve">BEISBOL </t>
  </si>
  <si>
    <t xml:space="preserve">HODDI CON GORRO EN BLANCO TELA DE MONO  </t>
  </si>
  <si>
    <t xml:space="preserve"> LICRA CABALLERO </t>
  </si>
  <si>
    <t xml:space="preserve"> LICRA DAMA </t>
  </si>
  <si>
    <t xml:space="preserve">TALLAS PÑAS </t>
  </si>
  <si>
    <t>SHORT LICRA NIÑOS 14-16</t>
  </si>
  <si>
    <t>TALLAS GDES</t>
  </si>
  <si>
    <t xml:space="preserve">   </t>
  </si>
  <si>
    <t xml:space="preserve">NIÑO/DAMA </t>
  </si>
  <si>
    <t xml:space="preserve">TELA MICRO FIBRA </t>
  </si>
  <si>
    <t xml:space="preserve">DIGITALIZACION </t>
  </si>
  <si>
    <t xml:space="preserve">TULL </t>
  </si>
  <si>
    <t>14-16-XS-S</t>
  </si>
  <si>
    <t xml:space="preserve">TUTU TULL </t>
  </si>
  <si>
    <t>TELA  TULL</t>
  </si>
  <si>
    <t>LICRA PRETINA</t>
  </si>
  <si>
    <t xml:space="preserve">JUVENIL </t>
  </si>
  <si>
    <t>TALLAS 14-16-XS-S</t>
  </si>
  <si>
    <t xml:space="preserve">TOP MICRO </t>
  </si>
  <si>
    <t xml:space="preserve">CAMISA BASICA </t>
  </si>
  <si>
    <t>BORDADA</t>
  </si>
  <si>
    <t>BORDADO</t>
  </si>
  <si>
    <t>DIGITALIZACION</t>
  </si>
  <si>
    <t>PANTALON LICRA talla 6-8-10</t>
  </si>
  <si>
    <t xml:space="preserve">Caballero </t>
  </si>
  <si>
    <t>10-12-14</t>
  </si>
  <si>
    <t>TALLAS 6-8</t>
  </si>
  <si>
    <t>TALLAS 16-S-M-L</t>
  </si>
  <si>
    <t>SHORT LICRA NIÑOS</t>
  </si>
  <si>
    <t>4-6-8-10-12</t>
  </si>
  <si>
    <t xml:space="preserve">CAMISA TIPO COLUMBIA MANGA CORTA </t>
  </si>
  <si>
    <t xml:space="preserve">CAMISA TIPO COLUMBIA MANGA LARGA </t>
  </si>
  <si>
    <t>TELA ALGODÓN EGIPCIO</t>
  </si>
  <si>
    <t>PELON</t>
  </si>
  <si>
    <t>DELANTAL</t>
  </si>
  <si>
    <t>UNISEX</t>
  </si>
  <si>
    <t xml:space="preserve"> FRANELiLLAS EN BLANCO</t>
  </si>
  <si>
    <t>CHEMISS DAMA CUELLO MAO</t>
  </si>
  <si>
    <t>CHEMISS CABALLERO CUELLO MAO</t>
  </si>
  <si>
    <t>BUZO REPLICA</t>
  </si>
  <si>
    <t xml:space="preserve">impresión </t>
  </si>
  <si>
    <t>plancha</t>
  </si>
  <si>
    <t>tela</t>
  </si>
  <si>
    <t xml:space="preserve">orillo </t>
  </si>
  <si>
    <t>TELA OXFORD</t>
  </si>
  <si>
    <t xml:space="preserve">LOGO VINIL </t>
  </si>
  <si>
    <t>CORDON</t>
  </si>
  <si>
    <t xml:space="preserve">UNIDAD </t>
  </si>
  <si>
    <t>DOCENA</t>
  </si>
  <si>
    <t xml:space="preserve">MAYOR </t>
  </si>
  <si>
    <t xml:space="preserve">MUSELINA             DAMA </t>
  </si>
  <si>
    <t xml:space="preserve">MUSELINA              NIÑO </t>
  </si>
  <si>
    <t xml:space="preserve">SUBLIMACION TAMAÑO CARTA Y VINIL </t>
  </si>
  <si>
    <t xml:space="preserve">MUSE      CABALLERO </t>
  </si>
  <si>
    <t xml:space="preserve"> MICRO    CABALLERO </t>
  </si>
  <si>
    <t xml:space="preserve">MUSELINA  NIÑO </t>
  </si>
  <si>
    <t xml:space="preserve">MICRO    NIÑO </t>
  </si>
  <si>
    <t xml:space="preserve">MUSELINA    CABALLERO </t>
  </si>
  <si>
    <t>MICRO           CABALLERO</t>
  </si>
  <si>
    <t xml:space="preserve">MUSELINA    NIÑO </t>
  </si>
  <si>
    <t xml:space="preserve">MUSE   CABALLERO </t>
  </si>
  <si>
    <t xml:space="preserve">MICRO      CABALLERO </t>
  </si>
  <si>
    <t>REPLICA DE MARCAS VINIL MEDIANO/PÑO</t>
  </si>
  <si>
    <t xml:space="preserve">micro    DAMA </t>
  </si>
  <si>
    <t xml:space="preserve"> micro      NIÑO</t>
  </si>
  <si>
    <t>PANTALON LICRA</t>
  </si>
  <si>
    <t xml:space="preserve">BUZO LICRA NIÑO </t>
  </si>
  <si>
    <t xml:space="preserve">1 a 5 </t>
  </si>
  <si>
    <t xml:space="preserve">PAR DE MANGAS </t>
  </si>
  <si>
    <t xml:space="preserve">SUBLIMADAS TODAS </t>
  </si>
  <si>
    <t xml:space="preserve">CON LOGO EN VINIL </t>
  </si>
  <si>
    <t xml:space="preserve">HERRAJES </t>
  </si>
  <si>
    <t xml:space="preserve">TELA DRILL SAHARA </t>
  </si>
  <si>
    <t xml:space="preserve">DRILL SAHARA </t>
  </si>
  <si>
    <t>TELA oxford</t>
  </si>
  <si>
    <t xml:space="preserve">BOLSA </t>
  </si>
  <si>
    <t xml:space="preserve">GORRA </t>
  </si>
  <si>
    <t xml:space="preserve">GORRA DE MALLA </t>
  </si>
  <si>
    <t xml:space="preserve">DTF </t>
  </si>
  <si>
    <t>ATLETICA</t>
  </si>
  <si>
    <t xml:space="preserve">PROTECTORES ARQUEROS </t>
  </si>
  <si>
    <t xml:space="preserve">WALL MEDIA </t>
  </si>
  <si>
    <t xml:space="preserve">BOLSA DE ARENA </t>
  </si>
  <si>
    <t xml:space="preserve">TOP DAMA </t>
  </si>
  <si>
    <t xml:space="preserve">TALLAS DAMA </t>
  </si>
  <si>
    <t xml:space="preserve">sublimacion </t>
  </si>
  <si>
    <t xml:space="preserve">COTTONE    DAMA </t>
  </si>
  <si>
    <t>COTTONE CABALLERO</t>
  </si>
  <si>
    <t>KEIRA PLUS CABALLERO</t>
  </si>
  <si>
    <t>KEIRA PLUS DAMA</t>
  </si>
  <si>
    <t xml:space="preserve">CENTAURO CABALLERO </t>
  </si>
  <si>
    <t xml:space="preserve">CENTAURO  DAMA </t>
  </si>
  <si>
    <t xml:space="preserve">2 A 5 DOC </t>
  </si>
  <si>
    <t xml:space="preserve">3 A 5 DOC </t>
  </si>
  <si>
    <t xml:space="preserve">CENTAHELADA DAMA </t>
  </si>
  <si>
    <t xml:space="preserve">CENTAURO EGIPCIO  DAMA </t>
  </si>
  <si>
    <t xml:space="preserve">CENTAHELADA CAB </t>
  </si>
  <si>
    <t xml:space="preserve">CENTAURO EGIPCIO  CAB </t>
  </si>
  <si>
    <t xml:space="preserve">FRANELAS EN BLANCO </t>
  </si>
  <si>
    <t xml:space="preserve">MICRO DAMA </t>
  </si>
  <si>
    <t xml:space="preserve">MICRO CABALLERO </t>
  </si>
  <si>
    <t xml:space="preserve">CENTAURO EGIPCIO DA   FRIA </t>
  </si>
  <si>
    <t xml:space="preserve">CENTAHELADA DA   FRIA </t>
  </si>
  <si>
    <t xml:space="preserve">MUSELINA DAMA </t>
  </si>
  <si>
    <t xml:space="preserve">MUSELINA CABALLERO </t>
  </si>
  <si>
    <t xml:space="preserve">CHALECOS CON BOLSILLOS </t>
  </si>
  <si>
    <t xml:space="preserve">COJINES </t>
  </si>
  <si>
    <t xml:space="preserve">TELA PELUCHE </t>
  </si>
  <si>
    <t>CINTA DE MARCA</t>
  </si>
  <si>
    <t xml:space="preserve">ETIQUETA </t>
  </si>
  <si>
    <t xml:space="preserve">ojo para 30 franelas </t>
  </si>
  <si>
    <t xml:space="preserve">franelas micro </t>
  </si>
  <si>
    <t xml:space="preserve">niño </t>
  </si>
  <si>
    <t xml:space="preserve">dama </t>
  </si>
  <si>
    <t xml:space="preserve">caballero </t>
  </si>
  <si>
    <t xml:space="preserve">venta </t>
  </si>
  <si>
    <t xml:space="preserve">inv </t>
  </si>
  <si>
    <t xml:space="preserve">inversion </t>
  </si>
  <si>
    <t xml:space="preserve">franelas muselina </t>
  </si>
  <si>
    <t xml:space="preserve">franela sublimada </t>
  </si>
  <si>
    <t xml:space="preserve">muselina </t>
  </si>
  <si>
    <t xml:space="preserve">micro </t>
  </si>
  <si>
    <t xml:space="preserve">TELA 0,6 mts </t>
  </si>
  <si>
    <t xml:space="preserve">TELA 0,8mts </t>
  </si>
  <si>
    <t xml:space="preserve">kalandra </t>
  </si>
  <si>
    <t xml:space="preserve">PRODUCTO </t>
  </si>
  <si>
    <t xml:space="preserve">CANTIDAD </t>
  </si>
  <si>
    <t xml:space="preserve">PRECIO </t>
  </si>
  <si>
    <t>6 A 12</t>
  </si>
  <si>
    <t xml:space="preserve">12 O MAS </t>
  </si>
  <si>
    <t xml:space="preserve">PEDIDO </t>
  </si>
  <si>
    <t xml:space="preserve">MATERIAL </t>
  </si>
  <si>
    <t>DRILL</t>
  </si>
  <si>
    <t xml:space="preserve">MONTO </t>
  </si>
  <si>
    <t>FRANELA</t>
  </si>
  <si>
    <t xml:space="preserve">MOUSE </t>
  </si>
  <si>
    <t xml:space="preserve">MOUSE 5MM </t>
  </si>
  <si>
    <t xml:space="preserve">50CMSX2MTS </t>
  </si>
  <si>
    <t xml:space="preserve">90CMS * 2MTS </t>
  </si>
  <si>
    <t xml:space="preserve">COSTO </t>
  </si>
  <si>
    <t xml:space="preserve">CHAQUETAS SENCILLAS </t>
  </si>
  <si>
    <t xml:space="preserve">CHAQUETAS FORRADAS </t>
  </si>
  <si>
    <t>MONO QUIRURGICO</t>
  </si>
  <si>
    <t xml:space="preserve">QUIRURGICOS CORTE </t>
  </si>
  <si>
    <t xml:space="preserve">QUIRURGICOS COSTURA </t>
  </si>
  <si>
    <t xml:space="preserve">TELA FORRO </t>
  </si>
  <si>
    <t xml:space="preserve">FORRO </t>
  </si>
  <si>
    <t xml:space="preserve">KASAKAS </t>
  </si>
  <si>
    <t xml:space="preserve">SESGO </t>
  </si>
  <si>
    <t xml:space="preserve">TELA Malla </t>
  </si>
  <si>
    <t xml:space="preserve">PRECIO DE TELA MALLA </t>
  </si>
  <si>
    <t xml:space="preserve">PISA CORDON </t>
  </si>
  <si>
    <t>DELANTERO Y TRASERO SUBLIMADO 
MANGAS Y GORRO UNICOLOR</t>
  </si>
  <si>
    <t xml:space="preserve">BOLSAS POP </t>
  </si>
  <si>
    <t>TELA POP</t>
  </si>
  <si>
    <t>DTF</t>
  </si>
  <si>
    <t xml:space="preserve">BOLSAS POP CON DTF </t>
  </si>
  <si>
    <t xml:space="preserve">2 curvas pvc 3/4 (2700$) </t>
  </si>
  <si>
    <t>tubo pvc 3/4 5 mts (4,47m) 11$</t>
  </si>
  <si>
    <t xml:space="preserve">goma pvc x 1 wall media </t>
  </si>
  <si>
    <t>tees pvc 1/2 x 2</t>
  </si>
  <si>
    <t xml:space="preserve">tubo base MT 24cm x2 </t>
  </si>
  <si>
    <t>tubo base x2</t>
  </si>
  <si>
    <t>tornillos 9mm drywall x 8</t>
  </si>
  <si>
    <t>MDF 9mm x 2</t>
  </si>
  <si>
    <t>corte MDF x 2</t>
  </si>
  <si>
    <t>goma zapatera x 4</t>
  </si>
  <si>
    <t>microporosa x 4</t>
  </si>
  <si>
    <t xml:space="preserve">tornillos aluminio x 2 </t>
  </si>
  <si>
    <t>tela atletica trasera negra 53*220</t>
  </si>
  <si>
    <t>tela atletica blanca 53*220</t>
  </si>
  <si>
    <t>impresión y calandra 53*220 (18000$)</t>
  </si>
  <si>
    <t xml:space="preserve">cierre magico x1mts </t>
  </si>
  <si>
    <t>tubo pvc caliente 1/2 x 50cm (5$)</t>
  </si>
  <si>
    <t>tubo aluminio 1/2*6cm  (5$)</t>
  </si>
  <si>
    <t>tubo pvc 1/2 x 1,40cm (9$)</t>
  </si>
  <si>
    <t>650*2</t>
  </si>
  <si>
    <t xml:space="preserve">pintura aerosol x 2 piezas NEGRA </t>
  </si>
  <si>
    <t xml:space="preserve">pintura aerosol x 6 piezas GRIS </t>
  </si>
  <si>
    <t>WALL 1*2</t>
  </si>
  <si>
    <t>WALL 0,5*2</t>
  </si>
  <si>
    <t>WALL   0,5*2</t>
  </si>
  <si>
    <t>WALL   1*2</t>
  </si>
  <si>
    <t>tubo pvc 3/4 5 mts (4,82m) 11$</t>
  </si>
  <si>
    <t>tubo pvc 1/2 x 0,9cm (9$)</t>
  </si>
  <si>
    <t>*0</t>
  </si>
  <si>
    <t xml:space="preserve">VINIL IMPRIMIBLE </t>
  </si>
  <si>
    <t xml:space="preserve">VINIL SUBLIMABLE </t>
  </si>
  <si>
    <t xml:space="preserve">PRECIO DEL 
METRO </t>
  </si>
  <si>
    <t xml:space="preserve">IMPRESION </t>
  </si>
  <si>
    <t xml:space="preserve">TOTAL </t>
  </si>
  <si>
    <t>OJALETES</t>
  </si>
  <si>
    <t xml:space="preserve">CIERRE BOLSILLOS </t>
  </si>
  <si>
    <t xml:space="preserve">MEMORY </t>
  </si>
  <si>
    <t xml:space="preserve">CHALECO TODO SUBLIMADO </t>
  </si>
  <si>
    <t>PURA FUNDA IMPRESA 2*1</t>
  </si>
  <si>
    <t xml:space="preserve">35$ </t>
  </si>
  <si>
    <t xml:space="preserve">CHAQUETA NORT </t>
  </si>
  <si>
    <t>CAB</t>
  </si>
  <si>
    <t>TELA norface 5,5$</t>
  </si>
  <si>
    <t>CIERRE BOLSILLOS</t>
  </si>
  <si>
    <t>TUBO</t>
  </si>
  <si>
    <t xml:space="preserve">METIDA CORDON </t>
  </si>
  <si>
    <t xml:space="preserve">CINTA GROP </t>
  </si>
  <si>
    <t xml:space="preserve">IMPRESIÓN DTF </t>
  </si>
  <si>
    <t xml:space="preserve">PEGADA DTF </t>
  </si>
  <si>
    <t xml:space="preserve">METIDA DEL CORDON </t>
  </si>
  <si>
    <t xml:space="preserve">PAGOS </t>
  </si>
  <si>
    <t xml:space="preserve">MARIA </t>
  </si>
  <si>
    <t xml:space="preserve">JESUS </t>
  </si>
  <si>
    <t>BOLSAS</t>
  </si>
  <si>
    <t>30*40</t>
  </si>
  <si>
    <t xml:space="preserve">UN COLOR </t>
  </si>
  <si>
    <t xml:space="preserve">DOS COLORES </t>
  </si>
  <si>
    <t xml:space="preserve">100 UNIDAD </t>
  </si>
  <si>
    <t xml:space="preserve">LOGO </t>
  </si>
  <si>
    <t>25*30</t>
  </si>
  <si>
    <t>UN COLOR</t>
  </si>
  <si>
    <t>20*20</t>
  </si>
  <si>
    <t>DOS COLORES</t>
  </si>
  <si>
    <t xml:space="preserve">FRANELAS DAMAS </t>
  </si>
  <si>
    <t>MAS DE 20</t>
  </si>
  <si>
    <t>MAS DE 40</t>
  </si>
  <si>
    <t xml:space="preserve">FRANELAS CAB. </t>
  </si>
  <si>
    <t xml:space="preserve">BRAGA </t>
  </si>
  <si>
    <t xml:space="preserve">BORDADOS </t>
  </si>
  <si>
    <t xml:space="preserve">BATA </t>
  </si>
  <si>
    <t xml:space="preserve">CAMISA basica MANGA LARGA </t>
  </si>
  <si>
    <t xml:space="preserve">BOLSA y doblado </t>
  </si>
  <si>
    <t xml:space="preserve">PELON </t>
  </si>
  <si>
    <t>TELA</t>
  </si>
  <si>
    <t>BROCHES</t>
  </si>
  <si>
    <t>MICRO CABALLERO</t>
  </si>
  <si>
    <t xml:space="preserve">COSTURA KELLY </t>
  </si>
  <si>
    <t xml:space="preserve"> DAMA </t>
  </si>
  <si>
    <t xml:space="preserve">bandana de perro </t>
  </si>
  <si>
    <t xml:space="preserve">tela </t>
  </si>
  <si>
    <t xml:space="preserve">planchado </t>
  </si>
  <si>
    <t xml:space="preserve">confeccion </t>
  </si>
  <si>
    <t>CIERRES</t>
  </si>
  <si>
    <t>LICRA UNICOLOR</t>
  </si>
  <si>
    <t xml:space="preserve">LICRA SUBLIMADO </t>
  </si>
  <si>
    <t>HASTA 12</t>
  </si>
  <si>
    <t>MAS DE 12</t>
  </si>
  <si>
    <t>MAS DE 48</t>
  </si>
  <si>
    <t xml:space="preserve">tela para patas </t>
  </si>
  <si>
    <t>costura</t>
  </si>
  <si>
    <t xml:space="preserve">corte </t>
  </si>
  <si>
    <t>MAYOR 12</t>
  </si>
  <si>
    <t xml:space="preserve">tela garbadina 4 mts </t>
  </si>
  <si>
    <t>sublimacion 4</t>
  </si>
  <si>
    <t>NJ STORE</t>
  </si>
  <si>
    <t>NJ SPORT</t>
  </si>
  <si>
    <t xml:space="preserve">CAMISA BASICA SUBLIMADA TODA </t>
  </si>
  <si>
    <t xml:space="preserve">FALDA SHORT CON BOLSILLO </t>
  </si>
  <si>
    <t xml:space="preserve">FALDA SHORT  </t>
  </si>
  <si>
    <t>CINTA</t>
  </si>
  <si>
    <t>MOSQUETON</t>
  </si>
  <si>
    <t>CLIKCLAK</t>
  </si>
  <si>
    <t xml:space="preserve">HILO </t>
  </si>
  <si>
    <t>90%</t>
  </si>
  <si>
    <t>40%</t>
  </si>
  <si>
    <t>65%</t>
  </si>
  <si>
    <t>LANYARD</t>
  </si>
  <si>
    <t xml:space="preserve">FALDA SHORT </t>
  </si>
  <si>
    <t xml:space="preserve">DAMA LICRA </t>
  </si>
  <si>
    <t xml:space="preserve">CROP TOP </t>
  </si>
  <si>
    <t xml:space="preserve">LICRA DAMA </t>
  </si>
  <si>
    <t xml:space="preserve"> </t>
  </si>
  <si>
    <t>TELA TRANSPARENTE</t>
  </si>
  <si>
    <t>TELA LONA</t>
  </si>
  <si>
    <t xml:space="preserve">CIERRE MAGICO </t>
  </si>
  <si>
    <t xml:space="preserve">MANUBRIO </t>
  </si>
  <si>
    <t>PEQUEÑO</t>
  </si>
  <si>
    <t xml:space="preserve">MEDIANO </t>
  </si>
  <si>
    <t>GRANDE</t>
  </si>
  <si>
    <t>CORTA VIENTO con Gorro 
CABALLERO</t>
  </si>
  <si>
    <t>CORTA VIENTO sin  Gorro 
CABALLERO</t>
  </si>
  <si>
    <t>UNIDAD</t>
  </si>
  <si>
    <t>6 A 18</t>
  </si>
  <si>
    <t>24 + &amp;</t>
  </si>
  <si>
    <t xml:space="preserve">PLANCHA </t>
  </si>
  <si>
    <t>CORTA VIENTO CON  Gorro 
CABALLERO</t>
  </si>
  <si>
    <t xml:space="preserve">CAUCHO HILO </t>
  </si>
  <si>
    <t xml:space="preserve">REMACHES </t>
  </si>
  <si>
    <t xml:space="preserve">OPERARIO PARA TERMINAR </t>
  </si>
  <si>
    <t xml:space="preserve">TAMAÑO </t>
  </si>
  <si>
    <t>PRECIO $</t>
  </si>
  <si>
    <t>DOLARES</t>
  </si>
  <si>
    <t xml:space="preserve">100 BOLSAS 
1 TINTA </t>
  </si>
  <si>
    <t xml:space="preserve">100 BOLSAS 
2 TINTA </t>
  </si>
  <si>
    <t>12 A 36</t>
  </si>
  <si>
    <t>MAS DE 36</t>
  </si>
  <si>
    <t xml:space="preserve">CORTA VIENTO TELA IMPERMEABLE 
CON GORRO TODO SUBLIMADO </t>
  </si>
  <si>
    <t xml:space="preserve">CORTA VIENTO CAB. </t>
  </si>
  <si>
    <t xml:space="preserve">KASAKAS SOLO LOGO </t>
  </si>
  <si>
    <t xml:space="preserve">KASAKAS SUBLIMACION TOTAL </t>
  </si>
  <si>
    <t xml:space="preserve">BUZOS </t>
  </si>
  <si>
    <t xml:space="preserve">SHORT CON BOLSILLO </t>
  </si>
  <si>
    <t xml:space="preserve">VELAS SENCILLA </t>
  </si>
  <si>
    <t xml:space="preserve">CAMISAS </t>
  </si>
  <si>
    <t>Presupuesto</t>
  </si>
  <si>
    <t xml:space="preserve">ARTICULO </t>
  </si>
  <si>
    <t xml:space="preserve">CATEGORIA </t>
  </si>
  <si>
    <t>TECNICA</t>
  </si>
  <si>
    <t xml:space="preserve">CANT </t>
  </si>
  <si>
    <t>SUBLIMACIÓN</t>
  </si>
  <si>
    <r>
      <rPr>
        <b/>
        <u/>
        <sz val="14"/>
        <color theme="1"/>
        <rFont val="Calibri"/>
        <family val="2"/>
        <scheme val="minor"/>
      </rPr>
      <t>NOTAS</t>
    </r>
    <r>
      <rPr>
        <b/>
        <sz val="14"/>
        <color theme="1"/>
        <rFont val="Calibri"/>
        <family val="2"/>
        <scheme val="minor"/>
      </rPr>
      <t xml:space="preserve">: 
</t>
    </r>
    <r>
      <rPr>
        <sz val="14"/>
        <color theme="1"/>
        <rFont val="Calibri"/>
        <family val="2"/>
        <scheme val="minor"/>
      </rPr>
      <t xml:space="preserve">- SE REQUIERE UN </t>
    </r>
    <r>
      <rPr>
        <b/>
        <sz val="14"/>
        <color theme="1"/>
        <rFont val="Calibri"/>
        <family val="2"/>
        <scheme val="minor"/>
      </rPr>
      <t>ABONO DEL 60% DEL TOTAL</t>
    </r>
    <r>
      <rPr>
        <sz val="14"/>
        <color theme="1"/>
        <rFont val="Calibri"/>
        <family val="2"/>
        <scheme val="minor"/>
      </rPr>
      <t>, PARA DAR COMIENZO AL PROYECTO. 
- EL DISEÑO VA INCLUÍDO EN EL PROYECTO.
- LA FECHA DE ENTREGA ES ESTIMADA.
- EL PRESUPUESTO ES VÁLIDO PARA EL DÍA ESPECIFICADO, PUEDE VARIAR POSTERIORMENTE.</t>
    </r>
  </si>
  <si>
    <t xml:space="preserve">TAPASOL </t>
  </si>
  <si>
    <t xml:space="preserve">ARTICULOS </t>
  </si>
  <si>
    <t>REMAX</t>
  </si>
  <si>
    <t>PRECIO 
($)</t>
  </si>
  <si>
    <r>
      <rPr>
        <sz val="16"/>
        <color theme="1"/>
        <rFont val="Century Gothic"/>
        <family val="2"/>
      </rPr>
      <t>FECHA</t>
    </r>
    <r>
      <rPr>
        <b/>
        <sz val="16"/>
        <color theme="1"/>
        <rFont val="Century Gothic"/>
        <family val="2"/>
      </rPr>
      <t>:  20 MAYO DE 2025</t>
    </r>
  </si>
  <si>
    <t>CHEMIS CON UNIONES DE TELAS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</si>
</sst>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$-540A]#,##0.00"/>
  </numFmts>
  <fonts count="4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8"/>
      <color indexed="81"/>
      <name val="Tahoma"/>
      <family val="2"/>
    </font>
    <font>
      <sz val="20"/>
      <color indexed="81"/>
      <name val="Tahoma"/>
      <family val="2"/>
    </font>
    <font>
      <b/>
      <sz val="26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entury Gothic"/>
      <family val="2"/>
    </font>
    <font>
      <sz val="14"/>
      <color theme="1"/>
      <name val="Century Gothic"/>
      <family val="2"/>
    </font>
    <font>
      <b/>
      <sz val="14"/>
      <color theme="1"/>
      <name val="Century Gothic"/>
      <family val="2"/>
    </font>
    <font>
      <b/>
      <sz val="10"/>
      <color theme="1"/>
      <name val="Century Gothic"/>
      <family val="2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b/>
      <sz val="11"/>
      <color theme="1"/>
      <name val="Century Gothic"/>
      <family val="2"/>
    </font>
    <font>
      <sz val="26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9FFE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D7C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2B27E"/>
        <bgColor indexed="64"/>
      </patternFill>
    </fill>
    <fill>
      <patternFill patternType="solid">
        <fgColor rgb="FFDA0058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6">
    <xf numFmtId="0" fontId="0" fillId="0" borderId="0" xfId="0"/>
    <xf numFmtId="0" fontId="2" fillId="0" borderId="0" xfId="0" applyFont="1" applyAlignment="1">
      <alignment horizontal="center"/>
    </xf>
    <xf numFmtId="4" fontId="0" fillId="0" borderId="0" xfId="0" applyNumberFormat="1"/>
    <xf numFmtId="0" fontId="0" fillId="0" borderId="0" xfId="0" applyBorder="1"/>
    <xf numFmtId="0" fontId="3" fillId="0" borderId="0" xfId="0" applyFont="1" applyBorder="1"/>
    <xf numFmtId="4" fontId="3" fillId="0" borderId="0" xfId="0" applyNumberFormat="1" applyFont="1" applyBorder="1"/>
    <xf numFmtId="4" fontId="3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/>
    <xf numFmtId="3" fontId="0" fillId="0" borderId="0" xfId="0" applyNumberFormat="1" applyBorder="1"/>
    <xf numFmtId="0" fontId="6" fillId="0" borderId="0" xfId="0" applyFont="1" applyBorder="1" applyAlignment="1">
      <alignment horizontal="center"/>
    </xf>
    <xf numFmtId="0" fontId="0" fillId="0" borderId="0" xfId="0" applyFill="1" applyBorder="1"/>
    <xf numFmtId="0" fontId="12" fillId="0" borderId="0" xfId="0" applyFont="1" applyBorder="1"/>
    <xf numFmtId="0" fontId="13" fillId="0" borderId="0" xfId="0" applyFont="1" applyBorder="1"/>
    <xf numFmtId="0" fontId="10" fillId="0" borderId="0" xfId="0" applyFont="1" applyBorder="1" applyAlignment="1"/>
    <xf numFmtId="0" fontId="4" fillId="0" borderId="0" xfId="0" applyFont="1" applyBorder="1" applyAlignment="1"/>
    <xf numFmtId="0" fontId="8" fillId="0" borderId="0" xfId="0" applyFont="1" applyBorder="1" applyAlignment="1"/>
    <xf numFmtId="0" fontId="6" fillId="0" borderId="0" xfId="0" applyFont="1" applyBorder="1" applyAlignment="1"/>
    <xf numFmtId="0" fontId="9" fillId="0" borderId="0" xfId="0" applyFont="1" applyBorder="1" applyAlignment="1"/>
    <xf numFmtId="0" fontId="10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4" fillId="0" borderId="0" xfId="0" applyFont="1" applyBorder="1"/>
    <xf numFmtId="0" fontId="6" fillId="0" borderId="0" xfId="0" applyFont="1" applyBorder="1"/>
    <xf numFmtId="4" fontId="6" fillId="0" borderId="0" xfId="0" applyNumberFormat="1" applyFont="1" applyBorder="1" applyAlignment="1">
      <alignment horizontal="center" vertical="center"/>
    </xf>
    <xf numFmtId="4" fontId="6" fillId="0" borderId="0" xfId="0" applyNumberFormat="1" applyFont="1" applyBorder="1"/>
    <xf numFmtId="3" fontId="14" fillId="0" borderId="0" xfId="0" applyNumberFormat="1" applyFont="1" applyBorder="1"/>
    <xf numFmtId="0" fontId="3" fillId="0" borderId="0" xfId="0" applyFont="1" applyBorder="1" applyAlignment="1"/>
    <xf numFmtId="0" fontId="11" fillId="0" borderId="0" xfId="0" applyFont="1" applyBorder="1"/>
    <xf numFmtId="0" fontId="8" fillId="0" borderId="0" xfId="0" applyFont="1" applyBorder="1"/>
    <xf numFmtId="0" fontId="2" fillId="0" borderId="0" xfId="0" applyFont="1" applyBorder="1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1" xfId="0" applyNumberFormat="1" applyBorder="1"/>
    <xf numFmtId="164" fontId="15" fillId="0" borderId="0" xfId="0" applyNumberFormat="1" applyFont="1"/>
    <xf numFmtId="164" fontId="3" fillId="0" borderId="0" xfId="0" applyNumberFormat="1" applyFont="1"/>
    <xf numFmtId="164" fontId="15" fillId="0" borderId="0" xfId="0" applyNumberFormat="1" applyFont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7" xfId="0" applyFont="1" applyBorder="1" applyAlignment="1">
      <alignment horizontal="center" vertical="center"/>
    </xf>
    <xf numFmtId="4" fontId="3" fillId="0" borderId="0" xfId="0" applyNumberFormat="1" applyFont="1"/>
    <xf numFmtId="0" fontId="8" fillId="0" borderId="0" xfId="0" applyFont="1" applyBorder="1" applyAlignment="1">
      <alignment vertical="center"/>
    </xf>
    <xf numFmtId="0" fontId="17" fillId="0" borderId="0" xfId="0" applyFont="1" applyBorder="1"/>
    <xf numFmtId="0" fontId="7" fillId="0" borderId="11" xfId="0" applyFont="1" applyBorder="1"/>
    <xf numFmtId="0" fontId="3" fillId="0" borderId="4" xfId="0" applyFont="1" applyBorder="1"/>
    <xf numFmtId="4" fontId="3" fillId="0" borderId="1" xfId="0" applyNumberFormat="1" applyFont="1" applyBorder="1"/>
    <xf numFmtId="0" fontId="0" fillId="0" borderId="0" xfId="0" applyBorder="1" applyAlignment="1">
      <alignment vertical="top"/>
    </xf>
    <xf numFmtId="0" fontId="12" fillId="0" borderId="0" xfId="0" applyFont="1"/>
    <xf numFmtId="0" fontId="12" fillId="0" borderId="0" xfId="0" applyFont="1" applyFill="1" applyBorder="1"/>
    <xf numFmtId="0" fontId="7" fillId="0" borderId="0" xfId="0" applyFont="1" applyBorder="1" applyAlignment="1"/>
    <xf numFmtId="0" fontId="16" fillId="0" borderId="0" xfId="0" applyFont="1"/>
    <xf numFmtId="0" fontId="17" fillId="0" borderId="0" xfId="0" applyFont="1"/>
    <xf numFmtId="0" fontId="12" fillId="0" borderId="3" xfId="0" applyFont="1" applyBorder="1" applyAlignment="1">
      <alignment wrapText="1"/>
    </xf>
    <xf numFmtId="0" fontId="12" fillId="0" borderId="3" xfId="0" applyFont="1" applyBorder="1"/>
    <xf numFmtId="0" fontId="3" fillId="0" borderId="5" xfId="0" applyFont="1" applyBorder="1" applyAlignment="1">
      <alignment horizontal="left"/>
    </xf>
    <xf numFmtId="0" fontId="23" fillId="0" borderId="0" xfId="0" applyFont="1"/>
    <xf numFmtId="164" fontId="16" fillId="0" borderId="0" xfId="0" applyNumberFormat="1" applyFont="1"/>
    <xf numFmtId="0" fontId="2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0" borderId="0" xfId="0" applyFill="1"/>
    <xf numFmtId="4" fontId="7" fillId="0" borderId="0" xfId="0" applyNumberFormat="1" applyFont="1" applyFill="1" applyBorder="1" applyAlignment="1">
      <alignment horizontal="right"/>
    </xf>
    <xf numFmtId="0" fontId="11" fillId="0" borderId="0" xfId="0" applyFont="1" applyFill="1" applyBorder="1"/>
    <xf numFmtId="0" fontId="14" fillId="0" borderId="0" xfId="0" applyFont="1" applyFill="1" applyBorder="1"/>
    <xf numFmtId="4" fontId="6" fillId="0" borderId="0" xfId="0" applyNumberFormat="1" applyFont="1" applyFill="1" applyBorder="1"/>
    <xf numFmtId="0" fontId="6" fillId="0" borderId="0" xfId="0" applyFont="1" applyFill="1" applyBorder="1"/>
    <xf numFmtId="4" fontId="6" fillId="0" borderId="0" xfId="0" applyNumberFormat="1" applyFont="1" applyFill="1" applyBorder="1" applyAlignment="1">
      <alignment horizontal="center" vertical="center"/>
    </xf>
    <xf numFmtId="4" fontId="6" fillId="0" borderId="1" xfId="0" applyNumberFormat="1" applyFont="1" applyFill="1" applyBorder="1"/>
    <xf numFmtId="4" fontId="14" fillId="0" borderId="0" xfId="0" applyNumberFormat="1" applyFont="1" applyFill="1" applyBorder="1"/>
    <xf numFmtId="4" fontId="0" fillId="0" borderId="0" xfId="0" applyNumberFormat="1" applyFill="1"/>
    <xf numFmtId="0" fontId="14" fillId="0" borderId="0" xfId="0" applyFont="1" applyFill="1"/>
    <xf numFmtId="0" fontId="6" fillId="0" borderId="0" xfId="0" applyFont="1" applyFill="1" applyBorder="1" applyAlignment="1">
      <alignment vertical="center"/>
    </xf>
    <xf numFmtId="4" fontId="14" fillId="0" borderId="0" xfId="0" applyNumberFormat="1" applyFont="1" applyFill="1"/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/>
    </xf>
    <xf numFmtId="2" fontId="14" fillId="0" borderId="0" xfId="0" applyNumberFormat="1" applyFont="1" applyBorder="1"/>
    <xf numFmtId="2" fontId="6" fillId="0" borderId="0" xfId="0" applyNumberFormat="1" applyFont="1" applyBorder="1"/>
    <xf numFmtId="2" fontId="6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Border="1" applyAlignment="1">
      <alignment horizontal="center"/>
    </xf>
    <xf numFmtId="2" fontId="11" fillId="0" borderId="0" xfId="0" applyNumberFormat="1" applyFont="1" applyBorder="1"/>
    <xf numFmtId="2" fontId="6" fillId="0" borderId="0" xfId="0" applyNumberFormat="1" applyFont="1" applyBorder="1" applyAlignment="1"/>
    <xf numFmtId="2" fontId="3" fillId="0" borderId="0" xfId="0" applyNumberFormat="1" applyFont="1" applyBorder="1" applyAlignment="1">
      <alignment horizontal="center"/>
    </xf>
    <xf numFmtId="2" fontId="9" fillId="0" borderId="0" xfId="0" applyNumberFormat="1" applyFont="1" applyBorder="1" applyAlignment="1">
      <alignment horizontal="center" vertical="center"/>
    </xf>
    <xf numFmtId="2" fontId="0" fillId="0" borderId="0" xfId="0" applyNumberFormat="1" applyBorder="1"/>
    <xf numFmtId="2" fontId="0" fillId="0" borderId="0" xfId="0" applyNumberFormat="1"/>
    <xf numFmtId="2" fontId="8" fillId="0" borderId="0" xfId="0" applyNumberFormat="1" applyFont="1" applyBorder="1" applyAlignment="1"/>
    <xf numFmtId="2" fontId="3" fillId="0" borderId="0" xfId="0" applyNumberFormat="1" applyFont="1" applyBorder="1"/>
    <xf numFmtId="2" fontId="3" fillId="0" borderId="1" xfId="0" applyNumberFormat="1" applyFont="1" applyBorder="1"/>
    <xf numFmtId="2" fontId="12" fillId="0" borderId="0" xfId="0" applyNumberFormat="1" applyFont="1" applyBorder="1"/>
    <xf numFmtId="2" fontId="12" fillId="0" borderId="0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 vertical="center"/>
    </xf>
    <xf numFmtId="2" fontId="3" fillId="0" borderId="0" xfId="0" applyNumberFormat="1" applyFont="1" applyBorder="1" applyAlignment="1"/>
    <xf numFmtId="2" fontId="2" fillId="0" borderId="0" xfId="0" applyNumberFormat="1" applyFont="1" applyBorder="1"/>
    <xf numFmtId="4" fontId="0" fillId="0" borderId="0" xfId="0" applyNumberFormat="1" applyBorder="1"/>
    <xf numFmtId="2" fontId="9" fillId="0" borderId="0" xfId="0" applyNumberFormat="1" applyFont="1" applyBorder="1" applyAlignment="1"/>
    <xf numFmtId="2" fontId="4" fillId="0" borderId="0" xfId="0" applyNumberFormat="1" applyFont="1" applyBorder="1" applyAlignment="1">
      <alignment vertical="center"/>
    </xf>
    <xf numFmtId="2" fontId="8" fillId="0" borderId="0" xfId="0" applyNumberFormat="1" applyFont="1" applyBorder="1"/>
    <xf numFmtId="2" fontId="10" fillId="0" borderId="0" xfId="0" applyNumberFormat="1" applyFont="1" applyBorder="1" applyAlignment="1">
      <alignment vertical="center"/>
    </xf>
    <xf numFmtId="4" fontId="12" fillId="0" borderId="0" xfId="0" applyNumberFormat="1" applyFont="1"/>
    <xf numFmtId="4" fontId="8" fillId="0" borderId="0" xfId="0" applyNumberFormat="1" applyFont="1"/>
    <xf numFmtId="4" fontId="16" fillId="0" borderId="0" xfId="0" applyNumberFormat="1" applyFont="1" applyBorder="1"/>
    <xf numFmtId="4" fontId="7" fillId="0" borderId="0" xfId="0" applyNumberFormat="1" applyFont="1" applyBorder="1" applyAlignment="1"/>
    <xf numFmtId="4" fontId="12" fillId="0" borderId="0" xfId="0" applyNumberFormat="1" applyFont="1" applyBorder="1"/>
    <xf numFmtId="4" fontId="3" fillId="2" borderId="0" xfId="0" applyNumberFormat="1" applyFont="1" applyFill="1" applyBorder="1" applyAlignment="1">
      <alignment horizontal="center" vertical="center"/>
    </xf>
    <xf numFmtId="4" fontId="3" fillId="0" borderId="0" xfId="0" applyNumberFormat="1" applyFont="1" applyBorder="1" applyAlignment="1">
      <alignment horizontal="center"/>
    </xf>
    <xf numFmtId="4" fontId="17" fillId="0" borderId="0" xfId="0" applyNumberFormat="1" applyFont="1" applyBorder="1"/>
    <xf numFmtId="4" fontId="8" fillId="0" borderId="0" xfId="0" applyNumberFormat="1" applyFont="1" applyBorder="1" applyAlignment="1"/>
    <xf numFmtId="4" fontId="3" fillId="0" borderId="2" xfId="0" applyNumberFormat="1" applyFont="1" applyBorder="1" applyAlignment="1">
      <alignment horizontal="center" vertical="center"/>
    </xf>
    <xf numFmtId="4" fontId="3" fillId="0" borderId="8" xfId="0" applyNumberFormat="1" applyFont="1" applyBorder="1" applyAlignment="1">
      <alignment horizontal="center" vertical="center"/>
    </xf>
    <xf numFmtId="4" fontId="3" fillId="0" borderId="4" xfId="0" applyNumberFormat="1" applyFont="1" applyBorder="1" applyAlignment="1">
      <alignment horizontal="center" vertical="center"/>
    </xf>
    <xf numFmtId="4" fontId="12" fillId="0" borderId="4" xfId="0" applyNumberFormat="1" applyFont="1" applyBorder="1"/>
    <xf numFmtId="4" fontId="3" fillId="0" borderId="1" xfId="0" applyNumberFormat="1" applyFont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14" fillId="0" borderId="0" xfId="0" applyNumberFormat="1" applyFont="1" applyBorder="1"/>
    <xf numFmtId="4" fontId="6" fillId="0" borderId="0" xfId="0" applyNumberFormat="1" applyFont="1" applyBorder="1" applyAlignment="1">
      <alignment horizontal="center"/>
    </xf>
    <xf numFmtId="4" fontId="6" fillId="0" borderId="1" xfId="0" applyNumberFormat="1" applyFont="1" applyBorder="1"/>
    <xf numFmtId="4" fontId="6" fillId="0" borderId="12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center"/>
    </xf>
    <xf numFmtId="4" fontId="1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center"/>
    </xf>
    <xf numFmtId="4" fontId="1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4" fontId="9" fillId="0" borderId="0" xfId="0" applyNumberFormat="1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vertical="center"/>
    </xf>
    <xf numFmtId="4" fontId="6" fillId="0" borderId="0" xfId="0" applyNumberFormat="1" applyFont="1" applyFill="1" applyBorder="1" applyAlignment="1">
      <alignment vertical="center"/>
    </xf>
    <xf numFmtId="4" fontId="8" fillId="0" borderId="0" xfId="0" applyNumberFormat="1" applyFont="1" applyFill="1" applyBorder="1" applyAlignment="1"/>
    <xf numFmtId="4" fontId="6" fillId="0" borderId="0" xfId="0" applyNumberFormat="1" applyFont="1" applyFill="1" applyBorder="1" applyAlignment="1"/>
    <xf numFmtId="4" fontId="9" fillId="0" borderId="0" xfId="0" applyNumberFormat="1" applyFont="1" applyFill="1" applyBorder="1" applyAlignment="1"/>
    <xf numFmtId="4" fontId="9" fillId="0" borderId="0" xfId="0" applyNumberFormat="1" applyFont="1" applyFill="1" applyBorder="1" applyAlignment="1">
      <alignment horizontal="center" vertical="center"/>
    </xf>
    <xf numFmtId="4" fontId="8" fillId="0" borderId="0" xfId="0" applyNumberFormat="1" applyFont="1" applyBorder="1" applyAlignment="1">
      <alignment vertical="center"/>
    </xf>
    <xf numFmtId="4" fontId="8" fillId="0" borderId="0" xfId="0" applyNumberFormat="1" applyFont="1" applyBorder="1" applyAlignment="1">
      <alignment horizontal="center"/>
    </xf>
    <xf numFmtId="4" fontId="7" fillId="0" borderId="0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4" fontId="7" fillId="0" borderId="10" xfId="0" applyNumberFormat="1" applyFont="1" applyBorder="1"/>
    <xf numFmtId="4" fontId="9" fillId="0" borderId="0" xfId="0" applyNumberFormat="1" applyFont="1" applyBorder="1" applyAlignment="1"/>
    <xf numFmtId="4" fontId="9" fillId="0" borderId="10" xfId="0" applyNumberFormat="1" applyFont="1" applyBorder="1" applyAlignment="1"/>
    <xf numFmtId="4" fontId="9" fillId="0" borderId="0" xfId="0" applyNumberFormat="1" applyFont="1" applyBorder="1"/>
    <xf numFmtId="4" fontId="4" fillId="0" borderId="0" xfId="0" applyNumberFormat="1" applyFont="1" applyBorder="1"/>
    <xf numFmtId="4" fontId="4" fillId="0" borderId="10" xfId="0" applyNumberFormat="1" applyFont="1" applyBorder="1" applyAlignment="1"/>
    <xf numFmtId="0" fontId="4" fillId="0" borderId="11" xfId="0" applyFont="1" applyBorder="1" applyAlignment="1"/>
    <xf numFmtId="2" fontId="3" fillId="0" borderId="0" xfId="0" applyNumberFormat="1" applyFont="1" applyBorder="1" applyAlignment="1">
      <alignment horizontal="center"/>
    </xf>
    <xf numFmtId="4" fontId="3" fillId="0" borderId="0" xfId="0" applyNumberFormat="1" applyFont="1" applyBorder="1" applyAlignment="1">
      <alignment vertical="top"/>
    </xf>
    <xf numFmtId="2" fontId="2" fillId="0" borderId="0" xfId="0" applyNumberFormat="1" applyFont="1" applyAlignment="1"/>
    <xf numFmtId="2" fontId="6" fillId="0" borderId="0" xfId="0" applyNumberFormat="1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2" fontId="10" fillId="0" borderId="0" xfId="0" applyNumberFormat="1" applyFont="1" applyBorder="1" applyAlignment="1">
      <alignment horizontal="center"/>
    </xf>
    <xf numFmtId="4" fontId="3" fillId="0" borderId="0" xfId="0" applyNumberFormat="1" applyFont="1" applyBorder="1" applyAlignment="1">
      <alignment horizontal="center"/>
    </xf>
    <xf numFmtId="4" fontId="2" fillId="0" borderId="0" xfId="0" applyNumberFormat="1" applyFont="1" applyAlignment="1"/>
    <xf numFmtId="2" fontId="2" fillId="0" borderId="0" xfId="0" applyNumberFormat="1" applyFont="1" applyAlignment="1">
      <alignment horizontal="center"/>
    </xf>
    <xf numFmtId="49" fontId="0" fillId="0" borderId="0" xfId="0" applyNumberFormat="1"/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2" fontId="2" fillId="0" borderId="0" xfId="0" applyNumberFormat="1" applyFont="1" applyBorder="1" applyAlignment="1">
      <alignment horizontal="center"/>
    </xf>
    <xf numFmtId="4" fontId="3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4" fontId="2" fillId="0" borderId="0" xfId="0" applyNumberFormat="1" applyFont="1"/>
    <xf numFmtId="0" fontId="15" fillId="0" borderId="0" xfId="0" applyFont="1" applyBorder="1" applyAlignment="1"/>
    <xf numFmtId="4" fontId="2" fillId="0" borderId="0" xfId="0" applyNumberFormat="1" applyFont="1" applyAlignment="1">
      <alignment horizontal="center"/>
    </xf>
    <xf numFmtId="2" fontId="3" fillId="0" borderId="0" xfId="0" applyNumberFormat="1" applyFont="1" applyBorder="1" applyAlignment="1">
      <alignment horizontal="center"/>
    </xf>
    <xf numFmtId="4" fontId="3" fillId="0" borderId="0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2" fillId="0" borderId="0" xfId="0" applyFont="1"/>
    <xf numFmtId="4" fontId="15" fillId="0" borderId="0" xfId="0" applyNumberFormat="1" applyFont="1" applyFill="1" applyBorder="1" applyAlignment="1">
      <alignment horizontal="center" vertical="center"/>
    </xf>
    <xf numFmtId="4" fontId="3" fillId="0" borderId="0" xfId="0" applyNumberFormat="1" applyFont="1" applyBorder="1" applyAlignment="1">
      <alignment horizontal="center"/>
    </xf>
    <xf numFmtId="2" fontId="3" fillId="0" borderId="12" xfId="0" applyNumberFormat="1" applyFont="1" applyBorder="1"/>
    <xf numFmtId="2" fontId="0" fillId="2" borderId="0" xfId="0" applyNumberFormat="1" applyFill="1" applyBorder="1"/>
    <xf numFmtId="2" fontId="9" fillId="2" borderId="0" xfId="0" applyNumberFormat="1" applyFont="1" applyFill="1" applyBorder="1" applyAlignment="1"/>
    <xf numFmtId="0" fontId="8" fillId="2" borderId="0" xfId="0" applyFont="1" applyFill="1" applyBorder="1" applyAlignment="1"/>
    <xf numFmtId="2" fontId="8" fillId="2" borderId="0" xfId="0" applyNumberFormat="1" applyFont="1" applyFill="1" applyBorder="1" applyAlignment="1"/>
    <xf numFmtId="0" fontId="0" fillId="2" borderId="0" xfId="0" applyFill="1" applyBorder="1"/>
    <xf numFmtId="2" fontId="3" fillId="2" borderId="0" xfId="0" applyNumberFormat="1" applyFont="1" applyFill="1" applyBorder="1"/>
    <xf numFmtId="2" fontId="2" fillId="2" borderId="0" xfId="0" applyNumberFormat="1" applyFont="1" applyFill="1" applyBorder="1"/>
    <xf numFmtId="2" fontId="3" fillId="2" borderId="0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/>
    <xf numFmtId="2" fontId="3" fillId="2" borderId="0" xfId="0" applyNumberFormat="1" applyFont="1" applyFill="1" applyBorder="1" applyAlignment="1">
      <alignment horizontal="center"/>
    </xf>
    <xf numFmtId="2" fontId="6" fillId="2" borderId="0" xfId="0" applyNumberFormat="1" applyFont="1" applyFill="1" applyBorder="1" applyAlignment="1">
      <alignment horizontal="center"/>
    </xf>
    <xf numFmtId="2" fontId="0" fillId="3" borderId="0" xfId="0" applyNumberFormat="1" applyFill="1" applyBorder="1"/>
    <xf numFmtId="0" fontId="0" fillId="3" borderId="0" xfId="0" applyFill="1" applyBorder="1"/>
    <xf numFmtId="0" fontId="8" fillId="3" borderId="0" xfId="0" applyFont="1" applyFill="1" applyBorder="1" applyAlignment="1"/>
    <xf numFmtId="2" fontId="8" fillId="3" borderId="0" xfId="0" applyNumberFormat="1" applyFont="1" applyFill="1" applyBorder="1" applyAlignment="1"/>
    <xf numFmtId="0" fontId="0" fillId="3" borderId="0" xfId="0" applyFill="1" applyBorder="1" applyAlignment="1">
      <alignment vertical="top"/>
    </xf>
    <xf numFmtId="2" fontId="3" fillId="3" borderId="0" xfId="0" applyNumberFormat="1" applyFont="1" applyFill="1" applyBorder="1" applyAlignment="1">
      <alignment vertical="top"/>
    </xf>
    <xf numFmtId="2" fontId="3" fillId="3" borderId="0" xfId="0" applyNumberFormat="1" applyFont="1" applyFill="1" applyBorder="1"/>
    <xf numFmtId="2" fontId="3" fillId="3" borderId="0" xfId="0" applyNumberFormat="1" applyFont="1" applyFill="1" applyBorder="1" applyAlignment="1">
      <alignment horizontal="center" vertical="center"/>
    </xf>
    <xf numFmtId="2" fontId="2" fillId="3" borderId="0" xfId="0" applyNumberFormat="1" applyFont="1" applyFill="1" applyBorder="1"/>
    <xf numFmtId="2" fontId="3" fillId="3" borderId="1" xfId="0" applyNumberFormat="1" applyFont="1" applyFill="1" applyBorder="1"/>
    <xf numFmtId="2" fontId="3" fillId="3" borderId="0" xfId="0" applyNumberFormat="1" applyFont="1" applyFill="1" applyBorder="1" applyAlignment="1">
      <alignment horizontal="center"/>
    </xf>
    <xf numFmtId="0" fontId="10" fillId="3" borderId="0" xfId="0" applyFont="1" applyFill="1" applyBorder="1" applyAlignment="1">
      <alignment horizontal="center"/>
    </xf>
    <xf numFmtId="2" fontId="10" fillId="3" borderId="0" xfId="0" applyNumberFormat="1" applyFont="1" applyFill="1" applyBorder="1" applyAlignment="1">
      <alignment horizontal="center"/>
    </xf>
    <xf numFmtId="2" fontId="9" fillId="3" borderId="0" xfId="0" applyNumberFormat="1" applyFont="1" applyFill="1" applyBorder="1" applyAlignment="1"/>
    <xf numFmtId="2" fontId="0" fillId="4" borderId="0" xfId="0" applyNumberFormat="1" applyFill="1" applyBorder="1"/>
    <xf numFmtId="0" fontId="0" fillId="4" borderId="0" xfId="0" applyFill="1" applyBorder="1"/>
    <xf numFmtId="0" fontId="8" fillId="4" borderId="0" xfId="0" applyFont="1" applyFill="1" applyBorder="1" applyAlignment="1"/>
    <xf numFmtId="2" fontId="8" fillId="4" borderId="0" xfId="0" applyNumberFormat="1" applyFont="1" applyFill="1" applyBorder="1" applyAlignment="1"/>
    <xf numFmtId="2" fontId="3" fillId="4" borderId="0" xfId="0" applyNumberFormat="1" applyFont="1" applyFill="1" applyBorder="1"/>
    <xf numFmtId="2" fontId="3" fillId="4" borderId="0" xfId="0" applyNumberFormat="1" applyFont="1" applyFill="1" applyBorder="1" applyAlignment="1">
      <alignment horizontal="center" vertical="center"/>
    </xf>
    <xf numFmtId="2" fontId="2" fillId="4" borderId="0" xfId="0" applyNumberFormat="1" applyFont="1" applyFill="1" applyBorder="1"/>
    <xf numFmtId="2" fontId="3" fillId="4" borderId="1" xfId="0" applyNumberFormat="1" applyFont="1" applyFill="1" applyBorder="1"/>
    <xf numFmtId="2" fontId="3" fillId="4" borderId="0" xfId="0" applyNumberFormat="1" applyFont="1" applyFill="1" applyBorder="1" applyAlignment="1">
      <alignment horizontal="center"/>
    </xf>
    <xf numFmtId="2" fontId="0" fillId="0" borderId="0" xfId="0" applyNumberFormat="1" applyFill="1" applyBorder="1"/>
    <xf numFmtId="2" fontId="3" fillId="0" borderId="0" xfId="0" applyNumberFormat="1" applyFont="1" applyFill="1" applyBorder="1"/>
    <xf numFmtId="0" fontId="3" fillId="0" borderId="0" xfId="0" applyFont="1" applyFill="1" applyBorder="1"/>
    <xf numFmtId="2" fontId="2" fillId="0" borderId="0" xfId="0" applyNumberFormat="1" applyFont="1" applyFill="1" applyBorder="1"/>
    <xf numFmtId="0" fontId="4" fillId="5" borderId="0" xfId="0" applyFont="1" applyFill="1" applyBorder="1" applyAlignment="1">
      <alignment horizontal="center"/>
    </xf>
    <xf numFmtId="2" fontId="4" fillId="5" borderId="0" xfId="0" applyNumberFormat="1" applyFont="1" applyFill="1" applyBorder="1" applyAlignment="1">
      <alignment horizontal="center"/>
    </xf>
    <xf numFmtId="2" fontId="0" fillId="5" borderId="0" xfId="0" applyNumberFormat="1" applyFill="1" applyBorder="1"/>
    <xf numFmtId="2" fontId="9" fillId="5" borderId="0" xfId="0" applyNumberFormat="1" applyFont="1" applyFill="1" applyBorder="1" applyAlignment="1"/>
    <xf numFmtId="0" fontId="0" fillId="5" borderId="0" xfId="0" applyFill="1" applyBorder="1"/>
    <xf numFmtId="2" fontId="3" fillId="5" borderId="0" xfId="0" applyNumberFormat="1" applyFont="1" applyFill="1" applyBorder="1"/>
    <xf numFmtId="2" fontId="0" fillId="5" borderId="0" xfId="0" applyNumberFormat="1" applyFill="1"/>
    <xf numFmtId="2" fontId="2" fillId="5" borderId="0" xfId="0" applyNumberFormat="1" applyFont="1" applyFill="1" applyBorder="1" applyAlignment="1">
      <alignment horizontal="center"/>
    </xf>
    <xf numFmtId="2" fontId="3" fillId="5" borderId="0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/>
    <xf numFmtId="2" fontId="3" fillId="5" borderId="1" xfId="0" applyNumberFormat="1" applyFont="1" applyFill="1" applyBorder="1"/>
    <xf numFmtId="2" fontId="3" fillId="5" borderId="0" xfId="0" applyNumberFormat="1" applyFont="1" applyFill="1" applyBorder="1" applyAlignment="1">
      <alignment horizontal="center"/>
    </xf>
    <xf numFmtId="0" fontId="8" fillId="5" borderId="0" xfId="0" applyFont="1" applyFill="1" applyBorder="1" applyAlignment="1">
      <alignment horizontal="center"/>
    </xf>
    <xf numFmtId="2" fontId="8" fillId="5" borderId="0" xfId="0" applyNumberFormat="1" applyFont="1" applyFill="1" applyBorder="1" applyAlignment="1">
      <alignment horizontal="center"/>
    </xf>
    <xf numFmtId="2" fontId="10" fillId="5" borderId="0" xfId="0" applyNumberFormat="1" applyFont="1" applyFill="1" applyBorder="1" applyAlignment="1">
      <alignment horizontal="center"/>
    </xf>
    <xf numFmtId="0" fontId="0" fillId="3" borderId="0" xfId="0" applyFill="1"/>
    <xf numFmtId="2" fontId="0" fillId="3" borderId="0" xfId="0" applyNumberFormat="1" applyFill="1"/>
    <xf numFmtId="2" fontId="0" fillId="4" borderId="0" xfId="0" applyNumberFormat="1" applyFill="1"/>
    <xf numFmtId="0" fontId="0" fillId="4" borderId="0" xfId="0" applyFill="1"/>
    <xf numFmtId="0" fontId="9" fillId="0" borderId="0" xfId="0" applyFont="1" applyFill="1" applyBorder="1" applyAlignment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2" fontId="9" fillId="0" borderId="0" xfId="0" applyNumberFormat="1" applyFont="1" applyBorder="1" applyAlignment="1">
      <alignment vertical="center"/>
    </xf>
    <xf numFmtId="4" fontId="19" fillId="0" borderId="0" xfId="0" applyNumberFormat="1" applyFont="1" applyFill="1" applyBorder="1"/>
    <xf numFmtId="0" fontId="18" fillId="0" borderId="0" xfId="0" applyFont="1" applyFill="1" applyBorder="1" applyAlignment="1"/>
    <xf numFmtId="0" fontId="18" fillId="0" borderId="4" xfId="0" applyFont="1" applyFill="1" applyBorder="1" applyAlignment="1"/>
    <xf numFmtId="4" fontId="2" fillId="0" borderId="0" xfId="0" applyNumberFormat="1" applyFont="1" applyFill="1" applyBorder="1"/>
    <xf numFmtId="0" fontId="3" fillId="0" borderId="4" xfId="0" applyFont="1" applyFill="1" applyBorder="1"/>
    <xf numFmtId="4" fontId="6" fillId="0" borderId="0" xfId="0" applyNumberFormat="1" applyFont="1" applyBorder="1" applyAlignment="1"/>
    <xf numFmtId="4" fontId="3" fillId="0" borderId="0" xfId="0" applyNumberFormat="1" applyFont="1" applyFill="1" applyBorder="1" applyAlignment="1">
      <alignment horizontal="center" vertical="center"/>
    </xf>
    <xf numFmtId="4" fontId="2" fillId="0" borderId="1" xfId="0" applyNumberFormat="1" applyFont="1" applyBorder="1"/>
    <xf numFmtId="2" fontId="3" fillId="0" borderId="0" xfId="0" applyNumberFormat="1" applyFont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2" fontId="15" fillId="0" borderId="0" xfId="0" applyNumberFormat="1" applyFont="1" applyBorder="1" applyAlignment="1"/>
    <xf numFmtId="4" fontId="3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2" fontId="9" fillId="3" borderId="0" xfId="0" applyNumberFormat="1" applyFont="1" applyFill="1" applyBorder="1"/>
    <xf numFmtId="0" fontId="8" fillId="5" borderId="0" xfId="0" applyFont="1" applyFill="1" applyBorder="1" applyAlignment="1"/>
    <xf numFmtId="2" fontId="8" fillId="5" borderId="0" xfId="0" applyNumberFormat="1" applyFont="1" applyFill="1" applyBorder="1" applyAlignment="1"/>
    <xf numFmtId="0" fontId="0" fillId="5" borderId="0" xfId="0" applyFill="1" applyBorder="1" applyAlignment="1">
      <alignment vertical="top"/>
    </xf>
    <xf numFmtId="2" fontId="3" fillId="5" borderId="0" xfId="0" applyNumberFormat="1" applyFont="1" applyFill="1" applyBorder="1" applyAlignment="1">
      <alignment vertical="top"/>
    </xf>
    <xf numFmtId="0" fontId="0" fillId="5" borderId="0" xfId="0" applyFill="1"/>
    <xf numFmtId="0" fontId="8" fillId="5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left" vertical="center"/>
    </xf>
    <xf numFmtId="2" fontId="26" fillId="5" borderId="0" xfId="0" applyNumberFormat="1" applyFont="1" applyFill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4" fontId="3" fillId="0" borderId="0" xfId="0" applyNumberFormat="1" applyFont="1" applyBorder="1" applyAlignment="1">
      <alignment horizontal="center"/>
    </xf>
    <xf numFmtId="4" fontId="6" fillId="0" borderId="0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" fontId="15" fillId="0" borderId="0" xfId="0" applyNumberFormat="1" applyFont="1" applyBorder="1"/>
    <xf numFmtId="4" fontId="15" fillId="0" borderId="1" xfId="0" applyNumberFormat="1" applyFont="1" applyBorder="1"/>
    <xf numFmtId="4" fontId="1" fillId="0" borderId="0" xfId="0" applyNumberFormat="1" applyFont="1" applyBorder="1"/>
    <xf numFmtId="4" fontId="1" fillId="0" borderId="1" xfId="0" applyNumberFormat="1" applyFont="1" applyBorder="1"/>
    <xf numFmtId="4" fontId="15" fillId="0" borderId="0" xfId="0" applyNumberFormat="1" applyFont="1" applyBorder="1" applyAlignment="1">
      <alignment horizontal="center"/>
    </xf>
    <xf numFmtId="4" fontId="15" fillId="0" borderId="0" xfId="0" applyNumberFormat="1" applyFont="1"/>
    <xf numFmtId="4" fontId="15" fillId="0" borderId="10" xfId="0" applyNumberFormat="1" applyFont="1" applyBorder="1"/>
    <xf numFmtId="4" fontId="1" fillId="0" borderId="0" xfId="0" applyNumberFormat="1" applyFont="1"/>
    <xf numFmtId="4" fontId="1" fillId="0" borderId="10" xfId="0" applyNumberFormat="1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26" fillId="0" borderId="3" xfId="0" applyFont="1" applyBorder="1"/>
    <xf numFmtId="0" fontId="1" fillId="0" borderId="3" xfId="0" applyFont="1" applyFill="1" applyBorder="1"/>
    <xf numFmtId="4" fontId="1" fillId="0" borderId="0" xfId="0" applyNumberFormat="1" applyFont="1" applyFill="1" applyBorder="1"/>
    <xf numFmtId="4" fontId="3" fillId="0" borderId="0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2" fontId="10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4" fontId="3" fillId="0" borderId="0" xfId="0" applyNumberFormat="1" applyFont="1" applyBorder="1" applyAlignment="1">
      <alignment horizontal="center" wrapText="1"/>
    </xf>
    <xf numFmtId="4" fontId="3" fillId="0" borderId="0" xfId="0" applyNumberFormat="1" applyFont="1" applyBorder="1" applyAlignment="1"/>
    <xf numFmtId="0" fontId="0" fillId="0" borderId="0" xfId="0" applyBorder="1" applyAlignment="1"/>
    <xf numFmtId="0" fontId="0" fillId="0" borderId="0" xfId="0" applyAlignment="1"/>
    <xf numFmtId="4" fontId="3" fillId="0" borderId="0" xfId="0" applyNumberFormat="1" applyFont="1" applyAlignment="1"/>
    <xf numFmtId="0" fontId="0" fillId="0" borderId="0" xfId="0" applyFill="1" applyBorder="1" applyAlignment="1"/>
    <xf numFmtId="4" fontId="3" fillId="0" borderId="1" xfId="0" applyNumberFormat="1" applyFont="1" applyBorder="1" applyAlignment="1"/>
    <xf numFmtId="0" fontId="15" fillId="2" borderId="0" xfId="0" applyFont="1" applyFill="1" applyBorder="1" applyAlignment="1"/>
    <xf numFmtId="4" fontId="3" fillId="2" borderId="0" xfId="0" applyNumberFormat="1" applyFont="1" applyFill="1" applyBorder="1" applyAlignment="1"/>
    <xf numFmtId="2" fontId="7" fillId="0" borderId="0" xfId="0" applyNumberFormat="1" applyFont="1" applyBorder="1" applyAlignment="1">
      <alignment horizontal="center"/>
    </xf>
    <xf numFmtId="0" fontId="3" fillId="0" borderId="0" xfId="0" applyFont="1"/>
    <xf numFmtId="3" fontId="3" fillId="0" borderId="0" xfId="0" applyNumberFormat="1" applyFont="1" applyBorder="1"/>
    <xf numFmtId="49" fontId="3" fillId="0" borderId="0" xfId="0" applyNumberFormat="1" applyFont="1" applyBorder="1" applyAlignment="1">
      <alignment horizontal="center" vertical="center"/>
    </xf>
    <xf numFmtId="9" fontId="3" fillId="0" borderId="0" xfId="0" applyNumberFormat="1" applyFont="1" applyBorder="1" applyAlignment="1">
      <alignment horizontal="center"/>
    </xf>
    <xf numFmtId="3" fontId="3" fillId="0" borderId="1" xfId="0" applyNumberFormat="1" applyFont="1" applyBorder="1"/>
    <xf numFmtId="2" fontId="14" fillId="6" borderId="0" xfId="0" applyNumberFormat="1" applyFont="1" applyFill="1" applyBorder="1"/>
    <xf numFmtId="0" fontId="14" fillId="6" borderId="0" xfId="0" applyFont="1" applyFill="1" applyBorder="1"/>
    <xf numFmtId="3" fontId="14" fillId="6" borderId="0" xfId="0" applyNumberFormat="1" applyFont="1" applyFill="1" applyBorder="1"/>
    <xf numFmtId="2" fontId="6" fillId="6" borderId="0" xfId="0" applyNumberFormat="1" applyFont="1" applyFill="1" applyBorder="1"/>
    <xf numFmtId="3" fontId="6" fillId="6" borderId="0" xfId="0" applyNumberFormat="1" applyFont="1" applyFill="1" applyBorder="1"/>
    <xf numFmtId="2" fontId="6" fillId="6" borderId="0" xfId="0" applyNumberFormat="1" applyFont="1" applyFill="1" applyBorder="1" applyAlignment="1">
      <alignment horizontal="center" vertical="center"/>
    </xf>
    <xf numFmtId="0" fontId="6" fillId="6" borderId="0" xfId="0" applyFont="1" applyFill="1" applyBorder="1"/>
    <xf numFmtId="4" fontId="6" fillId="6" borderId="0" xfId="0" applyNumberFormat="1" applyFont="1" applyFill="1" applyBorder="1"/>
    <xf numFmtId="2" fontId="8" fillId="6" borderId="0" xfId="0" applyNumberFormat="1" applyFont="1" applyFill="1" applyBorder="1" applyAlignment="1">
      <alignment vertical="center"/>
    </xf>
    <xf numFmtId="2" fontId="8" fillId="6" borderId="0" xfId="0" applyNumberFormat="1" applyFont="1" applyFill="1" applyBorder="1" applyAlignment="1">
      <alignment horizontal="center"/>
    </xf>
    <xf numFmtId="0" fontId="17" fillId="6" borderId="0" xfId="0" applyFont="1" applyFill="1" applyBorder="1"/>
    <xf numFmtId="0" fontId="5" fillId="6" borderId="0" xfId="0" applyFont="1" applyFill="1" applyBorder="1" applyAlignment="1"/>
    <xf numFmtId="0" fontId="6" fillId="6" borderId="0" xfId="0" applyFont="1" applyFill="1" applyBorder="1" applyAlignment="1"/>
    <xf numFmtId="2" fontId="14" fillId="7" borderId="0" xfId="0" applyNumberFormat="1" applyFont="1" applyFill="1" applyBorder="1"/>
    <xf numFmtId="0" fontId="14" fillId="7" borderId="0" xfId="0" applyFont="1" applyFill="1" applyBorder="1"/>
    <xf numFmtId="2" fontId="6" fillId="7" borderId="0" xfId="0" applyNumberFormat="1" applyFont="1" applyFill="1" applyBorder="1"/>
    <xf numFmtId="3" fontId="6" fillId="7" borderId="0" xfId="0" applyNumberFormat="1" applyFont="1" applyFill="1" applyBorder="1"/>
    <xf numFmtId="2" fontId="6" fillId="7" borderId="0" xfId="0" applyNumberFormat="1" applyFont="1" applyFill="1" applyBorder="1" applyAlignment="1"/>
    <xf numFmtId="2" fontId="6" fillId="7" borderId="0" xfId="0" applyNumberFormat="1" applyFont="1" applyFill="1" applyBorder="1" applyAlignment="1">
      <alignment horizontal="center" vertical="center"/>
    </xf>
    <xf numFmtId="4" fontId="6" fillId="7" borderId="0" xfId="0" applyNumberFormat="1" applyFont="1" applyFill="1" applyBorder="1"/>
    <xf numFmtId="0" fontId="6" fillId="7" borderId="0" xfId="0" applyFont="1" applyFill="1" applyBorder="1" applyAlignment="1">
      <alignment horizontal="right" vertical="center"/>
    </xf>
    <xf numFmtId="2" fontId="6" fillId="7" borderId="0" xfId="0" applyNumberFormat="1" applyFont="1" applyFill="1" applyBorder="1" applyAlignment="1">
      <alignment horizontal="right" vertical="center"/>
    </xf>
    <xf numFmtId="2" fontId="14" fillId="8" borderId="0" xfId="0" applyNumberFormat="1" applyFont="1" applyFill="1" applyBorder="1"/>
    <xf numFmtId="0" fontId="14" fillId="8" borderId="0" xfId="0" applyFont="1" applyFill="1" applyBorder="1"/>
    <xf numFmtId="2" fontId="6" fillId="8" borderId="0" xfId="0" applyNumberFormat="1" applyFont="1" applyFill="1" applyBorder="1"/>
    <xf numFmtId="3" fontId="6" fillId="8" borderId="0" xfId="0" applyNumberFormat="1" applyFont="1" applyFill="1" applyBorder="1"/>
    <xf numFmtId="0" fontId="6" fillId="8" borderId="0" xfId="0" applyFont="1" applyFill="1" applyBorder="1"/>
    <xf numFmtId="2" fontId="6" fillId="8" borderId="0" xfId="0" applyNumberFormat="1" applyFont="1" applyFill="1" applyBorder="1" applyAlignment="1"/>
    <xf numFmtId="2" fontId="6" fillId="8" borderId="0" xfId="0" applyNumberFormat="1" applyFont="1" applyFill="1" applyBorder="1" applyAlignment="1">
      <alignment horizontal="center" vertical="center"/>
    </xf>
    <xf numFmtId="4" fontId="6" fillId="8" borderId="0" xfId="0" applyNumberFormat="1" applyFont="1" applyFill="1" applyBorder="1"/>
    <xf numFmtId="3" fontId="14" fillId="8" borderId="0" xfId="0" applyNumberFormat="1" applyFont="1" applyFill="1" applyBorder="1"/>
    <xf numFmtId="0" fontId="6" fillId="8" borderId="0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right" vertical="center"/>
    </xf>
    <xf numFmtId="2" fontId="6" fillId="8" borderId="0" xfId="0" applyNumberFormat="1" applyFont="1" applyFill="1" applyBorder="1" applyAlignment="1">
      <alignment horizontal="right" vertical="center"/>
    </xf>
    <xf numFmtId="2" fontId="14" fillId="9" borderId="0" xfId="0" applyNumberFormat="1" applyFont="1" applyFill="1" applyBorder="1"/>
    <xf numFmtId="0" fontId="14" fillId="9" borderId="0" xfId="0" applyFont="1" applyFill="1" applyBorder="1"/>
    <xf numFmtId="2" fontId="6" fillId="9" borderId="0" xfId="0" applyNumberFormat="1" applyFont="1" applyFill="1" applyBorder="1"/>
    <xf numFmtId="3" fontId="6" fillId="9" borderId="0" xfId="0" applyNumberFormat="1" applyFont="1" applyFill="1" applyBorder="1"/>
    <xf numFmtId="0" fontId="6" fillId="9" borderId="0" xfId="0" applyFont="1" applyFill="1" applyBorder="1"/>
    <xf numFmtId="2" fontId="6" fillId="9" borderId="0" xfId="0" applyNumberFormat="1" applyFont="1" applyFill="1" applyBorder="1" applyAlignment="1">
      <alignment horizontal="center" vertical="center"/>
    </xf>
    <xf numFmtId="2" fontId="0" fillId="9" borderId="0" xfId="0" applyNumberFormat="1" applyFill="1" applyBorder="1"/>
    <xf numFmtId="4" fontId="6" fillId="9" borderId="0" xfId="0" applyNumberFormat="1" applyFont="1" applyFill="1" applyBorder="1"/>
    <xf numFmtId="3" fontId="14" fillId="9" borderId="0" xfId="0" applyNumberFormat="1" applyFont="1" applyFill="1" applyBorder="1"/>
    <xf numFmtId="0" fontId="6" fillId="9" borderId="0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right" vertical="center"/>
    </xf>
    <xf numFmtId="2" fontId="6" fillId="9" borderId="0" xfId="0" applyNumberFormat="1" applyFont="1" applyFill="1" applyBorder="1" applyAlignment="1">
      <alignment horizontal="right" vertical="center"/>
    </xf>
    <xf numFmtId="2" fontId="14" fillId="10" borderId="0" xfId="0" applyNumberFormat="1" applyFont="1" applyFill="1" applyBorder="1"/>
    <xf numFmtId="0" fontId="14" fillId="10" borderId="0" xfId="0" applyFont="1" applyFill="1" applyBorder="1"/>
    <xf numFmtId="2" fontId="6" fillId="10" borderId="0" xfId="0" applyNumberFormat="1" applyFont="1" applyFill="1" applyBorder="1"/>
    <xf numFmtId="3" fontId="6" fillId="10" borderId="0" xfId="0" applyNumberFormat="1" applyFont="1" applyFill="1" applyBorder="1"/>
    <xf numFmtId="2" fontId="6" fillId="10" borderId="0" xfId="0" applyNumberFormat="1" applyFont="1" applyFill="1" applyBorder="1" applyAlignment="1">
      <alignment horizontal="center" vertical="center"/>
    </xf>
    <xf numFmtId="4" fontId="6" fillId="10" borderId="0" xfId="0" applyNumberFormat="1" applyFont="1" applyFill="1" applyBorder="1"/>
    <xf numFmtId="3" fontId="14" fillId="10" borderId="0" xfId="0" applyNumberFormat="1" applyFont="1" applyFill="1" applyBorder="1"/>
    <xf numFmtId="0" fontId="6" fillId="10" borderId="0" xfId="0" applyFont="1" applyFill="1" applyBorder="1" applyAlignment="1">
      <alignment horizontal="center" vertical="center"/>
    </xf>
    <xf numFmtId="0" fontId="6" fillId="10" borderId="0" xfId="0" applyFont="1" applyFill="1" applyBorder="1" applyAlignment="1">
      <alignment horizontal="right" vertical="center"/>
    </xf>
    <xf numFmtId="2" fontId="6" fillId="10" borderId="0" xfId="0" applyNumberFormat="1" applyFont="1" applyFill="1" applyBorder="1" applyAlignment="1">
      <alignment horizontal="right" vertical="center"/>
    </xf>
    <xf numFmtId="0" fontId="14" fillId="11" borderId="0" xfId="0" applyFont="1" applyFill="1" applyBorder="1"/>
    <xf numFmtId="3" fontId="14" fillId="11" borderId="0" xfId="0" applyNumberFormat="1" applyFont="1" applyFill="1" applyBorder="1"/>
    <xf numFmtId="2" fontId="6" fillId="11" borderId="0" xfId="0" applyNumberFormat="1" applyFont="1" applyFill="1" applyBorder="1"/>
    <xf numFmtId="2" fontId="14" fillId="11" borderId="0" xfId="0" applyNumberFormat="1" applyFont="1" applyFill="1" applyBorder="1"/>
    <xf numFmtId="2" fontId="0" fillId="11" borderId="0" xfId="0" applyNumberFormat="1" applyFill="1" applyBorder="1"/>
    <xf numFmtId="2" fontId="10" fillId="11" borderId="0" xfId="0" applyNumberFormat="1" applyFont="1" applyFill="1" applyBorder="1" applyAlignment="1"/>
    <xf numFmtId="3" fontId="6" fillId="11" borderId="0" xfId="0" applyNumberFormat="1" applyFont="1" applyFill="1" applyBorder="1"/>
    <xf numFmtId="2" fontId="6" fillId="11" borderId="0" xfId="0" applyNumberFormat="1" applyFont="1" applyFill="1" applyBorder="1" applyAlignment="1">
      <alignment horizontal="center" vertical="center"/>
    </xf>
    <xf numFmtId="4" fontId="6" fillId="11" borderId="0" xfId="0" applyNumberFormat="1" applyFont="1" applyFill="1" applyBorder="1"/>
    <xf numFmtId="0" fontId="8" fillId="11" borderId="0" xfId="0" applyFont="1" applyFill="1" applyBorder="1" applyAlignment="1">
      <alignment vertical="center"/>
    </xf>
    <xf numFmtId="2" fontId="17" fillId="11" borderId="0" xfId="0" applyNumberFormat="1" applyFont="1" applyFill="1" applyBorder="1"/>
    <xf numFmtId="2" fontId="8" fillId="11" borderId="0" xfId="0" applyNumberFormat="1" applyFont="1" applyFill="1" applyBorder="1" applyAlignment="1">
      <alignment horizontal="center"/>
    </xf>
    <xf numFmtId="2" fontId="8" fillId="11" borderId="0" xfId="0" applyNumberFormat="1" applyFont="1" applyFill="1" applyBorder="1" applyAlignment="1"/>
    <xf numFmtId="2" fontId="6" fillId="11" borderId="0" xfId="0" applyNumberFormat="1" applyFont="1" applyFill="1" applyBorder="1" applyAlignment="1"/>
    <xf numFmtId="0" fontId="6" fillId="11" borderId="0" xfId="0" applyFont="1" applyFill="1" applyBorder="1" applyAlignment="1"/>
    <xf numFmtId="0" fontId="0" fillId="11" borderId="0" xfId="0" applyFill="1" applyBorder="1"/>
    <xf numFmtId="0" fontId="14" fillId="12" borderId="0" xfId="0" applyFont="1" applyFill="1" applyBorder="1"/>
    <xf numFmtId="2" fontId="14" fillId="12" borderId="0" xfId="0" applyNumberFormat="1" applyFont="1" applyFill="1" applyBorder="1"/>
    <xf numFmtId="0" fontId="0" fillId="12" borderId="0" xfId="0" applyFill="1" applyBorder="1"/>
    <xf numFmtId="2" fontId="0" fillId="12" borderId="0" xfId="0" applyNumberFormat="1" applyFill="1" applyBorder="1"/>
    <xf numFmtId="0" fontId="3" fillId="12" borderId="0" xfId="0" applyFont="1" applyFill="1" applyBorder="1" applyAlignment="1">
      <alignment horizontal="center"/>
    </xf>
    <xf numFmtId="2" fontId="6" fillId="12" borderId="0" xfId="0" applyNumberFormat="1" applyFont="1" applyFill="1" applyBorder="1"/>
    <xf numFmtId="2" fontId="6" fillId="12" borderId="0" xfId="0" applyNumberFormat="1" applyFont="1" applyFill="1" applyBorder="1" applyAlignment="1">
      <alignment horizontal="center" vertical="center"/>
    </xf>
    <xf numFmtId="0" fontId="6" fillId="12" borderId="0" xfId="0" applyFont="1" applyFill="1" applyBorder="1"/>
    <xf numFmtId="3" fontId="14" fillId="12" borderId="0" xfId="0" applyNumberFormat="1" applyFont="1" applyFill="1" applyBorder="1"/>
    <xf numFmtId="2" fontId="5" fillId="12" borderId="0" xfId="0" applyNumberFormat="1" applyFont="1" applyFill="1" applyBorder="1" applyAlignment="1"/>
    <xf numFmtId="2" fontId="6" fillId="12" borderId="0" xfId="0" applyNumberFormat="1" applyFont="1" applyFill="1" applyBorder="1" applyAlignment="1"/>
    <xf numFmtId="2" fontId="3" fillId="12" borderId="0" xfId="0" applyNumberFormat="1" applyFont="1" applyFill="1" applyBorder="1" applyAlignment="1">
      <alignment horizontal="center"/>
    </xf>
    <xf numFmtId="0" fontId="10" fillId="12" borderId="0" xfId="0" applyFont="1" applyFill="1" applyBorder="1" applyAlignment="1">
      <alignment horizontal="center" vertical="center"/>
    </xf>
    <xf numFmtId="2" fontId="9" fillId="12" borderId="0" xfId="0" applyNumberFormat="1" applyFont="1" applyFill="1" applyBorder="1" applyAlignment="1">
      <alignment horizontal="center" vertical="center"/>
    </xf>
    <xf numFmtId="0" fontId="10" fillId="12" borderId="0" xfId="0" applyFont="1" applyFill="1" applyBorder="1" applyAlignment="1">
      <alignment horizontal="right" vertical="center"/>
    </xf>
    <xf numFmtId="3" fontId="6" fillId="12" borderId="0" xfId="0" applyNumberFormat="1" applyFont="1" applyFill="1" applyBorder="1"/>
    <xf numFmtId="2" fontId="8" fillId="12" borderId="0" xfId="0" applyNumberFormat="1" applyFont="1" applyFill="1" applyBorder="1" applyAlignment="1"/>
    <xf numFmtId="4" fontId="6" fillId="12" borderId="0" xfId="0" applyNumberFormat="1" applyFont="1" applyFill="1" applyBorder="1"/>
    <xf numFmtId="0" fontId="11" fillId="12" borderId="0" xfId="0" applyFont="1" applyFill="1" applyBorder="1"/>
    <xf numFmtId="2" fontId="11" fillId="12" borderId="0" xfId="0" applyNumberFormat="1" applyFont="1" applyFill="1" applyBorder="1"/>
    <xf numFmtId="0" fontId="10" fillId="12" borderId="0" xfId="0" applyFont="1" applyFill="1" applyBorder="1" applyAlignment="1"/>
    <xf numFmtId="2" fontId="25" fillId="12" borderId="0" xfId="0" applyNumberFormat="1" applyFont="1" applyFill="1" applyBorder="1"/>
    <xf numFmtId="2" fontId="9" fillId="12" borderId="0" xfId="0" applyNumberFormat="1" applyFont="1" applyFill="1" applyBorder="1" applyAlignment="1">
      <alignment horizontal="center"/>
    </xf>
    <xf numFmtId="2" fontId="10" fillId="12" borderId="0" xfId="0" applyNumberFormat="1" applyFont="1" applyFill="1" applyBorder="1" applyAlignment="1"/>
    <xf numFmtId="0" fontId="6" fillId="12" borderId="0" xfId="0" applyFont="1" applyFill="1" applyBorder="1" applyAlignment="1"/>
    <xf numFmtId="2" fontId="3" fillId="0" borderId="0" xfId="0" applyNumberFormat="1" applyFont="1" applyBorder="1" applyAlignment="1">
      <alignment horizontal="center"/>
    </xf>
    <xf numFmtId="0" fontId="5" fillId="9" borderId="0" xfId="0" applyFont="1" applyFill="1" applyBorder="1" applyAlignment="1">
      <alignment horizontal="right" vertical="center"/>
    </xf>
    <xf numFmtId="0" fontId="4" fillId="3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2" fontId="7" fillId="3" borderId="0" xfId="0" applyNumberFormat="1" applyFont="1" applyFill="1" applyBorder="1" applyAlignment="1">
      <alignment horizontal="center"/>
    </xf>
    <xf numFmtId="2" fontId="4" fillId="3" borderId="0" xfId="0" applyNumberFormat="1" applyFont="1" applyFill="1" applyBorder="1" applyAlignment="1"/>
    <xf numFmtId="2" fontId="7" fillId="5" borderId="0" xfId="0" applyNumberFormat="1" applyFont="1" applyFill="1" applyBorder="1" applyAlignment="1"/>
    <xf numFmtId="0" fontId="6" fillId="3" borderId="0" xfId="0" applyFont="1" applyFill="1" applyBorder="1" applyAlignment="1"/>
    <xf numFmtId="0" fontId="7" fillId="2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vertical="center"/>
    </xf>
    <xf numFmtId="0" fontId="8" fillId="4" borderId="0" xfId="0" applyFont="1" applyFill="1" applyBorder="1" applyAlignment="1">
      <alignment vertical="center"/>
    </xf>
    <xf numFmtId="2" fontId="0" fillId="3" borderId="0" xfId="0" applyNumberFormat="1" applyFill="1" applyBorder="1" applyAlignment="1"/>
    <xf numFmtId="0" fontId="8" fillId="3" borderId="0" xfId="0" applyFont="1" applyFill="1" applyBorder="1" applyAlignment="1">
      <alignment vertical="center"/>
    </xf>
    <xf numFmtId="2" fontId="4" fillId="5" borderId="0" xfId="0" applyNumberFormat="1" applyFont="1" applyFill="1" applyBorder="1" applyAlignment="1"/>
    <xf numFmtId="2" fontId="7" fillId="2" borderId="0" xfId="0" applyNumberFormat="1" applyFont="1" applyFill="1" applyBorder="1" applyAlignment="1"/>
    <xf numFmtId="2" fontId="7" fillId="5" borderId="0" xfId="0" applyNumberFormat="1" applyFont="1" applyFill="1" applyBorder="1"/>
    <xf numFmtId="2" fontId="9" fillId="0" borderId="0" xfId="0" applyNumberFormat="1" applyFont="1" applyFill="1" applyBorder="1" applyAlignment="1"/>
    <xf numFmtId="2" fontId="3" fillId="0" borderId="0" xfId="0" applyNumberFormat="1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/>
    </xf>
    <xf numFmtId="2" fontId="6" fillId="2" borderId="0" xfId="0" applyNumberFormat="1" applyFont="1" applyFill="1" applyBorder="1" applyAlignment="1"/>
    <xf numFmtId="0" fontId="4" fillId="5" borderId="0" xfId="0" applyFont="1" applyFill="1" applyBorder="1" applyAlignment="1"/>
    <xf numFmtId="0" fontId="4" fillId="3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0" fontId="8" fillId="0" borderId="0" xfId="0" applyFont="1" applyFill="1" applyBorder="1" applyAlignment="1"/>
    <xf numFmtId="2" fontId="8" fillId="0" borderId="0" xfId="0" applyNumberFormat="1" applyFont="1" applyFill="1" applyBorder="1" applyAlignment="1"/>
    <xf numFmtId="0" fontId="0" fillId="0" borderId="0" xfId="0" applyFill="1" applyBorder="1" applyAlignment="1">
      <alignment vertical="top"/>
    </xf>
    <xf numFmtId="2" fontId="3" fillId="0" borderId="0" xfId="0" applyNumberFormat="1" applyFont="1" applyFill="1" applyBorder="1" applyAlignment="1">
      <alignment vertical="top"/>
    </xf>
    <xf numFmtId="4" fontId="3" fillId="0" borderId="0" xfId="0" applyNumberFormat="1" applyFont="1" applyAlignment="1">
      <alignment horizontal="center"/>
    </xf>
    <xf numFmtId="4" fontId="10" fillId="0" borderId="0" xfId="0" applyNumberFormat="1" applyFont="1" applyFill="1" applyBorder="1" applyAlignment="1"/>
    <xf numFmtId="4" fontId="5" fillId="0" borderId="0" xfId="0" applyNumberFormat="1" applyFont="1" applyFill="1" applyBorder="1" applyAlignment="1"/>
    <xf numFmtId="4" fontId="6" fillId="0" borderId="0" xfId="0" applyNumberFormat="1" applyFont="1" applyFill="1" applyBorder="1" applyAlignment="1">
      <alignment horizontal="center"/>
    </xf>
    <xf numFmtId="2" fontId="6" fillId="6" borderId="0" xfId="0" applyNumberFormat="1" applyFont="1" applyFill="1" applyBorder="1" applyAlignment="1">
      <alignment horizontal="center"/>
    </xf>
    <xf numFmtId="4" fontId="3" fillId="0" borderId="0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2" fontId="6" fillId="6" borderId="1" xfId="0" applyNumberFormat="1" applyFont="1" applyFill="1" applyBorder="1"/>
    <xf numFmtId="2" fontId="2" fillId="6" borderId="0" xfId="0" applyNumberFormat="1" applyFont="1" applyFill="1" applyBorder="1" applyAlignment="1">
      <alignment horizontal="center" vertical="center"/>
    </xf>
    <xf numFmtId="0" fontId="7" fillId="0" borderId="0" xfId="0" applyFont="1" applyBorder="1"/>
    <xf numFmtId="2" fontId="9" fillId="6" borderId="0" xfId="0" applyNumberFormat="1" applyFont="1" applyFill="1" applyBorder="1"/>
    <xf numFmtId="2" fontId="9" fillId="5" borderId="0" xfId="0" applyNumberFormat="1" applyFont="1" applyFill="1" applyBorder="1" applyAlignment="1">
      <alignment horizontal="center"/>
    </xf>
    <xf numFmtId="2" fontId="25" fillId="5" borderId="0" xfId="0" applyNumberFormat="1" applyFont="1" applyFill="1" applyBorder="1"/>
    <xf numFmtId="4" fontId="3" fillId="0" borderId="0" xfId="0" applyNumberFormat="1" applyFont="1" applyBorder="1" applyAlignment="1">
      <alignment horizontal="center"/>
    </xf>
    <xf numFmtId="4" fontId="0" fillId="0" borderId="0" xfId="0" applyNumberFormat="1" applyFill="1" applyBorder="1"/>
    <xf numFmtId="164" fontId="6" fillId="0" borderId="0" xfId="0" applyNumberFormat="1" applyFont="1"/>
    <xf numFmtId="164" fontId="6" fillId="0" borderId="0" xfId="0" applyNumberFormat="1" applyFont="1" applyAlignment="1">
      <alignment horizontal="center"/>
    </xf>
    <xf numFmtId="164" fontId="6" fillId="0" borderId="12" xfId="0" applyNumberFormat="1" applyFont="1" applyBorder="1" applyAlignment="1">
      <alignment horizontal="center"/>
    </xf>
    <xf numFmtId="4" fontId="3" fillId="0" borderId="0" xfId="0" applyNumberFormat="1" applyFont="1" applyBorder="1" applyAlignment="1">
      <alignment horizontal="center"/>
    </xf>
    <xf numFmtId="2" fontId="6" fillId="6" borderId="0" xfId="0" applyNumberFormat="1" applyFont="1" applyFill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2" fontId="1" fillId="2" borderId="0" xfId="0" applyNumberFormat="1" applyFont="1" applyFill="1" applyBorder="1"/>
    <xf numFmtId="2" fontId="5" fillId="10" borderId="0" xfId="0" applyNumberFormat="1" applyFont="1" applyFill="1" applyBorder="1" applyAlignment="1"/>
    <xf numFmtId="0" fontId="28" fillId="0" borderId="0" xfId="0" applyFont="1" applyBorder="1"/>
    <xf numFmtId="0" fontId="28" fillId="0" borderId="0" xfId="0" applyFont="1"/>
    <xf numFmtId="2" fontId="28" fillId="6" borderId="0" xfId="0" applyNumberFormat="1" applyFont="1" applyFill="1" applyBorder="1"/>
    <xf numFmtId="0" fontId="2" fillId="0" borderId="0" xfId="0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4" fontId="2" fillId="0" borderId="13" xfId="0" applyNumberFormat="1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10" fillId="11" borderId="0" xfId="0" applyFont="1" applyFill="1" applyBorder="1" applyAlignment="1">
      <alignment horizontal="right"/>
    </xf>
    <xf numFmtId="0" fontId="8" fillId="11" borderId="0" xfId="0" applyFont="1" applyFill="1" applyBorder="1" applyAlignment="1">
      <alignment horizontal="right" vertical="center"/>
    </xf>
    <xf numFmtId="2" fontId="5" fillId="6" borderId="0" xfId="0" applyNumberFormat="1" applyFont="1" applyFill="1" applyBorder="1" applyAlignment="1">
      <alignment horizontal="center"/>
    </xf>
    <xf numFmtId="0" fontId="24" fillId="6" borderId="0" xfId="0" applyFont="1" applyFill="1" applyBorder="1" applyAlignment="1">
      <alignment horizontal="center"/>
    </xf>
    <xf numFmtId="2" fontId="6" fillId="7" borderId="0" xfId="0" applyNumberFormat="1" applyFont="1" applyFill="1" applyBorder="1" applyAlignment="1">
      <alignment horizontal="center"/>
    </xf>
    <xf numFmtId="2" fontId="6" fillId="12" borderId="0" xfId="0" applyNumberFormat="1" applyFont="1" applyFill="1" applyBorder="1" applyAlignment="1">
      <alignment horizontal="center"/>
    </xf>
    <xf numFmtId="2" fontId="6" fillId="8" borderId="0" xfId="0" applyNumberFormat="1" applyFont="1" applyFill="1" applyBorder="1" applyAlignment="1">
      <alignment horizontal="center"/>
    </xf>
    <xf numFmtId="2" fontId="6" fillId="9" borderId="0" xfId="0" applyNumberFormat="1" applyFont="1" applyFill="1" applyBorder="1" applyAlignment="1">
      <alignment horizontal="center"/>
    </xf>
    <xf numFmtId="2" fontId="6" fillId="10" borderId="0" xfId="0" applyNumberFormat="1" applyFont="1" applyFill="1" applyBorder="1" applyAlignment="1">
      <alignment horizontal="center"/>
    </xf>
    <xf numFmtId="2" fontId="6" fillId="11" borderId="0" xfId="0" applyNumberFormat="1" applyFont="1" applyFill="1" applyBorder="1" applyAlignment="1">
      <alignment horizontal="center"/>
    </xf>
    <xf numFmtId="2" fontId="6" fillId="6" borderId="0" xfId="0" applyNumberFormat="1" applyFont="1" applyFill="1" applyBorder="1" applyAlignment="1">
      <alignment horizontal="center"/>
    </xf>
    <xf numFmtId="2" fontId="5" fillId="9" borderId="0" xfId="0" applyNumberFormat="1" applyFont="1" applyFill="1" applyBorder="1" applyAlignment="1">
      <alignment horizontal="center"/>
    </xf>
    <xf numFmtId="2" fontId="10" fillId="12" borderId="0" xfId="0" applyNumberFormat="1" applyFont="1" applyFill="1" applyBorder="1" applyAlignment="1">
      <alignment horizontal="center"/>
    </xf>
    <xf numFmtId="0" fontId="6" fillId="12" borderId="0" xfId="0" applyFont="1" applyFill="1" applyBorder="1" applyAlignment="1">
      <alignment horizontal="right" vertical="center"/>
    </xf>
    <xf numFmtId="2" fontId="6" fillId="0" borderId="0" xfId="0" applyNumberFormat="1" applyFont="1" applyBorder="1" applyAlignment="1">
      <alignment horizontal="center"/>
    </xf>
    <xf numFmtId="2" fontId="6" fillId="12" borderId="1" xfId="0" applyNumberFormat="1" applyFont="1" applyFill="1" applyBorder="1"/>
    <xf numFmtId="3" fontId="6" fillId="12" borderId="1" xfId="0" applyNumberFormat="1" applyFont="1" applyFill="1" applyBorder="1"/>
    <xf numFmtId="3" fontId="6" fillId="6" borderId="1" xfId="0" applyNumberFormat="1" applyFont="1" applyFill="1" applyBorder="1"/>
    <xf numFmtId="2" fontId="6" fillId="7" borderId="1" xfId="0" applyNumberFormat="1" applyFont="1" applyFill="1" applyBorder="1"/>
    <xf numFmtId="3" fontId="6" fillId="7" borderId="1" xfId="0" applyNumberFormat="1" applyFont="1" applyFill="1" applyBorder="1"/>
    <xf numFmtId="2" fontId="6" fillId="8" borderId="1" xfId="0" applyNumberFormat="1" applyFont="1" applyFill="1" applyBorder="1"/>
    <xf numFmtId="3" fontId="6" fillId="8" borderId="1" xfId="0" applyNumberFormat="1" applyFont="1" applyFill="1" applyBorder="1"/>
    <xf numFmtId="3" fontId="6" fillId="9" borderId="1" xfId="0" applyNumberFormat="1" applyFont="1" applyFill="1" applyBorder="1"/>
    <xf numFmtId="2" fontId="6" fillId="9" borderId="1" xfId="0" applyNumberFormat="1" applyFont="1" applyFill="1" applyBorder="1"/>
    <xf numFmtId="0" fontId="5" fillId="9" borderId="0" xfId="0" applyFont="1" applyFill="1" applyBorder="1" applyAlignment="1"/>
    <xf numFmtId="2" fontId="6" fillId="11" borderId="1" xfId="0" applyNumberFormat="1" applyFont="1" applyFill="1" applyBorder="1"/>
    <xf numFmtId="3" fontId="6" fillId="11" borderId="1" xfId="0" applyNumberFormat="1" applyFont="1" applyFill="1" applyBorder="1"/>
    <xf numFmtId="2" fontId="6" fillId="10" borderId="1" xfId="0" applyNumberFormat="1" applyFont="1" applyFill="1" applyBorder="1"/>
    <xf numFmtId="3" fontId="6" fillId="10" borderId="1" xfId="0" applyNumberFormat="1" applyFont="1" applyFill="1" applyBorder="1"/>
    <xf numFmtId="2" fontId="10" fillId="11" borderId="0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3" fillId="0" borderId="0" xfId="0" applyFont="1"/>
    <xf numFmtId="4" fontId="2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3" fontId="6" fillId="12" borderId="0" xfId="0" applyNumberFormat="1" applyFont="1" applyFill="1" applyBorder="1" applyAlignment="1">
      <alignment horizontal="right"/>
    </xf>
    <xf numFmtId="0" fontId="24" fillId="6" borderId="0" xfId="0" applyFont="1" applyFill="1" applyBorder="1" applyAlignment="1"/>
    <xf numFmtId="3" fontId="6" fillId="12" borderId="1" xfId="0" applyNumberFormat="1" applyFont="1" applyFill="1" applyBorder="1" applyAlignment="1">
      <alignment horizontal="right"/>
    </xf>
    <xf numFmtId="4" fontId="6" fillId="12" borderId="0" xfId="0" applyNumberFormat="1" applyFont="1" applyFill="1" applyBorder="1" applyAlignment="1">
      <alignment horizontal="right"/>
    </xf>
    <xf numFmtId="3" fontId="6" fillId="12" borderId="0" xfId="0" applyNumberFormat="1" applyFont="1" applyFill="1" applyBorder="1" applyAlignment="1">
      <alignment horizontal="center"/>
    </xf>
    <xf numFmtId="0" fontId="14" fillId="12" borderId="3" xfId="0" applyFont="1" applyFill="1" applyBorder="1"/>
    <xf numFmtId="2" fontId="0" fillId="12" borderId="4" xfId="0" applyNumberFormat="1" applyFill="1" applyBorder="1"/>
    <xf numFmtId="0" fontId="14" fillId="12" borderId="3" xfId="0" applyFont="1" applyFill="1" applyBorder="1" applyAlignment="1">
      <alignment horizontal="left"/>
    </xf>
    <xf numFmtId="0" fontId="14" fillId="12" borderId="5" xfId="0" applyFont="1" applyFill="1" applyBorder="1"/>
    <xf numFmtId="0" fontId="14" fillId="12" borderId="1" xfId="0" applyFont="1" applyFill="1" applyBorder="1"/>
    <xf numFmtId="2" fontId="0" fillId="12" borderId="6" xfId="0" applyNumberFormat="1" applyFill="1" applyBorder="1"/>
    <xf numFmtId="2" fontId="29" fillId="13" borderId="0" xfId="0" applyNumberFormat="1" applyFont="1" applyFill="1" applyBorder="1" applyAlignment="1">
      <alignment horizontal="center"/>
    </xf>
    <xf numFmtId="0" fontId="5" fillId="6" borderId="3" xfId="0" applyFont="1" applyFill="1" applyBorder="1" applyAlignment="1"/>
    <xf numFmtId="2" fontId="28" fillId="6" borderId="4" xfId="0" applyNumberFormat="1" applyFont="1" applyFill="1" applyBorder="1"/>
    <xf numFmtId="0" fontId="14" fillId="6" borderId="3" xfId="0" applyFont="1" applyFill="1" applyBorder="1"/>
    <xf numFmtId="2" fontId="11" fillId="6" borderId="4" xfId="0" applyNumberFormat="1" applyFont="1" applyFill="1" applyBorder="1"/>
    <xf numFmtId="2" fontId="14" fillId="6" borderId="4" xfId="0" applyNumberFormat="1" applyFont="1" applyFill="1" applyBorder="1"/>
    <xf numFmtId="2" fontId="6" fillId="6" borderId="4" xfId="0" applyNumberFormat="1" applyFont="1" applyFill="1" applyBorder="1"/>
    <xf numFmtId="0" fontId="8" fillId="6" borderId="3" xfId="0" applyFont="1" applyFill="1" applyBorder="1" applyAlignment="1">
      <alignment vertical="center"/>
    </xf>
    <xf numFmtId="2" fontId="5" fillId="6" borderId="4" xfId="0" applyNumberFormat="1" applyFont="1" applyFill="1" applyBorder="1" applyAlignment="1"/>
    <xf numFmtId="2" fontId="17" fillId="6" borderId="4" xfId="0" applyNumberFormat="1" applyFont="1" applyFill="1" applyBorder="1"/>
    <xf numFmtId="0" fontId="24" fillId="6" borderId="4" xfId="0" applyFont="1" applyFill="1" applyBorder="1" applyAlignment="1"/>
    <xf numFmtId="0" fontId="5" fillId="6" borderId="3" xfId="0" applyFont="1" applyFill="1" applyBorder="1"/>
    <xf numFmtId="0" fontId="5" fillId="6" borderId="4" xfId="0" applyFont="1" applyFill="1" applyBorder="1" applyAlignment="1"/>
    <xf numFmtId="0" fontId="14" fillId="6" borderId="4" xfId="0" applyFont="1" applyFill="1" applyBorder="1"/>
    <xf numFmtId="2" fontId="10" fillId="6" borderId="4" xfId="0" applyNumberFormat="1" applyFont="1" applyFill="1" applyBorder="1" applyAlignment="1">
      <alignment horizontal="center"/>
    </xf>
    <xf numFmtId="0" fontId="6" fillId="6" borderId="4" xfId="0" applyFont="1" applyFill="1" applyBorder="1"/>
    <xf numFmtId="2" fontId="0" fillId="6" borderId="4" xfId="0" applyNumberFormat="1" applyFill="1" applyBorder="1"/>
    <xf numFmtId="0" fontId="14" fillId="6" borderId="5" xfId="0" applyFont="1" applyFill="1" applyBorder="1"/>
    <xf numFmtId="2" fontId="14" fillId="6" borderId="1" xfId="0" applyNumberFormat="1" applyFont="1" applyFill="1" applyBorder="1"/>
    <xf numFmtId="0" fontId="14" fillId="6" borderId="1" xfId="0" applyFont="1" applyFill="1" applyBorder="1"/>
    <xf numFmtId="0" fontId="0" fillId="6" borderId="1" xfId="0" applyFill="1" applyBorder="1"/>
    <xf numFmtId="0" fontId="14" fillId="6" borderId="6" xfId="0" applyFont="1" applyFill="1" applyBorder="1"/>
    <xf numFmtId="1" fontId="6" fillId="12" borderId="0" xfId="0" applyNumberFormat="1" applyFont="1" applyFill="1" applyBorder="1" applyAlignment="1">
      <alignment horizontal="center"/>
    </xf>
    <xf numFmtId="2" fontId="6" fillId="12" borderId="1" xfId="0" applyNumberFormat="1" applyFont="1" applyFill="1" applyBorder="1" applyAlignment="1">
      <alignment horizontal="center"/>
    </xf>
    <xf numFmtId="0" fontId="5" fillId="6" borderId="0" xfId="0" applyFont="1" applyFill="1" applyBorder="1" applyAlignment="1">
      <alignment horizontal="center"/>
    </xf>
    <xf numFmtId="2" fontId="6" fillId="6" borderId="1" xfId="0" applyNumberFormat="1" applyFont="1" applyFill="1" applyBorder="1" applyAlignment="1">
      <alignment horizontal="center"/>
    </xf>
    <xf numFmtId="2" fontId="1" fillId="8" borderId="0" xfId="0" applyNumberFormat="1" applyFont="1" applyFill="1" applyBorder="1" applyAlignment="1">
      <alignment horizontal="center"/>
    </xf>
    <xf numFmtId="2" fontId="1" fillId="9" borderId="0" xfId="0" applyNumberFormat="1" applyFont="1" applyFill="1" applyBorder="1" applyAlignment="1">
      <alignment horizontal="center"/>
    </xf>
    <xf numFmtId="0" fontId="6" fillId="6" borderId="0" xfId="0" applyFont="1" applyFill="1" applyBorder="1" applyAlignment="1">
      <alignment horizontal="center"/>
    </xf>
    <xf numFmtId="0" fontId="11" fillId="0" borderId="0" xfId="0" applyFont="1"/>
    <xf numFmtId="0" fontId="10" fillId="7" borderId="0" xfId="0" applyFont="1" applyFill="1" applyBorder="1" applyAlignment="1">
      <alignment horizontal="right"/>
    </xf>
    <xf numFmtId="2" fontId="10" fillId="7" borderId="0" xfId="0" applyNumberFormat="1" applyFont="1" applyFill="1" applyBorder="1" applyAlignment="1">
      <alignment horizontal="right"/>
    </xf>
    <xf numFmtId="2" fontId="11" fillId="7" borderId="0" xfId="0" applyNumberFormat="1" applyFont="1" applyFill="1" applyBorder="1" applyAlignment="1"/>
    <xf numFmtId="2" fontId="10" fillId="7" borderId="0" xfId="0" applyNumberFormat="1" applyFont="1" applyFill="1" applyBorder="1" applyAlignment="1">
      <alignment horizontal="center"/>
    </xf>
    <xf numFmtId="0" fontId="11" fillId="0" borderId="0" xfId="0" applyFont="1" applyBorder="1" applyAlignment="1"/>
    <xf numFmtId="0" fontId="11" fillId="0" borderId="0" xfId="0" applyFont="1" applyAlignment="1"/>
    <xf numFmtId="3" fontId="6" fillId="7" borderId="0" xfId="0" applyNumberFormat="1" applyFont="1" applyFill="1" applyBorder="1" applyAlignment="1">
      <alignment horizontal="right"/>
    </xf>
    <xf numFmtId="0" fontId="7" fillId="7" borderId="0" xfId="0" applyFont="1" applyFill="1" applyBorder="1" applyAlignment="1">
      <alignment horizontal="right" vertical="center"/>
    </xf>
    <xf numFmtId="0" fontId="6" fillId="12" borderId="0" xfId="0" applyFont="1" applyFill="1" applyBorder="1" applyAlignment="1">
      <alignment horizontal="right" vertical="center"/>
    </xf>
    <xf numFmtId="2" fontId="4" fillId="12" borderId="0" xfId="0" applyNumberFormat="1" applyFont="1" applyFill="1" applyBorder="1" applyAlignment="1">
      <alignment horizontal="center"/>
    </xf>
    <xf numFmtId="2" fontId="6" fillId="12" borderId="0" xfId="0" applyNumberFormat="1" applyFont="1" applyFill="1" applyBorder="1" applyAlignment="1">
      <alignment horizontal="center"/>
    </xf>
    <xf numFmtId="2" fontId="10" fillId="12" borderId="0" xfId="0" applyNumberFormat="1" applyFont="1" applyFill="1" applyBorder="1" applyAlignment="1">
      <alignment horizontal="center"/>
    </xf>
    <xf numFmtId="2" fontId="6" fillId="12" borderId="0" xfId="0" applyNumberFormat="1" applyFont="1" applyFill="1" applyBorder="1" applyAlignment="1">
      <alignment horizontal="center"/>
    </xf>
    <xf numFmtId="2" fontId="10" fillId="12" borderId="0" xfId="0" applyNumberFormat="1" applyFont="1" applyFill="1" applyBorder="1" applyAlignment="1">
      <alignment horizontal="center"/>
    </xf>
    <xf numFmtId="1" fontId="10" fillId="12" borderId="0" xfId="0" applyNumberFormat="1" applyFont="1" applyFill="1" applyBorder="1" applyAlignment="1">
      <alignment horizontal="center"/>
    </xf>
    <xf numFmtId="2" fontId="8" fillId="12" borderId="0" xfId="0" applyNumberFormat="1" applyFont="1" applyFill="1" applyBorder="1" applyAlignment="1">
      <alignment horizontal="center"/>
    </xf>
    <xf numFmtId="2" fontId="8" fillId="12" borderId="0" xfId="0" applyNumberFormat="1" applyFont="1" applyFill="1" applyBorder="1" applyAlignment="1">
      <alignment horizontal="center" vertical="center"/>
    </xf>
    <xf numFmtId="1" fontId="9" fillId="12" borderId="0" xfId="0" applyNumberFormat="1" applyFont="1" applyFill="1" applyBorder="1" applyAlignment="1">
      <alignment horizontal="center"/>
    </xf>
    <xf numFmtId="0" fontId="14" fillId="12" borderId="0" xfId="0" applyFont="1" applyFill="1" applyBorder="1" applyAlignment="1">
      <alignment vertical="center"/>
    </xf>
    <xf numFmtId="3" fontId="6" fillId="12" borderId="0" xfId="0" applyNumberFormat="1" applyFont="1" applyFill="1" applyBorder="1" applyAlignment="1">
      <alignment vertical="center"/>
    </xf>
    <xf numFmtId="4" fontId="3" fillId="0" borderId="0" xfId="0" applyNumberFormat="1" applyFont="1" applyBorder="1" applyAlignment="1">
      <alignment horizontal="center"/>
    </xf>
    <xf numFmtId="4" fontId="3" fillId="0" borderId="0" xfId="0" applyNumberFormat="1" applyFont="1" applyBorder="1" applyAlignment="1">
      <alignment horizontal="center"/>
    </xf>
    <xf numFmtId="2" fontId="10" fillId="0" borderId="0" xfId="0" applyNumberFormat="1" applyFont="1" applyFill="1" applyBorder="1" applyAlignment="1">
      <alignment horizontal="center"/>
    </xf>
    <xf numFmtId="1" fontId="9" fillId="0" borderId="0" xfId="0" applyNumberFormat="1" applyFont="1" applyFill="1" applyBorder="1" applyAlignment="1">
      <alignment horizontal="center"/>
    </xf>
    <xf numFmtId="2" fontId="14" fillId="0" borderId="0" xfId="0" applyNumberFormat="1" applyFont="1" applyFill="1" applyBorder="1"/>
    <xf numFmtId="3" fontId="6" fillId="0" borderId="0" xfId="0" applyNumberFormat="1" applyFont="1" applyFill="1" applyBorder="1"/>
    <xf numFmtId="2" fontId="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/>
    </xf>
    <xf numFmtId="2" fontId="6" fillId="0" borderId="0" xfId="0" applyNumberFormat="1" applyFont="1" applyFill="1" applyBorder="1" applyAlignment="1">
      <alignment horizontal="center"/>
    </xf>
    <xf numFmtId="3" fontId="6" fillId="0" borderId="1" xfId="0" applyNumberFormat="1" applyFont="1" applyFill="1" applyBorder="1"/>
    <xf numFmtId="2" fontId="6" fillId="0" borderId="0" xfId="0" applyNumberFormat="1" applyFont="1" applyFill="1" applyBorder="1"/>
    <xf numFmtId="0" fontId="0" fillId="0" borderId="0" xfId="0" applyFont="1" applyFill="1"/>
    <xf numFmtId="2" fontId="6" fillId="0" borderId="0" xfId="0" applyNumberFormat="1" applyFont="1" applyBorder="1" applyAlignment="1">
      <alignment horizontal="center"/>
    </xf>
    <xf numFmtId="0" fontId="5" fillId="6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/>
    </xf>
    <xf numFmtId="2" fontId="6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" fontId="6" fillId="0" borderId="0" xfId="0" applyNumberFormat="1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2" fontId="14" fillId="0" borderId="0" xfId="0" applyNumberFormat="1" applyFont="1" applyFill="1" applyBorder="1" applyAlignment="1">
      <alignment horizontal="center"/>
    </xf>
    <xf numFmtId="2" fontId="6" fillId="0" borderId="1" xfId="0" applyNumberFormat="1" applyFont="1" applyFill="1" applyBorder="1"/>
    <xf numFmtId="0" fontId="10" fillId="0" borderId="0" xfId="0" applyFont="1" applyFill="1" applyBorder="1" applyAlignment="1">
      <alignment vertical="center"/>
    </xf>
    <xf numFmtId="3" fontId="6" fillId="0" borderId="0" xfId="0" applyNumberFormat="1" applyFont="1" applyFill="1" applyBorder="1" applyAlignment="1">
      <alignment horizontal="right"/>
    </xf>
    <xf numFmtId="2" fontId="5" fillId="0" borderId="0" xfId="0" applyNumberFormat="1" applyFont="1" applyFill="1" applyBorder="1" applyAlignment="1">
      <alignment horizontal="center"/>
    </xf>
    <xf numFmtId="2" fontId="11" fillId="0" borderId="0" xfId="0" applyNumberFormat="1" applyFont="1" applyFill="1" applyBorder="1"/>
    <xf numFmtId="0" fontId="11" fillId="0" borderId="0" xfId="0" applyFont="1" applyFill="1" applyBorder="1" applyAlignment="1">
      <alignment horizontal="center"/>
    </xf>
    <xf numFmtId="2" fontId="10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2" fontId="32" fillId="14" borderId="0" xfId="0" applyNumberFormat="1" applyFont="1" applyFill="1" applyBorder="1" applyAlignment="1"/>
    <xf numFmtId="2" fontId="32" fillId="0" borderId="0" xfId="0" applyNumberFormat="1" applyFont="1" applyFill="1" applyBorder="1" applyAlignment="1"/>
    <xf numFmtId="0" fontId="10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horizontal="left"/>
    </xf>
    <xf numFmtId="0" fontId="17" fillId="0" borderId="0" xfId="0" applyFont="1" applyFill="1" applyBorder="1"/>
    <xf numFmtId="2" fontId="6" fillId="15" borderId="17" xfId="0" applyNumberFormat="1" applyFont="1" applyFill="1" applyBorder="1" applyAlignment="1">
      <alignment horizontal="center" vertical="center"/>
    </xf>
    <xf numFmtId="2" fontId="6" fillId="15" borderId="0" xfId="0" applyNumberFormat="1" applyFont="1" applyFill="1" applyBorder="1" applyAlignment="1">
      <alignment horizontal="center" vertical="center"/>
    </xf>
    <xf numFmtId="0" fontId="0" fillId="15" borderId="0" xfId="0" applyFill="1" applyBorder="1"/>
    <xf numFmtId="2" fontId="6" fillId="15" borderId="18" xfId="0" applyNumberFormat="1" applyFont="1" applyFill="1" applyBorder="1" applyAlignment="1">
      <alignment horizontal="center" vertical="center"/>
    </xf>
    <xf numFmtId="1" fontId="6" fillId="15" borderId="17" xfId="0" applyNumberFormat="1" applyFont="1" applyFill="1" applyBorder="1" applyAlignment="1">
      <alignment horizontal="center"/>
    </xf>
    <xf numFmtId="1" fontId="6" fillId="15" borderId="0" xfId="0" applyNumberFormat="1" applyFont="1" applyFill="1" applyBorder="1" applyAlignment="1">
      <alignment horizontal="center"/>
    </xf>
    <xf numFmtId="1" fontId="6" fillId="15" borderId="18" xfId="0" applyNumberFormat="1" applyFont="1" applyFill="1" applyBorder="1" applyAlignment="1">
      <alignment horizontal="center"/>
    </xf>
    <xf numFmtId="2" fontId="6" fillId="15" borderId="19" xfId="0" applyNumberFormat="1" applyFont="1" applyFill="1" applyBorder="1" applyAlignment="1">
      <alignment horizontal="center"/>
    </xf>
    <xf numFmtId="2" fontId="6" fillId="15" borderId="12" xfId="0" applyNumberFormat="1" applyFont="1" applyFill="1" applyBorder="1" applyAlignment="1">
      <alignment horizontal="center"/>
    </xf>
    <xf numFmtId="0" fontId="0" fillId="15" borderId="12" xfId="0" applyFill="1" applyBorder="1"/>
    <xf numFmtId="2" fontId="6" fillId="15" borderId="20" xfId="0" applyNumberFormat="1" applyFont="1" applyFill="1" applyBorder="1" applyAlignment="1">
      <alignment horizontal="center"/>
    </xf>
    <xf numFmtId="0" fontId="17" fillId="8" borderId="15" xfId="0" applyFont="1" applyFill="1" applyBorder="1"/>
    <xf numFmtId="2" fontId="8" fillId="8" borderId="17" xfId="0" applyNumberFormat="1" applyFont="1" applyFill="1" applyBorder="1" applyAlignment="1">
      <alignment horizontal="center" vertical="center"/>
    </xf>
    <xf numFmtId="2" fontId="8" fillId="8" borderId="0" xfId="0" applyNumberFormat="1" applyFont="1" applyFill="1" applyBorder="1" applyAlignment="1">
      <alignment horizontal="center" vertical="center"/>
    </xf>
    <xf numFmtId="0" fontId="17" fillId="8" borderId="0" xfId="0" applyFont="1" applyFill="1" applyBorder="1"/>
    <xf numFmtId="2" fontId="8" fillId="8" borderId="18" xfId="0" applyNumberFormat="1" applyFont="1" applyFill="1" applyBorder="1" applyAlignment="1">
      <alignment horizontal="center" vertical="center"/>
    </xf>
    <xf numFmtId="1" fontId="8" fillId="8" borderId="17" xfId="0" applyNumberFormat="1" applyFont="1" applyFill="1" applyBorder="1" applyAlignment="1">
      <alignment horizontal="center"/>
    </xf>
    <xf numFmtId="1" fontId="8" fillId="8" borderId="0" xfId="0" applyNumberFormat="1" applyFont="1" applyFill="1" applyBorder="1" applyAlignment="1">
      <alignment horizontal="center"/>
    </xf>
    <xf numFmtId="1" fontId="8" fillId="8" borderId="18" xfId="0" applyNumberFormat="1" applyFont="1" applyFill="1" applyBorder="1" applyAlignment="1">
      <alignment horizontal="center"/>
    </xf>
    <xf numFmtId="2" fontId="8" fillId="8" borderId="19" xfId="0" applyNumberFormat="1" applyFont="1" applyFill="1" applyBorder="1" applyAlignment="1">
      <alignment horizontal="center"/>
    </xf>
    <xf numFmtId="2" fontId="8" fillId="8" borderId="12" xfId="0" applyNumberFormat="1" applyFont="1" applyFill="1" applyBorder="1" applyAlignment="1">
      <alignment horizontal="center"/>
    </xf>
    <xf numFmtId="0" fontId="17" fillId="8" borderId="12" xfId="0" applyFont="1" applyFill="1" applyBorder="1"/>
    <xf numFmtId="2" fontId="8" fillId="8" borderId="20" xfId="0" applyNumberFormat="1" applyFont="1" applyFill="1" applyBorder="1" applyAlignment="1">
      <alignment horizontal="center"/>
    </xf>
    <xf numFmtId="2" fontId="6" fillId="16" borderId="17" xfId="0" applyNumberFormat="1" applyFont="1" applyFill="1" applyBorder="1" applyAlignment="1">
      <alignment horizontal="center" vertical="center"/>
    </xf>
    <xf numFmtId="2" fontId="6" fillId="16" borderId="0" xfId="0" applyNumberFormat="1" applyFont="1" applyFill="1" applyBorder="1" applyAlignment="1">
      <alignment horizontal="center" vertical="center"/>
    </xf>
    <xf numFmtId="0" fontId="0" fillId="16" borderId="0" xfId="0" applyFill="1" applyBorder="1"/>
    <xf numFmtId="2" fontId="6" fillId="16" borderId="18" xfId="0" applyNumberFormat="1" applyFont="1" applyFill="1" applyBorder="1" applyAlignment="1">
      <alignment horizontal="center" vertical="center"/>
    </xf>
    <xf numFmtId="3" fontId="6" fillId="16" borderId="17" xfId="0" applyNumberFormat="1" applyFont="1" applyFill="1" applyBorder="1" applyAlignment="1">
      <alignment horizontal="center"/>
    </xf>
    <xf numFmtId="3" fontId="6" fillId="16" borderId="0" xfId="0" applyNumberFormat="1" applyFont="1" applyFill="1" applyBorder="1" applyAlignment="1">
      <alignment horizontal="center"/>
    </xf>
    <xf numFmtId="1" fontId="6" fillId="16" borderId="0" xfId="0" applyNumberFormat="1" applyFont="1" applyFill="1" applyBorder="1" applyAlignment="1">
      <alignment horizontal="center"/>
    </xf>
    <xf numFmtId="1" fontId="6" fillId="16" borderId="18" xfId="0" applyNumberFormat="1" applyFont="1" applyFill="1" applyBorder="1" applyAlignment="1">
      <alignment horizontal="center"/>
    </xf>
    <xf numFmtId="2" fontId="6" fillId="16" borderId="19" xfId="0" applyNumberFormat="1" applyFont="1" applyFill="1" applyBorder="1" applyAlignment="1">
      <alignment horizontal="center"/>
    </xf>
    <xf numFmtId="2" fontId="6" fillId="16" borderId="12" xfId="0" applyNumberFormat="1" applyFont="1" applyFill="1" applyBorder="1" applyAlignment="1">
      <alignment horizontal="center"/>
    </xf>
    <xf numFmtId="0" fontId="0" fillId="16" borderId="12" xfId="0" applyFill="1" applyBorder="1"/>
    <xf numFmtId="2" fontId="6" fillId="16" borderId="20" xfId="0" applyNumberFormat="1" applyFont="1" applyFill="1" applyBorder="1" applyAlignment="1">
      <alignment horizontal="center"/>
    </xf>
    <xf numFmtId="0" fontId="17" fillId="6" borderId="15" xfId="0" applyFont="1" applyFill="1" applyBorder="1"/>
    <xf numFmtId="2" fontId="8" fillId="6" borderId="17" xfId="0" applyNumberFormat="1" applyFont="1" applyFill="1" applyBorder="1" applyAlignment="1">
      <alignment horizontal="center" vertical="center"/>
    </xf>
    <xf numFmtId="2" fontId="8" fillId="6" borderId="0" xfId="0" applyNumberFormat="1" applyFont="1" applyFill="1" applyBorder="1" applyAlignment="1">
      <alignment horizontal="center" vertical="center"/>
    </xf>
    <xf numFmtId="2" fontId="8" fillId="6" borderId="18" xfId="0" applyNumberFormat="1" applyFont="1" applyFill="1" applyBorder="1" applyAlignment="1">
      <alignment horizontal="center" vertical="center"/>
    </xf>
    <xf numFmtId="3" fontId="8" fillId="6" borderId="17" xfId="0" applyNumberFormat="1" applyFont="1" applyFill="1" applyBorder="1" applyAlignment="1">
      <alignment horizontal="center"/>
    </xf>
    <xf numFmtId="3" fontId="8" fillId="6" borderId="0" xfId="0" applyNumberFormat="1" applyFont="1" applyFill="1" applyBorder="1" applyAlignment="1">
      <alignment horizontal="center"/>
    </xf>
    <xf numFmtId="1" fontId="8" fillId="6" borderId="0" xfId="0" applyNumberFormat="1" applyFont="1" applyFill="1" applyBorder="1" applyAlignment="1">
      <alignment horizontal="center"/>
    </xf>
    <xf numFmtId="1" fontId="8" fillId="6" borderId="18" xfId="0" applyNumberFormat="1" applyFont="1" applyFill="1" applyBorder="1" applyAlignment="1">
      <alignment horizontal="center"/>
    </xf>
    <xf numFmtId="2" fontId="8" fillId="6" borderId="19" xfId="0" applyNumberFormat="1" applyFont="1" applyFill="1" applyBorder="1" applyAlignment="1">
      <alignment horizontal="center"/>
    </xf>
    <xf numFmtId="2" fontId="8" fillId="6" borderId="12" xfId="0" applyNumberFormat="1" applyFont="1" applyFill="1" applyBorder="1" applyAlignment="1">
      <alignment horizontal="center"/>
    </xf>
    <xf numFmtId="0" fontId="17" fillId="6" borderId="12" xfId="0" applyFont="1" applyFill="1" applyBorder="1"/>
    <xf numFmtId="2" fontId="8" fillId="6" borderId="20" xfId="0" applyNumberFormat="1" applyFont="1" applyFill="1" applyBorder="1" applyAlignment="1">
      <alignment horizontal="center"/>
    </xf>
    <xf numFmtId="1" fontId="8" fillId="6" borderId="17" xfId="0" applyNumberFormat="1" applyFont="1" applyFill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2" fontId="11" fillId="17" borderId="0" xfId="0" applyNumberFormat="1" applyFont="1" applyFill="1" applyBorder="1"/>
    <xf numFmtId="2" fontId="10" fillId="17" borderId="0" xfId="0" applyNumberFormat="1" applyFont="1" applyFill="1" applyBorder="1" applyAlignment="1">
      <alignment horizontal="center"/>
    </xf>
    <xf numFmtId="0" fontId="11" fillId="17" borderId="0" xfId="0" applyFont="1" applyFill="1" applyBorder="1" applyAlignment="1">
      <alignment horizontal="center"/>
    </xf>
    <xf numFmtId="0" fontId="14" fillId="17" borderId="0" xfId="0" applyFont="1" applyFill="1" applyBorder="1"/>
    <xf numFmtId="2" fontId="6" fillId="17" borderId="0" xfId="0" applyNumberFormat="1" applyFont="1" applyFill="1" applyBorder="1"/>
    <xf numFmtId="2" fontId="14" fillId="17" borderId="0" xfId="0" applyNumberFormat="1" applyFont="1" applyFill="1" applyBorder="1"/>
    <xf numFmtId="2" fontId="6" fillId="17" borderId="0" xfId="0" applyNumberFormat="1" applyFont="1" applyFill="1" applyBorder="1" applyAlignment="1">
      <alignment horizontal="center"/>
    </xf>
    <xf numFmtId="0" fontId="14" fillId="17" borderId="0" xfId="0" applyFont="1" applyFill="1" applyBorder="1" applyAlignment="1">
      <alignment horizontal="center"/>
    </xf>
    <xf numFmtId="0" fontId="0" fillId="17" borderId="0" xfId="0" applyFill="1" applyBorder="1"/>
    <xf numFmtId="2" fontId="6" fillId="17" borderId="0" xfId="0" applyNumberFormat="1" applyFont="1" applyFill="1" applyBorder="1" applyAlignment="1">
      <alignment horizontal="center" vertical="center"/>
    </xf>
    <xf numFmtId="1" fontId="6" fillId="17" borderId="0" xfId="0" applyNumberFormat="1" applyFont="1" applyFill="1" applyBorder="1" applyAlignment="1">
      <alignment horizontal="center"/>
    </xf>
    <xf numFmtId="0" fontId="6" fillId="17" borderId="0" xfId="0" applyFont="1" applyFill="1" applyBorder="1" applyAlignment="1">
      <alignment horizontal="center"/>
    </xf>
    <xf numFmtId="0" fontId="6" fillId="17" borderId="0" xfId="0" applyFont="1" applyFill="1" applyBorder="1"/>
    <xf numFmtId="2" fontId="6" fillId="17" borderId="1" xfId="0" applyNumberFormat="1" applyFont="1" applyFill="1" applyBorder="1"/>
    <xf numFmtId="0" fontId="6" fillId="10" borderId="0" xfId="0" applyFont="1" applyFill="1" applyBorder="1" applyAlignment="1">
      <alignment horizontal="right" vertical="center"/>
    </xf>
    <xf numFmtId="0" fontId="17" fillId="0" borderId="0" xfId="0" applyFont="1" applyAlignment="1"/>
    <xf numFmtId="0" fontId="17" fillId="0" borderId="0" xfId="0" applyFont="1" applyAlignment="1">
      <alignment horizontal="center"/>
    </xf>
    <xf numFmtId="0" fontId="7" fillId="0" borderId="0" xfId="0" applyFont="1"/>
    <xf numFmtId="2" fontId="3" fillId="0" borderId="0" xfId="0" applyNumberFormat="1" applyFont="1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25" fillId="0" borderId="0" xfId="0" applyNumberFormat="1" applyFont="1" applyBorder="1"/>
    <xf numFmtId="49" fontId="3" fillId="0" borderId="0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6" fillId="0" borderId="0" xfId="0" applyNumberFormat="1" applyFont="1" applyFill="1" applyBorder="1" applyAlignment="1">
      <alignment horizontal="center"/>
    </xf>
    <xf numFmtId="0" fontId="6" fillId="0" borderId="0" xfId="0" applyFont="1" applyFill="1" applyBorder="1" applyAlignment="1"/>
    <xf numFmtId="2" fontId="8" fillId="0" borderId="0" xfId="0" applyNumberFormat="1" applyFont="1" applyFill="1" applyBorder="1" applyAlignment="1">
      <alignment horizontal="center"/>
    </xf>
    <xf numFmtId="4" fontId="3" fillId="0" borderId="0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2" fontId="6" fillId="6" borderId="0" xfId="0" applyNumberFormat="1" applyFont="1" applyFill="1" applyBorder="1" applyAlignment="1">
      <alignment horizontal="center"/>
    </xf>
    <xf numFmtId="4" fontId="3" fillId="0" borderId="0" xfId="0" applyNumberFormat="1" applyFont="1" applyBorder="1" applyAlignment="1">
      <alignment horizontal="center"/>
    </xf>
    <xf numFmtId="0" fontId="14" fillId="0" borderId="0" xfId="0" applyFont="1"/>
    <xf numFmtId="0" fontId="25" fillId="0" borderId="0" xfId="0" applyFont="1"/>
    <xf numFmtId="2" fontId="6" fillId="9" borderId="0" xfId="0" applyNumberFormat="1" applyFont="1" applyFill="1" applyBorder="1" applyAlignment="1">
      <alignment horizontal="center"/>
    </xf>
    <xf numFmtId="0" fontId="6" fillId="9" borderId="0" xfId="0" applyFont="1" applyFill="1" applyBorder="1" applyAlignment="1">
      <alignment horizontal="center" vertical="center"/>
    </xf>
    <xf numFmtId="4" fontId="3" fillId="0" borderId="0" xfId="0" applyNumberFormat="1" applyFont="1" applyBorder="1" applyAlignment="1">
      <alignment horizontal="center"/>
    </xf>
    <xf numFmtId="4" fontId="12" fillId="0" borderId="0" xfId="0" applyNumberFormat="1" applyFont="1" applyAlignment="1">
      <alignment horizontal="right"/>
    </xf>
    <xf numFmtId="4" fontId="3" fillId="0" borderId="0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4" fontId="3" fillId="0" borderId="13" xfId="0" applyNumberFormat="1" applyFont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3" fontId="3" fillId="0" borderId="0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4" fontId="3" fillId="0" borderId="0" xfId="0" applyNumberFormat="1" applyFont="1" applyFill="1" applyBorder="1" applyAlignment="1">
      <alignment horizontal="center"/>
    </xf>
    <xf numFmtId="2" fontId="3" fillId="0" borderId="0" xfId="0" applyNumberFormat="1" applyFont="1" applyAlignment="1">
      <alignment horizontal="right"/>
    </xf>
    <xf numFmtId="0" fontId="0" fillId="0" borderId="0" xfId="0" applyAlignment="1">
      <alignment horizontal="center" wrapText="1"/>
    </xf>
    <xf numFmtId="9" fontId="0" fillId="0" borderId="0" xfId="0" applyNumberFormat="1" applyAlignment="1">
      <alignment horizontal="center"/>
    </xf>
    <xf numFmtId="4" fontId="3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15" fillId="0" borderId="0" xfId="0" applyFont="1"/>
    <xf numFmtId="0" fontId="15" fillId="0" borderId="21" xfId="0" applyFont="1" applyBorder="1" applyAlignment="1">
      <alignment horizontal="center"/>
    </xf>
    <xf numFmtId="2" fontId="3" fillId="0" borderId="0" xfId="0" applyNumberFormat="1" applyFont="1" applyBorder="1" applyAlignment="1">
      <alignment horizontal="right"/>
    </xf>
    <xf numFmtId="2" fontId="35" fillId="0" borderId="12" xfId="0" applyNumberFormat="1" applyFont="1" applyBorder="1"/>
    <xf numFmtId="2" fontId="6" fillId="6" borderId="0" xfId="0" applyNumberFormat="1" applyFont="1" applyFill="1" applyBorder="1" applyAlignment="1">
      <alignment horizontal="center"/>
    </xf>
    <xf numFmtId="0" fontId="4" fillId="17" borderId="0" xfId="0" applyFont="1" applyFill="1" applyBorder="1" applyAlignment="1">
      <alignment horizontal="right" vertical="center"/>
    </xf>
    <xf numFmtId="0" fontId="5" fillId="10" borderId="0" xfId="0" applyFont="1" applyFill="1" applyBorder="1" applyAlignment="1"/>
    <xf numFmtId="0" fontId="6" fillId="10" borderId="0" xfId="0" applyFont="1" applyFill="1" applyBorder="1" applyAlignment="1">
      <alignment horizontal="right" vertical="center"/>
    </xf>
    <xf numFmtId="2" fontId="6" fillId="10" borderId="0" xfId="0" applyNumberFormat="1" applyFont="1" applyFill="1" applyBorder="1" applyAlignment="1">
      <alignment horizontal="center"/>
    </xf>
    <xf numFmtId="2" fontId="15" fillId="0" borderId="0" xfId="0" applyNumberFormat="1" applyFont="1"/>
    <xf numFmtId="2" fontId="3" fillId="0" borderId="0" xfId="0" applyNumberFormat="1" applyFont="1" applyBorder="1" applyAlignment="1">
      <alignment horizontal="center"/>
    </xf>
    <xf numFmtId="4" fontId="3" fillId="0" borderId="0" xfId="0" applyNumberFormat="1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2" fontId="6" fillId="0" borderId="0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 vertical="center"/>
    </xf>
    <xf numFmtId="2" fontId="5" fillId="0" borderId="0" xfId="0" applyNumberFormat="1" applyFont="1" applyFill="1" applyBorder="1" applyAlignment="1">
      <alignment horizontal="center"/>
    </xf>
    <xf numFmtId="4" fontId="6" fillId="0" borderId="0" xfId="0" applyNumberFormat="1" applyFont="1" applyFill="1" applyBorder="1" applyAlignment="1">
      <alignment horizontal="center"/>
    </xf>
    <xf numFmtId="2" fontId="6" fillId="0" borderId="0" xfId="0" applyNumberFormat="1" applyFont="1" applyFill="1" applyBorder="1" applyAlignment="1">
      <alignment horizontal="center"/>
    </xf>
    <xf numFmtId="0" fontId="13" fillId="0" borderId="0" xfId="0" applyFont="1" applyAlignment="1">
      <alignment vertical="center"/>
    </xf>
    <xf numFmtId="2" fontId="28" fillId="0" borderId="0" xfId="0" applyNumberFormat="1" applyFont="1" applyFill="1" applyBorder="1"/>
    <xf numFmtId="0" fontId="14" fillId="0" borderId="3" xfId="0" applyFont="1" applyFill="1" applyBorder="1"/>
    <xf numFmtId="49" fontId="3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0" fontId="0" fillId="0" borderId="0" xfId="0" applyFill="1" applyAlignment="1">
      <alignment horizontal="right"/>
    </xf>
    <xf numFmtId="4" fontId="3" fillId="0" borderId="0" xfId="0" applyNumberFormat="1" applyFont="1" applyBorder="1" applyAlignment="1">
      <alignment horizontal="center"/>
    </xf>
    <xf numFmtId="0" fontId="8" fillId="0" borderId="0" xfId="0" applyFont="1" applyFill="1" applyBorder="1" applyAlignment="1">
      <alignment vertical="center"/>
    </xf>
    <xf numFmtId="2" fontId="0" fillId="0" borderId="0" xfId="0" applyNumberFormat="1" applyFill="1" applyBorder="1" applyAlignment="1"/>
    <xf numFmtId="2" fontId="3" fillId="0" borderId="12" xfId="0" applyNumberFormat="1" applyFont="1" applyFill="1" applyBorder="1"/>
    <xf numFmtId="4" fontId="3" fillId="0" borderId="0" xfId="0" applyNumberFormat="1" applyFont="1" applyFill="1" applyBorder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/>
    </xf>
    <xf numFmtId="4" fontId="39" fillId="0" borderId="0" xfId="0" applyNumberFormat="1" applyFont="1" applyBorder="1" applyAlignment="1">
      <alignment horizontal="center"/>
    </xf>
    <xf numFmtId="4" fontId="37" fillId="0" borderId="0" xfId="0" applyNumberFormat="1" applyFont="1" applyBorder="1" applyAlignment="1">
      <alignment horizontal="center"/>
    </xf>
    <xf numFmtId="4" fontId="3" fillId="0" borderId="0" xfId="0" applyNumberFormat="1" applyFont="1" applyBorder="1" applyAlignment="1">
      <alignment horizontal="center"/>
    </xf>
    <xf numFmtId="0" fontId="40" fillId="0" borderId="0" xfId="0" applyFont="1"/>
    <xf numFmtId="0" fontId="41" fillId="0" borderId="0" xfId="0" applyFont="1"/>
    <xf numFmtId="0" fontId="40" fillId="0" borderId="0" xfId="0" applyFont="1" applyAlignment="1">
      <alignment horizontal="center"/>
    </xf>
    <xf numFmtId="49" fontId="38" fillId="0" borderId="0" xfId="0" applyNumberFormat="1" applyFont="1" applyAlignment="1">
      <alignment horizontal="right"/>
    </xf>
    <xf numFmtId="49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left" vertical="center" wrapText="1"/>
    </xf>
    <xf numFmtId="0" fontId="38" fillId="0" borderId="1" xfId="0" applyFont="1" applyBorder="1" applyAlignment="1">
      <alignment horizontal="left" vertical="center" wrapText="1"/>
    </xf>
    <xf numFmtId="0" fontId="43" fillId="0" borderId="7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7" fillId="0" borderId="3" xfId="0" applyFont="1" applyBorder="1"/>
    <xf numFmtId="0" fontId="37" fillId="0" borderId="0" xfId="0" applyFont="1"/>
    <xf numFmtId="0" fontId="37" fillId="0" borderId="11" xfId="0" applyFont="1" applyBorder="1"/>
    <xf numFmtId="0" fontId="37" fillId="0" borderId="3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165" fontId="37" fillId="0" borderId="4" xfId="0" applyNumberFormat="1" applyFont="1" applyBorder="1" applyAlignment="1">
      <alignment horizontal="center" vertical="center"/>
    </xf>
    <xf numFmtId="0" fontId="37" fillId="0" borderId="5" xfId="0" applyFont="1" applyBorder="1"/>
    <xf numFmtId="0" fontId="37" fillId="0" borderId="1" xfId="0" applyFont="1" applyBorder="1"/>
    <xf numFmtId="0" fontId="37" fillId="0" borderId="6" xfId="0" applyFont="1" applyBorder="1"/>
    <xf numFmtId="2" fontId="9" fillId="6" borderId="0" xfId="0" applyNumberFormat="1" applyFont="1" applyFill="1" applyBorder="1" applyAlignment="1">
      <alignment horizontal="center"/>
    </xf>
    <xf numFmtId="0" fontId="25" fillId="12" borderId="0" xfId="0" applyFont="1" applyFill="1" applyBorder="1"/>
    <xf numFmtId="2" fontId="9" fillId="12" borderId="0" xfId="0" applyNumberFormat="1" applyFont="1" applyFill="1" applyBorder="1"/>
    <xf numFmtId="0" fontId="9" fillId="12" borderId="0" xfId="0" applyFont="1" applyFill="1" applyBorder="1" applyAlignment="1">
      <alignment horizontal="right" vertical="center"/>
    </xf>
    <xf numFmtId="3" fontId="25" fillId="12" borderId="0" xfId="0" applyNumberFormat="1" applyFont="1" applyFill="1" applyBorder="1"/>
    <xf numFmtId="0" fontId="9" fillId="12" borderId="0" xfId="0" applyFont="1" applyFill="1" applyBorder="1" applyAlignment="1">
      <alignment horizontal="center" vertical="center"/>
    </xf>
    <xf numFmtId="2" fontId="9" fillId="12" borderId="0" xfId="0" applyNumberFormat="1" applyFont="1" applyFill="1" applyBorder="1" applyAlignment="1"/>
    <xf numFmtId="3" fontId="9" fillId="12" borderId="0" xfId="0" applyNumberFormat="1" applyFont="1" applyFill="1" applyBorder="1"/>
    <xf numFmtId="4" fontId="9" fillId="12" borderId="0" xfId="0" applyNumberFormat="1" applyFont="1" applyFill="1" applyBorder="1"/>
    <xf numFmtId="2" fontId="9" fillId="0" borderId="0" xfId="0" applyNumberFormat="1" applyFont="1" applyBorder="1"/>
    <xf numFmtId="0" fontId="25" fillId="0" borderId="0" xfId="0" applyFont="1" applyBorder="1"/>
    <xf numFmtId="0" fontId="9" fillId="6" borderId="0" xfId="0" applyFont="1" applyFill="1" applyBorder="1" applyAlignment="1"/>
    <xf numFmtId="2" fontId="9" fillId="6" borderId="0" xfId="0" applyNumberFormat="1" applyFont="1" applyFill="1" applyBorder="1" applyAlignment="1"/>
    <xf numFmtId="2" fontId="25" fillId="6" borderId="0" xfId="0" applyNumberFormat="1" applyFont="1" applyFill="1" applyBorder="1"/>
    <xf numFmtId="0" fontId="25" fillId="6" borderId="0" xfId="0" applyFont="1" applyFill="1" applyBorder="1"/>
    <xf numFmtId="3" fontId="9" fillId="6" borderId="0" xfId="0" applyNumberFormat="1" applyFont="1" applyFill="1" applyBorder="1"/>
    <xf numFmtId="2" fontId="9" fillId="6" borderId="0" xfId="0" applyNumberFormat="1" applyFont="1" applyFill="1" applyBorder="1" applyAlignment="1">
      <alignment horizontal="center" vertical="center"/>
    </xf>
    <xf numFmtId="4" fontId="9" fillId="6" borderId="0" xfId="0" applyNumberFormat="1" applyFont="1" applyFill="1" applyBorder="1"/>
    <xf numFmtId="2" fontId="9" fillId="6" borderId="0" xfId="0" applyNumberFormat="1" applyFont="1" applyFill="1" applyBorder="1" applyAlignment="1">
      <alignment vertical="center"/>
    </xf>
    <xf numFmtId="3" fontId="25" fillId="6" borderId="0" xfId="0" applyNumberFormat="1" applyFont="1" applyFill="1" applyBorder="1"/>
    <xf numFmtId="2" fontId="9" fillId="7" borderId="0" xfId="0" applyNumberFormat="1" applyFont="1" applyFill="1" applyBorder="1" applyAlignment="1"/>
    <xf numFmtId="2" fontId="9" fillId="7" borderId="0" xfId="0" applyNumberFormat="1" applyFont="1" applyFill="1" applyBorder="1" applyAlignment="1">
      <alignment horizontal="center"/>
    </xf>
    <xf numFmtId="2" fontId="25" fillId="7" borderId="0" xfId="0" applyNumberFormat="1" applyFont="1" applyFill="1" applyBorder="1"/>
    <xf numFmtId="2" fontId="9" fillId="7" borderId="0" xfId="0" applyNumberFormat="1" applyFont="1" applyFill="1" applyBorder="1"/>
    <xf numFmtId="0" fontId="25" fillId="7" borderId="0" xfId="0" applyFont="1" applyFill="1" applyBorder="1"/>
    <xf numFmtId="3" fontId="9" fillId="7" borderId="0" xfId="0" applyNumberFormat="1" applyFont="1" applyFill="1" applyBorder="1"/>
    <xf numFmtId="2" fontId="9" fillId="7" borderId="0" xfId="0" applyNumberFormat="1" applyFont="1" applyFill="1" applyBorder="1" applyAlignment="1">
      <alignment horizontal="center" vertical="center"/>
    </xf>
    <xf numFmtId="4" fontId="9" fillId="7" borderId="0" xfId="0" applyNumberFormat="1" applyFont="1" applyFill="1" applyBorder="1"/>
    <xf numFmtId="3" fontId="25" fillId="7" borderId="0" xfId="0" applyNumberFormat="1" applyFont="1" applyFill="1" applyBorder="1"/>
    <xf numFmtId="0" fontId="9" fillId="7" borderId="0" xfId="0" applyFont="1" applyFill="1" applyBorder="1" applyAlignment="1">
      <alignment horizontal="center" vertical="center"/>
    </xf>
    <xf numFmtId="2" fontId="9" fillId="7" borderId="0" xfId="0" applyNumberFormat="1" applyFont="1" applyFill="1" applyBorder="1" applyAlignment="1">
      <alignment horizontal="right" vertical="center"/>
    </xf>
    <xf numFmtId="0" fontId="9" fillId="7" borderId="0" xfId="0" applyFont="1" applyFill="1" applyBorder="1" applyAlignment="1">
      <alignment horizontal="right" vertical="center"/>
    </xf>
    <xf numFmtId="2" fontId="9" fillId="8" borderId="0" xfId="0" applyNumberFormat="1" applyFont="1" applyFill="1" applyBorder="1" applyAlignment="1">
      <alignment horizontal="center"/>
    </xf>
    <xf numFmtId="2" fontId="25" fillId="8" borderId="0" xfId="0" applyNumberFormat="1" applyFont="1" applyFill="1" applyBorder="1"/>
    <xf numFmtId="2" fontId="9" fillId="8" borderId="0" xfId="0" applyNumberFormat="1" applyFont="1" applyFill="1" applyBorder="1"/>
    <xf numFmtId="0" fontId="25" fillId="8" borderId="0" xfId="0" applyFont="1" applyFill="1" applyBorder="1"/>
    <xf numFmtId="3" fontId="9" fillId="8" borderId="0" xfId="0" applyNumberFormat="1" applyFont="1" applyFill="1" applyBorder="1"/>
    <xf numFmtId="2" fontId="9" fillId="8" borderId="0" xfId="0" applyNumberFormat="1" applyFont="1" applyFill="1" applyBorder="1" applyAlignment="1">
      <alignment horizontal="center" vertical="center"/>
    </xf>
    <xf numFmtId="4" fontId="9" fillId="8" borderId="0" xfId="0" applyNumberFormat="1" applyFont="1" applyFill="1" applyBorder="1"/>
    <xf numFmtId="3" fontId="25" fillId="8" borderId="0" xfId="0" applyNumberFormat="1" applyFont="1" applyFill="1" applyBorder="1"/>
    <xf numFmtId="2" fontId="9" fillId="8" borderId="0" xfId="0" applyNumberFormat="1" applyFont="1" applyFill="1" applyBorder="1" applyAlignment="1"/>
    <xf numFmtId="0" fontId="9" fillId="8" borderId="0" xfId="0" applyFont="1" applyFill="1" applyBorder="1" applyAlignment="1">
      <alignment horizontal="center" vertical="center"/>
    </xf>
    <xf numFmtId="2" fontId="9" fillId="8" borderId="0" xfId="0" applyNumberFormat="1" applyFont="1" applyFill="1" applyBorder="1" applyAlignment="1">
      <alignment horizontal="right" vertical="center"/>
    </xf>
    <xf numFmtId="0" fontId="9" fillId="8" borderId="0" xfId="0" applyFont="1" applyFill="1" applyBorder="1" applyAlignment="1">
      <alignment horizontal="right" vertical="center"/>
    </xf>
    <xf numFmtId="0" fontId="9" fillId="8" borderId="0" xfId="0" applyFont="1" applyFill="1" applyBorder="1" applyAlignment="1"/>
    <xf numFmtId="3" fontId="25" fillId="0" borderId="0" xfId="0" applyNumberFormat="1" applyFont="1" applyBorder="1"/>
    <xf numFmtId="0" fontId="9" fillId="9" borderId="0" xfId="0" applyFont="1" applyFill="1" applyBorder="1" applyAlignment="1"/>
    <xf numFmtId="2" fontId="25" fillId="9" borderId="0" xfId="0" applyNumberFormat="1" applyFont="1" applyFill="1" applyBorder="1"/>
    <xf numFmtId="0" fontId="9" fillId="9" borderId="0" xfId="0" applyFont="1" applyFill="1" applyBorder="1" applyAlignment="1">
      <alignment horizontal="right" vertical="center"/>
    </xf>
    <xf numFmtId="2" fontId="9" fillId="9" borderId="0" xfId="0" applyNumberFormat="1" applyFont="1" applyFill="1" applyBorder="1" applyAlignment="1">
      <alignment horizontal="center"/>
    </xf>
    <xf numFmtId="3" fontId="9" fillId="9" borderId="0" xfId="0" applyNumberFormat="1" applyFont="1" applyFill="1" applyBorder="1"/>
    <xf numFmtId="0" fontId="25" fillId="9" borderId="0" xfId="0" applyFont="1" applyFill="1" applyBorder="1"/>
    <xf numFmtId="2" fontId="9" fillId="9" borderId="0" xfId="0" applyNumberFormat="1" applyFont="1" applyFill="1" applyBorder="1" applyAlignment="1"/>
    <xf numFmtId="2" fontId="9" fillId="9" borderId="0" xfId="0" applyNumberFormat="1" applyFont="1" applyFill="1" applyBorder="1" applyAlignment="1">
      <alignment horizontal="center" vertical="center"/>
    </xf>
    <xf numFmtId="2" fontId="9" fillId="9" borderId="0" xfId="0" applyNumberFormat="1" applyFont="1" applyFill="1" applyBorder="1"/>
    <xf numFmtId="4" fontId="9" fillId="9" borderId="0" xfId="0" applyNumberFormat="1" applyFont="1" applyFill="1" applyBorder="1"/>
    <xf numFmtId="3" fontId="25" fillId="9" borderId="0" xfId="0" applyNumberFormat="1" applyFont="1" applyFill="1" applyBorder="1"/>
    <xf numFmtId="0" fontId="9" fillId="9" borderId="0" xfId="0" applyFont="1" applyFill="1" applyBorder="1" applyAlignment="1">
      <alignment horizontal="center" vertical="center"/>
    </xf>
    <xf numFmtId="2" fontId="9" fillId="9" borderId="0" xfId="0" applyNumberFormat="1" applyFont="1" applyFill="1" applyBorder="1" applyAlignment="1">
      <alignment horizontal="right" vertical="center"/>
    </xf>
    <xf numFmtId="2" fontId="9" fillId="10" borderId="0" xfId="0" applyNumberFormat="1" applyFont="1" applyFill="1" applyBorder="1" applyAlignment="1">
      <alignment horizontal="center"/>
    </xf>
    <xf numFmtId="2" fontId="25" fillId="10" borderId="0" xfId="0" applyNumberFormat="1" applyFont="1" applyFill="1" applyBorder="1"/>
    <xf numFmtId="2" fontId="9" fillId="10" borderId="0" xfId="0" applyNumberFormat="1" applyFont="1" applyFill="1" applyBorder="1"/>
    <xf numFmtId="0" fontId="25" fillId="10" borderId="0" xfId="0" applyFont="1" applyFill="1" applyBorder="1"/>
    <xf numFmtId="3" fontId="9" fillId="10" borderId="0" xfId="0" applyNumberFormat="1" applyFont="1" applyFill="1" applyBorder="1"/>
    <xf numFmtId="2" fontId="9" fillId="10" borderId="0" xfId="0" applyNumberFormat="1" applyFont="1" applyFill="1" applyBorder="1" applyAlignment="1">
      <alignment horizontal="center" vertical="center"/>
    </xf>
    <xf numFmtId="2" fontId="9" fillId="10" borderId="12" xfId="0" applyNumberFormat="1" applyFont="1" applyFill="1" applyBorder="1"/>
    <xf numFmtId="3" fontId="9" fillId="10" borderId="12" xfId="0" applyNumberFormat="1" applyFont="1" applyFill="1" applyBorder="1"/>
    <xf numFmtId="4" fontId="9" fillId="10" borderId="0" xfId="0" applyNumberFormat="1" applyFont="1" applyFill="1" applyBorder="1"/>
    <xf numFmtId="3" fontId="25" fillId="10" borderId="0" xfId="0" applyNumberFormat="1" applyFont="1" applyFill="1" applyBorder="1"/>
    <xf numFmtId="0" fontId="9" fillId="10" borderId="0" xfId="0" applyFont="1" applyFill="1" applyBorder="1" applyAlignment="1">
      <alignment horizontal="center" vertical="center"/>
    </xf>
    <xf numFmtId="2" fontId="9" fillId="10" borderId="0" xfId="0" applyNumberFormat="1" applyFont="1" applyFill="1" applyBorder="1" applyAlignment="1">
      <alignment horizontal="right" vertical="center"/>
    </xf>
    <xf numFmtId="0" fontId="9" fillId="10" borderId="0" xfId="0" applyFont="1" applyFill="1" applyBorder="1" applyAlignment="1">
      <alignment horizontal="right" vertical="center"/>
    </xf>
    <xf numFmtId="0" fontId="9" fillId="10" borderId="0" xfId="0" applyFont="1" applyFill="1" applyBorder="1" applyAlignment="1"/>
    <xf numFmtId="0" fontId="25" fillId="11" borderId="0" xfId="0" applyFont="1" applyFill="1" applyBorder="1"/>
    <xf numFmtId="3" fontId="25" fillId="11" borderId="0" xfId="0" applyNumberFormat="1" applyFont="1" applyFill="1" applyBorder="1"/>
    <xf numFmtId="2" fontId="9" fillId="11" borderId="0" xfId="0" applyNumberFormat="1" applyFont="1" applyFill="1" applyBorder="1"/>
    <xf numFmtId="2" fontId="9" fillId="11" borderId="0" xfId="0" applyNumberFormat="1" applyFont="1" applyFill="1" applyBorder="1" applyAlignment="1">
      <alignment horizontal="center"/>
    </xf>
    <xf numFmtId="2" fontId="25" fillId="11" borderId="0" xfId="0" applyNumberFormat="1" applyFont="1" applyFill="1" applyBorder="1"/>
    <xf numFmtId="2" fontId="9" fillId="11" borderId="0" xfId="0" applyNumberFormat="1" applyFont="1" applyFill="1" applyBorder="1" applyAlignment="1"/>
    <xf numFmtId="3" fontId="9" fillId="11" borderId="0" xfId="0" applyNumberFormat="1" applyFont="1" applyFill="1" applyBorder="1"/>
    <xf numFmtId="2" fontId="9" fillId="11" borderId="0" xfId="0" applyNumberFormat="1" applyFont="1" applyFill="1" applyBorder="1" applyAlignment="1">
      <alignment horizontal="center" vertical="center"/>
    </xf>
    <xf numFmtId="4" fontId="9" fillId="11" borderId="0" xfId="0" applyNumberFormat="1" applyFont="1" applyFill="1" applyBorder="1"/>
    <xf numFmtId="2" fontId="9" fillId="11" borderId="12" xfId="0" applyNumberFormat="1" applyFont="1" applyFill="1" applyBorder="1"/>
    <xf numFmtId="0" fontId="44" fillId="12" borderId="0" xfId="0" applyFont="1" applyFill="1" applyBorder="1"/>
    <xf numFmtId="0" fontId="44" fillId="0" borderId="0" xfId="0" applyFont="1" applyBorder="1"/>
    <xf numFmtId="0" fontId="4" fillId="6" borderId="0" xfId="0" applyFont="1" applyFill="1" applyBorder="1" applyAlignment="1"/>
    <xf numFmtId="0" fontId="44" fillId="6" borderId="0" xfId="0" applyFont="1" applyFill="1" applyBorder="1"/>
    <xf numFmtId="0" fontId="4" fillId="6" borderId="0" xfId="0" applyFont="1" applyFill="1" applyBorder="1" applyAlignment="1">
      <alignment vertical="center"/>
    </xf>
    <xf numFmtId="0" fontId="4" fillId="6" borderId="0" xfId="0" applyFont="1" applyFill="1" applyBorder="1"/>
    <xf numFmtId="0" fontId="44" fillId="7" borderId="0" xfId="0" applyFont="1" applyFill="1" applyBorder="1"/>
    <xf numFmtId="0" fontId="4" fillId="7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right" vertical="center"/>
    </xf>
    <xf numFmtId="0" fontId="44" fillId="8" borderId="0" xfId="0" applyFont="1" applyFill="1" applyBorder="1"/>
    <xf numFmtId="0" fontId="4" fillId="8" borderId="0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right" vertical="center"/>
    </xf>
    <xf numFmtId="0" fontId="4" fillId="9" borderId="0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right" vertical="center"/>
    </xf>
    <xf numFmtId="0" fontId="44" fillId="9" borderId="0" xfId="0" applyFont="1" applyFill="1" applyBorder="1"/>
    <xf numFmtId="0" fontId="44" fillId="10" borderId="0" xfId="0" applyFont="1" applyFill="1" applyBorder="1"/>
    <xf numFmtId="0" fontId="4" fillId="10" borderId="0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right" vertical="center"/>
    </xf>
    <xf numFmtId="0" fontId="44" fillId="11" borderId="0" xfId="0" applyFont="1" applyFill="1" applyBorder="1"/>
    <xf numFmtId="0" fontId="4" fillId="11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6" fillId="10" borderId="0" xfId="0" applyFont="1" applyFill="1" applyBorder="1" applyAlignment="1">
      <alignment horizontal="right" vertical="center"/>
    </xf>
    <xf numFmtId="0" fontId="5" fillId="12" borderId="9" xfId="0" applyFont="1" applyFill="1" applyBorder="1" applyAlignment="1">
      <alignment horizontal="center"/>
    </xf>
    <xf numFmtId="0" fontId="5" fillId="12" borderId="10" xfId="0" applyFont="1" applyFill="1" applyBorder="1" applyAlignment="1">
      <alignment horizontal="center"/>
    </xf>
    <xf numFmtId="0" fontId="5" fillId="12" borderId="11" xfId="0" applyFont="1" applyFill="1" applyBorder="1" applyAlignment="1">
      <alignment horizontal="center"/>
    </xf>
    <xf numFmtId="2" fontId="5" fillId="6" borderId="9" xfId="0" applyNumberFormat="1" applyFont="1" applyFill="1" applyBorder="1" applyAlignment="1">
      <alignment horizontal="center"/>
    </xf>
    <xf numFmtId="2" fontId="5" fillId="6" borderId="10" xfId="0" applyNumberFormat="1" applyFont="1" applyFill="1" applyBorder="1" applyAlignment="1">
      <alignment horizontal="center"/>
    </xf>
    <xf numFmtId="2" fontId="5" fillId="6" borderId="11" xfId="0" applyNumberFormat="1" applyFont="1" applyFill="1" applyBorder="1" applyAlignment="1">
      <alignment horizontal="center"/>
    </xf>
    <xf numFmtId="2" fontId="6" fillId="7" borderId="0" xfId="0" applyNumberFormat="1" applyFont="1" applyFill="1" applyBorder="1" applyAlignment="1">
      <alignment horizontal="center"/>
    </xf>
    <xf numFmtId="0" fontId="10" fillId="12" borderId="3" xfId="0" applyFont="1" applyFill="1" applyBorder="1" applyAlignment="1">
      <alignment horizontal="center"/>
    </xf>
    <xf numFmtId="0" fontId="10" fillId="12" borderId="0" xfId="0" applyFont="1" applyFill="1" applyBorder="1" applyAlignment="1">
      <alignment horizontal="center"/>
    </xf>
    <xf numFmtId="0" fontId="5" fillId="12" borderId="0" xfId="0" applyFont="1" applyFill="1" applyBorder="1" applyAlignment="1">
      <alignment horizontal="center" vertical="center"/>
    </xf>
    <xf numFmtId="2" fontId="5" fillId="12" borderId="0" xfId="0" applyNumberFormat="1" applyFont="1" applyFill="1" applyBorder="1" applyAlignment="1">
      <alignment horizontal="center"/>
    </xf>
    <xf numFmtId="0" fontId="6" fillId="7" borderId="0" xfId="0" applyFont="1" applyFill="1" applyBorder="1" applyAlignment="1">
      <alignment horizontal="right" vertical="center"/>
    </xf>
    <xf numFmtId="2" fontId="24" fillId="7" borderId="0" xfId="0" applyNumberFormat="1" applyFont="1" applyFill="1" applyBorder="1" applyAlignment="1">
      <alignment horizontal="center"/>
    </xf>
    <xf numFmtId="2" fontId="6" fillId="6" borderId="0" xfId="0" applyNumberFormat="1" applyFont="1" applyFill="1" applyBorder="1" applyAlignment="1">
      <alignment horizontal="center"/>
    </xf>
    <xf numFmtId="2" fontId="5" fillId="6" borderId="0" xfId="0" applyNumberFormat="1" applyFont="1" applyFill="1" applyBorder="1" applyAlignment="1">
      <alignment horizontal="center"/>
    </xf>
    <xf numFmtId="0" fontId="5" fillId="6" borderId="0" xfId="0" applyFont="1" applyFill="1" applyBorder="1" applyAlignment="1">
      <alignment horizontal="right" vertical="center"/>
    </xf>
    <xf numFmtId="0" fontId="5" fillId="6" borderId="3" xfId="0" applyFont="1" applyFill="1" applyBorder="1" applyAlignment="1">
      <alignment horizontal="right" vertical="center"/>
    </xf>
    <xf numFmtId="0" fontId="6" fillId="12" borderId="0" xfId="0" applyFont="1" applyFill="1" applyBorder="1" applyAlignment="1">
      <alignment horizontal="right" vertical="center"/>
    </xf>
    <xf numFmtId="2" fontId="4" fillId="6" borderId="0" xfId="0" applyNumberFormat="1" applyFont="1" applyFill="1" applyBorder="1" applyAlignment="1">
      <alignment horizontal="center"/>
    </xf>
    <xf numFmtId="2" fontId="6" fillId="10" borderId="0" xfId="0" applyNumberFormat="1" applyFont="1" applyFill="1" applyBorder="1" applyAlignment="1">
      <alignment horizontal="center"/>
    </xf>
    <xf numFmtId="0" fontId="5" fillId="8" borderId="0" xfId="0" applyFont="1" applyFill="1" applyBorder="1" applyAlignment="1">
      <alignment horizontal="right"/>
    </xf>
    <xf numFmtId="0" fontId="6" fillId="9" borderId="0" xfId="0" applyFont="1" applyFill="1" applyBorder="1" applyAlignment="1">
      <alignment horizontal="center" vertical="center"/>
    </xf>
    <xf numFmtId="0" fontId="5" fillId="9" borderId="0" xfId="0" applyFont="1" applyFill="1" applyBorder="1" applyAlignment="1">
      <alignment horizontal="center"/>
    </xf>
    <xf numFmtId="0" fontId="5" fillId="10" borderId="0" xfId="0" applyFont="1" applyFill="1" applyBorder="1" applyAlignment="1">
      <alignment horizontal="center" vertical="center"/>
    </xf>
    <xf numFmtId="0" fontId="10" fillId="8" borderId="0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right" vertical="center"/>
    </xf>
    <xf numFmtId="2" fontId="6" fillId="8" borderId="0" xfId="0" applyNumberFormat="1" applyFont="1" applyFill="1" applyBorder="1" applyAlignment="1">
      <alignment horizontal="center"/>
    </xf>
    <xf numFmtId="2" fontId="10" fillId="8" borderId="0" xfId="0" applyNumberFormat="1" applyFont="1" applyFill="1" applyBorder="1" applyAlignment="1">
      <alignment horizontal="center"/>
    </xf>
    <xf numFmtId="2" fontId="5" fillId="8" borderId="0" xfId="0" applyNumberFormat="1" applyFont="1" applyFill="1" applyBorder="1" applyAlignment="1">
      <alignment horizontal="center"/>
    </xf>
    <xf numFmtId="2" fontId="10" fillId="10" borderId="0" xfId="0" applyNumberFormat="1" applyFont="1" applyFill="1" applyBorder="1" applyAlignment="1">
      <alignment horizontal="center"/>
    </xf>
    <xf numFmtId="0" fontId="5" fillId="9" borderId="0" xfId="0" applyFont="1" applyFill="1" applyBorder="1" applyAlignment="1">
      <alignment horizontal="right" vertical="center"/>
    </xf>
    <xf numFmtId="2" fontId="5" fillId="9" borderId="0" xfId="0" applyNumberFormat="1" applyFont="1" applyFill="1" applyBorder="1" applyAlignment="1">
      <alignment horizontal="center"/>
    </xf>
    <xf numFmtId="2" fontId="6" fillId="9" borderId="0" xfId="0" applyNumberFormat="1" applyFont="1" applyFill="1" applyBorder="1" applyAlignment="1">
      <alignment horizontal="center"/>
    </xf>
    <xf numFmtId="2" fontId="10" fillId="11" borderId="0" xfId="0" applyNumberFormat="1" applyFont="1" applyFill="1" applyBorder="1" applyAlignment="1">
      <alignment horizontal="center"/>
    </xf>
    <xf numFmtId="0" fontId="10" fillId="11" borderId="0" xfId="0" applyFont="1" applyFill="1" applyBorder="1" applyAlignment="1">
      <alignment horizontal="right"/>
    </xf>
    <xf numFmtId="0" fontId="6" fillId="11" borderId="0" xfId="0" applyFont="1" applyFill="1" applyBorder="1" applyAlignment="1">
      <alignment horizontal="center" vertical="center"/>
    </xf>
    <xf numFmtId="0" fontId="10" fillId="11" borderId="0" xfId="0" applyFont="1" applyFill="1" applyBorder="1" applyAlignment="1">
      <alignment horizontal="center"/>
    </xf>
    <xf numFmtId="0" fontId="8" fillId="11" borderId="0" xfId="0" applyFont="1" applyFill="1" applyBorder="1" applyAlignment="1">
      <alignment horizontal="right" vertical="center"/>
    </xf>
    <xf numFmtId="0" fontId="6" fillId="11" borderId="0" xfId="0" applyFont="1" applyFill="1" applyBorder="1" applyAlignment="1">
      <alignment horizontal="right" vertical="center"/>
    </xf>
    <xf numFmtId="2" fontId="6" fillId="11" borderId="0" xfId="0" applyNumberFormat="1" applyFont="1" applyFill="1" applyBorder="1" applyAlignment="1">
      <alignment horizontal="center"/>
    </xf>
    <xf numFmtId="2" fontId="5" fillId="11" borderId="0" xfId="0" applyNumberFormat="1" applyFont="1" applyFill="1" applyBorder="1" applyAlignment="1">
      <alignment horizontal="center"/>
    </xf>
    <xf numFmtId="0" fontId="5" fillId="9" borderId="0" xfId="0" applyFont="1" applyFill="1" applyBorder="1" applyAlignment="1">
      <alignment horizontal="left"/>
    </xf>
    <xf numFmtId="0" fontId="5" fillId="9" borderId="0" xfId="0" applyFont="1" applyFill="1" applyBorder="1" applyAlignment="1">
      <alignment horizontal="right"/>
    </xf>
    <xf numFmtId="0" fontId="5" fillId="10" borderId="0" xfId="0" applyFont="1" applyFill="1" applyBorder="1" applyAlignment="1">
      <alignment horizontal="right"/>
    </xf>
    <xf numFmtId="0" fontId="5" fillId="1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right"/>
    </xf>
    <xf numFmtId="4" fontId="3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4" fontId="3" fillId="2" borderId="0" xfId="0" applyNumberFormat="1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center"/>
    </xf>
    <xf numFmtId="0" fontId="8" fillId="8" borderId="16" xfId="0" applyFont="1" applyFill="1" applyBorder="1" applyAlignment="1">
      <alignment horizontal="center"/>
    </xf>
    <xf numFmtId="0" fontId="8" fillId="6" borderId="14" xfId="0" applyFont="1" applyFill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0" fontId="8" fillId="6" borderId="1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8" borderId="14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0" fontId="10" fillId="17" borderId="0" xfId="0" applyFont="1" applyFill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8" fillId="15" borderId="14" xfId="0" applyFont="1" applyFill="1" applyBorder="1" applyAlignment="1">
      <alignment horizontal="center"/>
    </xf>
    <xf numFmtId="0" fontId="8" fillId="15" borderId="15" xfId="0" applyFont="1" applyFill="1" applyBorder="1" applyAlignment="1">
      <alignment horizontal="center"/>
    </xf>
    <xf numFmtId="0" fontId="8" fillId="15" borderId="16" xfId="0" applyFont="1" applyFill="1" applyBorder="1" applyAlignment="1">
      <alignment horizontal="center"/>
    </xf>
    <xf numFmtId="0" fontId="8" fillId="16" borderId="15" xfId="0" applyFont="1" applyFill="1" applyBorder="1" applyAlignment="1">
      <alignment horizontal="center"/>
    </xf>
    <xf numFmtId="0" fontId="8" fillId="16" borderId="16" xfId="0" applyFont="1" applyFill="1" applyBorder="1" applyAlignment="1">
      <alignment horizontal="center"/>
    </xf>
    <xf numFmtId="0" fontId="8" fillId="16" borderId="14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2" fillId="0" borderId="0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right" vertical="center"/>
    </xf>
    <xf numFmtId="2" fontId="7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right"/>
    </xf>
    <xf numFmtId="0" fontId="6" fillId="0" borderId="0" xfId="0" applyFont="1" applyBorder="1" applyAlignment="1">
      <alignment horizontal="right" vertical="center"/>
    </xf>
    <xf numFmtId="2" fontId="1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10" fillId="4" borderId="0" xfId="0" applyFont="1" applyFill="1" applyBorder="1" applyAlignment="1">
      <alignment horizontal="center"/>
    </xf>
    <xf numFmtId="0" fontId="8" fillId="5" borderId="0" xfId="0" applyFont="1" applyFill="1" applyBorder="1" applyAlignment="1">
      <alignment horizontal="right"/>
    </xf>
    <xf numFmtId="2" fontId="4" fillId="4" borderId="0" xfId="0" applyNumberFormat="1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8" fillId="5" borderId="0" xfId="0" applyFont="1" applyFill="1" applyBorder="1" applyAlignment="1">
      <alignment horizontal="center"/>
    </xf>
    <xf numFmtId="2" fontId="8" fillId="5" borderId="0" xfId="0" applyNumberFormat="1" applyFont="1" applyFill="1" applyBorder="1" applyAlignment="1">
      <alignment horizontal="center"/>
    </xf>
    <xf numFmtId="2" fontId="7" fillId="3" borderId="0" xfId="0" applyNumberFormat="1" applyFont="1" applyFill="1" applyBorder="1" applyAlignment="1">
      <alignment horizontal="center"/>
    </xf>
    <xf numFmtId="2" fontId="2" fillId="5" borderId="0" xfId="0" applyNumberFormat="1" applyFont="1" applyFill="1" applyBorder="1" applyAlignment="1">
      <alignment horizontal="center"/>
    </xf>
    <xf numFmtId="2" fontId="9" fillId="5" borderId="0" xfId="0" applyNumberFormat="1" applyFont="1" applyFill="1" applyBorder="1" applyAlignment="1">
      <alignment horizontal="center"/>
    </xf>
    <xf numFmtId="2" fontId="8" fillId="3" borderId="0" xfId="0" applyNumberFormat="1" applyFont="1" applyFill="1" applyBorder="1" applyAlignment="1">
      <alignment horizontal="center" vertical="center"/>
    </xf>
    <xf numFmtId="2" fontId="6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2" fontId="4" fillId="0" borderId="0" xfId="0" applyNumberFormat="1" applyFont="1" applyBorder="1" applyAlignment="1">
      <alignment horizontal="center" vertical="center"/>
    </xf>
    <xf numFmtId="2" fontId="0" fillId="0" borderId="0" xfId="0" applyNumberForma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4" fontId="6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4" fontId="2" fillId="0" borderId="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center"/>
    </xf>
    <xf numFmtId="4" fontId="38" fillId="0" borderId="0" xfId="0" applyNumberFormat="1" applyFont="1" applyBorder="1" applyAlignment="1">
      <alignment horizontal="center"/>
    </xf>
    <xf numFmtId="0" fontId="36" fillId="0" borderId="0" xfId="0" applyFont="1" applyAlignment="1">
      <alignment horizontal="left" wrapText="1"/>
    </xf>
    <xf numFmtId="0" fontId="36" fillId="0" borderId="0" xfId="0" applyFont="1" applyAlignment="1">
      <alignment horizontal="left"/>
    </xf>
    <xf numFmtId="0" fontId="10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/>
    </xf>
    <xf numFmtId="0" fontId="7" fillId="0" borderId="0" xfId="0" applyFont="1" applyFill="1" applyBorder="1" applyAlignment="1">
      <alignment horizontal="right"/>
    </xf>
    <xf numFmtId="4" fontId="6" fillId="0" borderId="0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right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right"/>
    </xf>
    <xf numFmtId="0" fontId="24" fillId="0" borderId="0" xfId="0" applyFont="1" applyFill="1" applyBorder="1" applyAlignment="1">
      <alignment horizontal="center" vertical="center"/>
    </xf>
    <xf numFmtId="4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4" fontId="7" fillId="0" borderId="0" xfId="0" applyNumberFormat="1" applyFont="1" applyBorder="1" applyAlignment="1">
      <alignment horizontal="right"/>
    </xf>
    <xf numFmtId="0" fontId="9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0" borderId="3" xfId="0" applyFont="1" applyBorder="1" applyAlignment="1">
      <alignment horizontal="right"/>
    </xf>
    <xf numFmtId="4" fontId="6" fillId="0" borderId="0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0" fillId="2" borderId="10" xfId="0" applyFont="1" applyFill="1" applyBorder="1" applyAlignment="1">
      <alignment horizontal="center"/>
    </xf>
    <xf numFmtId="0" fontId="20" fillId="2" borderId="11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7" fillId="0" borderId="9" xfId="0" applyFont="1" applyBorder="1" applyAlignment="1">
      <alignment horizontal="center" wrapText="1"/>
    </xf>
    <xf numFmtId="0" fontId="8" fillId="0" borderId="9" xfId="0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0" fontId="6" fillId="0" borderId="0" xfId="0" applyFont="1" applyAlignment="1">
      <alignment horizontal="center"/>
    </xf>
    <xf numFmtId="4" fontId="3" fillId="0" borderId="0" xfId="0" applyNumberFormat="1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10" fillId="0" borderId="0" xfId="0" applyFont="1" applyBorder="1" applyAlignment="1">
      <alignment horizontal="right"/>
    </xf>
    <xf numFmtId="2" fontId="34" fillId="2" borderId="0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2" fontId="9" fillId="6" borderId="0" xfId="0" applyNumberFormat="1" applyFont="1" applyFill="1" applyBorder="1" applyAlignment="1">
      <alignment horizontal="center"/>
    </xf>
    <xf numFmtId="0" fontId="9" fillId="6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  <xf numFmtId="2" fontId="9" fillId="0" borderId="0" xfId="0" applyNumberFormat="1" applyFont="1" applyFill="1" applyBorder="1" applyAlignment="1">
      <alignment horizontal="center"/>
    </xf>
    <xf numFmtId="0" fontId="9" fillId="6" borderId="0" xfId="0" applyFont="1" applyFill="1" applyBorder="1" applyAlignment="1">
      <alignment horizontal="center"/>
    </xf>
    <xf numFmtId="2" fontId="9" fillId="12" borderId="0" xfId="0" applyNumberFormat="1" applyFont="1" applyFill="1" applyBorder="1" applyAlignment="1">
      <alignment horizontal="center"/>
    </xf>
    <xf numFmtId="0" fontId="6" fillId="12" borderId="0" xfId="0" applyFont="1" applyFill="1" applyBorder="1" applyAlignment="1">
      <alignment horizontal="right"/>
    </xf>
    <xf numFmtId="0" fontId="9" fillId="12" borderId="0" xfId="0" applyFont="1" applyFill="1" applyBorder="1" applyAlignment="1">
      <alignment horizontal="center"/>
    </xf>
    <xf numFmtId="0" fontId="27" fillId="12" borderId="0" xfId="0" applyFont="1" applyFill="1" applyBorder="1" applyAlignment="1">
      <alignment horizontal="center"/>
    </xf>
    <xf numFmtId="0" fontId="9" fillId="12" borderId="0" xfId="0" applyFont="1" applyFill="1" applyBorder="1" applyAlignment="1">
      <alignment horizontal="center" vertical="center"/>
    </xf>
    <xf numFmtId="0" fontId="10" fillId="12" borderId="0" xfId="0" applyFont="1" applyFill="1" applyBorder="1" applyAlignment="1">
      <alignment horizontal="right"/>
    </xf>
    <xf numFmtId="0" fontId="24" fillId="6" borderId="0" xfId="0" applyFont="1" applyFill="1" applyBorder="1" applyAlignment="1">
      <alignment horizontal="right"/>
    </xf>
    <xf numFmtId="0" fontId="9" fillId="6" borderId="0" xfId="0" applyFont="1" applyFill="1" applyBorder="1" applyAlignment="1">
      <alignment horizontal="right"/>
    </xf>
    <xf numFmtId="0" fontId="24" fillId="6" borderId="0" xfId="0" applyFont="1" applyFill="1" applyBorder="1" applyAlignment="1">
      <alignment horizontal="right" vertical="center"/>
    </xf>
    <xf numFmtId="0" fontId="9" fillId="6" borderId="0" xfId="0" applyFont="1" applyFill="1" applyBorder="1" applyAlignment="1">
      <alignment horizontal="right" vertical="center"/>
    </xf>
    <xf numFmtId="0" fontId="9" fillId="12" borderId="0" xfId="0" applyFont="1" applyFill="1" applyBorder="1" applyAlignment="1">
      <alignment horizontal="right" vertical="center"/>
    </xf>
    <xf numFmtId="2" fontId="27" fillId="6" borderId="0" xfId="0" applyNumberFormat="1" applyFont="1" applyFill="1" applyBorder="1" applyAlignment="1">
      <alignment horizontal="center"/>
    </xf>
    <xf numFmtId="0" fontId="6" fillId="7" borderId="0" xfId="0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center" vertical="center"/>
    </xf>
    <xf numFmtId="2" fontId="9" fillId="7" borderId="0" xfId="0" applyNumberFormat="1" applyFont="1" applyFill="1" applyBorder="1" applyAlignment="1">
      <alignment horizontal="center"/>
    </xf>
    <xf numFmtId="0" fontId="27" fillId="6" borderId="0" xfId="0" applyFont="1" applyFill="1" applyBorder="1" applyAlignment="1">
      <alignment horizontal="center"/>
    </xf>
    <xf numFmtId="0" fontId="9" fillId="7" borderId="0" xfId="0" applyFont="1" applyFill="1" applyBorder="1" applyAlignment="1">
      <alignment horizontal="right"/>
    </xf>
    <xf numFmtId="0" fontId="9" fillId="7" borderId="0" xfId="0" applyFont="1" applyFill="1" applyBorder="1" applyAlignment="1">
      <alignment horizontal="right" vertical="center"/>
    </xf>
    <xf numFmtId="2" fontId="9" fillId="8" borderId="0" xfId="0" applyNumberFormat="1" applyFont="1" applyFill="1" applyBorder="1" applyAlignment="1">
      <alignment horizontal="center"/>
    </xf>
    <xf numFmtId="0" fontId="6" fillId="8" borderId="0" xfId="0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right" vertical="center"/>
    </xf>
    <xf numFmtId="0" fontId="9" fillId="9" borderId="0" xfId="0" applyFont="1" applyFill="1" applyBorder="1" applyAlignment="1">
      <alignment horizontal="right" vertical="center"/>
    </xf>
    <xf numFmtId="2" fontId="9" fillId="9" borderId="0" xfId="0" applyNumberFormat="1" applyFont="1" applyFill="1" applyBorder="1" applyAlignment="1">
      <alignment horizontal="center"/>
    </xf>
    <xf numFmtId="0" fontId="9" fillId="9" borderId="0" xfId="0" applyFont="1" applyFill="1" applyBorder="1" applyAlignment="1">
      <alignment horizontal="center" vertical="center"/>
    </xf>
    <xf numFmtId="0" fontId="9" fillId="8" borderId="0" xfId="0" applyFont="1" applyFill="1" applyBorder="1" applyAlignment="1">
      <alignment horizontal="right"/>
    </xf>
    <xf numFmtId="0" fontId="6" fillId="10" borderId="0" xfId="0" applyFont="1" applyFill="1" applyBorder="1" applyAlignment="1">
      <alignment horizontal="center" vertical="center"/>
    </xf>
    <xf numFmtId="2" fontId="9" fillId="10" borderId="0" xfId="0" applyNumberFormat="1" applyFont="1" applyFill="1" applyBorder="1" applyAlignment="1">
      <alignment horizontal="center"/>
    </xf>
    <xf numFmtId="0" fontId="9" fillId="10" borderId="0" xfId="0" applyFont="1" applyFill="1" applyBorder="1" applyAlignment="1">
      <alignment horizontal="center" vertical="center"/>
    </xf>
    <xf numFmtId="0" fontId="9" fillId="10" borderId="0" xfId="0" applyFont="1" applyFill="1" applyBorder="1" applyAlignment="1">
      <alignment horizontal="right" vertical="center"/>
    </xf>
    <xf numFmtId="0" fontId="9" fillId="9" borderId="0" xfId="0" applyFont="1" applyFill="1" applyBorder="1" applyAlignment="1">
      <alignment horizontal="right"/>
    </xf>
    <xf numFmtId="0" fontId="9" fillId="10" borderId="0" xfId="0" applyFont="1" applyFill="1" applyBorder="1" applyAlignment="1">
      <alignment horizontal="right"/>
    </xf>
    <xf numFmtId="2" fontId="9" fillId="11" borderId="0" xfId="0" applyNumberFormat="1" applyFont="1" applyFill="1" applyBorder="1" applyAlignment="1">
      <alignment horizontal="center"/>
    </xf>
    <xf numFmtId="0" fontId="9" fillId="11" borderId="0" xfId="0" applyFont="1" applyFill="1" applyBorder="1" applyAlignment="1">
      <alignment horizontal="right" vertical="center"/>
    </xf>
    <xf numFmtId="0" fontId="9" fillId="11" borderId="0" xfId="0" applyFont="1" applyFill="1" applyBorder="1" applyAlignment="1">
      <alignment horizontal="center" vertical="center"/>
    </xf>
    <xf numFmtId="0" fontId="9" fillId="11" borderId="0" xfId="0" applyFont="1" applyFill="1" applyBorder="1" applyAlignment="1">
      <alignment horizontal="center"/>
    </xf>
    <xf numFmtId="0" fontId="9" fillId="11" borderId="0" xfId="0" applyFont="1" applyFill="1" applyBorder="1" applyAlignment="1">
      <alignment horizontal="right"/>
    </xf>
    <xf numFmtId="2" fontId="6" fillId="12" borderId="0" xfId="0" applyNumberFormat="1" applyFont="1" applyFill="1" applyBorder="1" applyAlignment="1">
      <alignment horizontal="center"/>
    </xf>
    <xf numFmtId="0" fontId="6" fillId="12" borderId="0" xfId="0" applyFont="1" applyFill="1" applyBorder="1" applyAlignment="1">
      <alignment horizontal="center"/>
    </xf>
    <xf numFmtId="2" fontId="10" fillId="12" borderId="0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2" fontId="6" fillId="0" borderId="0" xfId="0" applyNumberFormat="1" applyFont="1" applyFill="1" applyBorder="1" applyAlignment="1">
      <alignment horizontal="center"/>
    </xf>
    <xf numFmtId="0" fontId="6" fillId="12" borderId="0" xfId="0" applyFont="1" applyFill="1" applyBorder="1" applyAlignment="1">
      <alignment horizontal="center" vertical="center"/>
    </xf>
    <xf numFmtId="2" fontId="4" fillId="1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0058"/>
      <color rgb="FFFFFFCC"/>
      <color rgb="FFF2B27E"/>
      <color rgb="FFCCFFFF"/>
      <color rgb="FFFFCCFF"/>
      <color rgb="FFFFD7CD"/>
      <color rgb="FFFFEFFF"/>
      <color rgb="FFC9FFE4"/>
      <color rgb="FFCC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666749</xdr:colOff>
      <xdr:row>1</xdr:row>
      <xdr:rowOff>593272</xdr:rowOff>
    </xdr:from>
    <xdr:to>
      <xdr:col>6</xdr:col>
      <xdr:colOff>17066</xdr:colOff>
      <xdr:row>7</xdr:row>
      <xdr:rowOff>179127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EBB9434-7E2D-467A-926F-F04B4E9E2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5856" y="783772"/>
          <a:ext cx="4847603" cy="15997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0"/>
  </sheetPr>
  <dimension ref="A1:M42"/>
  <sheetViews>
    <sheetView zoomScale="60" zoomScaleNormal="60" workbookViewId="0">
      <selection activeCell="D11" sqref="D11"/>
    </sheetView>
  </sheetViews>
  <sheetFormatPr baseColWidth="10" defaultRowHeight="21" x14ac:dyDescent="0.35"/>
  <cols>
    <col min="1" max="1" width="44.140625" bestFit="1" customWidth="1"/>
    <col min="2" max="2" width="16.7109375" style="496" customWidth="1"/>
    <col min="3" max="3" width="17" style="669" customWidth="1"/>
    <col min="4" max="4" width="17.140625" style="669" customWidth="1"/>
    <col min="5" max="5" width="11.42578125" style="494"/>
    <col min="6" max="6" width="39.85546875" style="494" bestFit="1" customWidth="1"/>
    <col min="7" max="9" width="13" style="494" bestFit="1" customWidth="1"/>
    <col min="10" max="11" width="11.42578125" style="494"/>
    <col min="12" max="12" width="20.42578125" style="494" customWidth="1"/>
    <col min="13" max="13" width="11.42578125" style="494"/>
  </cols>
  <sheetData>
    <row r="1" spans="1:13" ht="24.95" customHeight="1" x14ac:dyDescent="0.35"/>
    <row r="2" spans="1:13" s="659" customFormat="1" ht="24.95" customHeight="1" x14ac:dyDescent="0.4">
      <c r="A2" s="860" t="s">
        <v>543</v>
      </c>
      <c r="B2" s="860"/>
      <c r="C2" s="860"/>
      <c r="D2" s="860"/>
      <c r="E2" s="169"/>
      <c r="F2" s="859" t="s">
        <v>544</v>
      </c>
      <c r="G2" s="859"/>
      <c r="H2" s="859"/>
      <c r="I2" s="859"/>
      <c r="J2" s="169"/>
      <c r="K2" s="169"/>
      <c r="L2" s="169"/>
      <c r="M2" s="169"/>
    </row>
    <row r="3" spans="1:13" s="462" customFormat="1" ht="24.95" customHeight="1" x14ac:dyDescent="0.25">
      <c r="A3" s="493" t="s">
        <v>0</v>
      </c>
      <c r="B3" s="495" t="s">
        <v>339</v>
      </c>
      <c r="C3" s="493" t="s">
        <v>340</v>
      </c>
      <c r="D3" s="493" t="s">
        <v>341</v>
      </c>
      <c r="E3" s="493"/>
      <c r="F3" s="493" t="s">
        <v>0</v>
      </c>
      <c r="G3" s="495" t="s">
        <v>339</v>
      </c>
      <c r="H3" s="493" t="s">
        <v>340</v>
      </c>
      <c r="I3" s="493" t="s">
        <v>341</v>
      </c>
      <c r="J3" s="493"/>
      <c r="K3" s="493"/>
      <c r="L3" s="493"/>
      <c r="M3" s="493"/>
    </row>
    <row r="4" spans="1:13" ht="24.95" customHeight="1" x14ac:dyDescent="0.35">
      <c r="A4" s="494" t="s">
        <v>1</v>
      </c>
      <c r="B4" s="496">
        <v>700</v>
      </c>
      <c r="C4" s="496">
        <v>500</v>
      </c>
      <c r="D4" s="496">
        <v>300</v>
      </c>
      <c r="F4" s="494" t="s">
        <v>1</v>
      </c>
      <c r="G4" s="496">
        <v>700</v>
      </c>
      <c r="H4" s="496">
        <v>500</v>
      </c>
      <c r="I4" s="496">
        <v>300</v>
      </c>
    </row>
    <row r="5" spans="1:13" ht="24.95" customHeight="1" x14ac:dyDescent="0.35">
      <c r="A5" s="494" t="s">
        <v>139</v>
      </c>
      <c r="B5" s="496">
        <v>500</v>
      </c>
      <c r="C5" s="496">
        <v>400</v>
      </c>
      <c r="D5" s="496">
        <v>250</v>
      </c>
      <c r="F5" s="494" t="s">
        <v>139</v>
      </c>
      <c r="G5" s="496">
        <v>500</v>
      </c>
      <c r="H5" s="496">
        <v>400</v>
      </c>
      <c r="I5" s="496">
        <v>250</v>
      </c>
    </row>
    <row r="6" spans="1:13" ht="24.95" customHeight="1" x14ac:dyDescent="0.35">
      <c r="A6" s="494"/>
      <c r="C6" s="496"/>
      <c r="D6" s="496"/>
      <c r="G6" s="496"/>
      <c r="H6" s="496"/>
      <c r="I6" s="496"/>
    </row>
    <row r="7" spans="1:13" s="497" customFormat="1" ht="24.95" customHeight="1" x14ac:dyDescent="0.25">
      <c r="A7" s="493" t="s">
        <v>281</v>
      </c>
      <c r="B7" s="495" t="s">
        <v>339</v>
      </c>
      <c r="C7" s="495" t="s">
        <v>340</v>
      </c>
      <c r="D7" s="495" t="s">
        <v>341</v>
      </c>
      <c r="E7" s="715"/>
      <c r="F7" s="493" t="s">
        <v>281</v>
      </c>
      <c r="G7" s="495" t="s">
        <v>339</v>
      </c>
      <c r="H7" s="495" t="s">
        <v>340</v>
      </c>
      <c r="I7" s="495" t="s">
        <v>341</v>
      </c>
      <c r="J7" s="715"/>
      <c r="K7" s="715"/>
      <c r="L7" s="715"/>
      <c r="M7" s="715"/>
    </row>
    <row r="8" spans="1:13" ht="24.95" customHeight="1" x14ac:dyDescent="0.35">
      <c r="A8" s="494" t="s">
        <v>2</v>
      </c>
      <c r="B8" s="496">
        <v>3000</v>
      </c>
      <c r="C8" s="496">
        <v>2000</v>
      </c>
      <c r="D8" s="496">
        <v>1600</v>
      </c>
      <c r="F8" s="494" t="s">
        <v>2</v>
      </c>
      <c r="G8" s="496">
        <v>2500</v>
      </c>
      <c r="H8" s="496">
        <v>2000</v>
      </c>
      <c r="I8" s="496">
        <v>1600</v>
      </c>
    </row>
    <row r="9" spans="1:13" ht="24.95" customHeight="1" x14ac:dyDescent="0.35">
      <c r="A9" s="494" t="s">
        <v>3</v>
      </c>
      <c r="B9" s="496">
        <v>5000</v>
      </c>
      <c r="C9" s="496">
        <v>4000</v>
      </c>
      <c r="D9" s="496">
        <v>2500</v>
      </c>
      <c r="F9" s="494" t="s">
        <v>3</v>
      </c>
      <c r="G9" s="496">
        <v>3500</v>
      </c>
      <c r="H9" s="496">
        <v>3000</v>
      </c>
      <c r="I9" s="496">
        <v>2500</v>
      </c>
      <c r="L9" s="494">
        <f>2000*2000/4000</f>
        <v>1000</v>
      </c>
    </row>
    <row r="10" spans="1:13" ht="24.95" customHeight="1" x14ac:dyDescent="0.35">
      <c r="A10" s="494" t="s">
        <v>605</v>
      </c>
      <c r="B10" s="496">
        <v>8000</v>
      </c>
      <c r="C10" s="496">
        <v>7000</v>
      </c>
      <c r="D10" s="496">
        <v>6000</v>
      </c>
      <c r="G10" s="496"/>
      <c r="H10" s="496"/>
      <c r="I10" s="496"/>
    </row>
    <row r="11" spans="1:13" ht="24.95" customHeight="1" x14ac:dyDescent="0.35">
      <c r="A11" s="494" t="s">
        <v>4</v>
      </c>
      <c r="B11" s="496">
        <v>4500</v>
      </c>
      <c r="C11" s="496">
        <v>3000</v>
      </c>
      <c r="D11" s="496">
        <v>2500</v>
      </c>
      <c r="F11" s="494" t="s">
        <v>4</v>
      </c>
      <c r="G11" s="496">
        <v>3500</v>
      </c>
      <c r="H11" s="496">
        <v>3000</v>
      </c>
      <c r="I11" s="496">
        <v>2500</v>
      </c>
    </row>
    <row r="12" spans="1:13" ht="24.95" customHeight="1" x14ac:dyDescent="0.35">
      <c r="A12" s="494" t="s">
        <v>5</v>
      </c>
      <c r="B12" s="496">
        <v>4000</v>
      </c>
      <c r="C12" s="496">
        <v>3000</v>
      </c>
      <c r="D12" s="496">
        <v>2000</v>
      </c>
      <c r="F12" s="494" t="s">
        <v>5</v>
      </c>
      <c r="G12" s="496">
        <v>3000</v>
      </c>
      <c r="H12" s="496">
        <v>2500</v>
      </c>
      <c r="I12" s="496">
        <v>2000</v>
      </c>
    </row>
    <row r="13" spans="1:13" ht="24.95" customHeight="1" x14ac:dyDescent="0.35">
      <c r="A13" s="494" t="s">
        <v>6</v>
      </c>
      <c r="B13" s="496">
        <v>2500</v>
      </c>
      <c r="C13" s="496">
        <v>1800</v>
      </c>
      <c r="D13" s="496">
        <v>1200</v>
      </c>
      <c r="F13" s="494" t="s">
        <v>6</v>
      </c>
      <c r="G13" s="496">
        <v>2000</v>
      </c>
      <c r="H13" s="496">
        <v>1800</v>
      </c>
      <c r="I13" s="496">
        <v>1200</v>
      </c>
    </row>
    <row r="14" spans="1:13" ht="24.95" customHeight="1" x14ac:dyDescent="0.35">
      <c r="A14" s="494" t="s">
        <v>590</v>
      </c>
      <c r="B14" s="496">
        <v>3000</v>
      </c>
      <c r="C14" s="669">
        <v>2500</v>
      </c>
      <c r="F14" s="494" t="s">
        <v>7</v>
      </c>
      <c r="G14" s="496">
        <v>4000</v>
      </c>
      <c r="H14" s="496">
        <v>3000</v>
      </c>
      <c r="I14" s="496">
        <v>2500</v>
      </c>
    </row>
    <row r="15" spans="1:13" ht="24.95" customHeight="1" x14ac:dyDescent="0.35">
      <c r="A15" s="494" t="s">
        <v>7</v>
      </c>
      <c r="B15" s="496">
        <v>5000</v>
      </c>
      <c r="C15" s="496">
        <v>4000</v>
      </c>
      <c r="D15" s="496">
        <v>2500</v>
      </c>
      <c r="F15" s="494" t="s">
        <v>222</v>
      </c>
      <c r="G15" s="496">
        <v>1500</v>
      </c>
      <c r="H15" s="496">
        <v>1200</v>
      </c>
      <c r="I15" s="496">
        <v>900</v>
      </c>
    </row>
    <row r="16" spans="1:13" ht="24.95" customHeight="1" x14ac:dyDescent="0.35">
      <c r="A16" s="494" t="s">
        <v>222</v>
      </c>
      <c r="B16" s="496">
        <v>2500</v>
      </c>
      <c r="C16" s="496">
        <v>1200</v>
      </c>
      <c r="D16" s="496">
        <v>900</v>
      </c>
      <c r="F16" s="494" t="s">
        <v>223</v>
      </c>
      <c r="G16" s="496">
        <v>1500</v>
      </c>
      <c r="H16" s="496">
        <v>1200</v>
      </c>
      <c r="I16" s="496">
        <v>900</v>
      </c>
    </row>
    <row r="17" spans="1:9" ht="24.95" customHeight="1" x14ac:dyDescent="0.35">
      <c r="A17" s="494" t="s">
        <v>223</v>
      </c>
      <c r="B17" s="496">
        <v>1500</v>
      </c>
      <c r="C17" s="496">
        <v>1200</v>
      </c>
      <c r="D17" s="496">
        <v>900</v>
      </c>
      <c r="F17" s="494" t="s">
        <v>110</v>
      </c>
      <c r="G17" s="496">
        <v>3500</v>
      </c>
      <c r="H17" s="496">
        <v>3200</v>
      </c>
      <c r="I17" s="496">
        <v>2800</v>
      </c>
    </row>
    <row r="18" spans="1:9" ht="24.95" customHeight="1" x14ac:dyDescent="0.35">
      <c r="A18" s="494" t="s">
        <v>110</v>
      </c>
      <c r="B18" s="496">
        <v>4000</v>
      </c>
      <c r="C18" s="496">
        <v>3200</v>
      </c>
      <c r="D18" s="496">
        <v>2800</v>
      </c>
      <c r="F18" s="494" t="s">
        <v>278</v>
      </c>
      <c r="G18" s="496">
        <v>2500</v>
      </c>
      <c r="H18" s="496">
        <v>2200</v>
      </c>
      <c r="I18" s="496">
        <v>2000</v>
      </c>
    </row>
    <row r="19" spans="1:9" ht="24.95" customHeight="1" x14ac:dyDescent="0.35">
      <c r="A19" s="494" t="s">
        <v>591</v>
      </c>
      <c r="B19" s="496">
        <v>3000</v>
      </c>
      <c r="C19" s="496">
        <v>2200</v>
      </c>
      <c r="D19" s="496">
        <v>2000</v>
      </c>
      <c r="F19" s="494" t="s">
        <v>372</v>
      </c>
      <c r="G19" s="496">
        <v>1000</v>
      </c>
      <c r="H19" s="496">
        <v>900</v>
      </c>
      <c r="I19" s="496">
        <v>700</v>
      </c>
    </row>
    <row r="20" spans="1:9" ht="24.95" customHeight="1" x14ac:dyDescent="0.35">
      <c r="A20" s="494" t="s">
        <v>372</v>
      </c>
      <c r="B20" s="496">
        <v>1000</v>
      </c>
      <c r="C20" s="496">
        <v>900</v>
      </c>
      <c r="D20" s="496">
        <v>700</v>
      </c>
      <c r="F20" s="494" t="s">
        <v>373</v>
      </c>
      <c r="G20" s="496">
        <v>4500</v>
      </c>
      <c r="H20" s="496">
        <v>4300</v>
      </c>
      <c r="I20" s="496">
        <v>4000</v>
      </c>
    </row>
    <row r="21" spans="1:9" ht="24.95" customHeight="1" x14ac:dyDescent="0.35">
      <c r="A21" s="494" t="s">
        <v>373</v>
      </c>
      <c r="B21" s="496">
        <v>4500</v>
      </c>
      <c r="C21" s="496">
        <v>4000</v>
      </c>
      <c r="D21" s="496">
        <v>4000</v>
      </c>
      <c r="F21" s="494" t="s">
        <v>374</v>
      </c>
      <c r="G21" s="496">
        <v>1500</v>
      </c>
      <c r="H21" s="496">
        <v>1300</v>
      </c>
      <c r="I21" s="496">
        <v>1100</v>
      </c>
    </row>
    <row r="22" spans="1:9" ht="24.95" customHeight="1" x14ac:dyDescent="0.35">
      <c r="A22" s="494" t="s">
        <v>374</v>
      </c>
      <c r="B22" s="496">
        <v>1500</v>
      </c>
      <c r="C22" s="496">
        <v>1300</v>
      </c>
      <c r="D22" s="496">
        <v>1100</v>
      </c>
      <c r="F22" s="494" t="s">
        <v>375</v>
      </c>
      <c r="G22" s="496">
        <v>3000</v>
      </c>
      <c r="H22" s="496">
        <v>2500</v>
      </c>
      <c r="I22" s="496">
        <v>2000</v>
      </c>
    </row>
    <row r="23" spans="1:9" ht="24.95" customHeight="1" x14ac:dyDescent="0.35">
      <c r="A23" s="494" t="s">
        <v>375</v>
      </c>
      <c r="B23" s="496">
        <v>3000</v>
      </c>
      <c r="C23" s="496">
        <v>2500</v>
      </c>
      <c r="D23" s="496">
        <v>2000</v>
      </c>
      <c r="F23" s="494" t="s">
        <v>397</v>
      </c>
      <c r="G23" s="496">
        <v>4000</v>
      </c>
      <c r="H23" s="496">
        <v>3500</v>
      </c>
      <c r="I23" s="496">
        <v>3000</v>
      </c>
    </row>
    <row r="24" spans="1:9" ht="24.95" customHeight="1" x14ac:dyDescent="0.35">
      <c r="A24" s="494" t="s">
        <v>397</v>
      </c>
      <c r="B24" s="496">
        <v>4000</v>
      </c>
      <c r="C24" s="496">
        <v>3500</v>
      </c>
      <c r="D24" s="496">
        <v>3000</v>
      </c>
      <c r="F24" s="494" t="s">
        <v>398</v>
      </c>
      <c r="G24" s="496">
        <v>2000</v>
      </c>
      <c r="H24" s="496">
        <v>1800</v>
      </c>
      <c r="I24" s="496">
        <v>1500</v>
      </c>
    </row>
    <row r="25" spans="1:9" ht="24.95" customHeight="1" x14ac:dyDescent="0.35">
      <c r="A25" s="494" t="s">
        <v>398</v>
      </c>
      <c r="B25" s="496">
        <v>2000</v>
      </c>
      <c r="C25" s="496">
        <v>1800</v>
      </c>
      <c r="D25" s="496">
        <v>1500</v>
      </c>
      <c r="F25" s="494" t="s">
        <v>432</v>
      </c>
      <c r="G25" s="496">
        <v>4000</v>
      </c>
      <c r="H25" s="496">
        <v>3500</v>
      </c>
      <c r="I25" s="496">
        <v>3000</v>
      </c>
    </row>
    <row r="26" spans="1:9" ht="24.95" customHeight="1" x14ac:dyDescent="0.35">
      <c r="A26" s="494" t="s">
        <v>432</v>
      </c>
      <c r="B26" s="496">
        <v>4000</v>
      </c>
      <c r="C26" s="496">
        <v>3500</v>
      </c>
      <c r="D26" s="496">
        <v>3000</v>
      </c>
      <c r="F26" s="494" t="s">
        <v>433</v>
      </c>
      <c r="G26" s="496">
        <v>6000</v>
      </c>
      <c r="H26" s="669">
        <v>5500</v>
      </c>
      <c r="I26" s="669">
        <v>5000</v>
      </c>
    </row>
    <row r="27" spans="1:9" ht="24.95" customHeight="1" x14ac:dyDescent="0.35">
      <c r="A27" s="494" t="s">
        <v>433</v>
      </c>
      <c r="B27" s="496">
        <v>6000</v>
      </c>
      <c r="C27" s="669">
        <v>5500</v>
      </c>
      <c r="D27" s="669">
        <v>5000</v>
      </c>
      <c r="F27" s="494" t="s">
        <v>435</v>
      </c>
      <c r="G27" s="496">
        <v>1400</v>
      </c>
      <c r="H27" s="669">
        <v>1200</v>
      </c>
      <c r="I27" s="669">
        <v>1000</v>
      </c>
    </row>
    <row r="28" spans="1:9" ht="24.95" customHeight="1" x14ac:dyDescent="0.35">
      <c r="A28" s="494" t="s">
        <v>435</v>
      </c>
      <c r="B28" s="496">
        <v>1400</v>
      </c>
      <c r="C28" s="669">
        <v>1200</v>
      </c>
      <c r="D28" s="669">
        <v>1000</v>
      </c>
      <c r="F28" s="494" t="s">
        <v>436</v>
      </c>
      <c r="G28" s="496">
        <v>6000</v>
      </c>
      <c r="H28" s="669">
        <v>5000</v>
      </c>
      <c r="I28" s="669">
        <v>4500</v>
      </c>
    </row>
    <row r="29" spans="1:9" ht="24.95" customHeight="1" x14ac:dyDescent="0.35">
      <c r="A29" s="494" t="s">
        <v>436</v>
      </c>
      <c r="B29" s="496">
        <v>6000</v>
      </c>
      <c r="C29" s="669">
        <v>5000</v>
      </c>
      <c r="D29" s="669">
        <v>4500</v>
      </c>
    </row>
    <row r="30" spans="1:9" ht="24.95" customHeight="1" x14ac:dyDescent="0.35">
      <c r="A30" s="494" t="s">
        <v>546</v>
      </c>
      <c r="B30" s="496">
        <v>5000</v>
      </c>
      <c r="C30" s="669">
        <v>4000</v>
      </c>
      <c r="D30" s="669">
        <v>3500</v>
      </c>
    </row>
    <row r="31" spans="1:9" ht="24.95" customHeight="1" x14ac:dyDescent="0.35">
      <c r="A31" s="494" t="s">
        <v>547</v>
      </c>
      <c r="B31" s="496">
        <v>4000</v>
      </c>
      <c r="C31" s="669">
        <v>3500</v>
      </c>
      <c r="D31" s="669">
        <v>3000</v>
      </c>
    </row>
    <row r="32" spans="1:9" ht="24.95" customHeight="1" x14ac:dyDescent="0.35">
      <c r="A32" s="494" t="s">
        <v>589</v>
      </c>
      <c r="B32" s="496">
        <v>3500</v>
      </c>
      <c r="C32" s="669">
        <v>2500</v>
      </c>
    </row>
    <row r="33" spans="1:1" ht="24.95" customHeight="1" x14ac:dyDescent="0.35">
      <c r="A33" s="494" t="s">
        <v>592</v>
      </c>
    </row>
    <row r="34" spans="1:1" ht="24.95" customHeight="1" x14ac:dyDescent="0.35"/>
    <row r="35" spans="1:1" ht="24.95" customHeight="1" x14ac:dyDescent="0.35"/>
    <row r="36" spans="1:1" ht="24.95" customHeight="1" x14ac:dyDescent="0.35"/>
    <row r="37" spans="1:1" ht="24.95" customHeight="1" x14ac:dyDescent="0.35"/>
    <row r="38" spans="1:1" ht="24.95" customHeight="1" x14ac:dyDescent="0.35"/>
    <row r="39" spans="1:1" ht="24.95" customHeight="1" x14ac:dyDescent="0.35"/>
    <row r="40" spans="1:1" ht="24.95" customHeight="1" x14ac:dyDescent="0.35"/>
    <row r="41" spans="1:1" ht="24.95" customHeight="1" x14ac:dyDescent="0.35"/>
    <row r="42" spans="1:1" ht="24.95" customHeight="1" x14ac:dyDescent="0.35"/>
  </sheetData>
  <mergeCells count="2">
    <mergeCell ref="F2:I2"/>
    <mergeCell ref="A2:D2"/>
  </mergeCells>
  <pageMargins left="0.31496062992125984" right="0.31496062992125984" top="0.74803149606299213" bottom="0.74803149606299213" header="0.31496062992125984" footer="0.31496062992125984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E9D6-D0E2-48A5-9E67-8E6996540DA4}">
  <dimension ref="A1:F15"/>
  <sheetViews>
    <sheetView workbookViewId="0">
      <selection activeCell="C24" sqref="C24"/>
    </sheetView>
  </sheetViews>
  <sheetFormatPr baseColWidth="10" defaultRowHeight="15" x14ac:dyDescent="0.25"/>
  <cols>
    <col min="1" max="1" width="22.42578125" customWidth="1"/>
    <col min="2" max="2" width="14" customWidth="1"/>
    <col min="4" max="4" width="13.140625" customWidth="1"/>
    <col min="5" max="5" width="13.42578125" customWidth="1"/>
    <col min="6" max="6" width="14.7109375" customWidth="1"/>
  </cols>
  <sheetData>
    <row r="1" spans="1:6" ht="33.75" x14ac:dyDescent="0.5">
      <c r="A1" s="861" t="s">
        <v>398</v>
      </c>
      <c r="B1" s="861"/>
      <c r="C1" s="83"/>
      <c r="D1" s="83"/>
      <c r="E1" s="83"/>
      <c r="F1" s="93"/>
    </row>
    <row r="2" spans="1:6" ht="28.5" x14ac:dyDescent="0.45">
      <c r="A2" s="15"/>
      <c r="B2" s="85"/>
      <c r="C2" s="83"/>
      <c r="D2" s="83"/>
      <c r="E2" s="83"/>
      <c r="F2" s="7">
        <v>3800</v>
      </c>
    </row>
    <row r="3" spans="1:6" ht="18.75" x14ac:dyDescent="0.25">
      <c r="A3" s="47" t="s">
        <v>9</v>
      </c>
      <c r="B3" s="143">
        <f>7/12*F2</f>
        <v>2216.666666666667</v>
      </c>
      <c r="C3" s="83"/>
      <c r="D3" s="83"/>
      <c r="E3" s="83"/>
      <c r="F3" s="93"/>
    </row>
    <row r="4" spans="1:6" ht="18.75" x14ac:dyDescent="0.3">
      <c r="A4" s="3" t="s">
        <v>1</v>
      </c>
      <c r="B4" s="5">
        <v>500</v>
      </c>
      <c r="C4" s="83"/>
      <c r="D4" s="83"/>
      <c r="E4" s="83"/>
      <c r="F4" s="93"/>
    </row>
    <row r="5" spans="1:6" ht="18.75" x14ac:dyDescent="0.3">
      <c r="A5" s="3" t="s">
        <v>10</v>
      </c>
      <c r="B5" s="5">
        <v>2000</v>
      </c>
      <c r="C5" s="83"/>
      <c r="D5" s="862" t="s">
        <v>228</v>
      </c>
      <c r="E5" s="862"/>
      <c r="F5" s="862"/>
    </row>
    <row r="6" spans="1:6" ht="18.75" x14ac:dyDescent="0.3">
      <c r="A6" s="3" t="s">
        <v>94</v>
      </c>
      <c r="B6" s="5">
        <f>13000/12</f>
        <v>1083.3333333333333</v>
      </c>
      <c r="C6" s="83"/>
      <c r="D6" s="83"/>
      <c r="E6" s="83"/>
      <c r="F6" s="93"/>
    </row>
    <row r="7" spans="1:6" ht="18.75" x14ac:dyDescent="0.3">
      <c r="A7" s="3" t="s">
        <v>11</v>
      </c>
      <c r="B7" s="5">
        <v>500</v>
      </c>
      <c r="C7" s="83"/>
      <c r="D7" s="90" t="s">
        <v>22</v>
      </c>
      <c r="E7" s="90" t="s">
        <v>23</v>
      </c>
      <c r="F7" s="6" t="s">
        <v>24</v>
      </c>
    </row>
    <row r="8" spans="1:6" ht="18.75" x14ac:dyDescent="0.3">
      <c r="A8" s="3" t="s">
        <v>12</v>
      </c>
      <c r="B8" s="5">
        <v>1000</v>
      </c>
      <c r="C8" s="83"/>
      <c r="D8" s="90">
        <f>D13</f>
        <v>4.4333333333333336</v>
      </c>
      <c r="E8" s="90">
        <f>E13</f>
        <v>5.541666666666667</v>
      </c>
      <c r="F8" s="6">
        <f>F13</f>
        <v>6.3016666666666676</v>
      </c>
    </row>
    <row r="9" spans="1:6" ht="21" x14ac:dyDescent="0.35">
      <c r="A9" s="3" t="s">
        <v>399</v>
      </c>
      <c r="B9" s="5">
        <f>5/12*F2</f>
        <v>1583.3333333333335</v>
      </c>
      <c r="C9" s="83"/>
      <c r="D9" s="92"/>
      <c r="E9" s="92"/>
      <c r="F9" s="7"/>
    </row>
    <row r="10" spans="1:6" ht="18.75" x14ac:dyDescent="0.3">
      <c r="A10" s="10" t="s">
        <v>400</v>
      </c>
      <c r="B10" s="5">
        <v>300</v>
      </c>
      <c r="C10" s="83"/>
    </row>
    <row r="11" spans="1:6" ht="18.75" x14ac:dyDescent="0.3">
      <c r="A11" s="10" t="s">
        <v>401</v>
      </c>
      <c r="B11" s="5">
        <v>500</v>
      </c>
      <c r="C11" s="83"/>
    </row>
    <row r="12" spans="1:6" ht="18.75" x14ac:dyDescent="0.3">
      <c r="A12" s="3"/>
      <c r="B12" s="5">
        <v>0</v>
      </c>
      <c r="C12" s="83"/>
      <c r="D12" s="641">
        <v>0.4</v>
      </c>
      <c r="E12" s="641">
        <v>0.6</v>
      </c>
      <c r="F12" s="641">
        <v>0.9</v>
      </c>
    </row>
    <row r="13" spans="1:6" ht="18.75" x14ac:dyDescent="0.3">
      <c r="A13" s="3" t="s">
        <v>16</v>
      </c>
      <c r="B13" s="5">
        <f>350</f>
        <v>350</v>
      </c>
      <c r="C13" s="83"/>
      <c r="D13" s="86">
        <f>B15*1.4/F2</f>
        <v>4.4333333333333336</v>
      </c>
      <c r="E13" s="86">
        <f>B15*1.75/F2</f>
        <v>5.541666666666667</v>
      </c>
      <c r="F13" s="86">
        <f>B15*1.99/F2</f>
        <v>6.3016666666666676</v>
      </c>
    </row>
    <row r="14" spans="1:6" ht="19.5" thickBot="1" x14ac:dyDescent="0.35">
      <c r="A14" s="3" t="s">
        <v>18</v>
      </c>
      <c r="B14" s="46">
        <f>2000</f>
        <v>2000</v>
      </c>
      <c r="F14" s="5"/>
    </row>
    <row r="15" spans="1:6" ht="18.75" x14ac:dyDescent="0.3">
      <c r="A15" s="3"/>
      <c r="B15" s="86">
        <f>SUM(B3:B14)</f>
        <v>12033.333333333334</v>
      </c>
      <c r="F15" s="5"/>
    </row>
  </sheetData>
  <mergeCells count="2">
    <mergeCell ref="A1:B1"/>
    <mergeCell ref="D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S316"/>
  <sheetViews>
    <sheetView topLeftCell="A295" zoomScale="40" zoomScaleNormal="40" workbookViewId="0">
      <selection activeCell="B24" sqref="B24"/>
    </sheetView>
  </sheetViews>
  <sheetFormatPr baseColWidth="10" defaultRowHeight="28.5" x14ac:dyDescent="0.45"/>
  <cols>
    <col min="1" max="1" width="38.7109375" style="20" customWidth="1"/>
    <col min="2" max="2" width="27.140625" style="75" customWidth="1"/>
    <col min="3" max="3" width="23.140625" style="477" customWidth="1"/>
    <col min="4" max="4" width="25" style="477" customWidth="1"/>
    <col min="5" max="5" width="24.28515625" style="477" customWidth="1"/>
    <col min="6" max="6" width="38.7109375" style="20" customWidth="1"/>
    <col min="7" max="7" width="26.5703125" style="3" customWidth="1"/>
    <col min="8" max="8" width="26.42578125" style="477" bestFit="1" customWidth="1"/>
    <col min="9" max="9" width="24.140625" style="477" customWidth="1"/>
    <col min="10" max="10" width="28.85546875" style="477" customWidth="1"/>
    <col min="11" max="11" width="16.42578125" style="83" customWidth="1"/>
    <col min="12" max="12" width="11.42578125" style="3"/>
    <col min="13" max="13" width="34.28515625" style="52" customWidth="1"/>
    <col min="14" max="16" width="19.42578125" style="658" customWidth="1"/>
    <col min="17" max="17" width="25.42578125" style="52" customWidth="1"/>
  </cols>
  <sheetData>
    <row r="1" spans="1:17" s="452" customFormat="1" ht="60" customHeight="1" x14ac:dyDescent="0.7">
      <c r="A1" s="864" t="s">
        <v>137</v>
      </c>
      <c r="B1" s="865"/>
      <c r="C1" s="865"/>
      <c r="D1" s="865"/>
      <c r="E1" s="865"/>
      <c r="F1" s="865"/>
      <c r="G1" s="865"/>
      <c r="H1" s="865"/>
      <c r="I1" s="865"/>
      <c r="J1" s="865"/>
      <c r="K1" s="866"/>
      <c r="L1" s="451"/>
      <c r="M1" s="52"/>
      <c r="N1" s="658"/>
      <c r="O1" s="658"/>
      <c r="P1" s="658"/>
      <c r="Q1" s="52"/>
    </row>
    <row r="2" spans="1:17" ht="48.75" customHeight="1" x14ac:dyDescent="0.7">
      <c r="A2" s="503"/>
      <c r="B2" s="373"/>
      <c r="C2" s="475"/>
      <c r="D2" s="475"/>
      <c r="E2" s="509">
        <v>4000</v>
      </c>
      <c r="F2" s="372"/>
      <c r="G2" s="374"/>
      <c r="H2" s="874"/>
      <c r="I2" s="874"/>
      <c r="J2" s="874"/>
      <c r="K2" s="504"/>
    </row>
    <row r="3" spans="1:17" ht="30" customHeight="1" x14ac:dyDescent="0.55000000000000004">
      <c r="A3" s="871" t="s">
        <v>159</v>
      </c>
      <c r="B3" s="872"/>
      <c r="C3" s="468"/>
      <c r="D3" s="468"/>
      <c r="E3" s="468"/>
      <c r="F3" s="873" t="s">
        <v>93</v>
      </c>
      <c r="G3" s="873"/>
      <c r="H3" s="468"/>
      <c r="I3" s="468"/>
      <c r="J3" s="468"/>
      <c r="K3" s="504"/>
    </row>
    <row r="4" spans="1:17" ht="30" customHeight="1" x14ac:dyDescent="0.45">
      <c r="A4" s="503" t="s">
        <v>9</v>
      </c>
      <c r="B4" s="377">
        <f>0.8*2.3*E2</f>
        <v>7359.9999999999991</v>
      </c>
      <c r="C4" s="468"/>
      <c r="D4" s="468"/>
      <c r="E4" s="468"/>
      <c r="F4" s="372" t="s">
        <v>9</v>
      </c>
      <c r="G4" s="377">
        <f>0.8*2*E2</f>
        <v>6400</v>
      </c>
      <c r="H4" s="468"/>
      <c r="I4" s="468"/>
      <c r="J4" s="468"/>
      <c r="K4" s="504"/>
    </row>
    <row r="5" spans="1:17" ht="30" customHeight="1" x14ac:dyDescent="0.45">
      <c r="A5" s="503" t="s">
        <v>1</v>
      </c>
      <c r="B5" s="377">
        <v>700</v>
      </c>
      <c r="C5" s="468"/>
      <c r="D5" s="468"/>
      <c r="E5" s="468"/>
      <c r="F5" s="372" t="s">
        <v>1</v>
      </c>
      <c r="G5" s="377">
        <v>700</v>
      </c>
      <c r="H5" s="468"/>
      <c r="I5" s="468"/>
      <c r="J5" s="468"/>
      <c r="K5" s="504"/>
    </row>
    <row r="6" spans="1:17" ht="30" customHeight="1" x14ac:dyDescent="0.45">
      <c r="A6" s="503" t="s">
        <v>10</v>
      </c>
      <c r="B6" s="377">
        <v>2500</v>
      </c>
      <c r="C6" s="378" t="s">
        <v>22</v>
      </c>
      <c r="D6" s="378" t="s">
        <v>23</v>
      </c>
      <c r="E6" s="378" t="s">
        <v>24</v>
      </c>
      <c r="F6" s="372" t="s">
        <v>10</v>
      </c>
      <c r="G6" s="377">
        <v>2500</v>
      </c>
      <c r="H6" s="378" t="s">
        <v>22</v>
      </c>
      <c r="I6" s="378" t="s">
        <v>23</v>
      </c>
      <c r="J6" s="378" t="s">
        <v>24</v>
      </c>
      <c r="K6" s="504"/>
    </row>
    <row r="7" spans="1:17" ht="30" customHeight="1" x14ac:dyDescent="0.45">
      <c r="A7" s="503" t="s">
        <v>27</v>
      </c>
      <c r="B7" s="377">
        <v>200</v>
      </c>
      <c r="C7" s="502">
        <v>30</v>
      </c>
      <c r="D7" s="502">
        <v>50</v>
      </c>
      <c r="E7" s="502">
        <v>99</v>
      </c>
      <c r="F7" s="372" t="s">
        <v>27</v>
      </c>
      <c r="G7" s="377">
        <v>200</v>
      </c>
      <c r="H7" s="531">
        <v>40</v>
      </c>
      <c r="I7" s="531">
        <v>60</v>
      </c>
      <c r="J7" s="531">
        <v>99</v>
      </c>
      <c r="K7" s="504"/>
    </row>
    <row r="8" spans="1:17" ht="30" customHeight="1" x14ac:dyDescent="0.45">
      <c r="A8" s="503" t="s">
        <v>28</v>
      </c>
      <c r="B8" s="377">
        <v>100</v>
      </c>
      <c r="C8" s="468">
        <f>B12*1.4</f>
        <v>5.1134999999999993</v>
      </c>
      <c r="D8" s="468">
        <f>B12*1.6</f>
        <v>5.8440000000000003</v>
      </c>
      <c r="E8" s="468">
        <f>B12*1.99</f>
        <v>7.2684749999999996</v>
      </c>
      <c r="F8" s="372" t="s">
        <v>28</v>
      </c>
      <c r="G8" s="377">
        <v>3000</v>
      </c>
      <c r="H8" s="468">
        <f>G12*1.3</f>
        <v>5.7362500000000001</v>
      </c>
      <c r="I8" s="468">
        <f>G12*1.5</f>
        <v>6.6187499999999995</v>
      </c>
      <c r="J8" s="468">
        <f>G12*1.7</f>
        <v>7.5012499999999989</v>
      </c>
      <c r="K8" s="504"/>
    </row>
    <row r="9" spans="1:17" ht="30" customHeight="1" x14ac:dyDescent="0.45">
      <c r="A9" s="503" t="s">
        <v>106</v>
      </c>
      <c r="B9" s="377">
        <v>500</v>
      </c>
      <c r="C9" s="468"/>
      <c r="D9" s="468"/>
      <c r="E9" s="468"/>
      <c r="F9" s="372" t="s">
        <v>106</v>
      </c>
      <c r="G9" s="377">
        <v>500</v>
      </c>
      <c r="H9" s="468">
        <f>H8*3800</f>
        <v>21797.75</v>
      </c>
      <c r="I9" s="468">
        <f>I8*3800</f>
        <v>25151.249999999996</v>
      </c>
      <c r="J9" s="468">
        <f>J8*3800</f>
        <v>28504.749999999996</v>
      </c>
      <c r="K9" s="504"/>
    </row>
    <row r="10" spans="1:17" ht="30" customHeight="1" x14ac:dyDescent="0.45">
      <c r="A10" s="503" t="s">
        <v>16</v>
      </c>
      <c r="B10" s="377">
        <v>250</v>
      </c>
      <c r="C10" s="468"/>
      <c r="D10" s="468"/>
      <c r="E10" s="468"/>
      <c r="F10" s="372" t="s">
        <v>16</v>
      </c>
      <c r="G10" s="377">
        <v>350</v>
      </c>
      <c r="H10" s="468"/>
      <c r="I10" s="468"/>
      <c r="J10" s="468"/>
      <c r="K10" s="504"/>
    </row>
    <row r="11" spans="1:17" ht="30" customHeight="1" thickBot="1" x14ac:dyDescent="0.5">
      <c r="A11" s="503" t="s">
        <v>18</v>
      </c>
      <c r="B11" s="478">
        <v>3000</v>
      </c>
      <c r="C11" s="468"/>
      <c r="D11" s="468"/>
      <c r="E11" s="468"/>
      <c r="F11" s="372" t="s">
        <v>18</v>
      </c>
      <c r="G11" s="478">
        <v>4000</v>
      </c>
      <c r="H11" s="468"/>
      <c r="I11" s="468"/>
      <c r="J11" s="468"/>
      <c r="K11" s="504"/>
    </row>
    <row r="12" spans="1:17" ht="30" customHeight="1" x14ac:dyDescent="0.45">
      <c r="A12" s="503"/>
      <c r="B12" s="377">
        <f>SUM(B4:B11)/E2</f>
        <v>3.6524999999999999</v>
      </c>
      <c r="C12" s="468"/>
      <c r="D12" s="468"/>
      <c r="E12" s="468"/>
      <c r="F12" s="372"/>
      <c r="G12" s="377">
        <f>SUM(G4:G11)/E2</f>
        <v>4.4124999999999996</v>
      </c>
      <c r="H12" s="468"/>
      <c r="I12" s="468"/>
      <c r="J12" s="468"/>
      <c r="K12" s="504"/>
    </row>
    <row r="13" spans="1:17" ht="30" customHeight="1" x14ac:dyDescent="0.55000000000000004">
      <c r="A13" s="871" t="s">
        <v>347</v>
      </c>
      <c r="B13" s="872"/>
      <c r="C13" s="468"/>
      <c r="D13" s="468"/>
      <c r="E13" s="385"/>
      <c r="F13" s="384" t="s">
        <v>348</v>
      </c>
      <c r="G13" s="476"/>
      <c r="H13" s="468"/>
      <c r="I13" s="468"/>
      <c r="J13" s="468"/>
      <c r="K13" s="504"/>
    </row>
    <row r="14" spans="1:17" ht="30" customHeight="1" x14ac:dyDescent="0.45">
      <c r="A14" s="505" t="s">
        <v>9</v>
      </c>
      <c r="B14" s="498">
        <f>0.3*1.3*E2</f>
        <v>1560</v>
      </c>
      <c r="C14" s="468"/>
      <c r="D14" s="468"/>
      <c r="E14" s="468"/>
      <c r="F14" s="372" t="s">
        <v>9</v>
      </c>
      <c r="G14" s="387">
        <f>0.6*2*E2</f>
        <v>4800</v>
      </c>
      <c r="H14" s="468"/>
      <c r="I14" s="468"/>
      <c r="J14" s="468"/>
      <c r="K14" s="504"/>
    </row>
    <row r="15" spans="1:17" ht="30" customHeight="1" x14ac:dyDescent="0.45">
      <c r="A15" s="505" t="s">
        <v>1</v>
      </c>
      <c r="B15" s="498">
        <v>500</v>
      </c>
      <c r="C15" s="378" t="s">
        <v>22</v>
      </c>
      <c r="D15" s="378" t="s">
        <v>23</v>
      </c>
      <c r="E15" s="378" t="s">
        <v>24</v>
      </c>
      <c r="F15" s="372" t="s">
        <v>1</v>
      </c>
      <c r="G15" s="387">
        <v>700</v>
      </c>
      <c r="H15" s="378" t="s">
        <v>22</v>
      </c>
      <c r="I15" s="378" t="s">
        <v>23</v>
      </c>
      <c r="J15" s="378" t="s">
        <v>24</v>
      </c>
      <c r="K15" s="504"/>
    </row>
    <row r="16" spans="1:17" ht="30" customHeight="1" x14ac:dyDescent="0.45">
      <c r="A16" s="505" t="s">
        <v>10</v>
      </c>
      <c r="B16" s="498">
        <v>2000</v>
      </c>
      <c r="C16" s="531">
        <v>30</v>
      </c>
      <c r="D16" s="531">
        <v>50</v>
      </c>
      <c r="E16" s="531">
        <v>99</v>
      </c>
      <c r="F16" s="372" t="s">
        <v>10</v>
      </c>
      <c r="G16" s="387">
        <v>3000</v>
      </c>
      <c r="H16" s="531">
        <v>30</v>
      </c>
      <c r="I16" s="531">
        <v>50</v>
      </c>
      <c r="J16" s="531">
        <v>99</v>
      </c>
      <c r="K16" s="504"/>
    </row>
    <row r="17" spans="1:11" ht="30" customHeight="1" x14ac:dyDescent="0.45">
      <c r="A17" s="505" t="s">
        <v>27</v>
      </c>
      <c r="B17" s="498">
        <v>0</v>
      </c>
      <c r="C17" s="468">
        <f>B22*1.3</f>
        <v>2.0507499999999999</v>
      </c>
      <c r="D17" s="468">
        <f>B22*1.5</f>
        <v>2.36625</v>
      </c>
      <c r="E17" s="468">
        <f>B22*1.99</f>
        <v>3.1392249999999997</v>
      </c>
      <c r="F17" s="372" t="s">
        <v>27</v>
      </c>
      <c r="G17" s="387">
        <f>0.6*12000</f>
        <v>7200</v>
      </c>
      <c r="H17" s="468">
        <f>G22*1.4</f>
        <v>5.5824999999999996</v>
      </c>
      <c r="I17" s="468">
        <f>G22*1.6</f>
        <v>6.38</v>
      </c>
      <c r="J17" s="468">
        <f>G22*1.99</f>
        <v>7.9351249999999993</v>
      </c>
      <c r="K17" s="504"/>
    </row>
    <row r="18" spans="1:11" ht="30" customHeight="1" x14ac:dyDescent="0.45">
      <c r="A18" s="505" t="s">
        <v>28</v>
      </c>
      <c r="B18" s="498">
        <v>0</v>
      </c>
      <c r="C18" s="468"/>
      <c r="D18" s="468"/>
      <c r="E18" s="468"/>
      <c r="F18" s="372" t="s">
        <v>28</v>
      </c>
      <c r="G18" s="387">
        <v>0</v>
      </c>
      <c r="H18" s="468"/>
      <c r="I18" s="468"/>
      <c r="J18" s="468"/>
      <c r="K18" s="504"/>
    </row>
    <row r="19" spans="1:11" ht="30" customHeight="1" x14ac:dyDescent="0.45">
      <c r="A19" s="505" t="s">
        <v>106</v>
      </c>
      <c r="B19" s="498">
        <v>0</v>
      </c>
      <c r="C19" s="468"/>
      <c r="D19" s="468"/>
      <c r="E19" s="468"/>
      <c r="F19" s="372" t="s">
        <v>106</v>
      </c>
      <c r="G19" s="387">
        <v>0</v>
      </c>
      <c r="H19" s="468"/>
      <c r="I19" s="468"/>
      <c r="J19" s="468"/>
      <c r="K19" s="504"/>
    </row>
    <row r="20" spans="1:11" ht="30" customHeight="1" x14ac:dyDescent="0.45">
      <c r="A20" s="505" t="s">
        <v>16</v>
      </c>
      <c r="B20" s="498">
        <v>250</v>
      </c>
      <c r="C20" s="468"/>
      <c r="D20" s="468"/>
      <c r="E20" s="468"/>
      <c r="F20" s="372" t="s">
        <v>16</v>
      </c>
      <c r="G20" s="387">
        <v>250</v>
      </c>
      <c r="H20" s="468"/>
      <c r="I20" s="468"/>
      <c r="J20" s="468"/>
      <c r="K20" s="504"/>
    </row>
    <row r="21" spans="1:11" ht="30" customHeight="1" thickBot="1" x14ac:dyDescent="0.5">
      <c r="A21" s="505" t="s">
        <v>18</v>
      </c>
      <c r="B21" s="500">
        <v>2000</v>
      </c>
      <c r="C21" s="468"/>
      <c r="D21" s="468"/>
      <c r="E21" s="468"/>
      <c r="F21" s="372" t="s">
        <v>18</v>
      </c>
      <c r="G21" s="479">
        <v>0</v>
      </c>
      <c r="H21" s="468"/>
      <c r="I21" s="468"/>
      <c r="J21" s="468"/>
      <c r="K21" s="504"/>
    </row>
    <row r="22" spans="1:11" ht="30" customHeight="1" x14ac:dyDescent="0.45">
      <c r="A22" s="505"/>
      <c r="B22" s="501">
        <f>SUM(B14:B21)/E2</f>
        <v>1.5774999999999999</v>
      </c>
      <c r="C22" s="468"/>
      <c r="D22" s="468"/>
      <c r="E22" s="468"/>
      <c r="F22" s="372"/>
      <c r="G22" s="389">
        <f>SUM(G14:G21)/E2</f>
        <v>3.9874999999999998</v>
      </c>
      <c r="H22" s="468"/>
      <c r="I22" s="468"/>
      <c r="J22" s="468"/>
      <c r="K22" s="504"/>
    </row>
    <row r="23" spans="1:11" ht="30" customHeight="1" x14ac:dyDescent="0.55000000000000004">
      <c r="A23" s="871" t="s">
        <v>349</v>
      </c>
      <c r="B23" s="872"/>
      <c r="C23" s="475"/>
      <c r="D23" s="475"/>
      <c r="E23" s="475"/>
      <c r="F23" s="881" t="s">
        <v>350</v>
      </c>
      <c r="G23" s="881"/>
      <c r="H23" s="468"/>
      <c r="I23" s="468"/>
      <c r="J23" s="468"/>
      <c r="K23" s="504"/>
    </row>
    <row r="24" spans="1:11" ht="30" customHeight="1" x14ac:dyDescent="0.45">
      <c r="A24" s="503" t="s">
        <v>9</v>
      </c>
      <c r="B24" s="377">
        <f>0.9*1.5*E2</f>
        <v>5400</v>
      </c>
      <c r="C24" s="468"/>
      <c r="D24" s="468"/>
      <c r="E24" s="468"/>
      <c r="F24" s="372" t="s">
        <v>9</v>
      </c>
      <c r="G24" s="377">
        <f>1*2.3*E2</f>
        <v>9200</v>
      </c>
      <c r="H24" s="468">
        <f>400*3700/G24</f>
        <v>160.86956521739131</v>
      </c>
      <c r="I24" s="468"/>
      <c r="J24" s="468"/>
      <c r="K24" s="504"/>
    </row>
    <row r="25" spans="1:11" ht="30" customHeight="1" x14ac:dyDescent="0.45">
      <c r="A25" s="503" t="s">
        <v>1</v>
      </c>
      <c r="B25" s="377">
        <v>300</v>
      </c>
      <c r="C25" s="378" t="s">
        <v>22</v>
      </c>
      <c r="D25" s="378" t="s">
        <v>23</v>
      </c>
      <c r="E25" s="378" t="s">
        <v>24</v>
      </c>
      <c r="F25" s="372" t="s">
        <v>1</v>
      </c>
      <c r="G25" s="377">
        <v>700</v>
      </c>
      <c r="H25" s="378" t="s">
        <v>22</v>
      </c>
      <c r="I25" s="378" t="s">
        <v>23</v>
      </c>
      <c r="J25" s="378" t="s">
        <v>24</v>
      </c>
      <c r="K25" s="504"/>
    </row>
    <row r="26" spans="1:11" ht="30" customHeight="1" x14ac:dyDescent="0.45">
      <c r="A26" s="503" t="s">
        <v>10</v>
      </c>
      <c r="B26" s="377">
        <v>1800</v>
      </c>
      <c r="C26" s="531">
        <v>30</v>
      </c>
      <c r="D26" s="531">
        <v>50</v>
      </c>
      <c r="E26" s="531">
        <v>99</v>
      </c>
      <c r="F26" s="372" t="s">
        <v>10</v>
      </c>
      <c r="G26" s="377">
        <v>3500</v>
      </c>
      <c r="H26" s="531">
        <v>40</v>
      </c>
      <c r="I26" s="531">
        <v>60</v>
      </c>
      <c r="J26" s="531">
        <v>99</v>
      </c>
      <c r="K26" s="504"/>
    </row>
    <row r="27" spans="1:11" ht="30" customHeight="1" x14ac:dyDescent="0.45">
      <c r="A27" s="503" t="s">
        <v>313</v>
      </c>
      <c r="B27" s="377">
        <v>2500</v>
      </c>
      <c r="C27" s="468">
        <f>B32*1.4</f>
        <v>3.9724999999999997</v>
      </c>
      <c r="D27" s="468">
        <f>B32*1.6</f>
        <v>4.54</v>
      </c>
      <c r="E27" s="468">
        <f>B32*1.99</f>
        <v>5.6466250000000002</v>
      </c>
      <c r="F27" s="372" t="s">
        <v>106</v>
      </c>
      <c r="G27" s="377">
        <v>200</v>
      </c>
      <c r="H27" s="468">
        <f>G32*1.3</f>
        <v>8.1087500000000006</v>
      </c>
      <c r="I27" s="468">
        <f>G32*1.7</f>
        <v>10.60375</v>
      </c>
      <c r="J27" s="468">
        <f>G32*1.9</f>
        <v>11.851249999999999</v>
      </c>
      <c r="K27" s="504"/>
    </row>
    <row r="28" spans="1:11" ht="30" customHeight="1" x14ac:dyDescent="0.45">
      <c r="A28" s="503" t="s">
        <v>27</v>
      </c>
      <c r="B28" s="377">
        <v>50</v>
      </c>
      <c r="C28" s="468"/>
      <c r="D28" s="468"/>
      <c r="E28" s="468" t="s">
        <v>477</v>
      </c>
      <c r="F28" s="372" t="s">
        <v>27</v>
      </c>
      <c r="G28" s="377">
        <v>100</v>
      </c>
      <c r="H28" s="468">
        <f>H27*3800</f>
        <v>30813.250000000004</v>
      </c>
      <c r="I28" s="468">
        <f>I27*3800</f>
        <v>40294.25</v>
      </c>
      <c r="J28" s="468">
        <f>J27*3800</f>
        <v>45034.749999999993</v>
      </c>
      <c r="K28" s="504"/>
    </row>
    <row r="29" spans="1:11" ht="30" customHeight="1" x14ac:dyDescent="0.45">
      <c r="A29" s="503" t="s">
        <v>28</v>
      </c>
      <c r="B29" s="377">
        <v>50</v>
      </c>
      <c r="C29" s="468"/>
      <c r="D29" s="468"/>
      <c r="E29" s="468"/>
      <c r="F29" s="372" t="s">
        <v>28</v>
      </c>
      <c r="G29" s="377">
        <f>11000</f>
        <v>11000</v>
      </c>
      <c r="H29" s="468"/>
      <c r="I29" s="468"/>
      <c r="J29" s="468"/>
      <c r="K29" s="504"/>
    </row>
    <row r="30" spans="1:11" ht="30" customHeight="1" x14ac:dyDescent="0.45">
      <c r="A30" s="503" t="s">
        <v>16</v>
      </c>
      <c r="B30" s="377">
        <f>B20</f>
        <v>250</v>
      </c>
      <c r="C30" s="468"/>
      <c r="D30" s="468"/>
      <c r="E30" s="468"/>
      <c r="F30" s="372" t="s">
        <v>16</v>
      </c>
      <c r="G30" s="377">
        <f>B30</f>
        <v>250</v>
      </c>
      <c r="H30" s="468"/>
      <c r="I30" s="468"/>
      <c r="J30" s="468"/>
      <c r="K30" s="504"/>
    </row>
    <row r="31" spans="1:11" ht="30" customHeight="1" thickBot="1" x14ac:dyDescent="0.5">
      <c r="A31" s="503" t="s">
        <v>18</v>
      </c>
      <c r="B31" s="478">
        <v>1000</v>
      </c>
      <c r="C31" s="468"/>
      <c r="D31" s="468"/>
      <c r="E31" s="468"/>
      <c r="F31" s="372" t="s">
        <v>18</v>
      </c>
      <c r="G31" s="478">
        <v>0</v>
      </c>
      <c r="H31" s="468"/>
      <c r="I31" s="468"/>
      <c r="J31" s="468"/>
      <c r="K31" s="504"/>
    </row>
    <row r="32" spans="1:11" ht="30" customHeight="1" thickBot="1" x14ac:dyDescent="0.5">
      <c r="A32" s="506"/>
      <c r="B32" s="478">
        <f>SUM(B24:B31)/E2</f>
        <v>2.8374999999999999</v>
      </c>
      <c r="C32" s="532"/>
      <c r="D32" s="532"/>
      <c r="E32" s="532"/>
      <c r="F32" s="507"/>
      <c r="G32" s="478">
        <f>SUM(G24:G31)/E2</f>
        <v>6.2374999999999998</v>
      </c>
      <c r="H32" s="532"/>
      <c r="I32" s="532"/>
      <c r="J32" s="532"/>
      <c r="K32" s="508"/>
    </row>
    <row r="33" spans="1:17" ht="30" customHeight="1" x14ac:dyDescent="0.45"/>
    <row r="34" spans="1:17" ht="30" customHeight="1" thickBot="1" x14ac:dyDescent="0.5"/>
    <row r="35" spans="1:17" s="452" customFormat="1" ht="46.5" x14ac:dyDescent="0.7">
      <c r="A35" s="867" t="s">
        <v>354</v>
      </c>
      <c r="B35" s="868"/>
      <c r="C35" s="868"/>
      <c r="D35" s="868"/>
      <c r="E35" s="868"/>
      <c r="F35" s="868"/>
      <c r="G35" s="868"/>
      <c r="H35" s="868"/>
      <c r="I35" s="868"/>
      <c r="J35" s="868"/>
      <c r="K35" s="869"/>
      <c r="L35" s="451"/>
      <c r="M35" s="52"/>
      <c r="N35" s="658"/>
      <c r="O35" s="658"/>
      <c r="P35" s="658"/>
      <c r="Q35" s="52"/>
    </row>
    <row r="36" spans="1:17" s="452" customFormat="1" ht="46.5" x14ac:dyDescent="0.7">
      <c r="A36" s="510" t="s">
        <v>159</v>
      </c>
      <c r="B36" s="311"/>
      <c r="C36" s="465"/>
      <c r="D36" s="465"/>
      <c r="E36" s="465"/>
      <c r="F36" s="311" t="s">
        <v>351</v>
      </c>
      <c r="G36" s="311"/>
      <c r="H36" s="473"/>
      <c r="I36" s="473"/>
      <c r="J36" s="473"/>
      <c r="K36" s="511"/>
      <c r="L36" s="451"/>
      <c r="M36" s="52"/>
      <c r="N36" s="658"/>
      <c r="O36" s="658"/>
      <c r="P36" s="658"/>
      <c r="Q36" s="52"/>
    </row>
    <row r="37" spans="1:17" ht="30" customHeight="1" x14ac:dyDescent="0.55000000000000004">
      <c r="A37" s="512" t="s">
        <v>9</v>
      </c>
      <c r="B37" s="303">
        <v>0</v>
      </c>
      <c r="C37" s="473"/>
      <c r="D37" s="473"/>
      <c r="E37" s="473"/>
      <c r="F37" s="301" t="s">
        <v>9</v>
      </c>
      <c r="G37" s="304">
        <f>0.8*1.8*4000</f>
        <v>5760.0000000000009</v>
      </c>
      <c r="H37" s="473"/>
      <c r="I37" s="473"/>
      <c r="J37" s="473"/>
      <c r="K37" s="513"/>
    </row>
    <row r="38" spans="1:17" ht="30" customHeight="1" x14ac:dyDescent="0.45">
      <c r="A38" s="512" t="s">
        <v>1</v>
      </c>
      <c r="B38" s="303">
        <v>700</v>
      </c>
      <c r="C38" s="473"/>
      <c r="D38" s="473"/>
      <c r="E38" s="473"/>
      <c r="F38" s="301" t="s">
        <v>1</v>
      </c>
      <c r="G38" s="304">
        <v>700</v>
      </c>
      <c r="H38" s="877"/>
      <c r="I38" s="877"/>
      <c r="J38" s="877"/>
      <c r="K38" s="514"/>
    </row>
    <row r="39" spans="1:17" ht="30" customHeight="1" x14ac:dyDescent="0.45">
      <c r="A39" s="512" t="s">
        <v>10</v>
      </c>
      <c r="B39" s="303">
        <v>2500</v>
      </c>
      <c r="C39" s="473"/>
      <c r="D39" s="473"/>
      <c r="E39" s="473"/>
      <c r="F39" s="301" t="s">
        <v>10</v>
      </c>
      <c r="G39" s="304">
        <v>3500</v>
      </c>
      <c r="H39" s="305"/>
      <c r="I39" s="305"/>
      <c r="J39" s="305"/>
      <c r="K39" s="514"/>
    </row>
    <row r="40" spans="1:17" ht="30" customHeight="1" x14ac:dyDescent="0.45">
      <c r="A40" s="512" t="s">
        <v>11</v>
      </c>
      <c r="B40" s="303">
        <v>1000</v>
      </c>
      <c r="C40" s="473"/>
      <c r="D40" s="473"/>
      <c r="E40" s="473"/>
      <c r="F40" s="301" t="s">
        <v>11</v>
      </c>
      <c r="G40" s="304">
        <v>1000</v>
      </c>
      <c r="H40" s="305"/>
      <c r="I40" s="305"/>
      <c r="J40" s="305"/>
      <c r="K40" s="514"/>
    </row>
    <row r="41" spans="1:17" ht="30" customHeight="1" x14ac:dyDescent="0.45">
      <c r="A41" s="512" t="s">
        <v>13</v>
      </c>
      <c r="B41" s="303">
        <v>5000</v>
      </c>
      <c r="C41" s="473"/>
      <c r="D41" s="473"/>
      <c r="E41" s="473"/>
      <c r="F41" s="301" t="s">
        <v>13</v>
      </c>
      <c r="G41" s="304">
        <v>700</v>
      </c>
      <c r="H41" s="473"/>
      <c r="I41" s="473"/>
      <c r="J41" s="473"/>
      <c r="K41" s="514"/>
    </row>
    <row r="42" spans="1:17" ht="30" customHeight="1" x14ac:dyDescent="0.45">
      <c r="A42" s="512" t="s">
        <v>14</v>
      </c>
      <c r="B42" s="303">
        <v>200</v>
      </c>
      <c r="C42" s="305" t="s">
        <v>22</v>
      </c>
      <c r="D42" s="305" t="s">
        <v>23</v>
      </c>
      <c r="E42" s="305" t="s">
        <v>24</v>
      </c>
      <c r="F42" s="301" t="s">
        <v>14</v>
      </c>
      <c r="G42" s="304">
        <v>0</v>
      </c>
      <c r="H42" s="305" t="s">
        <v>22</v>
      </c>
      <c r="I42" s="305" t="s">
        <v>23</v>
      </c>
      <c r="J42" s="305" t="s">
        <v>24</v>
      </c>
      <c r="K42" s="515"/>
    </row>
    <row r="43" spans="1:17" ht="30" customHeight="1" x14ac:dyDescent="0.45">
      <c r="A43" s="512" t="s">
        <v>15</v>
      </c>
      <c r="B43" s="303">
        <v>500</v>
      </c>
      <c r="C43" s="473">
        <v>30</v>
      </c>
      <c r="D43" s="473">
        <v>50</v>
      </c>
      <c r="E43" s="473">
        <v>99</v>
      </c>
      <c r="F43" s="301" t="s">
        <v>15</v>
      </c>
      <c r="G43" s="304">
        <v>0</v>
      </c>
      <c r="H43" s="473">
        <v>30</v>
      </c>
      <c r="I43" s="473">
        <v>50</v>
      </c>
      <c r="J43" s="473">
        <v>99</v>
      </c>
      <c r="K43" s="515"/>
    </row>
    <row r="44" spans="1:17" ht="30" customHeight="1" x14ac:dyDescent="0.45">
      <c r="A44" s="512" t="s">
        <v>27</v>
      </c>
      <c r="B44" s="303">
        <v>200</v>
      </c>
      <c r="C44" s="473">
        <f>B49*1.35</f>
        <v>4.9106250000000005</v>
      </c>
      <c r="D44" s="473">
        <f>B49*1.65</f>
        <v>6.0018750000000001</v>
      </c>
      <c r="E44" s="473">
        <f>B49*1.99</f>
        <v>7.2386250000000008</v>
      </c>
      <c r="F44" s="301" t="s">
        <v>27</v>
      </c>
      <c r="G44" s="304">
        <v>50</v>
      </c>
      <c r="H44" s="473">
        <f>G49*1.5</f>
        <v>6.0412499999999998</v>
      </c>
      <c r="I44" s="473">
        <f>G49*1.65</f>
        <v>6.6453749999999996</v>
      </c>
      <c r="J44" s="473">
        <f>G49*1.9</f>
        <v>7.6522499999999996</v>
      </c>
      <c r="K44" s="515"/>
    </row>
    <row r="45" spans="1:17" ht="30" customHeight="1" x14ac:dyDescent="0.45">
      <c r="A45" s="512" t="s">
        <v>28</v>
      </c>
      <c r="B45" s="303">
        <v>100</v>
      </c>
      <c r="C45" s="473"/>
      <c r="D45" s="473"/>
      <c r="E45" s="473"/>
      <c r="F45" s="301" t="s">
        <v>28</v>
      </c>
      <c r="G45" s="304">
        <v>100</v>
      </c>
      <c r="H45" s="473"/>
      <c r="I45" s="473"/>
      <c r="J45" s="473"/>
      <c r="K45" s="514"/>
    </row>
    <row r="46" spans="1:17" ht="30" customHeight="1" x14ac:dyDescent="0.45">
      <c r="A46" s="512" t="s">
        <v>16</v>
      </c>
      <c r="B46" s="303">
        <v>250</v>
      </c>
      <c r="C46" s="473"/>
      <c r="D46" s="473"/>
      <c r="E46" s="473"/>
      <c r="F46" s="301" t="s">
        <v>16</v>
      </c>
      <c r="G46" s="304">
        <v>250</v>
      </c>
      <c r="H46" s="473"/>
      <c r="I46" s="473"/>
      <c r="J46" s="473"/>
      <c r="K46" s="514"/>
    </row>
    <row r="47" spans="1:17" ht="30" customHeight="1" x14ac:dyDescent="0.45">
      <c r="A47" s="512" t="s">
        <v>17</v>
      </c>
      <c r="B47" s="303">
        <v>100</v>
      </c>
      <c r="C47" s="473"/>
      <c r="D47" s="473"/>
      <c r="E47" s="473"/>
      <c r="F47" s="301" t="s">
        <v>17</v>
      </c>
      <c r="G47" s="304">
        <v>50</v>
      </c>
      <c r="H47" s="473"/>
      <c r="I47" s="473"/>
      <c r="J47" s="473"/>
      <c r="K47" s="514"/>
    </row>
    <row r="48" spans="1:17" ht="30" customHeight="1" thickBot="1" x14ac:dyDescent="0.5">
      <c r="A48" s="512" t="s">
        <v>18</v>
      </c>
      <c r="B48" s="433">
        <v>4000</v>
      </c>
      <c r="C48" s="473"/>
      <c r="D48" s="473"/>
      <c r="E48" s="473"/>
      <c r="F48" s="301" t="s">
        <v>18</v>
      </c>
      <c r="G48" s="480">
        <v>4000</v>
      </c>
      <c r="H48" s="473"/>
      <c r="I48" s="473"/>
      <c r="J48" s="473"/>
      <c r="K48" s="515"/>
    </row>
    <row r="49" spans="1:17" ht="30" customHeight="1" x14ac:dyDescent="0.45">
      <c r="A49" s="512"/>
      <c r="B49" s="303">
        <f>SUM(B37:B48)/E2</f>
        <v>3.6375000000000002</v>
      </c>
      <c r="C49" s="473"/>
      <c r="D49" s="473"/>
      <c r="E49" s="473"/>
      <c r="F49" s="301"/>
      <c r="G49" s="307">
        <f>SUM(G37:G48)/E2</f>
        <v>4.0274999999999999</v>
      </c>
      <c r="H49" s="473"/>
      <c r="I49" s="473"/>
      <c r="J49" s="473"/>
      <c r="K49" s="515"/>
    </row>
    <row r="50" spans="1:17" ht="30" customHeight="1" x14ac:dyDescent="0.5">
      <c r="A50" s="516"/>
      <c r="B50" s="308"/>
      <c r="C50" s="882"/>
      <c r="D50" s="882"/>
      <c r="E50" s="882"/>
      <c r="F50" s="301"/>
      <c r="G50" s="302"/>
      <c r="H50" s="473"/>
      <c r="I50" s="473"/>
      <c r="J50" s="473"/>
      <c r="K50" s="514"/>
    </row>
    <row r="51" spans="1:17" s="452" customFormat="1" ht="43.5" customHeight="1" x14ac:dyDescent="0.7">
      <c r="A51" s="880" t="s">
        <v>93</v>
      </c>
      <c r="B51" s="879"/>
      <c r="C51" s="465"/>
      <c r="D51" s="465"/>
      <c r="E51" s="465"/>
      <c r="F51" s="879" t="s">
        <v>158</v>
      </c>
      <c r="G51" s="879"/>
      <c r="H51" s="878"/>
      <c r="I51" s="878"/>
      <c r="J51" s="878"/>
      <c r="K51" s="517"/>
      <c r="L51" s="451"/>
      <c r="M51" s="52"/>
      <c r="N51" s="658"/>
      <c r="O51" s="658"/>
      <c r="P51" s="658"/>
      <c r="Q51" s="52"/>
    </row>
    <row r="52" spans="1:17" ht="30" customHeight="1" x14ac:dyDescent="0.45">
      <c r="A52" s="512" t="s">
        <v>9</v>
      </c>
      <c r="B52" s="303">
        <f>0.8*2.3*E2</f>
        <v>7359.9999999999991</v>
      </c>
      <c r="C52" s="473"/>
      <c r="D52" s="473"/>
      <c r="E52" s="473"/>
      <c r="F52" s="301" t="s">
        <v>9</v>
      </c>
      <c r="G52" s="304">
        <f>0.6*2*E2</f>
        <v>4800</v>
      </c>
      <c r="H52" s="473"/>
      <c r="I52" s="473"/>
      <c r="J52" s="473"/>
      <c r="K52" s="518"/>
    </row>
    <row r="53" spans="1:17" ht="30" customHeight="1" x14ac:dyDescent="0.45">
      <c r="A53" s="512" t="s">
        <v>1</v>
      </c>
      <c r="B53" s="303">
        <v>700</v>
      </c>
      <c r="C53" s="473"/>
      <c r="D53" s="473"/>
      <c r="E53" s="473"/>
      <c r="F53" s="301" t="s">
        <v>1</v>
      </c>
      <c r="G53" s="304">
        <v>700</v>
      </c>
      <c r="H53" s="473"/>
      <c r="I53" s="473"/>
      <c r="J53" s="473"/>
      <c r="K53" s="514"/>
    </row>
    <row r="54" spans="1:17" ht="30" customHeight="1" x14ac:dyDescent="0.45">
      <c r="A54" s="512" t="s">
        <v>10</v>
      </c>
      <c r="B54" s="303">
        <v>2500</v>
      </c>
      <c r="C54" s="473"/>
      <c r="D54" s="473"/>
      <c r="E54" s="473"/>
      <c r="F54" s="301" t="s">
        <v>10</v>
      </c>
      <c r="G54" s="304">
        <v>3500</v>
      </c>
      <c r="H54" s="473"/>
      <c r="I54" s="473"/>
      <c r="J54" s="473"/>
      <c r="K54" s="514"/>
    </row>
    <row r="55" spans="1:17" ht="30" customHeight="1" x14ac:dyDescent="0.45">
      <c r="A55" s="512" t="s">
        <v>187</v>
      </c>
      <c r="B55" s="303">
        <v>1000</v>
      </c>
      <c r="C55" s="675"/>
      <c r="D55" s="675"/>
      <c r="E55" s="675"/>
      <c r="F55" s="301" t="s">
        <v>187</v>
      </c>
      <c r="G55" s="304">
        <v>0</v>
      </c>
      <c r="H55" s="675"/>
      <c r="I55" s="675"/>
      <c r="J55" s="675"/>
      <c r="K55" s="514"/>
    </row>
    <row r="56" spans="1:17" ht="30" customHeight="1" x14ac:dyDescent="0.45">
      <c r="A56" s="512" t="s">
        <v>11</v>
      </c>
      <c r="B56" s="303">
        <v>0</v>
      </c>
      <c r="C56" s="473"/>
      <c r="D56" s="473"/>
      <c r="E56" s="473"/>
      <c r="F56" s="301" t="s">
        <v>11</v>
      </c>
      <c r="G56" s="304">
        <v>1000</v>
      </c>
      <c r="H56" s="473"/>
      <c r="I56" s="473"/>
      <c r="J56" s="473"/>
      <c r="K56" s="514"/>
    </row>
    <row r="57" spans="1:17" ht="30" customHeight="1" x14ac:dyDescent="0.45">
      <c r="A57" s="512" t="s">
        <v>13</v>
      </c>
      <c r="B57" s="303">
        <v>3000</v>
      </c>
      <c r="C57" s="473"/>
      <c r="D57" s="473"/>
      <c r="E57" s="473"/>
      <c r="F57" s="301" t="s">
        <v>13</v>
      </c>
      <c r="G57" s="304">
        <v>8000</v>
      </c>
      <c r="H57" s="473"/>
      <c r="I57" s="473"/>
      <c r="J57" s="473"/>
      <c r="K57" s="514"/>
    </row>
    <row r="58" spans="1:17" ht="30" customHeight="1" x14ac:dyDescent="0.7">
      <c r="A58" s="512" t="s">
        <v>14</v>
      </c>
      <c r="B58" s="303">
        <v>200</v>
      </c>
      <c r="C58" s="305" t="s">
        <v>22</v>
      </c>
      <c r="D58" s="305" t="s">
        <v>23</v>
      </c>
      <c r="E58" s="305" t="s">
        <v>24</v>
      </c>
      <c r="F58" s="301" t="s">
        <v>14</v>
      </c>
      <c r="G58" s="304">
        <v>0</v>
      </c>
      <c r="H58" s="305" t="s">
        <v>22</v>
      </c>
      <c r="I58" s="305" t="s">
        <v>23</v>
      </c>
      <c r="J58" s="305" t="s">
        <v>24</v>
      </c>
      <c r="K58" s="517"/>
    </row>
    <row r="59" spans="1:17" ht="30" customHeight="1" x14ac:dyDescent="0.45">
      <c r="A59" s="512" t="s">
        <v>15</v>
      </c>
      <c r="B59" s="303">
        <v>200</v>
      </c>
      <c r="C59" s="473">
        <v>30</v>
      </c>
      <c r="D59" s="473">
        <v>50</v>
      </c>
      <c r="E59" s="473">
        <v>99</v>
      </c>
      <c r="F59" s="301" t="s">
        <v>15</v>
      </c>
      <c r="G59" s="304">
        <v>0</v>
      </c>
      <c r="H59" s="473">
        <v>30</v>
      </c>
      <c r="I59" s="473">
        <v>50</v>
      </c>
      <c r="J59" s="473">
        <v>0.85</v>
      </c>
      <c r="K59" s="515"/>
    </row>
    <row r="60" spans="1:17" ht="30" customHeight="1" x14ac:dyDescent="0.45">
      <c r="A60" s="512" t="s">
        <v>27</v>
      </c>
      <c r="B60" s="303">
        <v>100</v>
      </c>
      <c r="C60" s="473">
        <f>B65*1.45</f>
        <v>7.108625</v>
      </c>
      <c r="D60" s="473">
        <f>B65*1.7</f>
        <v>8.334249999999999</v>
      </c>
      <c r="E60" s="473">
        <f>B65*1.99</f>
        <v>9.7559749999999994</v>
      </c>
      <c r="F60" s="301" t="s">
        <v>27</v>
      </c>
      <c r="G60" s="304">
        <v>200</v>
      </c>
      <c r="H60" s="473">
        <f>G65*1.3</f>
        <v>7.3937499999999998</v>
      </c>
      <c r="I60" s="473">
        <f>G65*1.5</f>
        <v>8.53125</v>
      </c>
      <c r="J60" s="473">
        <f>G65*1.99</f>
        <v>11.318125</v>
      </c>
      <c r="K60" s="515"/>
    </row>
    <row r="61" spans="1:17" ht="30" customHeight="1" x14ac:dyDescent="0.45">
      <c r="A61" s="512" t="s">
        <v>28</v>
      </c>
      <c r="B61" s="303">
        <v>100</v>
      </c>
      <c r="C61" s="473"/>
      <c r="D61" s="473">
        <f>D60*3900</f>
        <v>32503.574999999997</v>
      </c>
      <c r="E61" s="473"/>
      <c r="F61" s="301" t="s">
        <v>28</v>
      </c>
      <c r="G61" s="304">
        <v>500</v>
      </c>
      <c r="H61" s="473"/>
      <c r="I61" s="473"/>
      <c r="J61" s="473"/>
      <c r="K61" s="515"/>
    </row>
    <row r="62" spans="1:17" ht="30" customHeight="1" x14ac:dyDescent="0.45">
      <c r="A62" s="512" t="s">
        <v>16</v>
      </c>
      <c r="B62" s="303">
        <f>B46</f>
        <v>250</v>
      </c>
      <c r="C62" s="473"/>
      <c r="D62" s="473"/>
      <c r="E62" s="473"/>
      <c r="F62" s="301" t="s">
        <v>16</v>
      </c>
      <c r="G62" s="304">
        <f>G46</f>
        <v>250</v>
      </c>
      <c r="H62" s="473"/>
      <c r="I62" s="473"/>
      <c r="J62" s="473"/>
      <c r="K62" s="514"/>
    </row>
    <row r="63" spans="1:17" ht="30" customHeight="1" x14ac:dyDescent="0.45">
      <c r="A63" s="512" t="s">
        <v>17</v>
      </c>
      <c r="B63" s="303">
        <v>500</v>
      </c>
      <c r="C63" s="473"/>
      <c r="D63" s="473"/>
      <c r="E63" s="473"/>
      <c r="F63" s="301" t="s">
        <v>17</v>
      </c>
      <c r="G63" s="304">
        <v>100</v>
      </c>
      <c r="H63" s="473"/>
      <c r="I63" s="473"/>
      <c r="J63" s="473"/>
      <c r="K63" s="514"/>
    </row>
    <row r="64" spans="1:17" ht="30" customHeight="1" thickBot="1" x14ac:dyDescent="0.5">
      <c r="A64" s="512" t="s">
        <v>18</v>
      </c>
      <c r="B64" s="433">
        <v>3700</v>
      </c>
      <c r="C64" s="473"/>
      <c r="D64" s="473"/>
      <c r="E64" s="473"/>
      <c r="F64" s="301" t="s">
        <v>18</v>
      </c>
      <c r="G64" s="480">
        <v>3700</v>
      </c>
      <c r="H64" s="473"/>
      <c r="I64" s="473"/>
      <c r="J64" s="473"/>
      <c r="K64" s="515"/>
    </row>
    <row r="65" spans="1:17" ht="30" customHeight="1" x14ac:dyDescent="0.45">
      <c r="A65" s="512"/>
      <c r="B65" s="303">
        <f>SUM(B52:B64)/E2</f>
        <v>4.9024999999999999</v>
      </c>
      <c r="C65" s="473"/>
      <c r="D65" s="473"/>
      <c r="E65" s="473"/>
      <c r="F65" s="301"/>
      <c r="G65" s="307">
        <f>SUM(G52:G64)/E2</f>
        <v>5.6875</v>
      </c>
      <c r="H65" s="473"/>
      <c r="I65" s="473"/>
      <c r="J65" s="473"/>
      <c r="K65" s="515"/>
    </row>
    <row r="66" spans="1:17" ht="30" customHeight="1" x14ac:dyDescent="0.9">
      <c r="A66" s="512"/>
      <c r="B66" s="499"/>
      <c r="C66" s="466"/>
      <c r="D66" s="466"/>
      <c r="E66" s="466"/>
      <c r="F66" s="499"/>
      <c r="G66" s="499"/>
      <c r="H66" s="537"/>
      <c r="I66" s="537"/>
      <c r="J66" s="537"/>
      <c r="K66" s="519"/>
    </row>
    <row r="67" spans="1:17" s="452" customFormat="1" ht="46.5" x14ac:dyDescent="0.7">
      <c r="A67" s="520" t="s">
        <v>352</v>
      </c>
      <c r="B67" s="453"/>
      <c r="C67" s="465"/>
      <c r="D67" s="533"/>
      <c r="E67" s="465"/>
      <c r="F67" s="572" t="s">
        <v>353</v>
      </c>
      <c r="G67" s="572"/>
      <c r="H67" s="311"/>
      <c r="I67" s="311"/>
      <c r="J67" s="311"/>
      <c r="K67" s="521"/>
      <c r="L67" s="451"/>
      <c r="M67" s="52"/>
      <c r="N67" s="658"/>
      <c r="O67" s="658"/>
      <c r="P67" s="658"/>
      <c r="Q67" s="52"/>
    </row>
    <row r="68" spans="1:17" ht="30" customHeight="1" x14ac:dyDescent="0.45">
      <c r="A68" s="512" t="s">
        <v>9</v>
      </c>
      <c r="B68" s="303">
        <f>0.9*1.1*E2</f>
        <v>3960.0000000000005</v>
      </c>
      <c r="C68" s="473"/>
      <c r="D68" s="473"/>
      <c r="E68" s="473"/>
      <c r="F68" s="301" t="s">
        <v>9</v>
      </c>
      <c r="G68" s="303">
        <f>0.8*2*4000</f>
        <v>6400</v>
      </c>
      <c r="H68" s="473"/>
      <c r="I68" s="473"/>
      <c r="J68" s="473"/>
      <c r="K68" s="522"/>
    </row>
    <row r="69" spans="1:17" ht="30" customHeight="1" x14ac:dyDescent="0.45">
      <c r="A69" s="512" t="s">
        <v>1</v>
      </c>
      <c r="B69" s="303">
        <v>700</v>
      </c>
      <c r="C69" s="473"/>
      <c r="D69" s="473"/>
      <c r="E69" s="473"/>
      <c r="F69" s="301" t="s">
        <v>1</v>
      </c>
      <c r="G69" s="303">
        <v>700</v>
      </c>
      <c r="H69" s="473"/>
      <c r="I69" s="473"/>
      <c r="J69" s="473"/>
      <c r="K69" s="522"/>
    </row>
    <row r="70" spans="1:17" ht="30" customHeight="1" x14ac:dyDescent="0.45">
      <c r="A70" s="512" t="s">
        <v>10</v>
      </c>
      <c r="B70" s="303">
        <v>2500</v>
      </c>
      <c r="C70" s="473"/>
      <c r="D70" s="473"/>
      <c r="E70" s="473"/>
      <c r="F70" s="301" t="s">
        <v>10</v>
      </c>
      <c r="G70" s="303">
        <v>3500</v>
      </c>
      <c r="H70" s="473"/>
      <c r="I70" s="473"/>
      <c r="J70" s="473"/>
      <c r="K70" s="522"/>
    </row>
    <row r="71" spans="1:17" ht="30" customHeight="1" x14ac:dyDescent="0.7">
      <c r="A71" s="512" t="s">
        <v>11</v>
      </c>
      <c r="B71" s="303">
        <v>1500</v>
      </c>
      <c r="C71" s="878"/>
      <c r="D71" s="878"/>
      <c r="E71" s="878"/>
      <c r="F71" s="301" t="s">
        <v>58</v>
      </c>
      <c r="G71" s="303">
        <v>10000</v>
      </c>
      <c r="H71" s="305"/>
      <c r="I71" s="305"/>
      <c r="J71" s="305"/>
      <c r="K71" s="523"/>
    </row>
    <row r="72" spans="1:17" ht="30" customHeight="1" x14ac:dyDescent="0.45">
      <c r="A72" s="512" t="s">
        <v>13</v>
      </c>
      <c r="B72" s="303">
        <v>1500</v>
      </c>
      <c r="C72" s="473"/>
      <c r="D72" s="473"/>
      <c r="E72" s="473"/>
      <c r="F72" s="301" t="s">
        <v>11</v>
      </c>
      <c r="G72" s="303">
        <v>1000</v>
      </c>
      <c r="H72" s="305"/>
      <c r="I72" s="305"/>
      <c r="J72" s="305"/>
      <c r="K72" s="524"/>
    </row>
    <row r="73" spans="1:17" ht="30" customHeight="1" x14ac:dyDescent="0.45">
      <c r="A73" s="512" t="s">
        <v>14</v>
      </c>
      <c r="B73" s="303">
        <v>200</v>
      </c>
      <c r="C73" s="305" t="s">
        <v>22</v>
      </c>
      <c r="D73" s="305" t="s">
        <v>23</v>
      </c>
      <c r="E73" s="305" t="s">
        <v>24</v>
      </c>
      <c r="F73" s="301" t="s">
        <v>14</v>
      </c>
      <c r="G73" s="303">
        <v>0</v>
      </c>
      <c r="H73" s="305" t="s">
        <v>22</v>
      </c>
      <c r="I73" s="305" t="s">
        <v>23</v>
      </c>
      <c r="J73" s="305" t="s">
        <v>24</v>
      </c>
      <c r="K73" s="524"/>
    </row>
    <row r="74" spans="1:17" ht="30" customHeight="1" x14ac:dyDescent="0.45">
      <c r="A74" s="512" t="s">
        <v>15</v>
      </c>
      <c r="B74" s="303">
        <v>200</v>
      </c>
      <c r="C74" s="473">
        <v>30</v>
      </c>
      <c r="D74" s="473">
        <v>50</v>
      </c>
      <c r="E74" s="473">
        <v>99</v>
      </c>
      <c r="F74" s="301" t="s">
        <v>15</v>
      </c>
      <c r="G74" s="303">
        <v>0</v>
      </c>
      <c r="H74" s="473">
        <v>30</v>
      </c>
      <c r="I74" s="473">
        <v>50</v>
      </c>
      <c r="J74" s="473">
        <v>99</v>
      </c>
      <c r="K74" s="522"/>
    </row>
    <row r="75" spans="1:17" ht="30" customHeight="1" x14ac:dyDescent="0.45">
      <c r="A75" s="512" t="s">
        <v>27</v>
      </c>
      <c r="B75" s="303">
        <v>200</v>
      </c>
      <c r="C75" s="473">
        <f>B80*1.5</f>
        <v>5.3100000000000005</v>
      </c>
      <c r="D75" s="473">
        <f>B80*1.6</f>
        <v>5.6640000000000006</v>
      </c>
      <c r="E75" s="473">
        <f>B80*1.99</f>
        <v>7.0446</v>
      </c>
      <c r="F75" s="301" t="s">
        <v>27</v>
      </c>
      <c r="G75" s="303">
        <v>50</v>
      </c>
      <c r="H75" s="473">
        <f>G80*1.35</f>
        <v>8.8425000000000011</v>
      </c>
      <c r="I75" s="473">
        <f>G80*1.65</f>
        <v>10.807499999999999</v>
      </c>
      <c r="J75" s="473">
        <f>G80*1.9</f>
        <v>12.444999999999999</v>
      </c>
      <c r="K75" s="522"/>
    </row>
    <row r="76" spans="1:17" ht="30" customHeight="1" x14ac:dyDescent="0.45">
      <c r="A76" s="512" t="s">
        <v>28</v>
      </c>
      <c r="B76" s="303">
        <v>100</v>
      </c>
      <c r="C76" s="473"/>
      <c r="D76" s="473"/>
      <c r="E76" s="473"/>
      <c r="F76" s="301" t="s">
        <v>28</v>
      </c>
      <c r="G76" s="303">
        <v>500</v>
      </c>
      <c r="H76" s="473"/>
      <c r="I76" s="473"/>
      <c r="J76" s="473"/>
      <c r="K76" s="525"/>
    </row>
    <row r="77" spans="1:17" ht="30" customHeight="1" x14ac:dyDescent="0.45">
      <c r="A77" s="512" t="s">
        <v>16</v>
      </c>
      <c r="B77" s="303">
        <v>250</v>
      </c>
      <c r="C77" s="473"/>
      <c r="D77" s="473" t="s">
        <v>513</v>
      </c>
      <c r="E77" s="473" t="s">
        <v>514</v>
      </c>
      <c r="F77" s="301" t="s">
        <v>16</v>
      </c>
      <c r="G77" s="303">
        <v>250</v>
      </c>
      <c r="H77" s="473"/>
      <c r="I77" s="473"/>
      <c r="J77" s="473"/>
      <c r="K77" s="525"/>
    </row>
    <row r="78" spans="1:17" ht="30" customHeight="1" x14ac:dyDescent="0.45">
      <c r="A78" s="512" t="s">
        <v>17</v>
      </c>
      <c r="B78" s="303">
        <v>50</v>
      </c>
      <c r="C78" s="473" t="s">
        <v>512</v>
      </c>
      <c r="D78" s="473">
        <v>10</v>
      </c>
      <c r="E78" s="473">
        <v>9</v>
      </c>
      <c r="F78" s="301" t="s">
        <v>17</v>
      </c>
      <c r="G78" s="303">
        <v>100</v>
      </c>
      <c r="H78" s="473"/>
      <c r="I78" s="473"/>
      <c r="J78" s="473"/>
      <c r="K78" s="525"/>
    </row>
    <row r="79" spans="1:17" ht="30" customHeight="1" thickBot="1" x14ac:dyDescent="0.5">
      <c r="A79" s="512" t="s">
        <v>18</v>
      </c>
      <c r="B79" s="433">
        <v>3000</v>
      </c>
      <c r="C79" s="473" t="s">
        <v>515</v>
      </c>
      <c r="D79" s="473"/>
      <c r="E79" s="473"/>
      <c r="F79" s="301" t="s">
        <v>18</v>
      </c>
      <c r="G79" s="433">
        <v>3700</v>
      </c>
      <c r="H79" s="473"/>
      <c r="I79" s="473"/>
      <c r="J79" s="473"/>
      <c r="K79" s="522"/>
    </row>
    <row r="80" spans="1:17" ht="30" customHeight="1" x14ac:dyDescent="0.45">
      <c r="A80" s="512"/>
      <c r="B80" s="303">
        <f>SUM(B68:B79)/E2</f>
        <v>3.54</v>
      </c>
      <c r="C80" s="473"/>
      <c r="D80" s="473"/>
      <c r="E80" s="473"/>
      <c r="F80" s="301"/>
      <c r="G80" s="303">
        <f>SUM(G68:G79)/E2</f>
        <v>6.55</v>
      </c>
      <c r="H80" s="473"/>
      <c r="I80" s="473"/>
      <c r="J80" s="473"/>
      <c r="K80" s="522"/>
    </row>
    <row r="81" spans="1:11" ht="30" customHeight="1" thickBot="1" x14ac:dyDescent="0.5">
      <c r="A81" s="526"/>
      <c r="B81" s="527"/>
      <c r="C81" s="534"/>
      <c r="D81" s="534"/>
      <c r="E81" s="534"/>
      <c r="F81" s="528"/>
      <c r="G81" s="529"/>
      <c r="H81" s="534"/>
      <c r="I81" s="534"/>
      <c r="J81" s="534"/>
      <c r="K81" s="530"/>
    </row>
    <row r="82" spans="1:11" ht="30" customHeight="1" x14ac:dyDescent="0.45"/>
    <row r="83" spans="1:11" ht="30" customHeight="1" x14ac:dyDescent="0.45"/>
    <row r="84" spans="1:11" ht="61.5" x14ac:dyDescent="0.9">
      <c r="A84" s="876" t="s">
        <v>344</v>
      </c>
      <c r="B84" s="876"/>
      <c r="C84" s="876"/>
      <c r="D84" s="876"/>
      <c r="E84" s="876"/>
      <c r="F84" s="876"/>
      <c r="G84" s="876"/>
      <c r="H84" s="876"/>
      <c r="I84" s="876"/>
      <c r="J84" s="876"/>
      <c r="K84" s="876"/>
    </row>
    <row r="85" spans="1:11" ht="30" customHeight="1" x14ac:dyDescent="0.45">
      <c r="A85" s="875" t="s">
        <v>342</v>
      </c>
      <c r="B85" s="875"/>
      <c r="C85" s="467"/>
      <c r="D85" s="467"/>
      <c r="E85" s="467"/>
      <c r="F85" s="875" t="s">
        <v>343</v>
      </c>
      <c r="G85" s="875"/>
      <c r="H85" s="467"/>
      <c r="I85" s="467"/>
      <c r="J85" s="467"/>
      <c r="K85" s="313"/>
    </row>
    <row r="86" spans="1:11" ht="30" customHeight="1" x14ac:dyDescent="0.45">
      <c r="A86" s="314" t="s">
        <v>9</v>
      </c>
      <c r="B86" s="315">
        <f>0.7*1.6*E2</f>
        <v>4479.9999999999991</v>
      </c>
      <c r="C86" s="467"/>
      <c r="D86" s="467"/>
      <c r="E86" s="467"/>
      <c r="F86" s="314" t="s">
        <v>9</v>
      </c>
      <c r="G86" s="316">
        <f>0.5*1.6*E2</f>
        <v>3200</v>
      </c>
      <c r="H86" s="467"/>
      <c r="I86" s="467"/>
      <c r="J86" s="467"/>
      <c r="K86" s="313"/>
    </row>
    <row r="87" spans="1:11" ht="30" customHeight="1" x14ac:dyDescent="0.45">
      <c r="A87" s="314" t="s">
        <v>1</v>
      </c>
      <c r="B87" s="315">
        <v>300</v>
      </c>
      <c r="C87" s="870"/>
      <c r="D87" s="870"/>
      <c r="E87" s="870"/>
      <c r="F87" s="314" t="s">
        <v>1</v>
      </c>
      <c r="G87" s="316">
        <v>300</v>
      </c>
      <c r="H87" s="870"/>
      <c r="I87" s="870"/>
      <c r="J87" s="870"/>
      <c r="K87" s="317"/>
    </row>
    <row r="88" spans="1:11" ht="30" customHeight="1" x14ac:dyDescent="0.45">
      <c r="A88" s="314" t="s">
        <v>10</v>
      </c>
      <c r="B88" s="315">
        <v>1600</v>
      </c>
      <c r="C88" s="318"/>
      <c r="D88" s="318"/>
      <c r="E88" s="318"/>
      <c r="F88" s="314" t="s">
        <v>10</v>
      </c>
      <c r="G88" s="316">
        <v>1600</v>
      </c>
      <c r="H88" s="318"/>
      <c r="I88" s="318"/>
      <c r="J88" s="318"/>
      <c r="K88" s="315"/>
    </row>
    <row r="89" spans="1:11" ht="30" customHeight="1" x14ac:dyDescent="0.45">
      <c r="A89" s="314" t="s">
        <v>147</v>
      </c>
      <c r="B89" s="315">
        <f>13000/15</f>
        <v>866.66666666666663</v>
      </c>
      <c r="C89" s="318"/>
      <c r="D89" s="318"/>
      <c r="E89" s="318"/>
      <c r="F89" s="314" t="s">
        <v>147</v>
      </c>
      <c r="G89" s="316">
        <f>B89</f>
        <v>866.66666666666663</v>
      </c>
      <c r="H89" s="318"/>
      <c r="I89" s="318"/>
      <c r="J89" s="318"/>
      <c r="K89" s="315"/>
    </row>
    <row r="90" spans="1:11" ht="30" customHeight="1" x14ac:dyDescent="0.45">
      <c r="A90" s="314" t="s">
        <v>11</v>
      </c>
      <c r="B90" s="315">
        <v>500</v>
      </c>
      <c r="C90" s="318" t="s">
        <v>22</v>
      </c>
      <c r="D90" s="318" t="s">
        <v>23</v>
      </c>
      <c r="E90" s="318" t="s">
        <v>24</v>
      </c>
      <c r="F90" s="314" t="s">
        <v>11</v>
      </c>
      <c r="G90" s="316">
        <f>B90</f>
        <v>500</v>
      </c>
      <c r="H90" s="318" t="s">
        <v>22</v>
      </c>
      <c r="I90" s="318" t="s">
        <v>23</v>
      </c>
      <c r="J90" s="318" t="s">
        <v>24</v>
      </c>
      <c r="K90" s="315"/>
    </row>
    <row r="91" spans="1:11" ht="30" customHeight="1" x14ac:dyDescent="0.45">
      <c r="A91" s="314" t="s">
        <v>27</v>
      </c>
      <c r="B91" s="315">
        <v>200</v>
      </c>
      <c r="C91" s="467">
        <v>0.4</v>
      </c>
      <c r="D91" s="467">
        <v>0.55000000000000004</v>
      </c>
      <c r="E91" s="467">
        <v>0.85</v>
      </c>
      <c r="F91" s="314" t="s">
        <v>27</v>
      </c>
      <c r="G91" s="316">
        <v>200</v>
      </c>
      <c r="H91" s="467">
        <v>0.4</v>
      </c>
      <c r="I91" s="467">
        <v>0.55000000000000004</v>
      </c>
      <c r="J91" s="467">
        <v>0.85</v>
      </c>
      <c r="K91" s="313"/>
    </row>
    <row r="92" spans="1:11" ht="30" customHeight="1" x14ac:dyDescent="0.45">
      <c r="A92" s="314" t="s">
        <v>58</v>
      </c>
      <c r="B92" s="315">
        <f>30000/39</f>
        <v>769.23076923076928</v>
      </c>
      <c r="C92" s="467">
        <f>B96*1.45</f>
        <v>4.1926378205128199</v>
      </c>
      <c r="D92" s="467">
        <f>B96*1.75</f>
        <v>5.0600801282051275</v>
      </c>
      <c r="E92" s="467">
        <f>B96*1.99</f>
        <v>5.7540339743589737</v>
      </c>
      <c r="F92" s="314" t="s">
        <v>58</v>
      </c>
      <c r="G92" s="316">
        <f>B92</f>
        <v>769.23076923076928</v>
      </c>
      <c r="H92" s="467">
        <f>G96*1.45</f>
        <v>3.7286378205128208</v>
      </c>
      <c r="I92" s="467">
        <f>G96*1.75</f>
        <v>4.5000801282051288</v>
      </c>
      <c r="J92" s="467">
        <f>G96*1.99</f>
        <v>5.1172339743589754</v>
      </c>
      <c r="K92" s="313"/>
    </row>
    <row r="93" spans="1:11" ht="30" customHeight="1" x14ac:dyDescent="0.45">
      <c r="A93" s="314" t="s">
        <v>106</v>
      </c>
      <c r="B93" s="315">
        <v>500</v>
      </c>
      <c r="C93" s="467"/>
      <c r="D93" s="467"/>
      <c r="E93" s="467"/>
      <c r="F93" s="314" t="s">
        <v>106</v>
      </c>
      <c r="G93" s="316">
        <v>500</v>
      </c>
      <c r="H93" s="467"/>
      <c r="I93" s="467"/>
      <c r="J93" s="467"/>
      <c r="K93" s="315"/>
    </row>
    <row r="94" spans="1:11" ht="30" customHeight="1" x14ac:dyDescent="0.45">
      <c r="A94" s="314" t="s">
        <v>16</v>
      </c>
      <c r="B94" s="315">
        <v>350</v>
      </c>
      <c r="C94" s="467"/>
      <c r="D94" s="467"/>
      <c r="E94" s="467"/>
      <c r="F94" s="314" t="s">
        <v>16</v>
      </c>
      <c r="G94" s="316">
        <v>350</v>
      </c>
      <c r="H94" s="467"/>
      <c r="I94" s="467"/>
      <c r="J94" s="467"/>
      <c r="K94" s="315"/>
    </row>
    <row r="95" spans="1:11" ht="30" customHeight="1" thickBot="1" x14ac:dyDescent="0.5">
      <c r="A95" s="314" t="s">
        <v>18</v>
      </c>
      <c r="B95" s="481">
        <v>2000</v>
      </c>
      <c r="C95" s="467"/>
      <c r="D95" s="467"/>
      <c r="E95" s="467"/>
      <c r="F95" s="314" t="s">
        <v>18</v>
      </c>
      <c r="G95" s="482">
        <v>2000</v>
      </c>
      <c r="H95" s="467"/>
      <c r="I95" s="467"/>
      <c r="J95" s="467"/>
      <c r="K95" s="313"/>
    </row>
    <row r="96" spans="1:11" ht="30" customHeight="1" x14ac:dyDescent="0.45">
      <c r="A96" s="314"/>
      <c r="B96" s="315">
        <f>SUM(B86:B95)/E2</f>
        <v>2.8914743589743588</v>
      </c>
      <c r="C96" s="467"/>
      <c r="D96" s="467"/>
      <c r="E96" s="467"/>
      <c r="F96" s="314"/>
      <c r="G96" s="319">
        <f>SUM(G86:G95)/E2</f>
        <v>2.5714743589743594</v>
      </c>
      <c r="H96" s="467"/>
      <c r="I96" s="467"/>
      <c r="J96" s="467"/>
      <c r="K96" s="313"/>
    </row>
    <row r="97" spans="1:17" s="544" customFormat="1" ht="30" customHeight="1" x14ac:dyDescent="0.55000000000000004">
      <c r="A97" s="539" t="s">
        <v>355</v>
      </c>
      <c r="B97" s="540"/>
      <c r="C97" s="542" t="s">
        <v>138</v>
      </c>
      <c r="D97" s="542"/>
      <c r="E97" s="542"/>
      <c r="F97" s="539" t="s">
        <v>356</v>
      </c>
      <c r="G97" s="539"/>
      <c r="H97" s="542" t="s">
        <v>138</v>
      </c>
      <c r="I97" s="542"/>
      <c r="J97" s="542"/>
      <c r="K97" s="541"/>
      <c r="L97" s="543"/>
      <c r="M97" s="657"/>
      <c r="N97" s="658"/>
      <c r="O97" s="658"/>
      <c r="P97" s="658"/>
      <c r="Q97" s="657"/>
    </row>
    <row r="98" spans="1:17" ht="30" customHeight="1" x14ac:dyDescent="0.45">
      <c r="A98" s="314" t="s">
        <v>9</v>
      </c>
      <c r="B98" s="315">
        <f>0.6*1.8*E2</f>
        <v>4320</v>
      </c>
      <c r="C98" s="467"/>
      <c r="D98" s="467"/>
      <c r="E98" s="467"/>
      <c r="F98" s="314" t="s">
        <v>9</v>
      </c>
      <c r="G98" s="545">
        <f>0.7*2.65*E2</f>
        <v>7419.9999999999991</v>
      </c>
      <c r="H98" s="467"/>
      <c r="I98" s="467"/>
      <c r="J98" s="467"/>
      <c r="K98" s="313"/>
    </row>
    <row r="99" spans="1:17" ht="30" customHeight="1" x14ac:dyDescent="0.45">
      <c r="A99" s="314" t="s">
        <v>1</v>
      </c>
      <c r="B99" s="315">
        <v>700</v>
      </c>
      <c r="C99" s="467"/>
      <c r="D99" s="467"/>
      <c r="E99" s="467"/>
      <c r="F99" s="314" t="s">
        <v>1</v>
      </c>
      <c r="G99" s="316">
        <v>300</v>
      </c>
      <c r="H99" s="467"/>
      <c r="I99" s="467"/>
      <c r="J99" s="467"/>
      <c r="K99" s="313"/>
    </row>
    <row r="100" spans="1:17" ht="30" customHeight="1" x14ac:dyDescent="0.45">
      <c r="A100" s="314" t="s">
        <v>10</v>
      </c>
      <c r="B100" s="315">
        <v>2500</v>
      </c>
      <c r="C100" s="870"/>
      <c r="D100" s="870"/>
      <c r="E100" s="870"/>
      <c r="F100" s="314" t="s">
        <v>10</v>
      </c>
      <c r="G100" s="316">
        <v>1600</v>
      </c>
      <c r="H100" s="870"/>
      <c r="I100" s="870"/>
      <c r="J100" s="870"/>
      <c r="K100" s="315"/>
    </row>
    <row r="101" spans="1:17" ht="30" customHeight="1" x14ac:dyDescent="0.45">
      <c r="A101" s="314" t="s">
        <v>147</v>
      </c>
      <c r="B101" s="315">
        <f>4000</f>
        <v>4000</v>
      </c>
      <c r="C101" s="318"/>
      <c r="D101" s="318"/>
      <c r="E101" s="318"/>
      <c r="F101" s="314" t="s">
        <v>147</v>
      </c>
      <c r="G101" s="316">
        <f>B89</f>
        <v>866.66666666666663</v>
      </c>
      <c r="H101" s="318"/>
      <c r="I101" s="318"/>
      <c r="J101" s="318"/>
      <c r="K101" s="315"/>
    </row>
    <row r="102" spans="1:17" ht="30" customHeight="1" x14ac:dyDescent="0.45">
      <c r="A102" s="314" t="s">
        <v>12</v>
      </c>
      <c r="B102" s="315">
        <v>0</v>
      </c>
      <c r="C102" s="318" t="s">
        <v>22</v>
      </c>
      <c r="D102" s="318" t="s">
        <v>23</v>
      </c>
      <c r="E102" s="318" t="s">
        <v>24</v>
      </c>
      <c r="F102" s="314" t="s">
        <v>12</v>
      </c>
      <c r="G102" s="316">
        <v>0</v>
      </c>
      <c r="H102" s="318" t="s">
        <v>22</v>
      </c>
      <c r="I102" s="318" t="s">
        <v>23</v>
      </c>
      <c r="J102" s="318" t="s">
        <v>24</v>
      </c>
      <c r="K102" s="315"/>
    </row>
    <row r="103" spans="1:17" ht="30" customHeight="1" x14ac:dyDescent="0.45">
      <c r="A103" s="314" t="s">
        <v>11</v>
      </c>
      <c r="B103" s="315">
        <v>1000</v>
      </c>
      <c r="C103" s="467">
        <v>0.4</v>
      </c>
      <c r="D103" s="467">
        <v>0.55000000000000004</v>
      </c>
      <c r="E103" s="467">
        <v>0.85</v>
      </c>
      <c r="F103" s="314" t="s">
        <v>11</v>
      </c>
      <c r="G103" s="316">
        <f>B90</f>
        <v>500</v>
      </c>
      <c r="H103" s="467">
        <v>0.4</v>
      </c>
      <c r="I103" s="467">
        <v>0.55000000000000004</v>
      </c>
      <c r="J103" s="467">
        <v>0.85</v>
      </c>
      <c r="K103" s="315"/>
    </row>
    <row r="104" spans="1:17" ht="30" customHeight="1" x14ac:dyDescent="0.45">
      <c r="A104" s="314" t="s">
        <v>27</v>
      </c>
      <c r="B104" s="315">
        <v>200</v>
      </c>
      <c r="C104" s="467">
        <f>B109*1.45</f>
        <v>6.6479711538461537</v>
      </c>
      <c r="D104" s="467">
        <f>B109*1.75</f>
        <v>8.0234134615384622</v>
      </c>
      <c r="E104" s="467">
        <f>B109*1.99</f>
        <v>9.123767307692308</v>
      </c>
      <c r="F104" s="314" t="s">
        <v>27</v>
      </c>
      <c r="G104" s="316">
        <v>200</v>
      </c>
      <c r="H104" s="467">
        <f>G109*1.45</f>
        <v>5.2583878205128203</v>
      </c>
      <c r="I104" s="467">
        <f>G109*1.75</f>
        <v>6.3463301282051283</v>
      </c>
      <c r="J104" s="467">
        <f>G109*1.99</f>
        <v>7.2166839743589746</v>
      </c>
      <c r="K104" s="313"/>
    </row>
    <row r="105" spans="1:17" ht="30" customHeight="1" x14ac:dyDescent="0.45">
      <c r="A105" s="314" t="s">
        <v>58</v>
      </c>
      <c r="B105" s="315">
        <f>B92</f>
        <v>769.23076923076928</v>
      </c>
      <c r="C105" s="467"/>
      <c r="D105" s="467"/>
      <c r="E105" s="467"/>
      <c r="F105" s="314" t="s">
        <v>58</v>
      </c>
      <c r="G105" s="316">
        <f>B92</f>
        <v>769.23076923076928</v>
      </c>
      <c r="H105" s="467"/>
      <c r="I105" s="467"/>
      <c r="J105" s="467"/>
      <c r="K105" s="313"/>
    </row>
    <row r="106" spans="1:17" ht="30" customHeight="1" x14ac:dyDescent="0.45">
      <c r="A106" s="314" t="s">
        <v>106</v>
      </c>
      <c r="B106" s="315">
        <v>500</v>
      </c>
      <c r="C106" s="467"/>
      <c r="D106" s="467"/>
      <c r="E106" s="467"/>
      <c r="F106" s="314" t="s">
        <v>106</v>
      </c>
      <c r="G106" s="316">
        <v>500</v>
      </c>
      <c r="H106" s="467"/>
      <c r="I106" s="467"/>
      <c r="J106" s="467"/>
      <c r="K106" s="315"/>
    </row>
    <row r="107" spans="1:17" ht="30" customHeight="1" x14ac:dyDescent="0.45">
      <c r="A107" s="314" t="s">
        <v>16</v>
      </c>
      <c r="B107" s="315">
        <v>350</v>
      </c>
      <c r="C107" s="467"/>
      <c r="D107" s="467"/>
      <c r="E107" s="467"/>
      <c r="F107" s="314" t="s">
        <v>16</v>
      </c>
      <c r="G107" s="316">
        <v>350</v>
      </c>
      <c r="H107" s="467"/>
      <c r="I107" s="467"/>
      <c r="J107" s="467"/>
      <c r="K107" s="315"/>
    </row>
    <row r="108" spans="1:17" ht="30" customHeight="1" thickBot="1" x14ac:dyDescent="0.5">
      <c r="A108" s="314" t="s">
        <v>18</v>
      </c>
      <c r="B108" s="481">
        <v>4000</v>
      </c>
      <c r="C108" s="467"/>
      <c r="D108" s="467"/>
      <c r="E108" s="467"/>
      <c r="F108" s="314" t="s">
        <v>18</v>
      </c>
      <c r="G108" s="482">
        <v>2000</v>
      </c>
      <c r="H108" s="467"/>
      <c r="I108" s="467"/>
      <c r="J108" s="467"/>
      <c r="K108" s="313"/>
    </row>
    <row r="109" spans="1:17" ht="30" customHeight="1" x14ac:dyDescent="0.45">
      <c r="A109" s="314"/>
      <c r="B109" s="315">
        <f>SUM(B98:B108)/E2</f>
        <v>4.5848076923076926</v>
      </c>
      <c r="C109" s="467"/>
      <c r="D109" s="467"/>
      <c r="E109" s="467"/>
      <c r="F109" s="314"/>
      <c r="G109" s="319">
        <f>SUM(G98:G108)/E2</f>
        <v>3.6264743589743591</v>
      </c>
      <c r="H109" s="467"/>
      <c r="I109" s="467"/>
      <c r="J109" s="467"/>
      <c r="K109" s="313"/>
    </row>
    <row r="110" spans="1:17" ht="30" customHeight="1" x14ac:dyDescent="0.45">
      <c r="A110" s="546" t="s">
        <v>345</v>
      </c>
      <c r="B110" s="320"/>
      <c r="C110" s="467"/>
      <c r="D110" s="467"/>
      <c r="E110" s="467"/>
      <c r="F110" s="546" t="s">
        <v>346</v>
      </c>
      <c r="G110" s="321"/>
      <c r="H110" s="467"/>
      <c r="I110" s="467"/>
      <c r="J110" s="467"/>
      <c r="K110" s="314"/>
    </row>
    <row r="111" spans="1:17" ht="30" customHeight="1" x14ac:dyDescent="0.45">
      <c r="A111" s="314" t="s">
        <v>9</v>
      </c>
      <c r="B111" s="316">
        <f>1*1.2*E2</f>
        <v>4800</v>
      </c>
      <c r="C111" s="467"/>
      <c r="D111" s="467"/>
      <c r="E111" s="467"/>
      <c r="F111" s="314" t="s">
        <v>9</v>
      </c>
      <c r="G111" s="316">
        <f>1*2*3800</f>
        <v>7600</v>
      </c>
      <c r="H111" s="467">
        <f>27*2</f>
        <v>54</v>
      </c>
      <c r="I111" s="467">
        <f>27*2500/4000</f>
        <v>16.875</v>
      </c>
      <c r="J111" s="467"/>
      <c r="K111" s="314"/>
    </row>
    <row r="112" spans="1:17" ht="30" customHeight="1" x14ac:dyDescent="0.45">
      <c r="A112" s="314" t="s">
        <v>1</v>
      </c>
      <c r="B112" s="316">
        <v>500</v>
      </c>
      <c r="C112" s="467"/>
      <c r="D112" s="467"/>
      <c r="E112" s="467"/>
      <c r="F112" s="314" t="s">
        <v>1</v>
      </c>
      <c r="G112" s="315">
        <v>700</v>
      </c>
      <c r="H112" s="317">
        <f>13*11000/4000</f>
        <v>35.75</v>
      </c>
      <c r="I112" s="317">
        <f>I111+H111+H112</f>
        <v>106.625</v>
      </c>
      <c r="J112" s="317">
        <v>3.6</v>
      </c>
      <c r="K112" s="317"/>
    </row>
    <row r="113" spans="1:17" ht="30" customHeight="1" x14ac:dyDescent="0.45">
      <c r="A113" s="314" t="s">
        <v>10</v>
      </c>
      <c r="B113" s="316">
        <v>2000</v>
      </c>
      <c r="C113" s="870"/>
      <c r="D113" s="870"/>
      <c r="E113" s="870"/>
      <c r="F113" s="314" t="s">
        <v>10</v>
      </c>
      <c r="G113" s="315">
        <v>3500</v>
      </c>
      <c r="H113" s="318"/>
      <c r="I113" s="318"/>
      <c r="J113" s="318"/>
      <c r="K113" s="314"/>
    </row>
    <row r="114" spans="1:17" ht="30" customHeight="1" x14ac:dyDescent="0.45">
      <c r="A114" s="314" t="s">
        <v>147</v>
      </c>
      <c r="B114" s="316">
        <v>3000</v>
      </c>
      <c r="C114" s="318" t="s">
        <v>22</v>
      </c>
      <c r="D114" s="318" t="s">
        <v>23</v>
      </c>
      <c r="E114" s="318" t="s">
        <v>24</v>
      </c>
      <c r="F114" s="314" t="s">
        <v>147</v>
      </c>
      <c r="G114" s="315">
        <v>3000</v>
      </c>
      <c r="H114" s="318" t="s">
        <v>22</v>
      </c>
      <c r="I114" s="318" t="s">
        <v>23</v>
      </c>
      <c r="J114" s="318" t="s">
        <v>24</v>
      </c>
      <c r="K114" s="314"/>
    </row>
    <row r="115" spans="1:17" ht="30" customHeight="1" x14ac:dyDescent="0.45">
      <c r="A115" s="314" t="s">
        <v>12</v>
      </c>
      <c r="B115" s="316">
        <v>1000</v>
      </c>
      <c r="C115" s="467">
        <v>0.4</v>
      </c>
      <c r="D115" s="467">
        <v>0.55000000000000004</v>
      </c>
      <c r="E115" s="467">
        <v>0.85</v>
      </c>
      <c r="F115" s="314" t="s">
        <v>12</v>
      </c>
      <c r="G115" s="315">
        <v>1000</v>
      </c>
      <c r="H115" s="467">
        <v>0.4</v>
      </c>
      <c r="I115" s="467">
        <v>0.55000000000000004</v>
      </c>
      <c r="J115" s="467">
        <v>0.85</v>
      </c>
      <c r="K115" s="314"/>
    </row>
    <row r="116" spans="1:17" ht="30" customHeight="1" x14ac:dyDescent="0.45">
      <c r="A116" s="314" t="s">
        <v>11</v>
      </c>
      <c r="B116" s="316">
        <v>1000</v>
      </c>
      <c r="C116" s="467">
        <f>B122*1.35</f>
        <v>5.0962500000000004</v>
      </c>
      <c r="D116" s="467">
        <f>B122*1.7</f>
        <v>6.4174999999999995</v>
      </c>
      <c r="E116" s="467">
        <f>B122*1.9</f>
        <v>7.1724999999999994</v>
      </c>
      <c r="F116" s="314" t="s">
        <v>11</v>
      </c>
      <c r="G116" s="315">
        <v>1000</v>
      </c>
      <c r="H116" s="467">
        <f>G122*1.35</f>
        <v>7.1381249999999996</v>
      </c>
      <c r="I116" s="467">
        <f>G122*1.7</f>
        <v>8.9887499999999996</v>
      </c>
      <c r="J116" s="467">
        <f>G122*1.9</f>
        <v>10.046249999999999</v>
      </c>
      <c r="K116" s="314"/>
    </row>
    <row r="117" spans="1:17" ht="30" customHeight="1" x14ac:dyDescent="0.45">
      <c r="A117" s="314" t="s">
        <v>27</v>
      </c>
      <c r="B117" s="316">
        <v>200</v>
      </c>
      <c r="C117" s="467">
        <f>C116*3700</f>
        <v>18856.125</v>
      </c>
      <c r="D117" s="467">
        <f>D116*3700</f>
        <v>23744.75</v>
      </c>
      <c r="E117" s="467"/>
      <c r="F117" s="314" t="s">
        <v>27</v>
      </c>
      <c r="G117" s="315">
        <v>200</v>
      </c>
      <c r="H117" s="318"/>
      <c r="I117" s="318"/>
      <c r="J117" s="318"/>
      <c r="K117" s="314"/>
    </row>
    <row r="118" spans="1:17" ht="30" customHeight="1" x14ac:dyDescent="0.45">
      <c r="A118" s="314" t="s">
        <v>58</v>
      </c>
      <c r="B118" s="316">
        <v>0</v>
      </c>
      <c r="C118" s="318"/>
      <c r="D118" s="318"/>
      <c r="E118" s="318"/>
      <c r="F118" s="314" t="s">
        <v>58</v>
      </c>
      <c r="G118" s="315">
        <v>0</v>
      </c>
      <c r="H118" s="467"/>
      <c r="I118" s="467"/>
      <c r="J118" s="467"/>
      <c r="K118" s="314"/>
    </row>
    <row r="119" spans="1:17" ht="30" customHeight="1" x14ac:dyDescent="0.45">
      <c r="A119" s="314" t="s">
        <v>106</v>
      </c>
      <c r="B119" s="316">
        <v>250</v>
      </c>
      <c r="C119" s="467"/>
      <c r="D119" s="467"/>
      <c r="E119" s="467"/>
      <c r="F119" s="314" t="s">
        <v>106</v>
      </c>
      <c r="G119" s="315">
        <v>250</v>
      </c>
      <c r="H119" s="467"/>
      <c r="I119" s="467"/>
      <c r="J119" s="467"/>
      <c r="K119" s="314"/>
    </row>
    <row r="120" spans="1:17" ht="30" customHeight="1" x14ac:dyDescent="0.45">
      <c r="A120" s="314" t="s">
        <v>16</v>
      </c>
      <c r="B120" s="316">
        <v>350</v>
      </c>
      <c r="C120" s="467"/>
      <c r="D120" s="467"/>
      <c r="E120" s="467"/>
      <c r="F120" s="314" t="s">
        <v>16</v>
      </c>
      <c r="G120" s="315">
        <v>200</v>
      </c>
      <c r="H120" s="467"/>
      <c r="I120" s="467"/>
      <c r="J120" s="467"/>
      <c r="K120" s="314"/>
    </row>
    <row r="121" spans="1:17" ht="30" customHeight="1" thickBot="1" x14ac:dyDescent="0.5">
      <c r="A121" s="314" t="s">
        <v>18</v>
      </c>
      <c r="B121" s="482">
        <v>2000</v>
      </c>
      <c r="C121" s="467"/>
      <c r="D121" s="467"/>
      <c r="E121" s="467"/>
      <c r="F121" s="314" t="s">
        <v>18</v>
      </c>
      <c r="G121" s="481">
        <v>3700</v>
      </c>
      <c r="H121" s="467"/>
      <c r="I121" s="467"/>
      <c r="J121" s="467"/>
      <c r="K121" s="314"/>
    </row>
    <row r="122" spans="1:17" ht="30" customHeight="1" x14ac:dyDescent="0.45">
      <c r="A122" s="314"/>
      <c r="B122" s="319">
        <f>SUM(B111:B121)/E2</f>
        <v>3.7749999999999999</v>
      </c>
      <c r="C122" s="467"/>
      <c r="D122" s="467"/>
      <c r="E122" s="467"/>
      <c r="F122" s="314"/>
      <c r="G122" s="315">
        <f>SUM(G111:G121)/E2</f>
        <v>5.2874999999999996</v>
      </c>
      <c r="H122" s="467"/>
      <c r="I122" s="467"/>
      <c r="J122" s="467"/>
      <c r="K122" s="314"/>
    </row>
    <row r="123" spans="1:17" ht="30" customHeight="1" x14ac:dyDescent="0.45"/>
    <row r="124" spans="1:17" ht="30" customHeight="1" x14ac:dyDescent="0.45"/>
    <row r="125" spans="1:17" s="538" customFormat="1" ht="30" customHeight="1" x14ac:dyDescent="0.55000000000000004">
      <c r="A125" s="888" t="s">
        <v>166</v>
      </c>
      <c r="B125" s="888"/>
      <c r="C125" s="891"/>
      <c r="D125" s="891"/>
      <c r="E125" s="891"/>
      <c r="F125" s="888" t="s">
        <v>166</v>
      </c>
      <c r="G125" s="888"/>
      <c r="H125" s="891"/>
      <c r="I125" s="891"/>
      <c r="J125" s="891"/>
      <c r="K125" s="891"/>
      <c r="L125" s="26"/>
      <c r="M125" s="52"/>
      <c r="N125" s="658"/>
      <c r="O125" s="658"/>
      <c r="P125" s="658"/>
      <c r="Q125" s="52"/>
    </row>
    <row r="126" spans="1:17" ht="30" customHeight="1" x14ac:dyDescent="0.45">
      <c r="A126" s="889" t="s">
        <v>25</v>
      </c>
      <c r="B126" s="889"/>
      <c r="C126" s="469" t="s">
        <v>138</v>
      </c>
      <c r="D126" s="469"/>
      <c r="E126" s="469"/>
      <c r="F126" s="889" t="s">
        <v>116</v>
      </c>
      <c r="G126" s="889"/>
      <c r="H126" s="469" t="s">
        <v>138</v>
      </c>
      <c r="I126" s="469"/>
      <c r="J126" s="469"/>
      <c r="K126" s="322"/>
    </row>
    <row r="127" spans="1:17" ht="30" customHeight="1" x14ac:dyDescent="0.45">
      <c r="A127" s="323" t="s">
        <v>9</v>
      </c>
      <c r="B127" s="324">
        <f>0.8*1.8*E2</f>
        <v>5760.0000000000009</v>
      </c>
      <c r="C127" s="469"/>
      <c r="D127" s="469"/>
      <c r="E127" s="469"/>
      <c r="F127" s="323" t="s">
        <v>9</v>
      </c>
      <c r="G127" s="325">
        <f>0.6*1.8*E2</f>
        <v>4320</v>
      </c>
      <c r="H127" s="469"/>
      <c r="I127" s="469"/>
      <c r="J127" s="469"/>
      <c r="K127" s="322"/>
    </row>
    <row r="128" spans="1:17" ht="30" customHeight="1" x14ac:dyDescent="0.45">
      <c r="A128" s="323" t="s">
        <v>1</v>
      </c>
      <c r="B128" s="324">
        <v>1000</v>
      </c>
      <c r="C128" s="890" t="s">
        <v>235</v>
      </c>
      <c r="D128" s="890"/>
      <c r="E128" s="890"/>
      <c r="F128" s="323" t="s">
        <v>1</v>
      </c>
      <c r="G128" s="325">
        <v>1000</v>
      </c>
      <c r="H128" s="890" t="s">
        <v>236</v>
      </c>
      <c r="I128" s="890"/>
      <c r="J128" s="890"/>
      <c r="K128" s="327"/>
    </row>
    <row r="129" spans="1:11" ht="30" customHeight="1" x14ac:dyDescent="0.45">
      <c r="A129" s="323" t="s">
        <v>10</v>
      </c>
      <c r="B129" s="324">
        <v>2500</v>
      </c>
      <c r="C129" s="328" t="s">
        <v>22</v>
      </c>
      <c r="D129" s="328" t="s">
        <v>23</v>
      </c>
      <c r="E129" s="328" t="s">
        <v>24</v>
      </c>
      <c r="F129" s="323" t="s">
        <v>10</v>
      </c>
      <c r="G129" s="325">
        <v>2500</v>
      </c>
      <c r="H129" s="328" t="s">
        <v>22</v>
      </c>
      <c r="I129" s="328" t="s">
        <v>23</v>
      </c>
      <c r="J129" s="328" t="s">
        <v>24</v>
      </c>
      <c r="K129" s="324"/>
    </row>
    <row r="130" spans="1:11" ht="30" customHeight="1" x14ac:dyDescent="0.45">
      <c r="A130" s="323" t="s">
        <v>253</v>
      </c>
      <c r="B130" s="324">
        <f>15000*0.3/3</f>
        <v>1500</v>
      </c>
      <c r="C130" s="328">
        <f>C133</f>
        <v>6.5830000000000002</v>
      </c>
      <c r="D130" s="328">
        <f>D133</f>
        <v>7.9450000000000003</v>
      </c>
      <c r="E130" s="328">
        <f>E133</f>
        <v>9.0345999999999993</v>
      </c>
      <c r="F130" s="323" t="s">
        <v>253</v>
      </c>
      <c r="G130" s="325">
        <f>15000*0.3/4</f>
        <v>1125</v>
      </c>
      <c r="H130" s="328">
        <f>H135</f>
        <v>5.9250624999999992</v>
      </c>
      <c r="I130" s="328">
        <f>I135</f>
        <v>7.1509374999999995</v>
      </c>
      <c r="J130" s="328">
        <f>J135</f>
        <v>8.1316375000000001</v>
      </c>
      <c r="K130" s="324"/>
    </row>
    <row r="131" spans="1:11" ht="30" customHeight="1" x14ac:dyDescent="0.45">
      <c r="A131" s="323" t="s">
        <v>12</v>
      </c>
      <c r="B131" s="324">
        <v>1000</v>
      </c>
      <c r="C131" s="469"/>
      <c r="D131" s="469"/>
      <c r="E131" s="469"/>
      <c r="F131" s="323" t="s">
        <v>12</v>
      </c>
      <c r="G131" s="325">
        <v>1000</v>
      </c>
      <c r="H131" s="469"/>
      <c r="I131" s="469"/>
      <c r="J131" s="469"/>
      <c r="K131" s="324"/>
    </row>
    <row r="132" spans="1:11" ht="30" customHeight="1" x14ac:dyDescent="0.45">
      <c r="A132" s="323" t="s">
        <v>11</v>
      </c>
      <c r="B132" s="324">
        <v>1000</v>
      </c>
      <c r="C132" s="469">
        <v>0.4</v>
      </c>
      <c r="D132" s="469">
        <v>0.55000000000000004</v>
      </c>
      <c r="E132" s="469">
        <v>0.85</v>
      </c>
      <c r="F132" s="323" t="s">
        <v>11</v>
      </c>
      <c r="G132" s="325">
        <v>1000</v>
      </c>
      <c r="H132" s="469"/>
      <c r="I132" s="469"/>
      <c r="J132" s="469"/>
      <c r="K132" s="322"/>
    </row>
    <row r="133" spans="1:11" ht="30" customHeight="1" x14ac:dyDescent="0.45">
      <c r="A133" s="323" t="s">
        <v>27</v>
      </c>
      <c r="B133" s="324">
        <v>200</v>
      </c>
      <c r="C133" s="469">
        <f>B138*1.45</f>
        <v>6.5830000000000002</v>
      </c>
      <c r="D133" s="469">
        <f>B138*1.75</f>
        <v>7.9450000000000003</v>
      </c>
      <c r="E133" s="469">
        <f>B138*1.99</f>
        <v>9.0345999999999993</v>
      </c>
      <c r="F133" s="323" t="s">
        <v>27</v>
      </c>
      <c r="G133" s="325">
        <v>200</v>
      </c>
      <c r="H133" s="469"/>
      <c r="I133" s="469"/>
      <c r="J133" s="469"/>
      <c r="K133" s="322"/>
    </row>
    <row r="134" spans="1:11" ht="30" customHeight="1" x14ac:dyDescent="0.45">
      <c r="A134" s="323" t="s">
        <v>28</v>
      </c>
      <c r="B134" s="324">
        <v>100</v>
      </c>
      <c r="C134" s="469"/>
      <c r="D134" s="469"/>
      <c r="E134" s="469"/>
      <c r="F134" s="323" t="s">
        <v>28</v>
      </c>
      <c r="G134" s="325">
        <v>100</v>
      </c>
      <c r="H134" s="469">
        <v>0.4</v>
      </c>
      <c r="I134" s="469">
        <v>0.55000000000000004</v>
      </c>
      <c r="J134" s="469">
        <v>0.85</v>
      </c>
      <c r="K134" s="324"/>
    </row>
    <row r="135" spans="1:11" ht="30" customHeight="1" x14ac:dyDescent="0.45">
      <c r="A135" s="323" t="s">
        <v>106</v>
      </c>
      <c r="B135" s="324">
        <v>750</v>
      </c>
      <c r="C135" s="469"/>
      <c r="D135" s="469"/>
      <c r="E135" s="469"/>
      <c r="F135" s="323" t="s">
        <v>106</v>
      </c>
      <c r="G135" s="325">
        <v>750</v>
      </c>
      <c r="H135" s="469">
        <f>G138*1.45</f>
        <v>5.9250624999999992</v>
      </c>
      <c r="I135" s="469">
        <f>G138*1.75</f>
        <v>7.1509374999999995</v>
      </c>
      <c r="J135" s="469">
        <f>G138*1.99</f>
        <v>8.1316375000000001</v>
      </c>
      <c r="K135" s="324"/>
    </row>
    <row r="136" spans="1:11" ht="30" customHeight="1" x14ac:dyDescent="0.45">
      <c r="A136" s="323" t="s">
        <v>16</v>
      </c>
      <c r="B136" s="324">
        <v>350</v>
      </c>
      <c r="C136" s="469"/>
      <c r="D136" s="469"/>
      <c r="E136" s="469"/>
      <c r="F136" s="323" t="s">
        <v>16</v>
      </c>
      <c r="G136" s="325">
        <v>350</v>
      </c>
      <c r="H136" s="469"/>
      <c r="I136" s="469"/>
      <c r="J136" s="469"/>
      <c r="K136" s="322"/>
    </row>
    <row r="137" spans="1:11" ht="30" customHeight="1" thickBot="1" x14ac:dyDescent="0.5">
      <c r="A137" s="323" t="s">
        <v>18</v>
      </c>
      <c r="B137" s="483">
        <v>4000</v>
      </c>
      <c r="C137" s="469"/>
      <c r="D137" s="469"/>
      <c r="E137" s="469"/>
      <c r="F137" s="323" t="s">
        <v>18</v>
      </c>
      <c r="G137" s="484">
        <v>4000</v>
      </c>
      <c r="H137" s="469"/>
      <c r="I137" s="469"/>
      <c r="J137" s="469"/>
      <c r="K137" s="322"/>
    </row>
    <row r="138" spans="1:11" ht="30" customHeight="1" x14ac:dyDescent="0.45">
      <c r="A138" s="323"/>
      <c r="B138" s="324">
        <f>SUM(B127:B137)/E2</f>
        <v>4.54</v>
      </c>
      <c r="C138" s="469"/>
      <c r="D138" s="469"/>
      <c r="E138" s="469"/>
      <c r="F138" s="323"/>
      <c r="G138" s="329">
        <f>SUM(G127:G137)/E2</f>
        <v>4.0862499999999997</v>
      </c>
      <c r="H138" s="469"/>
      <c r="I138" s="469"/>
      <c r="J138" s="469"/>
      <c r="K138" s="322"/>
    </row>
    <row r="139" spans="1:11" ht="30" customHeight="1" x14ac:dyDescent="0.45">
      <c r="A139" s="323"/>
      <c r="B139" s="322"/>
      <c r="C139" s="469"/>
      <c r="D139" s="469"/>
      <c r="E139" s="469"/>
      <c r="F139" s="323"/>
      <c r="G139" s="330"/>
      <c r="H139" s="469"/>
      <c r="I139" s="469"/>
      <c r="J139" s="469"/>
      <c r="K139" s="322"/>
    </row>
    <row r="140" spans="1:11" ht="30" customHeight="1" x14ac:dyDescent="0.45">
      <c r="A140" s="331" t="s">
        <v>38</v>
      </c>
      <c r="B140" s="322"/>
      <c r="C140" s="469"/>
      <c r="D140" s="469"/>
      <c r="E140" s="469">
        <v>4500</v>
      </c>
      <c r="F140" s="331" t="s">
        <v>20</v>
      </c>
      <c r="G140" s="330"/>
      <c r="H140" s="469"/>
      <c r="I140" s="469"/>
      <c r="J140" s="469">
        <v>4500</v>
      </c>
      <c r="K140" s="327"/>
    </row>
    <row r="141" spans="1:11" ht="30" customHeight="1" x14ac:dyDescent="0.45">
      <c r="A141" s="332" t="s">
        <v>25</v>
      </c>
      <c r="B141" s="333"/>
      <c r="C141" s="469"/>
      <c r="D141" s="469"/>
      <c r="E141" s="469"/>
      <c r="F141" s="332" t="s">
        <v>115</v>
      </c>
      <c r="G141" s="332"/>
      <c r="H141" s="469"/>
      <c r="I141" s="469"/>
      <c r="J141" s="469"/>
      <c r="K141" s="322"/>
    </row>
    <row r="142" spans="1:11" ht="30" customHeight="1" x14ac:dyDescent="0.7">
      <c r="A142" s="323" t="s">
        <v>9</v>
      </c>
      <c r="B142" s="324">
        <f>0.8*2.65*E2</f>
        <v>8480</v>
      </c>
      <c r="C142" s="892"/>
      <c r="D142" s="892"/>
      <c r="E142" s="892"/>
      <c r="F142" s="323" t="s">
        <v>9</v>
      </c>
      <c r="G142" s="325">
        <f>0.6*2.4*E2</f>
        <v>5760</v>
      </c>
      <c r="H142" s="892"/>
      <c r="I142" s="892"/>
      <c r="J142" s="892"/>
      <c r="K142" s="892"/>
    </row>
    <row r="143" spans="1:11" ht="30" customHeight="1" x14ac:dyDescent="0.45">
      <c r="A143" s="323" t="s">
        <v>1</v>
      </c>
      <c r="B143" s="324">
        <v>1000</v>
      </c>
      <c r="C143" s="469" t="s">
        <v>138</v>
      </c>
      <c r="D143" s="469"/>
      <c r="E143" s="469"/>
      <c r="F143" s="323" t="s">
        <v>1</v>
      </c>
      <c r="G143" s="325">
        <v>700</v>
      </c>
      <c r="H143" s="469" t="s">
        <v>138</v>
      </c>
      <c r="I143" s="469"/>
      <c r="J143" s="469"/>
      <c r="K143" s="322"/>
    </row>
    <row r="144" spans="1:11" ht="30" customHeight="1" x14ac:dyDescent="0.45">
      <c r="A144" s="323" t="s">
        <v>10</v>
      </c>
      <c r="B144" s="324">
        <v>2500</v>
      </c>
      <c r="C144" s="890" t="s">
        <v>233</v>
      </c>
      <c r="D144" s="890"/>
      <c r="E144" s="890"/>
      <c r="F144" s="323" t="s">
        <v>10</v>
      </c>
      <c r="G144" s="325">
        <v>2500</v>
      </c>
      <c r="H144" s="890" t="s">
        <v>234</v>
      </c>
      <c r="I144" s="890"/>
      <c r="J144" s="890"/>
      <c r="K144" s="324"/>
    </row>
    <row r="145" spans="1:11" ht="30" customHeight="1" x14ac:dyDescent="0.45">
      <c r="A145" s="323" t="s">
        <v>253</v>
      </c>
      <c r="B145" s="324">
        <v>6000</v>
      </c>
      <c r="C145" s="328" t="s">
        <v>22</v>
      </c>
      <c r="D145" s="328" t="s">
        <v>23</v>
      </c>
      <c r="E145" s="328" t="s">
        <v>24</v>
      </c>
      <c r="F145" s="323" t="s">
        <v>253</v>
      </c>
      <c r="G145" s="325">
        <f>11000*0.6</f>
        <v>6600</v>
      </c>
      <c r="H145" s="328" t="s">
        <v>22</v>
      </c>
      <c r="I145" s="328" t="s">
        <v>23</v>
      </c>
      <c r="J145" s="328" t="s">
        <v>24</v>
      </c>
      <c r="K145" s="324"/>
    </row>
    <row r="146" spans="1:11" ht="30" customHeight="1" x14ac:dyDescent="0.45">
      <c r="A146" s="323" t="s">
        <v>12</v>
      </c>
      <c r="B146" s="324">
        <v>2000</v>
      </c>
      <c r="C146" s="328">
        <f>C149</f>
        <v>9.9252500000000001</v>
      </c>
      <c r="D146" s="328">
        <f>D149</f>
        <v>11.97875</v>
      </c>
      <c r="E146" s="328">
        <f>E149</f>
        <v>13.621549999999999</v>
      </c>
      <c r="F146" s="323" t="s">
        <v>12</v>
      </c>
      <c r="G146" s="325">
        <v>1000</v>
      </c>
      <c r="H146" s="328">
        <f>H151</f>
        <v>8.1598749999999995</v>
      </c>
      <c r="I146" s="328">
        <f>I151</f>
        <v>9.8481250000000014</v>
      </c>
      <c r="J146" s="328">
        <f>J151</f>
        <v>11.198725000000001</v>
      </c>
      <c r="K146" s="324"/>
    </row>
    <row r="147" spans="1:11" ht="30" customHeight="1" x14ac:dyDescent="0.45">
      <c r="A147" s="323" t="s">
        <v>11</v>
      </c>
      <c r="B147" s="324">
        <v>2000</v>
      </c>
      <c r="C147" s="469"/>
      <c r="D147" s="469"/>
      <c r="E147" s="469"/>
      <c r="F147" s="323" t="s">
        <v>11</v>
      </c>
      <c r="G147" s="325">
        <v>1500</v>
      </c>
      <c r="H147" s="469"/>
      <c r="I147" s="469"/>
      <c r="J147" s="469"/>
      <c r="K147" s="324"/>
    </row>
    <row r="148" spans="1:11" ht="30" customHeight="1" x14ac:dyDescent="0.45">
      <c r="A148" s="323" t="s">
        <v>27</v>
      </c>
      <c r="B148" s="324">
        <v>200</v>
      </c>
      <c r="C148" s="469">
        <v>0.4</v>
      </c>
      <c r="D148" s="469">
        <v>0.55000000000000004</v>
      </c>
      <c r="E148" s="469">
        <v>0.85</v>
      </c>
      <c r="F148" s="323" t="s">
        <v>27</v>
      </c>
      <c r="G148" s="325">
        <v>0</v>
      </c>
      <c r="H148" s="469"/>
      <c r="I148" s="469"/>
      <c r="J148" s="469"/>
      <c r="K148" s="322"/>
    </row>
    <row r="149" spans="1:11" ht="30" customHeight="1" x14ac:dyDescent="0.45">
      <c r="A149" s="323" t="s">
        <v>28</v>
      </c>
      <c r="B149" s="324">
        <v>100</v>
      </c>
      <c r="C149" s="469">
        <f>B153*1.45</f>
        <v>9.9252500000000001</v>
      </c>
      <c r="D149" s="469">
        <f>B153*1.75</f>
        <v>11.97875</v>
      </c>
      <c r="E149" s="469">
        <f>B153*1.99</f>
        <v>13.621549999999999</v>
      </c>
      <c r="F149" s="323" t="s">
        <v>28</v>
      </c>
      <c r="G149" s="325">
        <v>50</v>
      </c>
      <c r="H149" s="469"/>
      <c r="I149" s="469"/>
      <c r="J149" s="469"/>
      <c r="K149" s="322"/>
    </row>
    <row r="150" spans="1:11" ht="30" customHeight="1" x14ac:dyDescent="0.45">
      <c r="A150" s="323" t="s">
        <v>106</v>
      </c>
      <c r="B150" s="324">
        <v>750</v>
      </c>
      <c r="C150" s="469"/>
      <c r="D150" s="469"/>
      <c r="E150" s="469"/>
      <c r="F150" s="323" t="s">
        <v>106</v>
      </c>
      <c r="G150" s="325">
        <v>50</v>
      </c>
      <c r="H150" s="469">
        <v>0.4</v>
      </c>
      <c r="I150" s="469">
        <v>0.55000000000000004</v>
      </c>
      <c r="J150" s="469">
        <v>0.85</v>
      </c>
      <c r="K150" s="324"/>
    </row>
    <row r="151" spans="1:11" ht="30" customHeight="1" x14ac:dyDescent="0.45">
      <c r="A151" s="323" t="s">
        <v>16</v>
      </c>
      <c r="B151" s="324">
        <v>350</v>
      </c>
      <c r="C151" s="469"/>
      <c r="D151" s="469"/>
      <c r="E151" s="469"/>
      <c r="F151" s="323" t="s">
        <v>16</v>
      </c>
      <c r="G151" s="325">
        <v>350</v>
      </c>
      <c r="H151" s="469">
        <f>G153*1.45</f>
        <v>8.1598749999999995</v>
      </c>
      <c r="I151" s="469">
        <f>G153*1.75</f>
        <v>9.8481250000000014</v>
      </c>
      <c r="J151" s="469">
        <f>G153*1.99</f>
        <v>11.198725000000001</v>
      </c>
      <c r="K151" s="324"/>
    </row>
    <row r="152" spans="1:11" ht="30" customHeight="1" thickBot="1" x14ac:dyDescent="0.5">
      <c r="A152" s="323" t="s">
        <v>18</v>
      </c>
      <c r="B152" s="483">
        <v>4000</v>
      </c>
      <c r="C152" s="469"/>
      <c r="D152" s="469"/>
      <c r="E152" s="469"/>
      <c r="F152" s="323" t="s">
        <v>18</v>
      </c>
      <c r="G152" s="484">
        <v>4000</v>
      </c>
      <c r="H152" s="469"/>
      <c r="I152" s="469"/>
      <c r="J152" s="469"/>
      <c r="K152" s="322"/>
    </row>
    <row r="153" spans="1:11" ht="30" customHeight="1" x14ac:dyDescent="0.45">
      <c r="A153" s="323"/>
      <c r="B153" s="324">
        <f>SUM(B142:B152)/E2</f>
        <v>6.8449999999999998</v>
      </c>
      <c r="C153" s="469"/>
      <c r="D153" s="469"/>
      <c r="E153" s="469"/>
      <c r="F153" s="323"/>
      <c r="G153" s="329">
        <f>SUM(G142:G152)/E2</f>
        <v>5.6275000000000004</v>
      </c>
      <c r="H153" s="469"/>
      <c r="I153" s="469"/>
      <c r="J153" s="469"/>
      <c r="K153" s="322"/>
    </row>
    <row r="154" spans="1:11" ht="30" customHeight="1" x14ac:dyDescent="0.45">
      <c r="A154" s="323"/>
      <c r="B154" s="322"/>
      <c r="C154" s="469"/>
      <c r="D154" s="469"/>
      <c r="E154" s="469"/>
      <c r="F154" s="323"/>
      <c r="G154" s="330"/>
      <c r="H154" s="469"/>
      <c r="I154" s="469"/>
      <c r="J154" s="469"/>
      <c r="K154" s="322"/>
    </row>
    <row r="155" spans="1:11" ht="51" customHeight="1" x14ac:dyDescent="0.7">
      <c r="A155" s="331" t="s">
        <v>166</v>
      </c>
      <c r="B155" s="884" t="s">
        <v>148</v>
      </c>
      <c r="C155" s="884"/>
      <c r="D155" s="884"/>
      <c r="E155" s="884"/>
      <c r="F155" s="331" t="s">
        <v>38</v>
      </c>
      <c r="G155" s="884" t="s">
        <v>148</v>
      </c>
      <c r="H155" s="884"/>
      <c r="I155" s="884"/>
      <c r="J155" s="884"/>
      <c r="K155" s="884"/>
    </row>
    <row r="156" spans="1:11" ht="30" customHeight="1" x14ac:dyDescent="0.45">
      <c r="A156" s="332" t="s">
        <v>113</v>
      </c>
      <c r="B156" s="332"/>
      <c r="C156" s="469" t="s">
        <v>138</v>
      </c>
      <c r="D156" s="469"/>
      <c r="E156" s="469"/>
      <c r="F156" s="332" t="s">
        <v>113</v>
      </c>
      <c r="G156" s="333"/>
      <c r="H156" s="469" t="s">
        <v>138</v>
      </c>
      <c r="I156" s="469"/>
      <c r="J156" s="469"/>
      <c r="K156" s="323"/>
    </row>
    <row r="157" spans="1:11" ht="30" customHeight="1" x14ac:dyDescent="0.45">
      <c r="A157" s="323" t="s">
        <v>9</v>
      </c>
      <c r="B157" s="325">
        <f>1*1*E2</f>
        <v>4000</v>
      </c>
      <c r="C157" s="469"/>
      <c r="D157" s="469"/>
      <c r="E157" s="469"/>
      <c r="F157" s="323" t="s">
        <v>9</v>
      </c>
      <c r="G157" s="324">
        <f>1*1.7*E2</f>
        <v>6800</v>
      </c>
      <c r="H157" s="469"/>
      <c r="I157" s="469"/>
      <c r="J157" s="469"/>
      <c r="K157" s="323"/>
    </row>
    <row r="158" spans="1:11" ht="30" customHeight="1" x14ac:dyDescent="0.45">
      <c r="A158" s="323" t="s">
        <v>1</v>
      </c>
      <c r="B158" s="325">
        <v>700</v>
      </c>
      <c r="C158" s="469"/>
      <c r="D158" s="469"/>
      <c r="E158" s="469"/>
      <c r="F158" s="323" t="s">
        <v>1</v>
      </c>
      <c r="G158" s="324">
        <v>700</v>
      </c>
      <c r="H158" s="469"/>
      <c r="I158" s="469"/>
      <c r="J158" s="469"/>
      <c r="K158" s="323"/>
    </row>
    <row r="159" spans="1:11" ht="30" customHeight="1" x14ac:dyDescent="0.45">
      <c r="A159" s="323" t="s">
        <v>10</v>
      </c>
      <c r="B159" s="325">
        <v>2500</v>
      </c>
      <c r="C159" s="890" t="s">
        <v>237</v>
      </c>
      <c r="D159" s="890"/>
      <c r="E159" s="890"/>
      <c r="F159" s="323" t="s">
        <v>10</v>
      </c>
      <c r="G159" s="324">
        <v>2500</v>
      </c>
      <c r="H159" s="890" t="s">
        <v>238</v>
      </c>
      <c r="I159" s="890"/>
      <c r="J159" s="890"/>
      <c r="K159" s="326"/>
    </row>
    <row r="160" spans="1:11" ht="30" customHeight="1" x14ac:dyDescent="0.45">
      <c r="A160" s="323" t="s">
        <v>253</v>
      </c>
      <c r="B160" s="325">
        <f>1.3*11000</f>
        <v>14300</v>
      </c>
      <c r="C160" s="328" t="s">
        <v>22</v>
      </c>
      <c r="D160" s="328" t="s">
        <v>23</v>
      </c>
      <c r="E160" s="328" t="s">
        <v>24</v>
      </c>
      <c r="F160" s="323" t="s">
        <v>253</v>
      </c>
      <c r="G160" s="324">
        <v>4500</v>
      </c>
      <c r="H160" s="328" t="s">
        <v>22</v>
      </c>
      <c r="I160" s="328" t="s">
        <v>23</v>
      </c>
      <c r="J160" s="328" t="s">
        <v>24</v>
      </c>
      <c r="K160" s="326"/>
    </row>
    <row r="161" spans="1:11" ht="30" customHeight="1" x14ac:dyDescent="0.45">
      <c r="A161" s="323" t="s">
        <v>12</v>
      </c>
      <c r="B161" s="325">
        <v>2000</v>
      </c>
      <c r="C161" s="328">
        <f>C164</f>
        <v>9.0449999999999999</v>
      </c>
      <c r="D161" s="328">
        <f>D164</f>
        <v>11.306249999999999</v>
      </c>
      <c r="E161" s="328">
        <f>E164</f>
        <v>14.999625</v>
      </c>
      <c r="F161" s="323" t="s">
        <v>12</v>
      </c>
      <c r="G161" s="324">
        <v>1000</v>
      </c>
      <c r="H161" s="328">
        <f>H164</f>
        <v>7.6125000000000007</v>
      </c>
      <c r="I161" s="328">
        <f>I164</f>
        <v>7.6125000000000007</v>
      </c>
      <c r="J161" s="328">
        <f>J164</f>
        <v>10.09925</v>
      </c>
      <c r="K161" s="326"/>
    </row>
    <row r="162" spans="1:11" ht="30" customHeight="1" x14ac:dyDescent="0.45">
      <c r="A162" s="323" t="s">
        <v>11</v>
      </c>
      <c r="B162" s="325">
        <v>2000</v>
      </c>
      <c r="C162" s="469"/>
      <c r="D162" s="469"/>
      <c r="E162" s="469"/>
      <c r="F162" s="323" t="s">
        <v>11</v>
      </c>
      <c r="G162" s="324">
        <v>1000</v>
      </c>
      <c r="H162" s="469"/>
      <c r="I162" s="469"/>
      <c r="J162" s="469"/>
      <c r="K162" s="326"/>
    </row>
    <row r="163" spans="1:11" ht="30" customHeight="1" x14ac:dyDescent="0.45">
      <c r="A163" s="323" t="s">
        <v>27</v>
      </c>
      <c r="B163" s="325">
        <v>0</v>
      </c>
      <c r="C163" s="469">
        <v>0.4</v>
      </c>
      <c r="D163" s="469">
        <v>0.55000000000000004</v>
      </c>
      <c r="E163" s="469">
        <v>0.85</v>
      </c>
      <c r="F163" s="323" t="s">
        <v>27</v>
      </c>
      <c r="G163" s="324">
        <v>50</v>
      </c>
      <c r="H163" s="469">
        <v>0.4</v>
      </c>
      <c r="I163" s="469">
        <v>0.55000000000000004</v>
      </c>
      <c r="J163" s="469">
        <v>0.85</v>
      </c>
      <c r="K163" s="323"/>
    </row>
    <row r="164" spans="1:11" ht="30" customHeight="1" x14ac:dyDescent="0.45">
      <c r="A164" s="323" t="s">
        <v>28</v>
      </c>
      <c r="B164" s="325">
        <v>0</v>
      </c>
      <c r="C164" s="469">
        <f>B168*1.2</f>
        <v>9.0449999999999999</v>
      </c>
      <c r="D164" s="469">
        <f>B168*1.5</f>
        <v>11.306249999999999</v>
      </c>
      <c r="E164" s="469">
        <f>B168*1.99</f>
        <v>14.999625</v>
      </c>
      <c r="F164" s="323" t="s">
        <v>28</v>
      </c>
      <c r="G164" s="324">
        <v>100</v>
      </c>
      <c r="H164" s="469">
        <f>G168*1.5</f>
        <v>7.6125000000000007</v>
      </c>
      <c r="I164" s="469">
        <f>G168*1.5</f>
        <v>7.6125000000000007</v>
      </c>
      <c r="J164" s="469">
        <f>G168*1.99</f>
        <v>10.09925</v>
      </c>
      <c r="K164" s="323"/>
    </row>
    <row r="165" spans="1:11" ht="30" customHeight="1" x14ac:dyDescent="0.45">
      <c r="A165" s="323" t="s">
        <v>106</v>
      </c>
      <c r="B165" s="325">
        <v>300</v>
      </c>
      <c r="C165" s="535"/>
      <c r="D165" s="535"/>
      <c r="E165" s="535"/>
      <c r="F165" s="323" t="s">
        <v>106</v>
      </c>
      <c r="G165" s="324">
        <v>300</v>
      </c>
      <c r="H165" s="469"/>
      <c r="I165" s="469"/>
      <c r="J165" s="469"/>
      <c r="K165" s="323"/>
    </row>
    <row r="166" spans="1:11" ht="30" customHeight="1" x14ac:dyDescent="0.45">
      <c r="A166" s="323" t="s">
        <v>16</v>
      </c>
      <c r="B166" s="325">
        <v>350</v>
      </c>
      <c r="C166" s="535"/>
      <c r="D166" s="535"/>
      <c r="E166" s="535"/>
      <c r="F166" s="323" t="s">
        <v>16</v>
      </c>
      <c r="G166" s="324">
        <v>350</v>
      </c>
      <c r="H166" s="469"/>
      <c r="I166" s="469"/>
      <c r="J166" s="469"/>
      <c r="K166" s="323"/>
    </row>
    <row r="167" spans="1:11" ht="30" customHeight="1" thickBot="1" x14ac:dyDescent="0.5">
      <c r="A167" s="323" t="s">
        <v>18</v>
      </c>
      <c r="B167" s="484">
        <v>4000</v>
      </c>
      <c r="C167" s="469"/>
      <c r="D167" s="469"/>
      <c r="E167" s="469"/>
      <c r="F167" s="323" t="s">
        <v>18</v>
      </c>
      <c r="G167" s="483">
        <v>3000</v>
      </c>
      <c r="H167" s="469"/>
      <c r="I167" s="469"/>
      <c r="J167" s="469"/>
      <c r="K167" s="323"/>
    </row>
    <row r="168" spans="1:11" ht="30" customHeight="1" x14ac:dyDescent="0.45">
      <c r="A168" s="323"/>
      <c r="B168" s="329">
        <f>SUM(B157:B167)/E2</f>
        <v>7.5374999999999996</v>
      </c>
      <c r="C168" s="469"/>
      <c r="D168" s="469"/>
      <c r="E168" s="469"/>
      <c r="F168" s="323"/>
      <c r="G168" s="324">
        <f>SUM(G157:G167)/E2</f>
        <v>5.0750000000000002</v>
      </c>
      <c r="H168" s="469"/>
      <c r="I168" s="469"/>
      <c r="J168" s="469"/>
      <c r="K168" s="323"/>
    </row>
    <row r="169" spans="1:11" ht="30" customHeight="1" x14ac:dyDescent="0.45">
      <c r="G169" s="24"/>
      <c r="K169" s="75"/>
    </row>
    <row r="170" spans="1:11" ht="30" customHeight="1" x14ac:dyDescent="0.45"/>
    <row r="171" spans="1:11" ht="54.75" customHeight="1" x14ac:dyDescent="0.7">
      <c r="A171" s="343" t="s">
        <v>166</v>
      </c>
      <c r="B171" s="487" t="s">
        <v>254</v>
      </c>
      <c r="C171" s="470"/>
      <c r="D171" s="470"/>
      <c r="E171" s="470"/>
      <c r="F171" s="885" t="s">
        <v>166</v>
      </c>
      <c r="G171" s="885"/>
      <c r="H171" s="895"/>
      <c r="I171" s="895"/>
      <c r="J171" s="895"/>
      <c r="K171" s="895"/>
    </row>
    <row r="172" spans="1:11" ht="30" customHeight="1" x14ac:dyDescent="0.45">
      <c r="A172" s="398" t="s">
        <v>25</v>
      </c>
      <c r="B172" s="344"/>
      <c r="C172" s="470"/>
      <c r="D172" s="470" t="s">
        <v>138</v>
      </c>
      <c r="E172" s="470"/>
      <c r="F172" s="894" t="s">
        <v>116</v>
      </c>
      <c r="G172" s="894"/>
      <c r="H172" s="470" t="s">
        <v>138</v>
      </c>
      <c r="I172" s="470"/>
      <c r="J172" s="470"/>
      <c r="K172" s="334"/>
    </row>
    <row r="173" spans="1:11" ht="30" customHeight="1" x14ac:dyDescent="0.45">
      <c r="A173" s="335" t="s">
        <v>9</v>
      </c>
      <c r="B173" s="337">
        <f>0.8*1.6*E2</f>
        <v>5120.0000000000009</v>
      </c>
      <c r="C173" s="470"/>
      <c r="D173" s="470"/>
      <c r="E173" s="470"/>
      <c r="F173" s="335" t="s">
        <v>9</v>
      </c>
      <c r="G173" s="337">
        <f>0.7*1.8*E2</f>
        <v>5040</v>
      </c>
      <c r="H173" s="470"/>
      <c r="I173" s="470"/>
      <c r="J173" s="470"/>
      <c r="K173" s="334"/>
    </row>
    <row r="174" spans="1:11" ht="30" customHeight="1" x14ac:dyDescent="0.45">
      <c r="A174" s="335" t="s">
        <v>1</v>
      </c>
      <c r="B174" s="337">
        <v>700</v>
      </c>
      <c r="C174" s="470"/>
      <c r="D174" s="470"/>
      <c r="E174" s="470"/>
      <c r="F174" s="335" t="s">
        <v>1</v>
      </c>
      <c r="G174" s="337">
        <v>700</v>
      </c>
      <c r="H174" s="896" t="s">
        <v>240</v>
      </c>
      <c r="I174" s="896"/>
      <c r="J174" s="896"/>
      <c r="K174" s="336"/>
    </row>
    <row r="175" spans="1:11" ht="30" customHeight="1" x14ac:dyDescent="0.45">
      <c r="A175" s="335" t="s">
        <v>10</v>
      </c>
      <c r="B175" s="337">
        <v>2500</v>
      </c>
      <c r="D175" s="470" t="s">
        <v>242</v>
      </c>
      <c r="E175" s="470"/>
      <c r="F175" s="335" t="s">
        <v>10</v>
      </c>
      <c r="G175" s="337">
        <v>2500</v>
      </c>
      <c r="H175" s="339" t="s">
        <v>22</v>
      </c>
      <c r="I175" s="339" t="s">
        <v>23</v>
      </c>
      <c r="J175" s="339" t="s">
        <v>24</v>
      </c>
      <c r="K175" s="336"/>
    </row>
    <row r="176" spans="1:11" ht="30" customHeight="1" x14ac:dyDescent="0.45">
      <c r="A176" s="335" t="s">
        <v>94</v>
      </c>
      <c r="B176" s="337">
        <v>2500</v>
      </c>
      <c r="C176" s="339" t="s">
        <v>22</v>
      </c>
      <c r="D176" s="339" t="s">
        <v>23</v>
      </c>
      <c r="E176" s="339" t="s">
        <v>24</v>
      </c>
      <c r="F176" s="335" t="s">
        <v>94</v>
      </c>
      <c r="G176" s="337">
        <v>2500</v>
      </c>
      <c r="H176" s="339">
        <f>H180</f>
        <v>6.4850500000000002</v>
      </c>
      <c r="I176" s="339">
        <f>I180</f>
        <v>7.7095000000000002</v>
      </c>
      <c r="J176" s="339">
        <f>J180</f>
        <v>8.1630000000000003</v>
      </c>
      <c r="K176" s="336"/>
    </row>
    <row r="177" spans="1:11" ht="30" customHeight="1" x14ac:dyDescent="0.45">
      <c r="A177" s="335" t="s">
        <v>12</v>
      </c>
      <c r="B177" s="337">
        <v>1000</v>
      </c>
      <c r="C177" s="339">
        <f>C181</f>
        <v>6.6047499999999992</v>
      </c>
      <c r="D177" s="339">
        <f>D181</f>
        <v>7.9712499999999995</v>
      </c>
      <c r="E177" s="339">
        <f>E181</f>
        <v>9.064449999999999</v>
      </c>
      <c r="F177" s="335" t="s">
        <v>12</v>
      </c>
      <c r="G177" s="337">
        <v>1000</v>
      </c>
      <c r="H177" s="470"/>
      <c r="I177" s="470"/>
      <c r="J177" s="470"/>
      <c r="K177" s="336"/>
    </row>
    <row r="178" spans="1:11" ht="30" customHeight="1" x14ac:dyDescent="0.45">
      <c r="A178" s="335" t="s">
        <v>11</v>
      </c>
      <c r="B178" s="337">
        <v>1000</v>
      </c>
      <c r="C178" s="470"/>
      <c r="D178" s="470"/>
      <c r="E178" s="470"/>
      <c r="F178" s="335" t="s">
        <v>11</v>
      </c>
      <c r="G178" s="337">
        <v>1000</v>
      </c>
      <c r="H178" s="470"/>
      <c r="I178" s="470"/>
      <c r="J178" s="470"/>
      <c r="K178" s="334"/>
    </row>
    <row r="179" spans="1:11" ht="30" customHeight="1" x14ac:dyDescent="0.45">
      <c r="A179" s="335" t="s">
        <v>27</v>
      </c>
      <c r="B179" s="337">
        <v>200</v>
      </c>
      <c r="C179" s="470"/>
      <c r="D179" s="470"/>
      <c r="E179" s="470"/>
      <c r="F179" s="335" t="s">
        <v>27</v>
      </c>
      <c r="G179" s="337">
        <v>200</v>
      </c>
      <c r="H179" s="470">
        <v>0.4</v>
      </c>
      <c r="I179" s="470">
        <v>0.55000000000000004</v>
      </c>
      <c r="J179" s="470">
        <v>0.85</v>
      </c>
      <c r="K179" s="334"/>
    </row>
    <row r="180" spans="1:11" ht="30" customHeight="1" x14ac:dyDescent="0.45">
      <c r="A180" s="335" t="s">
        <v>28</v>
      </c>
      <c r="B180" s="337">
        <v>100</v>
      </c>
      <c r="C180" s="470">
        <v>0.4</v>
      </c>
      <c r="D180" s="470">
        <v>0.55000000000000004</v>
      </c>
      <c r="E180" s="470">
        <v>0.85</v>
      </c>
      <c r="F180" s="335" t="s">
        <v>28</v>
      </c>
      <c r="G180" s="337">
        <v>100</v>
      </c>
      <c r="H180" s="470">
        <f>G184*1.43</f>
        <v>6.4850500000000002</v>
      </c>
      <c r="I180" s="470">
        <f>G184*1.7</f>
        <v>7.7095000000000002</v>
      </c>
      <c r="J180" s="470">
        <f>G184*1.8</f>
        <v>8.1630000000000003</v>
      </c>
      <c r="K180" s="336"/>
    </row>
    <row r="181" spans="1:11" ht="30" customHeight="1" x14ac:dyDescent="0.45">
      <c r="A181" s="335" t="s">
        <v>106</v>
      </c>
      <c r="B181" s="337">
        <v>750</v>
      </c>
      <c r="C181" s="470">
        <f>B184*1.45</f>
        <v>6.6047499999999992</v>
      </c>
      <c r="D181" s="470">
        <f>B184*1.75</f>
        <v>7.9712499999999995</v>
      </c>
      <c r="E181" s="470">
        <f>B184*1.99</f>
        <v>9.064449999999999</v>
      </c>
      <c r="F181" s="335" t="s">
        <v>106</v>
      </c>
      <c r="G181" s="337">
        <v>750</v>
      </c>
      <c r="H181" s="470">
        <f>H180*3800</f>
        <v>24643.190000000002</v>
      </c>
      <c r="I181" s="470"/>
      <c r="J181" s="470"/>
      <c r="K181" s="336"/>
    </row>
    <row r="182" spans="1:11" ht="30" customHeight="1" x14ac:dyDescent="0.45">
      <c r="A182" s="335" t="s">
        <v>16</v>
      </c>
      <c r="B182" s="337">
        <v>350</v>
      </c>
      <c r="C182" s="536"/>
      <c r="D182" s="536"/>
      <c r="E182" s="536"/>
      <c r="F182" s="335" t="s">
        <v>16</v>
      </c>
      <c r="G182" s="337">
        <v>350</v>
      </c>
      <c r="H182" s="470"/>
      <c r="I182" s="470"/>
      <c r="J182" s="470"/>
      <c r="K182" s="334"/>
    </row>
    <row r="183" spans="1:11" ht="30" customHeight="1" thickBot="1" x14ac:dyDescent="0.5">
      <c r="A183" s="335" t="s">
        <v>18</v>
      </c>
      <c r="B183" s="485">
        <v>4000</v>
      </c>
      <c r="C183" s="470"/>
      <c r="D183" s="470"/>
      <c r="E183" s="470"/>
      <c r="F183" s="335" t="s">
        <v>18</v>
      </c>
      <c r="G183" s="485">
        <v>4000</v>
      </c>
      <c r="H183" s="470"/>
      <c r="I183" s="470"/>
      <c r="J183" s="470"/>
      <c r="K183" s="334"/>
    </row>
    <row r="184" spans="1:11" ht="30" customHeight="1" x14ac:dyDescent="0.45">
      <c r="A184" s="335"/>
      <c r="B184" s="341">
        <f>SUM(B173:B183)/E2</f>
        <v>4.5549999999999997</v>
      </c>
      <c r="C184" s="470"/>
      <c r="D184" s="470"/>
      <c r="E184" s="470"/>
      <c r="F184" s="335"/>
      <c r="G184" s="341">
        <f>SUM(G173:G183)/E2</f>
        <v>4.5350000000000001</v>
      </c>
      <c r="H184" s="470"/>
      <c r="I184" s="470"/>
      <c r="J184" s="470"/>
      <c r="K184" s="334"/>
    </row>
    <row r="185" spans="1:11" ht="30" customHeight="1" x14ac:dyDescent="0.45">
      <c r="A185" s="335"/>
      <c r="B185" s="334"/>
      <c r="C185" s="470"/>
      <c r="D185" s="470"/>
      <c r="E185" s="470"/>
      <c r="F185" s="335"/>
      <c r="G185" s="342"/>
      <c r="H185" s="470"/>
      <c r="I185" s="470"/>
      <c r="J185" s="470"/>
      <c r="K185" s="334"/>
    </row>
    <row r="186" spans="1:11" ht="48.75" customHeight="1" x14ac:dyDescent="0.7">
      <c r="A186" s="343" t="s">
        <v>38</v>
      </c>
      <c r="B186" s="886" t="s">
        <v>254</v>
      </c>
      <c r="C186" s="886"/>
      <c r="D186" s="886"/>
      <c r="E186" s="886"/>
      <c r="F186" s="885" t="s">
        <v>38</v>
      </c>
      <c r="G186" s="885"/>
      <c r="H186" s="895"/>
      <c r="I186" s="895"/>
      <c r="J186" s="895"/>
      <c r="K186" s="895"/>
    </row>
    <row r="187" spans="1:11" ht="41.25" customHeight="1" x14ac:dyDescent="0.7">
      <c r="A187" s="344" t="s">
        <v>25</v>
      </c>
      <c r="B187" s="858" t="s">
        <v>38</v>
      </c>
      <c r="C187" s="474" t="s">
        <v>25</v>
      </c>
      <c r="D187" s="470"/>
      <c r="E187" s="470"/>
      <c r="F187" s="894" t="s">
        <v>116</v>
      </c>
      <c r="G187" s="894"/>
      <c r="H187" s="470" t="s">
        <v>138</v>
      </c>
      <c r="I187" s="470"/>
      <c r="J187" s="470"/>
      <c r="K187" s="335"/>
    </row>
    <row r="188" spans="1:11" ht="30" customHeight="1" x14ac:dyDescent="0.45">
      <c r="A188" s="335" t="s">
        <v>9</v>
      </c>
      <c r="B188" s="336">
        <f>0.8*2.6*E2</f>
        <v>8320</v>
      </c>
      <c r="C188" s="470"/>
      <c r="D188" s="470"/>
      <c r="E188" s="470"/>
      <c r="F188" s="335" t="s">
        <v>9</v>
      </c>
      <c r="G188" s="336">
        <f>0.6*2.3*E2</f>
        <v>5520</v>
      </c>
      <c r="H188" s="470"/>
      <c r="I188" s="470"/>
      <c r="J188" s="470"/>
      <c r="K188" s="335"/>
    </row>
    <row r="189" spans="1:11" ht="30" customHeight="1" x14ac:dyDescent="0.45">
      <c r="A189" s="335" t="s">
        <v>1</v>
      </c>
      <c r="B189" s="336">
        <v>700</v>
      </c>
      <c r="C189" s="470"/>
      <c r="D189" s="470"/>
      <c r="E189" s="470"/>
      <c r="F189" s="335" t="s">
        <v>1</v>
      </c>
      <c r="G189" s="336">
        <v>700</v>
      </c>
      <c r="H189" s="896" t="s">
        <v>239</v>
      </c>
      <c r="I189" s="896"/>
      <c r="J189" s="896"/>
      <c r="K189" s="338"/>
    </row>
    <row r="190" spans="1:11" ht="30" customHeight="1" x14ac:dyDescent="0.45">
      <c r="A190" s="335" t="s">
        <v>10</v>
      </c>
      <c r="B190" s="336">
        <v>2500</v>
      </c>
      <c r="C190" s="896" t="s">
        <v>241</v>
      </c>
      <c r="D190" s="896"/>
      <c r="E190" s="896"/>
      <c r="F190" s="335" t="s">
        <v>10</v>
      </c>
      <c r="G190" s="336">
        <v>2500</v>
      </c>
      <c r="H190" s="339" t="s">
        <v>22</v>
      </c>
      <c r="I190" s="339" t="s">
        <v>23</v>
      </c>
      <c r="J190" s="339" t="s">
        <v>24</v>
      </c>
      <c r="K190" s="338"/>
    </row>
    <row r="191" spans="1:11" ht="30" customHeight="1" x14ac:dyDescent="0.45">
      <c r="A191" s="335" t="s">
        <v>94</v>
      </c>
      <c r="B191" s="336">
        <v>6000</v>
      </c>
      <c r="C191" s="339" t="s">
        <v>22</v>
      </c>
      <c r="D191" s="339" t="s">
        <v>23</v>
      </c>
      <c r="E191" s="339" t="s">
        <v>24</v>
      </c>
      <c r="F191" s="335" t="s">
        <v>94</v>
      </c>
      <c r="G191" s="336">
        <f>15000/4</f>
        <v>3750</v>
      </c>
      <c r="H191" s="339">
        <f>H194</f>
        <v>6.4577500000000008</v>
      </c>
      <c r="I191" s="339">
        <f>I194</f>
        <v>8.6931250000000002</v>
      </c>
      <c r="J191" s="339">
        <f>J194</f>
        <v>9.8853249999999999</v>
      </c>
      <c r="K191" s="338"/>
    </row>
    <row r="192" spans="1:11" ht="30" customHeight="1" x14ac:dyDescent="0.45">
      <c r="A192" s="335" t="s">
        <v>12</v>
      </c>
      <c r="B192" s="336">
        <v>1000</v>
      </c>
      <c r="C192" s="339">
        <f>C196</f>
        <v>8.6869999999999994</v>
      </c>
      <c r="D192" s="339">
        <f>D196</f>
        <v>9.6177500000000009</v>
      </c>
      <c r="E192" s="339">
        <f>E196</f>
        <v>11.7895</v>
      </c>
      <c r="F192" s="335" t="s">
        <v>12</v>
      </c>
      <c r="G192" s="336">
        <v>1000</v>
      </c>
      <c r="H192" s="470"/>
      <c r="I192" s="470"/>
      <c r="J192" s="470"/>
      <c r="K192" s="338"/>
    </row>
    <row r="193" spans="1:19" ht="30" customHeight="1" x14ac:dyDescent="0.45">
      <c r="A193" s="335" t="s">
        <v>11</v>
      </c>
      <c r="B193" s="336">
        <v>2000</v>
      </c>
      <c r="C193" s="470"/>
      <c r="D193" s="470"/>
      <c r="E193" s="470"/>
      <c r="F193" s="335" t="s">
        <v>11</v>
      </c>
      <c r="G193" s="336">
        <v>1000</v>
      </c>
      <c r="H193" s="470">
        <v>0.4</v>
      </c>
      <c r="I193" s="470">
        <v>0.55000000000000004</v>
      </c>
      <c r="J193" s="470">
        <v>0.85</v>
      </c>
      <c r="K193" s="335"/>
    </row>
    <row r="194" spans="1:19" ht="30" customHeight="1" x14ac:dyDescent="0.45">
      <c r="A194" s="335" t="s">
        <v>27</v>
      </c>
      <c r="B194" s="336">
        <v>0</v>
      </c>
      <c r="C194" s="470"/>
      <c r="D194" s="470"/>
      <c r="E194" s="470"/>
      <c r="F194" s="335" t="s">
        <v>27</v>
      </c>
      <c r="G194" s="336">
        <v>200</v>
      </c>
      <c r="H194" s="470">
        <f>G199*1.3</f>
        <v>6.4577500000000008</v>
      </c>
      <c r="I194" s="470">
        <f>G199*1.75</f>
        <v>8.6931250000000002</v>
      </c>
      <c r="J194" s="470">
        <f>G199*1.99</f>
        <v>9.8853249999999999</v>
      </c>
      <c r="K194" s="335"/>
    </row>
    <row r="195" spans="1:19" ht="30" customHeight="1" x14ac:dyDescent="0.45">
      <c r="A195" s="335" t="s">
        <v>28</v>
      </c>
      <c r="B195" s="336">
        <v>0</v>
      </c>
      <c r="C195" s="470">
        <v>0.4</v>
      </c>
      <c r="D195" s="470">
        <v>0.55000000000000004</v>
      </c>
      <c r="E195" s="470">
        <v>0.85</v>
      </c>
      <c r="F195" s="335" t="s">
        <v>28</v>
      </c>
      <c r="G195" s="336">
        <v>100</v>
      </c>
      <c r="H195" s="470"/>
      <c r="I195" s="470"/>
      <c r="J195" s="470"/>
      <c r="K195" s="335"/>
    </row>
    <row r="196" spans="1:19" ht="30" customHeight="1" x14ac:dyDescent="0.45">
      <c r="A196" s="335" t="s">
        <v>106</v>
      </c>
      <c r="B196" s="336">
        <v>250</v>
      </c>
      <c r="C196" s="470">
        <f>B199*1.4</f>
        <v>8.6869999999999994</v>
      </c>
      <c r="D196" s="470">
        <f>B199*1.55</f>
        <v>9.6177500000000009</v>
      </c>
      <c r="E196" s="470">
        <f>B199*1.9</f>
        <v>11.7895</v>
      </c>
      <c r="F196" s="335" t="s">
        <v>106</v>
      </c>
      <c r="G196" s="336">
        <v>750</v>
      </c>
      <c r="H196" s="470"/>
      <c r="I196" s="470"/>
      <c r="J196" s="470"/>
      <c r="K196" s="335"/>
    </row>
    <row r="197" spans="1:19" ht="30" customHeight="1" x14ac:dyDescent="0.45">
      <c r="A197" s="335" t="s">
        <v>16</v>
      </c>
      <c r="B197" s="336">
        <v>350</v>
      </c>
      <c r="C197" s="470"/>
      <c r="D197" s="470">
        <f>D196*3800</f>
        <v>36547.450000000004</v>
      </c>
      <c r="E197" s="470"/>
      <c r="F197" s="335" t="s">
        <v>16</v>
      </c>
      <c r="G197" s="336">
        <v>350</v>
      </c>
      <c r="H197" s="470"/>
      <c r="I197" s="470"/>
      <c r="J197" s="470"/>
      <c r="K197" s="335"/>
    </row>
    <row r="198" spans="1:19" ht="30" customHeight="1" thickBot="1" x14ac:dyDescent="0.5">
      <c r="A198" s="335" t="s">
        <v>18</v>
      </c>
      <c r="B198" s="486">
        <v>3700</v>
      </c>
      <c r="C198" s="470"/>
      <c r="D198" s="470"/>
      <c r="E198" s="470"/>
      <c r="F198" s="335" t="s">
        <v>18</v>
      </c>
      <c r="G198" s="486">
        <v>4000</v>
      </c>
      <c r="H198" s="470"/>
      <c r="I198" s="470"/>
      <c r="J198" s="470"/>
      <c r="K198" s="335"/>
    </row>
    <row r="199" spans="1:19" ht="30" customHeight="1" x14ac:dyDescent="0.45">
      <c r="A199" s="335"/>
      <c r="B199" s="336">
        <f>SUM(B188:B198)/E2</f>
        <v>6.2050000000000001</v>
      </c>
      <c r="C199" s="470"/>
      <c r="D199" s="470"/>
      <c r="E199" s="470"/>
      <c r="F199" s="335"/>
      <c r="G199" s="336">
        <f>SUM(G188:G198)/E2</f>
        <v>4.9675000000000002</v>
      </c>
      <c r="H199" s="470"/>
      <c r="I199" s="470"/>
      <c r="J199" s="470"/>
      <c r="K199" s="335"/>
    </row>
    <row r="200" spans="1:19" ht="30" customHeight="1" x14ac:dyDescent="0.45">
      <c r="A200" s="335"/>
      <c r="B200" s="334"/>
      <c r="C200" s="470"/>
      <c r="D200" s="470"/>
      <c r="E200" s="470"/>
      <c r="F200" s="335"/>
      <c r="G200" s="342"/>
      <c r="H200" s="470"/>
      <c r="I200" s="470"/>
      <c r="J200" s="470"/>
      <c r="K200" s="334"/>
    </row>
    <row r="201" spans="1:19" ht="47.25" customHeight="1" x14ac:dyDescent="0.7">
      <c r="A201" s="343" t="s">
        <v>38</v>
      </c>
      <c r="B201" s="906" t="s">
        <v>254</v>
      </c>
      <c r="C201" s="906"/>
      <c r="D201" s="906"/>
      <c r="E201" s="906"/>
      <c r="F201" s="343" t="s">
        <v>166</v>
      </c>
      <c r="G201" s="905" t="s">
        <v>254</v>
      </c>
      <c r="H201" s="905"/>
      <c r="I201" s="905"/>
      <c r="J201" s="905"/>
      <c r="K201" s="905"/>
      <c r="M201" s="680" t="s">
        <v>166</v>
      </c>
      <c r="N201" s="905" t="s">
        <v>254</v>
      </c>
      <c r="O201" s="905"/>
      <c r="P201" s="905"/>
      <c r="Q201" s="905"/>
      <c r="R201" s="905"/>
      <c r="S201" s="905"/>
    </row>
    <row r="202" spans="1:19" ht="30" customHeight="1" x14ac:dyDescent="0.35">
      <c r="A202" s="344" t="s">
        <v>113</v>
      </c>
      <c r="B202" s="345"/>
      <c r="C202" s="470" t="s">
        <v>138</v>
      </c>
      <c r="D202" s="470"/>
      <c r="E202" s="470"/>
      <c r="F202" s="344" t="s">
        <v>113</v>
      </c>
      <c r="G202" s="344"/>
      <c r="H202" s="470" t="s">
        <v>138</v>
      </c>
      <c r="I202" s="470"/>
      <c r="J202" s="470"/>
      <c r="K202" s="334"/>
      <c r="M202" s="344" t="s">
        <v>113</v>
      </c>
      <c r="N202" s="344"/>
      <c r="O202" s="334"/>
      <c r="P202" s="679" t="s">
        <v>138</v>
      </c>
      <c r="Q202" s="679"/>
      <c r="R202" s="679"/>
      <c r="S202" s="334"/>
    </row>
    <row r="203" spans="1:19" ht="30" customHeight="1" x14ac:dyDescent="0.35">
      <c r="A203" s="335" t="s">
        <v>9</v>
      </c>
      <c r="B203" s="336">
        <f>1.1*2.7*E2</f>
        <v>11880.000000000002</v>
      </c>
      <c r="C203" s="470"/>
      <c r="D203" s="470"/>
      <c r="E203" s="470"/>
      <c r="F203" s="335" t="s">
        <v>9</v>
      </c>
      <c r="G203" s="337">
        <f>1*4.5*E2</f>
        <v>18000</v>
      </c>
      <c r="H203" s="470"/>
      <c r="I203" s="470"/>
      <c r="J203" s="470"/>
      <c r="K203" s="334"/>
      <c r="M203" s="335" t="s">
        <v>9</v>
      </c>
      <c r="N203" s="337">
        <f>1*2*3800</f>
        <v>7600</v>
      </c>
      <c r="O203" s="334"/>
      <c r="P203" s="679"/>
      <c r="Q203" s="679"/>
      <c r="R203" s="679"/>
      <c r="S203" s="334"/>
    </row>
    <row r="204" spans="1:19" ht="30" customHeight="1" x14ac:dyDescent="0.35">
      <c r="A204" s="335" t="s">
        <v>1</v>
      </c>
      <c r="B204" s="336">
        <v>700</v>
      </c>
      <c r="C204" s="470"/>
      <c r="D204" s="470"/>
      <c r="E204" s="470"/>
      <c r="F204" s="335" t="s">
        <v>1</v>
      </c>
      <c r="G204" s="337">
        <v>700</v>
      </c>
      <c r="H204" s="470"/>
      <c r="I204" s="470"/>
      <c r="J204" s="470"/>
      <c r="K204" s="334"/>
      <c r="M204" s="335" t="s">
        <v>1</v>
      </c>
      <c r="N204" s="337">
        <v>700</v>
      </c>
      <c r="O204" s="334"/>
      <c r="P204" s="679"/>
      <c r="Q204" s="679"/>
      <c r="R204" s="679"/>
      <c r="S204" s="334"/>
    </row>
    <row r="205" spans="1:19" ht="30" customHeight="1" x14ac:dyDescent="0.35">
      <c r="A205" s="335" t="s">
        <v>10</v>
      </c>
      <c r="B205" s="336">
        <v>2500</v>
      </c>
      <c r="C205" s="896" t="s">
        <v>243</v>
      </c>
      <c r="D205" s="896"/>
      <c r="E205" s="896"/>
      <c r="F205" s="335" t="s">
        <v>10</v>
      </c>
      <c r="G205" s="337">
        <v>2500</v>
      </c>
      <c r="H205" s="896" t="s">
        <v>244</v>
      </c>
      <c r="I205" s="896"/>
      <c r="J205" s="896"/>
      <c r="K205" s="336"/>
      <c r="M205" s="335" t="s">
        <v>10</v>
      </c>
      <c r="N205" s="337">
        <v>2500</v>
      </c>
      <c r="O205" s="334"/>
      <c r="P205" s="896" t="s">
        <v>244</v>
      </c>
      <c r="Q205" s="896"/>
      <c r="R205" s="896"/>
      <c r="S205" s="336"/>
    </row>
    <row r="206" spans="1:19" ht="30" customHeight="1" x14ac:dyDescent="0.35">
      <c r="A206" s="335" t="s">
        <v>94</v>
      </c>
      <c r="B206" s="336">
        <f>13000</f>
        <v>13000</v>
      </c>
      <c r="C206" s="339" t="s">
        <v>22</v>
      </c>
      <c r="D206" s="339" t="s">
        <v>23</v>
      </c>
      <c r="E206" s="339" t="s">
        <v>24</v>
      </c>
      <c r="F206" s="335" t="s">
        <v>94</v>
      </c>
      <c r="G206" s="337">
        <f>35000/4</f>
        <v>8750</v>
      </c>
      <c r="H206" s="339" t="s">
        <v>22</v>
      </c>
      <c r="I206" s="339" t="s">
        <v>23</v>
      </c>
      <c r="J206" s="339" t="s">
        <v>24</v>
      </c>
      <c r="K206" s="336"/>
      <c r="M206" s="335" t="s">
        <v>447</v>
      </c>
      <c r="N206" s="337">
        <f>17500</f>
        <v>17500</v>
      </c>
      <c r="O206" s="334"/>
      <c r="P206" s="339" t="s">
        <v>22</v>
      </c>
      <c r="Q206" s="339" t="s">
        <v>23</v>
      </c>
      <c r="R206" s="339" t="s">
        <v>24</v>
      </c>
      <c r="S206" s="336"/>
    </row>
    <row r="207" spans="1:19" ht="30" customHeight="1" x14ac:dyDescent="0.35">
      <c r="A207" s="335" t="s">
        <v>12</v>
      </c>
      <c r="B207" s="336">
        <v>1000</v>
      </c>
      <c r="C207" s="339">
        <f>C211</f>
        <v>12.417999999999997</v>
      </c>
      <c r="D207" s="339">
        <f>D211</f>
        <v>15.078999999999999</v>
      </c>
      <c r="E207" s="339">
        <f>E211</f>
        <v>17.651299999999999</v>
      </c>
      <c r="F207" s="335" t="s">
        <v>12</v>
      </c>
      <c r="G207" s="337">
        <v>2500</v>
      </c>
      <c r="H207" s="339">
        <f>H212</f>
        <v>12.943125000000002</v>
      </c>
      <c r="I207" s="339">
        <f>I212</f>
        <v>15.819374999999999</v>
      </c>
      <c r="J207" s="339">
        <f>J212</f>
        <v>19.079125000000001</v>
      </c>
      <c r="K207" s="336"/>
      <c r="M207" s="335" t="s">
        <v>12</v>
      </c>
      <c r="N207" s="337">
        <v>2500</v>
      </c>
      <c r="O207" s="334"/>
      <c r="P207" s="339">
        <f>P212</f>
        <v>13.215789473684211</v>
      </c>
      <c r="Q207" s="339">
        <f>Q212</f>
        <v>15.663157894736841</v>
      </c>
      <c r="R207" s="339">
        <f>R212</f>
        <v>19.481052631578947</v>
      </c>
      <c r="S207" s="336"/>
    </row>
    <row r="208" spans="1:19" ht="30" customHeight="1" x14ac:dyDescent="0.35">
      <c r="A208" s="335" t="s">
        <v>11</v>
      </c>
      <c r="B208" s="336">
        <v>1000</v>
      </c>
      <c r="C208" s="470"/>
      <c r="D208" s="470"/>
      <c r="E208" s="470"/>
      <c r="F208" s="335" t="s">
        <v>11</v>
      </c>
      <c r="G208" s="337">
        <v>2000</v>
      </c>
      <c r="H208" s="470"/>
      <c r="I208" s="470"/>
      <c r="J208" s="470"/>
      <c r="K208" s="336"/>
      <c r="M208" s="335" t="s">
        <v>11</v>
      </c>
      <c r="N208" s="337">
        <v>2000</v>
      </c>
      <c r="O208" s="334"/>
      <c r="P208" s="679"/>
      <c r="Q208" s="679"/>
      <c r="R208" s="679"/>
      <c r="S208" s="336"/>
    </row>
    <row r="209" spans="1:19" ht="30" customHeight="1" x14ac:dyDescent="0.35">
      <c r="A209" s="335" t="s">
        <v>27</v>
      </c>
      <c r="B209" s="336">
        <v>200</v>
      </c>
      <c r="C209" s="470"/>
      <c r="D209" s="470"/>
      <c r="E209" s="470"/>
      <c r="F209" s="335" t="s">
        <v>27</v>
      </c>
      <c r="G209" s="337">
        <v>0</v>
      </c>
      <c r="H209" s="470"/>
      <c r="I209" s="470"/>
      <c r="J209" s="470"/>
      <c r="K209" s="334"/>
      <c r="M209" s="335" t="s">
        <v>27</v>
      </c>
      <c r="N209" s="337">
        <v>0</v>
      </c>
      <c r="O209" s="334"/>
      <c r="P209" s="679"/>
      <c r="Q209" s="679"/>
      <c r="R209" s="679"/>
      <c r="S209" s="334"/>
    </row>
    <row r="210" spans="1:19" ht="30" customHeight="1" x14ac:dyDescent="0.35">
      <c r="A210" s="335" t="s">
        <v>28</v>
      </c>
      <c r="B210" s="336">
        <v>100</v>
      </c>
      <c r="C210" s="470">
        <v>0.4</v>
      </c>
      <c r="D210" s="470">
        <v>0.55000000000000004</v>
      </c>
      <c r="E210" s="470">
        <v>0.85</v>
      </c>
      <c r="F210" s="335" t="s">
        <v>28</v>
      </c>
      <c r="G210" s="337">
        <v>100</v>
      </c>
      <c r="H210" s="470"/>
      <c r="I210" s="470"/>
      <c r="J210" s="470"/>
      <c r="K210" s="334"/>
      <c r="M210" s="335" t="s">
        <v>28</v>
      </c>
      <c r="N210" s="337">
        <v>100</v>
      </c>
      <c r="O210" s="334"/>
      <c r="P210" s="679"/>
      <c r="Q210" s="679"/>
      <c r="R210" s="679"/>
      <c r="S210" s="334"/>
    </row>
    <row r="211" spans="1:19" ht="30" customHeight="1" x14ac:dyDescent="0.35">
      <c r="A211" s="335" t="s">
        <v>106</v>
      </c>
      <c r="B211" s="336">
        <v>750</v>
      </c>
      <c r="C211" s="470">
        <f>B214*1.4</f>
        <v>12.417999999999997</v>
      </c>
      <c r="D211" s="470">
        <f>B214*1.7</f>
        <v>15.078999999999999</v>
      </c>
      <c r="E211" s="470">
        <f>B214*1.99</f>
        <v>17.651299999999999</v>
      </c>
      <c r="F211" s="335" t="s">
        <v>106</v>
      </c>
      <c r="G211" s="337">
        <v>50</v>
      </c>
      <c r="H211" s="470">
        <v>0.4</v>
      </c>
      <c r="I211" s="470">
        <v>0.55000000000000004</v>
      </c>
      <c r="J211" s="470">
        <v>0.85</v>
      </c>
      <c r="K211" s="336"/>
      <c r="M211" s="335" t="s">
        <v>106</v>
      </c>
      <c r="N211" s="337">
        <v>50</v>
      </c>
      <c r="O211" s="340"/>
      <c r="P211" s="679">
        <v>0.4</v>
      </c>
      <c r="Q211" s="679">
        <v>0.55000000000000004</v>
      </c>
      <c r="R211" s="679">
        <v>0.85</v>
      </c>
      <c r="S211" s="336"/>
    </row>
    <row r="212" spans="1:19" ht="30" customHeight="1" x14ac:dyDescent="0.35">
      <c r="A212" s="335" t="s">
        <v>16</v>
      </c>
      <c r="B212" s="336">
        <v>350</v>
      </c>
      <c r="C212" s="470"/>
      <c r="D212" s="470"/>
      <c r="E212" s="470"/>
      <c r="F212" s="335" t="s">
        <v>16</v>
      </c>
      <c r="G212" s="337">
        <v>250</v>
      </c>
      <c r="H212" s="470">
        <f>G214*1.35</f>
        <v>12.943125000000002</v>
      </c>
      <c r="I212" s="470">
        <f>G214*1.65</f>
        <v>15.819374999999999</v>
      </c>
      <c r="J212" s="470">
        <f>G214*1.99</f>
        <v>19.079125000000001</v>
      </c>
      <c r="K212" s="336"/>
      <c r="M212" s="335" t="s">
        <v>16</v>
      </c>
      <c r="N212" s="337">
        <v>250</v>
      </c>
      <c r="O212" s="340"/>
      <c r="P212" s="679">
        <f>N214*1.35</f>
        <v>13.215789473684211</v>
      </c>
      <c r="Q212" s="679">
        <f>N214*1.6</f>
        <v>15.663157894736841</v>
      </c>
      <c r="R212" s="679">
        <f>N214*1.99</f>
        <v>19.481052631578947</v>
      </c>
      <c r="S212" s="336"/>
    </row>
    <row r="213" spans="1:19" ht="30" customHeight="1" thickBot="1" x14ac:dyDescent="0.4">
      <c r="A213" s="335" t="s">
        <v>18</v>
      </c>
      <c r="B213" s="486">
        <v>4000</v>
      </c>
      <c r="C213" s="470"/>
      <c r="D213" s="470"/>
      <c r="E213" s="470"/>
      <c r="F213" s="335" t="s">
        <v>18</v>
      </c>
      <c r="G213" s="485">
        <v>3500</v>
      </c>
      <c r="H213" s="470"/>
      <c r="I213" s="470"/>
      <c r="J213" s="470"/>
      <c r="K213" s="334"/>
      <c r="M213" s="335" t="s">
        <v>18</v>
      </c>
      <c r="N213" s="485">
        <v>4000</v>
      </c>
      <c r="O213" s="336"/>
      <c r="P213" s="679"/>
      <c r="Q213" s="679"/>
      <c r="R213" s="679"/>
      <c r="S213" s="334"/>
    </row>
    <row r="214" spans="1:19" ht="30" customHeight="1" x14ac:dyDescent="0.35">
      <c r="A214" s="335"/>
      <c r="B214" s="336">
        <f>SUM(B203:B213)/E2</f>
        <v>8.8699999999999992</v>
      </c>
      <c r="C214" s="470"/>
      <c r="D214" s="470"/>
      <c r="E214" s="470"/>
      <c r="F214" s="335"/>
      <c r="G214" s="341">
        <f>SUM(G203:G213)/E2</f>
        <v>9.5875000000000004</v>
      </c>
      <c r="H214" s="470"/>
      <c r="I214" s="470"/>
      <c r="J214" s="470"/>
      <c r="K214" s="334"/>
      <c r="M214" s="335"/>
      <c r="N214" s="341">
        <f>SUM(N203:N213)/3800</f>
        <v>9.7894736842105257</v>
      </c>
      <c r="O214" s="336"/>
      <c r="P214" s="679"/>
      <c r="Q214" s="679"/>
      <c r="R214" s="679"/>
      <c r="S214" s="334"/>
    </row>
    <row r="215" spans="1:19" ht="30" customHeight="1" x14ac:dyDescent="0.45"/>
    <row r="216" spans="1:19" ht="30" customHeight="1" x14ac:dyDescent="0.45"/>
    <row r="217" spans="1:19" ht="30" customHeight="1" x14ac:dyDescent="0.45"/>
    <row r="218" spans="1:19" s="452" customFormat="1" ht="43.5" customHeight="1" x14ac:dyDescent="0.7">
      <c r="A218" s="887" t="s">
        <v>38</v>
      </c>
      <c r="B218" s="887"/>
      <c r="C218" s="893"/>
      <c r="D218" s="893"/>
      <c r="E218" s="893"/>
      <c r="F218" s="887" t="s">
        <v>166</v>
      </c>
      <c r="G218" s="887"/>
      <c r="H218" s="893"/>
      <c r="I218" s="893"/>
      <c r="J218" s="893"/>
      <c r="K218" s="450"/>
      <c r="L218" s="451"/>
      <c r="M218" s="52"/>
      <c r="N218" s="658"/>
      <c r="O218" s="658"/>
      <c r="P218" s="658"/>
      <c r="Q218" s="52"/>
    </row>
    <row r="219" spans="1:19" ht="30" customHeight="1" x14ac:dyDescent="0.45">
      <c r="A219" s="863" t="s">
        <v>116</v>
      </c>
      <c r="B219" s="863"/>
      <c r="C219" s="471" t="s">
        <v>138</v>
      </c>
      <c r="D219" s="471"/>
      <c r="E219" s="471"/>
      <c r="F219" s="863" t="s">
        <v>116</v>
      </c>
      <c r="G219" s="863"/>
      <c r="H219" s="471" t="s">
        <v>138</v>
      </c>
      <c r="I219" s="471"/>
      <c r="J219" s="471"/>
      <c r="K219" s="346"/>
    </row>
    <row r="220" spans="1:19" ht="30" customHeight="1" x14ac:dyDescent="0.45">
      <c r="A220" s="347" t="s">
        <v>9</v>
      </c>
      <c r="B220" s="348">
        <f>0.7*1.8*E2</f>
        <v>5040</v>
      </c>
      <c r="C220" s="471"/>
      <c r="D220" s="471"/>
      <c r="E220" s="471"/>
      <c r="F220" s="347" t="s">
        <v>9</v>
      </c>
      <c r="G220" s="349">
        <f>0.5*1.3*E2</f>
        <v>2600</v>
      </c>
      <c r="H220" s="704"/>
      <c r="I220" s="704"/>
      <c r="J220" s="704"/>
      <c r="K220" s="346"/>
    </row>
    <row r="221" spans="1:19" ht="30" customHeight="1" x14ac:dyDescent="0.45">
      <c r="A221" s="347" t="s">
        <v>1</v>
      </c>
      <c r="B221" s="348">
        <v>700</v>
      </c>
      <c r="C221" s="883" t="s">
        <v>239</v>
      </c>
      <c r="D221" s="883"/>
      <c r="E221" s="883"/>
      <c r="F221" s="347" t="s">
        <v>1</v>
      </c>
      <c r="G221" s="349">
        <v>700</v>
      </c>
      <c r="H221" s="883" t="s">
        <v>240</v>
      </c>
      <c r="I221" s="883"/>
      <c r="J221" s="883"/>
      <c r="K221" s="348"/>
    </row>
    <row r="222" spans="1:19" ht="30" customHeight="1" x14ac:dyDescent="0.45">
      <c r="A222" s="347" t="s">
        <v>10</v>
      </c>
      <c r="B222" s="348">
        <v>2500</v>
      </c>
      <c r="C222" s="350" t="s">
        <v>22</v>
      </c>
      <c r="D222" s="350" t="s">
        <v>23</v>
      </c>
      <c r="E222" s="350" t="s">
        <v>24</v>
      </c>
      <c r="F222" s="347" t="s">
        <v>10</v>
      </c>
      <c r="G222" s="349">
        <v>4500</v>
      </c>
      <c r="H222" s="350" t="s">
        <v>22</v>
      </c>
      <c r="I222" s="350" t="s">
        <v>23</v>
      </c>
      <c r="J222" s="350" t="s">
        <v>24</v>
      </c>
      <c r="K222" s="348"/>
    </row>
    <row r="223" spans="1:19" ht="30" customHeight="1" x14ac:dyDescent="0.45">
      <c r="A223" s="347" t="s">
        <v>94</v>
      </c>
      <c r="B223" s="348">
        <f>0.7*13000</f>
        <v>9100</v>
      </c>
      <c r="C223" s="350">
        <f>C226</f>
        <v>8.9039999999999999</v>
      </c>
      <c r="D223" s="350">
        <f>D226</f>
        <v>11.13</v>
      </c>
      <c r="E223" s="350">
        <f>E226</f>
        <v>12.656400000000001</v>
      </c>
      <c r="F223" s="347" t="s">
        <v>94</v>
      </c>
      <c r="G223" s="349">
        <f>0.5*11000</f>
        <v>5500</v>
      </c>
      <c r="H223" s="350">
        <f>H228</f>
        <v>5.5250000000000004</v>
      </c>
      <c r="I223" s="350">
        <f>I228</f>
        <v>7.4375</v>
      </c>
      <c r="J223" s="350">
        <f>J228</f>
        <v>8.4574999999999996</v>
      </c>
      <c r="K223" s="348"/>
    </row>
    <row r="224" spans="1:19" ht="30" customHeight="1" x14ac:dyDescent="0.45">
      <c r="A224" s="347" t="s">
        <v>12</v>
      </c>
      <c r="B224" s="348">
        <v>3000</v>
      </c>
      <c r="C224" s="471"/>
      <c r="D224" s="471"/>
      <c r="E224" s="471"/>
      <c r="F224" s="347" t="s">
        <v>12</v>
      </c>
      <c r="G224" s="349">
        <v>0</v>
      </c>
      <c r="H224" s="704"/>
      <c r="I224" s="704"/>
      <c r="J224" s="704"/>
      <c r="K224" s="348"/>
    </row>
    <row r="225" spans="1:17" ht="30" customHeight="1" x14ac:dyDescent="0.45">
      <c r="A225" s="347" t="s">
        <v>11</v>
      </c>
      <c r="B225" s="348">
        <v>1000</v>
      </c>
      <c r="C225" s="471">
        <v>0.4</v>
      </c>
      <c r="D225" s="471">
        <v>0.55000000000000004</v>
      </c>
      <c r="E225" s="471">
        <v>0.85</v>
      </c>
      <c r="F225" s="347" t="s">
        <v>11</v>
      </c>
      <c r="G225" s="349">
        <v>1000</v>
      </c>
      <c r="H225" s="704"/>
      <c r="I225" s="704"/>
      <c r="J225" s="704"/>
      <c r="K225" s="346"/>
      <c r="N225" s="658" t="s">
        <v>404</v>
      </c>
      <c r="O225" s="658" t="s">
        <v>405</v>
      </c>
      <c r="P225" s="658" t="s">
        <v>406</v>
      </c>
    </row>
    <row r="226" spans="1:17" ht="30" customHeight="1" x14ac:dyDescent="0.45">
      <c r="A226" s="347" t="s">
        <v>27</v>
      </c>
      <c r="B226" s="348">
        <v>0</v>
      </c>
      <c r="C226" s="471">
        <f>B231*1.4</f>
        <v>8.9039999999999999</v>
      </c>
      <c r="D226" s="471">
        <f>B231*1.75</f>
        <v>11.13</v>
      </c>
      <c r="E226" s="471">
        <f>B231*1.99</f>
        <v>12.656400000000001</v>
      </c>
      <c r="F226" s="347" t="s">
        <v>27</v>
      </c>
      <c r="G226" s="349">
        <v>0</v>
      </c>
      <c r="H226" s="704"/>
      <c r="I226" s="704"/>
      <c r="J226" s="704"/>
      <c r="K226" s="346"/>
      <c r="M226" s="52" t="s">
        <v>403</v>
      </c>
      <c r="N226" s="658">
        <v>7.5</v>
      </c>
      <c r="O226" s="658">
        <v>8.5</v>
      </c>
      <c r="P226" s="658">
        <v>9.5</v>
      </c>
      <c r="Q226" s="52" t="s">
        <v>407</v>
      </c>
    </row>
    <row r="227" spans="1:17" ht="30" customHeight="1" x14ac:dyDescent="0.45">
      <c r="A227" s="347" t="s">
        <v>28</v>
      </c>
      <c r="B227" s="348">
        <v>0</v>
      </c>
      <c r="C227" s="471"/>
      <c r="D227" s="471"/>
      <c r="E227" s="471"/>
      <c r="F227" s="347" t="s">
        <v>28</v>
      </c>
      <c r="G227" s="349">
        <v>0</v>
      </c>
      <c r="H227" s="704">
        <v>0.4</v>
      </c>
      <c r="I227" s="704">
        <v>0.55000000000000004</v>
      </c>
      <c r="J227" s="704">
        <v>0.85</v>
      </c>
      <c r="K227" s="348"/>
      <c r="N227" s="658">
        <v>5.3</v>
      </c>
      <c r="O227" s="658">
        <v>6</v>
      </c>
      <c r="P227" s="658">
        <v>6.7</v>
      </c>
      <c r="Q227" s="52" t="s">
        <v>409</v>
      </c>
    </row>
    <row r="228" spans="1:17" ht="30" customHeight="1" x14ac:dyDescent="0.45">
      <c r="A228" s="347" t="s">
        <v>106</v>
      </c>
      <c r="B228" s="348">
        <v>750</v>
      </c>
      <c r="C228" s="471"/>
      <c r="D228" s="471"/>
      <c r="E228" s="471"/>
      <c r="F228" s="347" t="s">
        <v>106</v>
      </c>
      <c r="G228" s="349">
        <v>0</v>
      </c>
      <c r="H228" s="704">
        <f>G231*1.3</f>
        <v>5.5250000000000004</v>
      </c>
      <c r="I228" s="704">
        <f>G231*1.75</f>
        <v>7.4375</v>
      </c>
      <c r="J228" s="704">
        <f>G231*1.99</f>
        <v>8.4574999999999996</v>
      </c>
      <c r="K228" s="348"/>
    </row>
    <row r="229" spans="1:17" ht="30" customHeight="1" x14ac:dyDescent="0.45">
      <c r="A229" s="347" t="s">
        <v>16</v>
      </c>
      <c r="B229" s="348">
        <v>350</v>
      </c>
      <c r="C229" s="471"/>
      <c r="D229" s="471"/>
      <c r="E229" s="471"/>
      <c r="F229" s="347" t="s">
        <v>16</v>
      </c>
      <c r="G229" s="349">
        <v>0</v>
      </c>
      <c r="H229" s="704"/>
      <c r="I229" s="704"/>
      <c r="J229" s="704"/>
      <c r="K229" s="346"/>
      <c r="M229" s="52" t="s">
        <v>410</v>
      </c>
      <c r="N229" s="658">
        <v>4.7</v>
      </c>
      <c r="O229" s="658">
        <v>5.3</v>
      </c>
      <c r="P229" s="658">
        <v>6.3</v>
      </c>
      <c r="Q229" s="52" t="s">
        <v>407</v>
      </c>
    </row>
    <row r="230" spans="1:17" ht="30" customHeight="1" thickBot="1" x14ac:dyDescent="0.5">
      <c r="A230" s="347" t="s">
        <v>18</v>
      </c>
      <c r="B230" s="490">
        <v>3000</v>
      </c>
      <c r="C230" s="471"/>
      <c r="D230" s="471"/>
      <c r="E230" s="471"/>
      <c r="F230" s="347" t="s">
        <v>18</v>
      </c>
      <c r="G230" s="491">
        <v>2700</v>
      </c>
      <c r="H230" s="704"/>
      <c r="I230" s="704"/>
      <c r="J230" s="704"/>
      <c r="K230" s="346"/>
      <c r="N230" s="658">
        <v>3</v>
      </c>
      <c r="O230" s="658">
        <v>3.7</v>
      </c>
      <c r="P230" s="658">
        <v>4.4000000000000004</v>
      </c>
      <c r="Q230" s="52" t="s">
        <v>409</v>
      </c>
    </row>
    <row r="231" spans="1:17" ht="30" customHeight="1" x14ac:dyDescent="0.45">
      <c r="A231" s="347"/>
      <c r="B231" s="348">
        <f>SUM(B220:B230)/E2</f>
        <v>6.36</v>
      </c>
      <c r="C231" s="471"/>
      <c r="D231" s="471"/>
      <c r="E231" s="471"/>
      <c r="F231" s="347"/>
      <c r="G231" s="351">
        <f>SUM(G220:G230)/E2</f>
        <v>4.25</v>
      </c>
      <c r="H231" s="704"/>
      <c r="I231" s="704"/>
      <c r="J231" s="704"/>
      <c r="K231" s="346"/>
    </row>
    <row r="232" spans="1:17" ht="30" customHeight="1" x14ac:dyDescent="0.45">
      <c r="A232" s="347"/>
      <c r="B232" s="346"/>
      <c r="C232" s="471"/>
      <c r="D232" s="471"/>
      <c r="E232" s="471"/>
      <c r="F232" s="347"/>
      <c r="G232" s="352"/>
      <c r="H232" s="704"/>
      <c r="I232" s="704"/>
      <c r="J232" s="704"/>
      <c r="K232" s="346"/>
      <c r="M232" s="52" t="s">
        <v>411</v>
      </c>
      <c r="N232" s="658">
        <v>11</v>
      </c>
      <c r="O232" s="658">
        <v>12.8</v>
      </c>
      <c r="P232" s="658">
        <v>15.2</v>
      </c>
      <c r="Q232" s="52" t="s">
        <v>407</v>
      </c>
    </row>
    <row r="233" spans="1:17" ht="45" customHeight="1" x14ac:dyDescent="0.7">
      <c r="A233" s="353" t="s">
        <v>38</v>
      </c>
      <c r="B233" s="907" t="s">
        <v>188</v>
      </c>
      <c r="C233" s="907"/>
      <c r="D233" s="907"/>
      <c r="E233" s="907"/>
      <c r="F233" s="353" t="s">
        <v>166</v>
      </c>
      <c r="G233" s="907" t="s">
        <v>188</v>
      </c>
      <c r="H233" s="907"/>
      <c r="I233" s="907"/>
      <c r="J233" s="907"/>
      <c r="K233" s="907"/>
      <c r="M233" s="52" t="s">
        <v>412</v>
      </c>
      <c r="N233" s="658">
        <v>8.4</v>
      </c>
      <c r="O233" s="658">
        <v>9.3000000000000007</v>
      </c>
      <c r="P233" s="658">
        <v>10.5</v>
      </c>
      <c r="Q233" s="52" t="s">
        <v>408</v>
      </c>
    </row>
    <row r="234" spans="1:17" ht="30" customHeight="1" x14ac:dyDescent="0.45">
      <c r="A234" s="354" t="s">
        <v>25</v>
      </c>
      <c r="B234" s="355"/>
      <c r="C234" s="471" t="s">
        <v>138</v>
      </c>
      <c r="D234" s="471"/>
      <c r="E234" s="471"/>
      <c r="F234" s="354" t="s">
        <v>25</v>
      </c>
      <c r="G234" s="703"/>
      <c r="H234" s="704" t="s">
        <v>138</v>
      </c>
      <c r="I234" s="704"/>
      <c r="J234" s="704"/>
      <c r="K234" s="346"/>
    </row>
    <row r="235" spans="1:17" ht="30" customHeight="1" x14ac:dyDescent="0.45">
      <c r="A235" s="347" t="s">
        <v>9</v>
      </c>
      <c r="B235" s="348">
        <f>0.8*2.6*E2</f>
        <v>8320</v>
      </c>
      <c r="C235" s="471"/>
      <c r="D235" s="471"/>
      <c r="E235" s="471"/>
      <c r="F235" s="347" t="s">
        <v>9</v>
      </c>
      <c r="G235" s="349">
        <f>0.8*1.07*E2</f>
        <v>3424.0000000000005</v>
      </c>
      <c r="H235" s="704"/>
      <c r="I235" s="704"/>
      <c r="J235" s="704"/>
      <c r="K235" s="346"/>
      <c r="M235" s="52" t="s">
        <v>411</v>
      </c>
      <c r="N235" s="658">
        <v>14.4</v>
      </c>
      <c r="O235" s="658">
        <v>17.399999999999999</v>
      </c>
      <c r="P235" s="658">
        <v>18.8</v>
      </c>
      <c r="Q235" s="52" t="s">
        <v>407</v>
      </c>
    </row>
    <row r="236" spans="1:17" ht="30" customHeight="1" x14ac:dyDescent="0.45">
      <c r="A236" s="347" t="s">
        <v>1</v>
      </c>
      <c r="B236" s="348">
        <v>700</v>
      </c>
      <c r="C236" s="471"/>
      <c r="D236" s="471"/>
      <c r="E236" s="471"/>
      <c r="F236" s="347" t="s">
        <v>1</v>
      </c>
      <c r="G236" s="349">
        <v>700</v>
      </c>
      <c r="H236" s="704"/>
      <c r="I236" s="704"/>
      <c r="J236" s="704"/>
      <c r="K236" s="346"/>
      <c r="M236" s="52" t="s">
        <v>413</v>
      </c>
      <c r="N236" s="658">
        <v>10.5</v>
      </c>
      <c r="O236" s="658">
        <v>12.6</v>
      </c>
      <c r="P236" s="658">
        <v>12.7</v>
      </c>
      <c r="Q236" s="52" t="s">
        <v>408</v>
      </c>
    </row>
    <row r="237" spans="1:17" ht="30" customHeight="1" x14ac:dyDescent="0.45">
      <c r="A237" s="347" t="s">
        <v>10</v>
      </c>
      <c r="B237" s="348">
        <v>2500</v>
      </c>
      <c r="C237" s="883" t="s">
        <v>241</v>
      </c>
      <c r="D237" s="883"/>
      <c r="E237" s="883"/>
      <c r="F237" s="347" t="s">
        <v>10</v>
      </c>
      <c r="G237" s="349">
        <v>1300</v>
      </c>
      <c r="H237" s="883" t="s">
        <v>242</v>
      </c>
      <c r="I237" s="883"/>
      <c r="J237" s="883"/>
      <c r="K237" s="348"/>
    </row>
    <row r="238" spans="1:17" ht="30" customHeight="1" x14ac:dyDescent="0.45">
      <c r="A238" s="347" t="s">
        <v>94</v>
      </c>
      <c r="B238" s="348">
        <f>1*13000</f>
        <v>13000</v>
      </c>
      <c r="C238" s="350" t="s">
        <v>22</v>
      </c>
      <c r="D238" s="350" t="s">
        <v>23</v>
      </c>
      <c r="E238" s="350" t="s">
        <v>24</v>
      </c>
      <c r="F238" s="347" t="s">
        <v>94</v>
      </c>
      <c r="G238" s="349">
        <f>0.8*10000</f>
        <v>8000</v>
      </c>
      <c r="H238" s="350" t="s">
        <v>22</v>
      </c>
      <c r="I238" s="350" t="s">
        <v>23</v>
      </c>
      <c r="J238" s="350" t="s">
        <v>24</v>
      </c>
      <c r="K238" s="348"/>
      <c r="M238" s="863" t="s">
        <v>116</v>
      </c>
      <c r="N238" s="863"/>
      <c r="P238" s="656" t="s">
        <v>113</v>
      </c>
      <c r="Q238" s="656"/>
    </row>
    <row r="239" spans="1:17" ht="30" customHeight="1" x14ac:dyDescent="0.45">
      <c r="A239" s="347" t="s">
        <v>12</v>
      </c>
      <c r="B239" s="348">
        <v>2000</v>
      </c>
      <c r="C239" s="350">
        <f>C243</f>
        <v>12.40475</v>
      </c>
      <c r="D239" s="350">
        <f>D243</f>
        <v>14.97125</v>
      </c>
      <c r="E239" s="350">
        <f>E243</f>
        <v>17.024449999999998</v>
      </c>
      <c r="F239" s="347" t="s">
        <v>12</v>
      </c>
      <c r="G239" s="349">
        <v>0</v>
      </c>
      <c r="H239" s="350">
        <f>H244</f>
        <v>5.3760000000000003</v>
      </c>
      <c r="I239" s="350">
        <f>I244</f>
        <v>6.0927999999999995</v>
      </c>
      <c r="J239" s="350">
        <f>J244</f>
        <v>7.1321599999999998</v>
      </c>
      <c r="K239" s="348"/>
      <c r="M239" s="347" t="s">
        <v>414</v>
      </c>
      <c r="N239" s="349">
        <f>0.6*2.6*3800</f>
        <v>5928</v>
      </c>
      <c r="P239" s="347" t="s">
        <v>9</v>
      </c>
      <c r="Q239" s="349">
        <f>1*1.4*3800</f>
        <v>5320</v>
      </c>
    </row>
    <row r="240" spans="1:17" ht="30" customHeight="1" x14ac:dyDescent="0.45">
      <c r="A240" s="347" t="s">
        <v>11</v>
      </c>
      <c r="B240" s="348">
        <v>2000</v>
      </c>
      <c r="C240" s="471"/>
      <c r="D240" s="471"/>
      <c r="E240" s="471"/>
      <c r="F240" s="347" t="s">
        <v>11</v>
      </c>
      <c r="G240" s="349">
        <v>0</v>
      </c>
      <c r="H240" s="704"/>
      <c r="I240" s="704"/>
      <c r="J240" s="704"/>
      <c r="K240" s="348"/>
      <c r="M240" s="347" t="s">
        <v>1</v>
      </c>
      <c r="N240" s="349">
        <v>500</v>
      </c>
      <c r="P240" s="347" t="s">
        <v>1</v>
      </c>
      <c r="Q240" s="349">
        <v>500</v>
      </c>
    </row>
    <row r="241" spans="1:17" ht="30" customHeight="1" x14ac:dyDescent="0.45">
      <c r="A241" s="347" t="s">
        <v>27</v>
      </c>
      <c r="B241" s="348">
        <v>500</v>
      </c>
      <c r="C241" s="471"/>
      <c r="D241" s="471"/>
      <c r="E241" s="471"/>
      <c r="F241" s="347" t="s">
        <v>27</v>
      </c>
      <c r="G241" s="349">
        <v>132</v>
      </c>
      <c r="H241" s="704"/>
      <c r="I241" s="704"/>
      <c r="J241" s="704"/>
      <c r="K241" s="346"/>
      <c r="M241" s="347" t="s">
        <v>10</v>
      </c>
      <c r="N241" s="349">
        <v>2000</v>
      </c>
      <c r="P241" s="347" t="s">
        <v>10</v>
      </c>
      <c r="Q241" s="349">
        <v>2000</v>
      </c>
    </row>
    <row r="242" spans="1:17" ht="30" customHeight="1" x14ac:dyDescent="0.45">
      <c r="A242" s="347" t="s">
        <v>28</v>
      </c>
      <c r="B242" s="348">
        <v>100</v>
      </c>
      <c r="C242" s="471">
        <v>0.4</v>
      </c>
      <c r="D242" s="471">
        <v>0.55000000000000004</v>
      </c>
      <c r="E242" s="471">
        <v>0.85</v>
      </c>
      <c r="F242" s="347" t="s">
        <v>28</v>
      </c>
      <c r="G242" s="349">
        <v>530</v>
      </c>
      <c r="H242" s="704"/>
      <c r="I242" s="704"/>
      <c r="J242" s="704"/>
      <c r="K242" s="346"/>
      <c r="M242" s="347" t="s">
        <v>94</v>
      </c>
      <c r="N242" s="349">
        <f>13000/2</f>
        <v>6500</v>
      </c>
      <c r="P242" s="347" t="s">
        <v>94</v>
      </c>
      <c r="Q242" s="349">
        <v>13000</v>
      </c>
    </row>
    <row r="243" spans="1:17" ht="30" customHeight="1" x14ac:dyDescent="0.45">
      <c r="A243" s="347" t="s">
        <v>106</v>
      </c>
      <c r="B243" s="348">
        <v>750</v>
      </c>
      <c r="C243" s="471">
        <f>B246*1.45</f>
        <v>12.40475</v>
      </c>
      <c r="D243" s="471">
        <f>B246*1.75</f>
        <v>14.97125</v>
      </c>
      <c r="E243" s="471">
        <f>B246*1.99</f>
        <v>17.024449999999998</v>
      </c>
      <c r="F243" s="347" t="s">
        <v>106</v>
      </c>
      <c r="G243" s="349">
        <v>0</v>
      </c>
      <c r="H243" s="704">
        <v>0.4</v>
      </c>
      <c r="I243" s="704">
        <v>0.55000000000000004</v>
      </c>
      <c r="J243" s="704">
        <v>0.85</v>
      </c>
      <c r="K243" s="348"/>
      <c r="M243" s="347" t="s">
        <v>12</v>
      </c>
      <c r="N243" s="349">
        <v>2000</v>
      </c>
      <c r="P243" s="347" t="s">
        <v>12</v>
      </c>
      <c r="Q243" s="349">
        <v>2000</v>
      </c>
    </row>
    <row r="244" spans="1:17" ht="30" customHeight="1" x14ac:dyDescent="0.45">
      <c r="A244" s="347" t="s">
        <v>16</v>
      </c>
      <c r="B244" s="348">
        <v>350</v>
      </c>
      <c r="C244" s="471"/>
      <c r="D244" s="471"/>
      <c r="E244" s="471"/>
      <c r="F244" s="347" t="s">
        <v>16</v>
      </c>
      <c r="G244" s="349">
        <v>250</v>
      </c>
      <c r="H244" s="704">
        <f>G246*1.5</f>
        <v>5.3760000000000003</v>
      </c>
      <c r="I244" s="704">
        <f>G246*1.7</f>
        <v>6.0927999999999995</v>
      </c>
      <c r="J244" s="704">
        <f>G246*1.99</f>
        <v>7.1321599999999998</v>
      </c>
      <c r="K244" s="348"/>
      <c r="M244" s="347" t="s">
        <v>11</v>
      </c>
      <c r="N244" s="349">
        <v>1000</v>
      </c>
      <c r="P244" s="347" t="s">
        <v>11</v>
      </c>
      <c r="Q244" s="349">
        <v>2000</v>
      </c>
    </row>
    <row r="245" spans="1:17" ht="30" customHeight="1" thickBot="1" x14ac:dyDescent="0.5">
      <c r="A245" s="347" t="s">
        <v>18</v>
      </c>
      <c r="B245" s="490">
        <v>4000</v>
      </c>
      <c r="C245" s="471"/>
      <c r="D245" s="471"/>
      <c r="E245" s="471"/>
      <c r="F245" s="347" t="s">
        <v>18</v>
      </c>
      <c r="G245" s="491">
        <v>0</v>
      </c>
      <c r="H245" s="471"/>
      <c r="I245" s="471"/>
      <c r="J245" s="471"/>
      <c r="K245" s="346">
        <f>K246-K247</f>
        <v>458.49899999999991</v>
      </c>
      <c r="M245" s="347" t="s">
        <v>27</v>
      </c>
      <c r="N245" s="349">
        <v>200</v>
      </c>
      <c r="P245" s="347" t="s">
        <v>27</v>
      </c>
      <c r="Q245" s="349">
        <v>200</v>
      </c>
    </row>
    <row r="246" spans="1:17" ht="30" customHeight="1" x14ac:dyDescent="0.45">
      <c r="A246" s="347"/>
      <c r="B246" s="348">
        <f>SUM(B235:B245)/E2</f>
        <v>8.5549999999999997</v>
      </c>
      <c r="C246" s="471"/>
      <c r="D246" s="471"/>
      <c r="E246" s="471"/>
      <c r="F246" s="347"/>
      <c r="G246" s="351">
        <f>SUM(G235:G245)/E2</f>
        <v>3.5840000000000001</v>
      </c>
      <c r="H246" s="471">
        <f>22000-13000</f>
        <v>9000</v>
      </c>
      <c r="I246" s="471">
        <f>9000/3800</f>
        <v>2.3684210526315788</v>
      </c>
      <c r="J246" s="471">
        <f>2.37*1109</f>
        <v>2628.33</v>
      </c>
      <c r="K246" s="346">
        <f>J246*30%</f>
        <v>788.49899999999991</v>
      </c>
      <c r="M246" s="347" t="s">
        <v>28</v>
      </c>
      <c r="N246" s="349">
        <v>100</v>
      </c>
      <c r="P246" s="347" t="s">
        <v>367</v>
      </c>
      <c r="Q246" s="349">
        <v>100</v>
      </c>
    </row>
    <row r="247" spans="1:17" ht="30" customHeight="1" x14ac:dyDescent="0.45">
      <c r="A247" s="347"/>
      <c r="B247" s="346"/>
      <c r="C247" s="471"/>
      <c r="D247" s="471"/>
      <c r="E247" s="471"/>
      <c r="F247" s="347"/>
      <c r="G247" s="352"/>
      <c r="H247" s="471"/>
      <c r="I247" s="471"/>
      <c r="J247" s="471"/>
      <c r="K247" s="346">
        <f>330</f>
        <v>330</v>
      </c>
      <c r="M247" s="347" t="s">
        <v>106</v>
      </c>
      <c r="N247" s="349">
        <v>500</v>
      </c>
      <c r="P247" s="347" t="s">
        <v>106</v>
      </c>
      <c r="Q247" s="349">
        <v>350</v>
      </c>
    </row>
    <row r="248" spans="1:17" ht="48.75" customHeight="1" x14ac:dyDescent="0.7">
      <c r="A248" s="353" t="s">
        <v>38</v>
      </c>
      <c r="B248" s="908" t="s">
        <v>188</v>
      </c>
      <c r="C248" s="908"/>
      <c r="D248" s="908"/>
      <c r="E248" s="908"/>
      <c r="F248" s="353" t="s">
        <v>166</v>
      </c>
      <c r="G248" s="702" t="s">
        <v>188</v>
      </c>
      <c r="H248" s="702"/>
      <c r="I248" s="702"/>
      <c r="J248" s="702"/>
      <c r="K248" s="702"/>
      <c r="M248" s="347" t="s">
        <v>16</v>
      </c>
      <c r="N248" s="349">
        <v>350</v>
      </c>
      <c r="P248" s="347" t="s">
        <v>16</v>
      </c>
      <c r="Q248" s="349">
        <v>350</v>
      </c>
    </row>
    <row r="249" spans="1:17" ht="30" customHeight="1" thickBot="1" x14ac:dyDescent="0.5">
      <c r="A249" s="354" t="s">
        <v>113</v>
      </c>
      <c r="B249" s="355"/>
      <c r="C249" s="471" t="s">
        <v>138</v>
      </c>
      <c r="D249" s="471"/>
      <c r="E249" s="471"/>
      <c r="F249" s="354" t="s">
        <v>113</v>
      </c>
      <c r="G249" s="354"/>
      <c r="H249" s="471" t="s">
        <v>138</v>
      </c>
      <c r="I249" s="471"/>
      <c r="J249" s="471"/>
      <c r="K249" s="346"/>
      <c r="M249" s="347" t="s">
        <v>18</v>
      </c>
      <c r="N249" s="491">
        <v>4000</v>
      </c>
      <c r="P249" s="347" t="s">
        <v>18</v>
      </c>
      <c r="Q249" s="491">
        <v>4000</v>
      </c>
    </row>
    <row r="250" spans="1:17" ht="30" customHeight="1" x14ac:dyDescent="0.45">
      <c r="A250" s="347" t="s">
        <v>9</v>
      </c>
      <c r="B250" s="348">
        <f>0.8*2*E2</f>
        <v>6400</v>
      </c>
      <c r="C250" s="471"/>
      <c r="D250" s="471"/>
      <c r="E250" s="471"/>
      <c r="F250" s="347" t="s">
        <v>9</v>
      </c>
      <c r="G250" s="348">
        <f>0.8*1.8*E2</f>
        <v>5760.0000000000009</v>
      </c>
      <c r="H250" s="471"/>
      <c r="I250" s="471"/>
      <c r="J250" s="471"/>
      <c r="K250" s="346"/>
      <c r="M250" s="347"/>
      <c r="N250" s="351">
        <f>SUM(N239:N249)/3800</f>
        <v>6.0731578947368421</v>
      </c>
      <c r="P250" s="347"/>
      <c r="Q250" s="351">
        <f>SUM(Q239:Q249)/3800</f>
        <v>7.8473684210526313</v>
      </c>
    </row>
    <row r="251" spans="1:17" ht="30" customHeight="1" x14ac:dyDescent="0.45">
      <c r="A251" s="347" t="s">
        <v>1</v>
      </c>
      <c r="B251" s="348">
        <v>700</v>
      </c>
      <c r="C251" s="471"/>
      <c r="D251" s="471"/>
      <c r="E251" s="471"/>
      <c r="F251" s="347" t="s">
        <v>1</v>
      </c>
      <c r="G251" s="349">
        <v>1400</v>
      </c>
      <c r="H251" s="471"/>
      <c r="I251" s="471"/>
      <c r="J251" s="471"/>
      <c r="K251" s="346"/>
    </row>
    <row r="252" spans="1:17" ht="30" customHeight="1" x14ac:dyDescent="0.45">
      <c r="A252" s="347" t="s">
        <v>10</v>
      </c>
      <c r="B252" s="348">
        <v>2500</v>
      </c>
      <c r="C252" s="883" t="s">
        <v>38</v>
      </c>
      <c r="D252" s="883"/>
      <c r="E252" s="883"/>
      <c r="F252" s="347" t="s">
        <v>10</v>
      </c>
      <c r="G252" s="349">
        <v>3500</v>
      </c>
      <c r="H252" s="883" t="s">
        <v>37</v>
      </c>
      <c r="I252" s="883"/>
      <c r="J252" s="883"/>
      <c r="K252" s="348"/>
      <c r="M252" s="656" t="s">
        <v>25</v>
      </c>
      <c r="N252" s="656"/>
    </row>
    <row r="253" spans="1:17" ht="30" customHeight="1" x14ac:dyDescent="0.45">
      <c r="A253" s="347" t="s">
        <v>94</v>
      </c>
      <c r="B253" s="348">
        <f>12000/2</f>
        <v>6000</v>
      </c>
      <c r="C253" s="350" t="s">
        <v>22</v>
      </c>
      <c r="D253" s="350" t="s">
        <v>23</v>
      </c>
      <c r="E253" s="350" t="s">
        <v>24</v>
      </c>
      <c r="F253" s="347" t="s">
        <v>94</v>
      </c>
      <c r="G253" s="349">
        <f>8500*1</f>
        <v>8500</v>
      </c>
      <c r="H253" s="350" t="s">
        <v>22</v>
      </c>
      <c r="I253" s="350" t="s">
        <v>23</v>
      </c>
      <c r="J253" s="350" t="s">
        <v>24</v>
      </c>
      <c r="K253" s="348"/>
      <c r="M253" s="347" t="s">
        <v>415</v>
      </c>
      <c r="N253" s="349">
        <f>0.9*1.8*3800</f>
        <v>6156</v>
      </c>
    </row>
    <row r="254" spans="1:17" ht="30" customHeight="1" x14ac:dyDescent="0.45">
      <c r="A254" s="347" t="s">
        <v>12</v>
      </c>
      <c r="B254" s="348">
        <v>2000</v>
      </c>
      <c r="C254" s="350">
        <f>C258</f>
        <v>7.5286249999999999</v>
      </c>
      <c r="D254" s="350">
        <f>D258</f>
        <v>9.266</v>
      </c>
      <c r="E254" s="350">
        <f>E258</f>
        <v>11.003374999999998</v>
      </c>
      <c r="F254" s="347" t="s">
        <v>12</v>
      </c>
      <c r="G254" s="349">
        <v>1000</v>
      </c>
      <c r="H254" s="350">
        <f>H258</f>
        <v>9.3484999999999996</v>
      </c>
      <c r="I254" s="350">
        <f>I258</f>
        <v>11.017875</v>
      </c>
      <c r="J254" s="350">
        <f>J258</f>
        <v>12.353375000000002</v>
      </c>
      <c r="K254" s="348"/>
      <c r="M254" s="347" t="s">
        <v>1</v>
      </c>
      <c r="N254" s="349">
        <v>500</v>
      </c>
    </row>
    <row r="255" spans="1:17" ht="30" customHeight="1" x14ac:dyDescent="0.45">
      <c r="A255" s="347" t="s">
        <v>11</v>
      </c>
      <c r="B255" s="348">
        <f>3*500</f>
        <v>1500</v>
      </c>
      <c r="C255" s="471"/>
      <c r="D255" s="471"/>
      <c r="E255" s="471"/>
      <c r="F255" s="347" t="s">
        <v>11</v>
      </c>
      <c r="G255" s="349">
        <v>2000</v>
      </c>
      <c r="H255" s="471"/>
      <c r="I255" s="471"/>
      <c r="J255" s="471"/>
      <c r="K255" s="348"/>
      <c r="M255" s="347" t="s">
        <v>10</v>
      </c>
      <c r="N255" s="349">
        <v>2000</v>
      </c>
    </row>
    <row r="256" spans="1:17" ht="30" customHeight="1" x14ac:dyDescent="0.45">
      <c r="A256" s="347" t="s">
        <v>27</v>
      </c>
      <c r="B256" s="348">
        <v>65</v>
      </c>
      <c r="C256" s="471"/>
      <c r="D256" s="471"/>
      <c r="E256" s="471"/>
      <c r="F256" s="347" t="s">
        <v>27</v>
      </c>
      <c r="G256" s="349">
        <v>50</v>
      </c>
      <c r="H256" s="471"/>
      <c r="I256" s="471"/>
      <c r="J256" s="471"/>
      <c r="K256" s="346"/>
      <c r="M256" s="347" t="s">
        <v>94</v>
      </c>
      <c r="N256" s="349">
        <f>13000/1.5</f>
        <v>8666.6666666666661</v>
      </c>
    </row>
    <row r="257" spans="1:14" ht="30" customHeight="1" x14ac:dyDescent="0.45">
      <c r="A257" s="347" t="s">
        <v>28</v>
      </c>
      <c r="B257" s="348">
        <v>0</v>
      </c>
      <c r="C257" s="471">
        <v>0.4</v>
      </c>
      <c r="D257" s="471">
        <v>0.55000000000000004</v>
      </c>
      <c r="E257" s="471">
        <v>0.85</v>
      </c>
      <c r="F257" s="347" t="s">
        <v>367</v>
      </c>
      <c r="G257" s="349">
        <v>500</v>
      </c>
      <c r="H257" s="471">
        <v>0.4</v>
      </c>
      <c r="I257" s="471">
        <v>0.55000000000000004</v>
      </c>
      <c r="J257" s="471">
        <v>0.85</v>
      </c>
      <c r="K257" s="346"/>
      <c r="M257" s="347" t="s">
        <v>12</v>
      </c>
      <c r="N257" s="349">
        <v>2000</v>
      </c>
    </row>
    <row r="258" spans="1:14" ht="30" customHeight="1" x14ac:dyDescent="0.45">
      <c r="A258" s="347" t="s">
        <v>106</v>
      </c>
      <c r="B258" s="348">
        <v>50</v>
      </c>
      <c r="C258" s="471">
        <f>B261*1.3</f>
        <v>7.5286249999999999</v>
      </c>
      <c r="D258" s="471">
        <f>B261*1.6</f>
        <v>9.266</v>
      </c>
      <c r="E258" s="471">
        <f>B261*1.9</f>
        <v>11.003374999999998</v>
      </c>
      <c r="F258" s="347" t="s">
        <v>17</v>
      </c>
      <c r="G258" s="349">
        <v>50</v>
      </c>
      <c r="H258" s="471">
        <f>G261*1.4</f>
        <v>9.3484999999999996</v>
      </c>
      <c r="I258" s="471">
        <f>G261*1.65</f>
        <v>11.017875</v>
      </c>
      <c r="J258" s="471">
        <f>G261*1.85</f>
        <v>12.353375000000002</v>
      </c>
      <c r="K258" s="348"/>
      <c r="M258" s="347" t="s">
        <v>11</v>
      </c>
      <c r="N258" s="349">
        <v>2000</v>
      </c>
    </row>
    <row r="259" spans="1:14" ht="30" customHeight="1" x14ac:dyDescent="0.45">
      <c r="A259" s="347" t="s">
        <v>16</v>
      </c>
      <c r="B259" s="348">
        <v>250</v>
      </c>
      <c r="C259" s="471"/>
      <c r="D259" s="471"/>
      <c r="E259" s="471"/>
      <c r="F259" s="347" t="s">
        <v>16</v>
      </c>
      <c r="G259" s="349">
        <v>250</v>
      </c>
      <c r="H259" s="471"/>
      <c r="I259" s="471"/>
      <c r="J259" s="471"/>
      <c r="K259" s="348"/>
      <c r="M259" s="347" t="s">
        <v>27</v>
      </c>
      <c r="N259" s="349">
        <v>200</v>
      </c>
    </row>
    <row r="260" spans="1:14" ht="30" customHeight="1" thickBot="1" x14ac:dyDescent="0.5">
      <c r="A260" s="347" t="s">
        <v>18</v>
      </c>
      <c r="B260" s="490">
        <v>3700</v>
      </c>
      <c r="C260" s="471">
        <f>4*12*C261</f>
        <v>83.394000000000005</v>
      </c>
      <c r="D260" s="471"/>
      <c r="E260" s="471"/>
      <c r="F260" s="347" t="s">
        <v>18</v>
      </c>
      <c r="G260" s="491">
        <v>3700</v>
      </c>
      <c r="H260" s="471">
        <f>H258-G261</f>
        <v>2.6709999999999994</v>
      </c>
      <c r="I260" s="471"/>
      <c r="J260" s="471"/>
      <c r="K260" s="346"/>
      <c r="M260" s="347" t="s">
        <v>28</v>
      </c>
      <c r="N260" s="349">
        <v>100</v>
      </c>
    </row>
    <row r="261" spans="1:14" ht="30" customHeight="1" x14ac:dyDescent="0.45">
      <c r="A261" s="347"/>
      <c r="B261" s="348">
        <f>SUM(B250:B260)/E2</f>
        <v>5.7912499999999998</v>
      </c>
      <c r="C261" s="471">
        <f>C258-B261</f>
        <v>1.7373750000000001</v>
      </c>
      <c r="D261" s="471"/>
      <c r="E261" s="471"/>
      <c r="F261" s="347"/>
      <c r="G261" s="351">
        <f>SUM(G250:G260)/E2</f>
        <v>6.6775000000000002</v>
      </c>
      <c r="H261" s="471">
        <f>H260*40</f>
        <v>106.83999999999997</v>
      </c>
      <c r="I261" s="471"/>
      <c r="J261" s="471"/>
      <c r="K261" s="346"/>
      <c r="M261" s="347" t="s">
        <v>106</v>
      </c>
      <c r="N261" s="349">
        <v>500</v>
      </c>
    </row>
    <row r="262" spans="1:14" ht="30" customHeight="1" x14ac:dyDescent="0.45">
      <c r="M262" s="347" t="s">
        <v>16</v>
      </c>
      <c r="N262" s="349">
        <v>350</v>
      </c>
    </row>
    <row r="263" spans="1:14" ht="30" customHeight="1" thickBot="1" x14ac:dyDescent="0.5">
      <c r="F263" s="16"/>
      <c r="M263" s="347" t="s">
        <v>18</v>
      </c>
      <c r="N263" s="491">
        <v>4000</v>
      </c>
    </row>
    <row r="264" spans="1:14" ht="30" customHeight="1" x14ac:dyDescent="0.55000000000000004">
      <c r="A264" s="900" t="s">
        <v>37</v>
      </c>
      <c r="B264" s="900"/>
      <c r="C264" s="897"/>
      <c r="D264" s="897"/>
      <c r="E264" s="897"/>
      <c r="F264" s="900" t="s">
        <v>37</v>
      </c>
      <c r="G264" s="900"/>
      <c r="H264" s="472" t="s">
        <v>163</v>
      </c>
      <c r="I264" s="472"/>
      <c r="J264" s="472"/>
      <c r="K264" s="361"/>
      <c r="M264" s="347"/>
      <c r="N264" s="351">
        <f>SUM(N253:N263)/3800</f>
        <v>6.9664912280701747</v>
      </c>
    </row>
    <row r="265" spans="1:14" ht="30" customHeight="1" x14ac:dyDescent="0.55000000000000004">
      <c r="A265" s="898" t="s">
        <v>25</v>
      </c>
      <c r="B265" s="898"/>
      <c r="C265" s="492" t="s">
        <v>52</v>
      </c>
      <c r="D265" s="492"/>
      <c r="E265" s="492"/>
      <c r="F265" s="463" t="s">
        <v>115</v>
      </c>
      <c r="G265" s="463"/>
      <c r="H265" s="472" t="s">
        <v>52</v>
      </c>
      <c r="I265" s="472"/>
      <c r="J265" s="472"/>
      <c r="K265" s="359"/>
    </row>
    <row r="266" spans="1:14" ht="30" customHeight="1" x14ac:dyDescent="0.45">
      <c r="A266" s="356" t="s">
        <v>9</v>
      </c>
      <c r="B266" s="358">
        <f>0.8*1.8*E140</f>
        <v>6480.0000000000009</v>
      </c>
      <c r="C266" s="472"/>
      <c r="D266" s="472"/>
      <c r="E266" s="472"/>
      <c r="F266" s="356" t="s">
        <v>9</v>
      </c>
      <c r="G266" s="362">
        <f>0.6*1.8*E2</f>
        <v>4320</v>
      </c>
      <c r="H266" s="472"/>
      <c r="I266" s="472"/>
      <c r="J266" s="472"/>
      <c r="K266" s="359"/>
    </row>
    <row r="267" spans="1:14" ht="30" customHeight="1" x14ac:dyDescent="0.45">
      <c r="A267" s="356" t="s">
        <v>1</v>
      </c>
      <c r="B267" s="358">
        <v>1000</v>
      </c>
      <c r="C267" s="472"/>
      <c r="D267" s="472"/>
      <c r="E267" s="472"/>
      <c r="F267" s="356" t="s">
        <v>1</v>
      </c>
      <c r="G267" s="362">
        <v>1000</v>
      </c>
      <c r="H267" s="472"/>
      <c r="I267" s="472"/>
      <c r="J267" s="472"/>
      <c r="K267" s="359"/>
    </row>
    <row r="268" spans="1:14" ht="30" customHeight="1" x14ac:dyDescent="0.45">
      <c r="A268" s="356" t="s">
        <v>10</v>
      </c>
      <c r="B268" s="358">
        <v>2500</v>
      </c>
      <c r="C268" s="472"/>
      <c r="D268" s="472"/>
      <c r="E268" s="472"/>
      <c r="F268" s="356" t="s">
        <v>10</v>
      </c>
      <c r="G268" s="362">
        <v>2500</v>
      </c>
      <c r="H268" s="472"/>
      <c r="I268" s="472" t="s">
        <v>231</v>
      </c>
      <c r="J268" s="472"/>
      <c r="K268" s="359"/>
    </row>
    <row r="269" spans="1:14" ht="30" customHeight="1" x14ac:dyDescent="0.45">
      <c r="A269" s="356" t="s">
        <v>11</v>
      </c>
      <c r="B269" s="358">
        <v>1000</v>
      </c>
      <c r="C269" s="472"/>
      <c r="D269" s="472" t="s">
        <v>155</v>
      </c>
      <c r="E269" s="472"/>
      <c r="F269" s="356" t="s">
        <v>11</v>
      </c>
      <c r="G269" s="362">
        <v>1000</v>
      </c>
      <c r="H269" s="363" t="s">
        <v>22</v>
      </c>
      <c r="I269" s="363" t="s">
        <v>23</v>
      </c>
      <c r="J269" s="363" t="s">
        <v>24</v>
      </c>
      <c r="K269" s="358"/>
    </row>
    <row r="270" spans="1:14" ht="30" customHeight="1" x14ac:dyDescent="0.45">
      <c r="A270" s="356" t="s">
        <v>165</v>
      </c>
      <c r="B270" s="358">
        <v>4000</v>
      </c>
      <c r="C270" s="363" t="s">
        <v>22</v>
      </c>
      <c r="D270" s="363" t="s">
        <v>23</v>
      </c>
      <c r="E270" s="363" t="s">
        <v>24</v>
      </c>
      <c r="F270" s="356" t="s">
        <v>164</v>
      </c>
      <c r="G270" s="362">
        <v>4000</v>
      </c>
      <c r="H270" s="363">
        <f>H274</f>
        <v>7.4384999999999994</v>
      </c>
      <c r="I270" s="363">
        <f>I274</f>
        <v>8.9774999999999991</v>
      </c>
      <c r="J270" s="363">
        <f>J274</f>
        <v>10.2087</v>
      </c>
      <c r="K270" s="358"/>
    </row>
    <row r="271" spans="1:14" ht="30" customHeight="1" x14ac:dyDescent="0.45">
      <c r="A271" s="356" t="s">
        <v>12</v>
      </c>
      <c r="B271" s="358">
        <v>2000</v>
      </c>
      <c r="C271" s="363">
        <f>C275</f>
        <v>8.2214999999999989</v>
      </c>
      <c r="D271" s="363">
        <f>D275</f>
        <v>9.9224999999999994</v>
      </c>
      <c r="E271" s="363">
        <f>E275</f>
        <v>11.283300000000001</v>
      </c>
      <c r="F271" s="356" t="s">
        <v>12</v>
      </c>
      <c r="G271" s="362">
        <v>2000</v>
      </c>
      <c r="H271" s="472"/>
      <c r="I271" s="472"/>
      <c r="J271" s="472"/>
      <c r="K271" s="360"/>
    </row>
    <row r="272" spans="1:14" ht="30" customHeight="1" x14ac:dyDescent="0.45">
      <c r="A272" s="356" t="s">
        <v>14</v>
      </c>
      <c r="B272" s="358">
        <v>200</v>
      </c>
      <c r="C272" s="472"/>
      <c r="D272" s="472"/>
      <c r="E272" s="472"/>
      <c r="F272" s="356" t="s">
        <v>14</v>
      </c>
      <c r="G272" s="362">
        <v>200</v>
      </c>
      <c r="H272" s="472"/>
      <c r="I272" s="472" t="s">
        <v>21</v>
      </c>
      <c r="J272" s="472"/>
      <c r="K272" s="360"/>
    </row>
    <row r="273" spans="1:11" ht="30" customHeight="1" x14ac:dyDescent="0.45">
      <c r="A273" s="356" t="s">
        <v>15</v>
      </c>
      <c r="B273" s="358">
        <v>200</v>
      </c>
      <c r="C273" s="472"/>
      <c r="D273" s="472" t="s">
        <v>21</v>
      </c>
      <c r="E273" s="472"/>
      <c r="F273" s="356" t="s">
        <v>15</v>
      </c>
      <c r="G273" s="362">
        <v>200</v>
      </c>
      <c r="H273" s="472">
        <v>0.4</v>
      </c>
      <c r="I273" s="472">
        <v>0.55000000000000004</v>
      </c>
      <c r="J273" s="472">
        <v>0.85</v>
      </c>
      <c r="K273" s="360"/>
    </row>
    <row r="274" spans="1:11" ht="30" customHeight="1" x14ac:dyDescent="0.45">
      <c r="A274" s="356" t="s">
        <v>27</v>
      </c>
      <c r="B274" s="358">
        <v>200</v>
      </c>
      <c r="C274" s="472">
        <v>0.4</v>
      </c>
      <c r="D274" s="472">
        <v>0.55000000000000004</v>
      </c>
      <c r="E274" s="472">
        <v>0.85</v>
      </c>
      <c r="F274" s="356" t="s">
        <v>27</v>
      </c>
      <c r="G274" s="362">
        <v>200</v>
      </c>
      <c r="H274" s="472">
        <f>G279*1.45</f>
        <v>7.4384999999999994</v>
      </c>
      <c r="I274" s="472">
        <f>G279*1.75</f>
        <v>8.9774999999999991</v>
      </c>
      <c r="J274" s="472">
        <f>G279*1.99</f>
        <v>10.2087</v>
      </c>
      <c r="K274" s="360"/>
    </row>
    <row r="275" spans="1:11" ht="30" customHeight="1" x14ac:dyDescent="0.45">
      <c r="A275" s="356" t="s">
        <v>28</v>
      </c>
      <c r="B275" s="358">
        <v>100</v>
      </c>
      <c r="C275" s="472">
        <f>B279*1.45</f>
        <v>8.2214999999999989</v>
      </c>
      <c r="D275" s="472">
        <f>B279*1.75</f>
        <v>9.9224999999999994</v>
      </c>
      <c r="E275" s="472">
        <f>B279*1.99</f>
        <v>11.283300000000001</v>
      </c>
      <c r="F275" s="356" t="s">
        <v>28</v>
      </c>
      <c r="G275" s="362">
        <v>100</v>
      </c>
      <c r="H275" s="472"/>
      <c r="I275" s="472"/>
      <c r="J275" s="472"/>
      <c r="K275" s="359"/>
    </row>
    <row r="276" spans="1:11" ht="30" customHeight="1" x14ac:dyDescent="0.45">
      <c r="A276" s="356" t="s">
        <v>16</v>
      </c>
      <c r="B276" s="358">
        <v>250</v>
      </c>
      <c r="C276" s="472"/>
      <c r="D276" s="472"/>
      <c r="E276" s="472"/>
      <c r="F276" s="356" t="s">
        <v>16</v>
      </c>
      <c r="G276" s="362">
        <v>250</v>
      </c>
      <c r="H276" s="472"/>
      <c r="I276" s="472"/>
      <c r="J276" s="472"/>
      <c r="K276" s="359"/>
    </row>
    <row r="277" spans="1:11" ht="30" customHeight="1" x14ac:dyDescent="0.45">
      <c r="A277" s="356" t="s">
        <v>17</v>
      </c>
      <c r="B277" s="358">
        <v>750</v>
      </c>
      <c r="C277" s="472"/>
      <c r="D277" s="472"/>
      <c r="E277" s="472"/>
      <c r="F277" s="356" t="s">
        <v>17</v>
      </c>
      <c r="G277" s="362">
        <v>750</v>
      </c>
      <c r="H277" s="472"/>
      <c r="I277" s="472"/>
      <c r="J277" s="472"/>
      <c r="K277" s="359"/>
    </row>
    <row r="278" spans="1:11" ht="30" customHeight="1" thickBot="1" x14ac:dyDescent="0.5">
      <c r="A278" s="356" t="s">
        <v>18</v>
      </c>
      <c r="B278" s="488">
        <v>4000</v>
      </c>
      <c r="C278" s="472"/>
      <c r="D278" s="472"/>
      <c r="E278" s="472"/>
      <c r="F278" s="356" t="s">
        <v>18</v>
      </c>
      <c r="G278" s="489">
        <v>4000</v>
      </c>
      <c r="H278" s="472"/>
      <c r="I278" s="472"/>
      <c r="J278" s="472"/>
      <c r="K278" s="359"/>
    </row>
    <row r="279" spans="1:11" ht="30" customHeight="1" x14ac:dyDescent="0.45">
      <c r="A279" s="356"/>
      <c r="B279" s="358">
        <f>SUM(B266:B278)/E2</f>
        <v>5.67</v>
      </c>
      <c r="C279" s="472"/>
      <c r="D279" s="472"/>
      <c r="E279" s="472"/>
      <c r="F279" s="356"/>
      <c r="G279" s="364">
        <f>SUM(G266:G278)/E2</f>
        <v>5.13</v>
      </c>
      <c r="H279" s="472"/>
      <c r="I279" s="472"/>
      <c r="J279" s="472"/>
      <c r="K279" s="359"/>
    </row>
    <row r="280" spans="1:11" ht="30" customHeight="1" x14ac:dyDescent="0.45">
      <c r="A280" s="356"/>
      <c r="B280" s="358"/>
      <c r="C280" s="472"/>
      <c r="D280" s="472"/>
      <c r="E280" s="472"/>
      <c r="F280" s="356"/>
      <c r="G280" s="362"/>
      <c r="H280" s="472"/>
      <c r="I280" s="472"/>
      <c r="J280" s="472"/>
      <c r="K280" s="359"/>
    </row>
    <row r="281" spans="1:11" ht="30" customHeight="1" x14ac:dyDescent="0.45">
      <c r="A281" s="356"/>
      <c r="B281" s="359"/>
      <c r="C281" s="472"/>
      <c r="D281" s="472"/>
      <c r="E281" s="472"/>
      <c r="F281" s="356"/>
      <c r="G281" s="362"/>
      <c r="H281" s="472"/>
      <c r="I281" s="472"/>
      <c r="J281" s="472"/>
      <c r="K281" s="359"/>
    </row>
    <row r="282" spans="1:11" ht="47.25" customHeight="1" x14ac:dyDescent="0.7">
      <c r="A282" s="365"/>
      <c r="B282" s="904" t="s">
        <v>162</v>
      </c>
      <c r="C282" s="904"/>
      <c r="D282" s="904"/>
      <c r="E282" s="904"/>
      <c r="F282" s="904" t="s">
        <v>163</v>
      </c>
      <c r="G282" s="904"/>
      <c r="H282" s="904"/>
      <c r="I282" s="904"/>
      <c r="J282" s="904"/>
      <c r="K282" s="359"/>
    </row>
    <row r="283" spans="1:11" ht="30" customHeight="1" x14ac:dyDescent="0.45">
      <c r="A283" s="901" t="s">
        <v>93</v>
      </c>
      <c r="B283" s="901"/>
      <c r="C283" s="367" t="s">
        <v>52</v>
      </c>
      <c r="D283" s="367"/>
      <c r="E283" s="367"/>
      <c r="F283" s="464" t="s">
        <v>158</v>
      </c>
      <c r="G283" s="464"/>
      <c r="H283" s="472" t="s">
        <v>52</v>
      </c>
      <c r="I283" s="472"/>
      <c r="J283" s="472"/>
      <c r="K283" s="368"/>
    </row>
    <row r="284" spans="1:11" ht="30" customHeight="1" x14ac:dyDescent="0.45">
      <c r="A284" s="356" t="s">
        <v>9</v>
      </c>
      <c r="B284" s="358">
        <f>0.8*2.8*E140</f>
        <v>10079.999999999998</v>
      </c>
      <c r="C284" s="472"/>
      <c r="D284" s="472"/>
      <c r="E284" s="472"/>
      <c r="F284" s="356" t="s">
        <v>9</v>
      </c>
      <c r="G284" s="362">
        <f>0.6*3*E2</f>
        <v>7199.9999999999991</v>
      </c>
      <c r="H284" s="472"/>
      <c r="I284" s="472"/>
      <c r="J284" s="472"/>
      <c r="K284" s="366"/>
    </row>
    <row r="285" spans="1:11" ht="30" customHeight="1" x14ac:dyDescent="0.45">
      <c r="A285" s="356" t="s">
        <v>1</v>
      </c>
      <c r="B285" s="358">
        <v>500</v>
      </c>
      <c r="C285" s="903" t="s">
        <v>156</v>
      </c>
      <c r="D285" s="903"/>
      <c r="E285" s="903"/>
      <c r="F285" s="356" t="s">
        <v>1</v>
      </c>
      <c r="G285" s="362">
        <v>1000</v>
      </c>
      <c r="H285" s="472"/>
      <c r="I285" s="472"/>
      <c r="J285" s="472"/>
      <c r="K285" s="359"/>
    </row>
    <row r="286" spans="1:11" ht="30" customHeight="1" x14ac:dyDescent="0.45">
      <c r="A286" s="356" t="s">
        <v>10</v>
      </c>
      <c r="B286" s="358">
        <v>2500</v>
      </c>
      <c r="C286" s="363" t="s">
        <v>22</v>
      </c>
      <c r="D286" s="363" t="s">
        <v>23</v>
      </c>
      <c r="E286" s="363" t="s">
        <v>24</v>
      </c>
      <c r="F286" s="356" t="s">
        <v>10</v>
      </c>
      <c r="G286" s="362">
        <v>2500</v>
      </c>
      <c r="H286" s="472" t="s">
        <v>232</v>
      </c>
      <c r="I286" s="472"/>
      <c r="J286" s="472"/>
      <c r="K286" s="359"/>
    </row>
    <row r="287" spans="1:11" ht="30" customHeight="1" x14ac:dyDescent="0.45">
      <c r="A287" s="356" t="s">
        <v>11</v>
      </c>
      <c r="B287" s="358">
        <v>1000</v>
      </c>
      <c r="C287" s="363">
        <f>C291</f>
        <v>8.6202500000000004</v>
      </c>
      <c r="D287" s="363">
        <f>D291</f>
        <v>9.5120000000000005</v>
      </c>
      <c r="E287" s="363">
        <f>E291</f>
        <v>11.830550000000001</v>
      </c>
      <c r="F287" s="356" t="s">
        <v>11</v>
      </c>
      <c r="G287" s="362">
        <v>1000</v>
      </c>
      <c r="H287" s="363" t="s">
        <v>22</v>
      </c>
      <c r="I287" s="363" t="s">
        <v>23</v>
      </c>
      <c r="J287" s="363" t="s">
        <v>24</v>
      </c>
      <c r="K287" s="359"/>
    </row>
    <row r="288" spans="1:11" ht="30" customHeight="1" x14ac:dyDescent="0.45">
      <c r="A288" s="356" t="s">
        <v>165</v>
      </c>
      <c r="B288" s="358">
        <f>B270</f>
        <v>4000</v>
      </c>
      <c r="C288" s="472"/>
      <c r="D288" s="472"/>
      <c r="E288" s="472"/>
      <c r="F288" s="356" t="s">
        <v>164</v>
      </c>
      <c r="G288" s="362">
        <f>G270</f>
        <v>4000</v>
      </c>
      <c r="H288" s="363">
        <f>H292</f>
        <v>8.4824999999999999</v>
      </c>
      <c r="I288" s="363">
        <f>I292</f>
        <v>10.237499999999999</v>
      </c>
      <c r="J288" s="363">
        <f>J292</f>
        <v>11.641499999999999</v>
      </c>
      <c r="K288" s="359"/>
    </row>
    <row r="289" spans="1:11" ht="30" customHeight="1" x14ac:dyDescent="0.45">
      <c r="A289" s="356" t="s">
        <v>12</v>
      </c>
      <c r="B289" s="358">
        <v>0</v>
      </c>
      <c r="C289" s="472"/>
      <c r="D289" s="472"/>
      <c r="E289" s="472"/>
      <c r="F289" s="356" t="s">
        <v>12</v>
      </c>
      <c r="G289" s="362">
        <f>G271</f>
        <v>2000</v>
      </c>
      <c r="H289" s="472"/>
      <c r="I289" s="472"/>
      <c r="J289" s="472"/>
      <c r="K289" s="359"/>
    </row>
    <row r="290" spans="1:11" ht="30" customHeight="1" x14ac:dyDescent="0.45">
      <c r="A290" s="356" t="s">
        <v>14</v>
      </c>
      <c r="B290" s="358">
        <f>B272</f>
        <v>200</v>
      </c>
      <c r="C290" s="472">
        <v>0.4</v>
      </c>
      <c r="D290" s="472">
        <v>0.55000000000000004</v>
      </c>
      <c r="E290" s="472">
        <v>0.85</v>
      </c>
      <c r="F290" s="356" t="s">
        <v>14</v>
      </c>
      <c r="G290" s="362">
        <f>G272</f>
        <v>200</v>
      </c>
      <c r="H290" s="472"/>
      <c r="I290" s="472"/>
      <c r="J290" s="472"/>
      <c r="K290" s="360"/>
    </row>
    <row r="291" spans="1:11" ht="30" customHeight="1" x14ac:dyDescent="0.45">
      <c r="A291" s="356" t="s">
        <v>15</v>
      </c>
      <c r="B291" s="358">
        <f>B273</f>
        <v>200</v>
      </c>
      <c r="C291" s="472">
        <f>B297*1.45</f>
        <v>8.6202500000000004</v>
      </c>
      <c r="D291" s="472">
        <f>B297*1.6</f>
        <v>9.5120000000000005</v>
      </c>
      <c r="E291" s="472">
        <f>B297*1.99</f>
        <v>11.830550000000001</v>
      </c>
      <c r="F291" s="356" t="s">
        <v>15</v>
      </c>
      <c r="G291" s="362">
        <f>G273</f>
        <v>200</v>
      </c>
      <c r="H291" s="472">
        <v>0.4</v>
      </c>
      <c r="I291" s="472">
        <v>0.55000000000000004</v>
      </c>
      <c r="J291" s="472">
        <v>0.85</v>
      </c>
      <c r="K291" s="360"/>
    </row>
    <row r="292" spans="1:11" ht="30" customHeight="1" x14ac:dyDescent="0.45">
      <c r="A292" s="356" t="s">
        <v>27</v>
      </c>
      <c r="B292" s="358">
        <v>200</v>
      </c>
      <c r="C292" s="472"/>
      <c r="D292" s="472"/>
      <c r="E292" s="472"/>
      <c r="F292" s="356" t="s">
        <v>27</v>
      </c>
      <c r="G292" s="362">
        <v>200</v>
      </c>
      <c r="H292" s="472">
        <f>G297*1.45</f>
        <v>8.4824999999999999</v>
      </c>
      <c r="I292" s="472">
        <f>G297*1.75</f>
        <v>10.237499999999999</v>
      </c>
      <c r="J292" s="472">
        <f>G297*1.99</f>
        <v>11.641499999999999</v>
      </c>
      <c r="K292" s="360"/>
    </row>
    <row r="293" spans="1:11" ht="30" customHeight="1" x14ac:dyDescent="0.45">
      <c r="A293" s="356" t="s">
        <v>28</v>
      </c>
      <c r="B293" s="358">
        <v>100</v>
      </c>
      <c r="C293" s="472"/>
      <c r="D293" s="472"/>
      <c r="E293" s="472"/>
      <c r="F293" s="356" t="s">
        <v>28</v>
      </c>
      <c r="G293" s="362">
        <v>100</v>
      </c>
      <c r="H293" s="472"/>
      <c r="I293" s="472"/>
      <c r="J293" s="472"/>
      <c r="K293" s="360"/>
    </row>
    <row r="294" spans="1:11" ht="30" customHeight="1" x14ac:dyDescent="0.45">
      <c r="A294" s="356" t="s">
        <v>16</v>
      </c>
      <c r="B294" s="358">
        <f t="shared" ref="B294:B296" si="0">B276</f>
        <v>250</v>
      </c>
      <c r="C294" s="472"/>
      <c r="D294" s="472"/>
      <c r="E294" s="472"/>
      <c r="F294" s="356" t="s">
        <v>16</v>
      </c>
      <c r="G294" s="362">
        <f>G276</f>
        <v>250</v>
      </c>
      <c r="H294" s="472"/>
      <c r="I294" s="472"/>
      <c r="J294" s="472"/>
      <c r="K294" s="359"/>
    </row>
    <row r="295" spans="1:11" ht="30" customHeight="1" x14ac:dyDescent="0.45">
      <c r="A295" s="356" t="s">
        <v>17</v>
      </c>
      <c r="B295" s="358">
        <f t="shared" si="0"/>
        <v>750</v>
      </c>
      <c r="C295" s="472"/>
      <c r="D295" s="472"/>
      <c r="E295" s="472"/>
      <c r="F295" s="356" t="s">
        <v>17</v>
      </c>
      <c r="G295" s="362">
        <f>G277</f>
        <v>750</v>
      </c>
      <c r="H295" s="472"/>
      <c r="I295" s="472"/>
      <c r="J295" s="472"/>
      <c r="K295" s="359"/>
    </row>
    <row r="296" spans="1:11" ht="30" customHeight="1" thickBot="1" x14ac:dyDescent="0.5">
      <c r="A296" s="356" t="s">
        <v>18</v>
      </c>
      <c r="B296" s="488">
        <f t="shared" si="0"/>
        <v>4000</v>
      </c>
      <c r="C296" s="472"/>
      <c r="D296" s="472"/>
      <c r="E296" s="472"/>
      <c r="F296" s="356" t="s">
        <v>18</v>
      </c>
      <c r="G296" s="489">
        <f>G278</f>
        <v>4000</v>
      </c>
      <c r="H296" s="472"/>
      <c r="I296" s="472"/>
      <c r="J296" s="472"/>
      <c r="K296" s="359"/>
    </row>
    <row r="297" spans="1:11" ht="30" customHeight="1" x14ac:dyDescent="0.45">
      <c r="A297" s="356"/>
      <c r="B297" s="358">
        <f>SUM(B284:B296)/E2</f>
        <v>5.9450000000000003</v>
      </c>
      <c r="C297" s="472"/>
      <c r="D297" s="472"/>
      <c r="E297" s="472"/>
      <c r="F297" s="356"/>
      <c r="G297" s="364">
        <f>SUM(G284:G296)/E2</f>
        <v>5.85</v>
      </c>
      <c r="H297" s="472"/>
      <c r="I297" s="472"/>
      <c r="J297" s="472"/>
      <c r="K297" s="359"/>
    </row>
    <row r="298" spans="1:11" ht="30" customHeight="1" x14ac:dyDescent="0.45">
      <c r="A298" s="356"/>
      <c r="B298" s="358"/>
      <c r="C298" s="472"/>
      <c r="D298" s="472"/>
      <c r="E298" s="472"/>
      <c r="F298" s="356"/>
      <c r="G298" s="357"/>
      <c r="H298" s="472"/>
      <c r="I298" s="472"/>
      <c r="J298" s="472"/>
      <c r="K298" s="359"/>
    </row>
    <row r="299" spans="1:11" ht="30" customHeight="1" x14ac:dyDescent="0.55000000000000004">
      <c r="A299" s="900" t="s">
        <v>37</v>
      </c>
      <c r="B299" s="900"/>
      <c r="C299" s="492"/>
      <c r="D299" s="492"/>
      <c r="E299" s="492"/>
      <c r="F299" s="899" t="s">
        <v>20</v>
      </c>
      <c r="G299" s="899"/>
      <c r="H299" s="472" t="s">
        <v>162</v>
      </c>
      <c r="I299" s="472"/>
      <c r="J299" s="472"/>
      <c r="K299" s="370"/>
    </row>
    <row r="300" spans="1:11" ht="30" customHeight="1" x14ac:dyDescent="0.55000000000000004">
      <c r="A300" s="898" t="s">
        <v>26</v>
      </c>
      <c r="B300" s="898"/>
      <c r="C300" s="492" t="s">
        <v>52</v>
      </c>
      <c r="D300" s="492"/>
      <c r="E300" s="492"/>
      <c r="F300" s="902" t="s">
        <v>26</v>
      </c>
      <c r="G300" s="902"/>
      <c r="H300" s="472" t="s">
        <v>52</v>
      </c>
      <c r="I300" s="472"/>
      <c r="J300" s="472"/>
      <c r="K300" s="356"/>
    </row>
    <row r="301" spans="1:11" ht="30" customHeight="1" x14ac:dyDescent="0.45">
      <c r="A301" s="356" t="s">
        <v>9</v>
      </c>
      <c r="B301" s="358">
        <f>1*1.8*E140</f>
        <v>8100</v>
      </c>
      <c r="C301" s="472"/>
      <c r="D301" s="472"/>
      <c r="E301" s="472"/>
      <c r="F301" s="356" t="s">
        <v>9</v>
      </c>
      <c r="G301" s="358">
        <f>1*2.8*E140</f>
        <v>12600</v>
      </c>
      <c r="H301" s="472"/>
      <c r="I301" s="472"/>
      <c r="J301" s="472"/>
      <c r="K301" s="356"/>
    </row>
    <row r="302" spans="1:11" ht="30" customHeight="1" x14ac:dyDescent="0.45">
      <c r="A302" s="356" t="s">
        <v>1</v>
      </c>
      <c r="B302" s="358">
        <v>700</v>
      </c>
      <c r="C302" s="472"/>
      <c r="D302" s="472" t="s">
        <v>245</v>
      </c>
      <c r="E302" s="472"/>
      <c r="F302" s="356" t="s">
        <v>1</v>
      </c>
      <c r="G302" s="358">
        <v>500</v>
      </c>
      <c r="H302" s="472"/>
      <c r="I302" s="472" t="s">
        <v>157</v>
      </c>
      <c r="J302" s="472"/>
      <c r="K302" s="369"/>
    </row>
    <row r="303" spans="1:11" ht="30" customHeight="1" x14ac:dyDescent="0.45">
      <c r="A303" s="356" t="s">
        <v>10</v>
      </c>
      <c r="B303" s="358">
        <v>2500</v>
      </c>
      <c r="C303" s="363" t="s">
        <v>22</v>
      </c>
      <c r="D303" s="363" t="s">
        <v>23</v>
      </c>
      <c r="E303" s="363" t="s">
        <v>24</v>
      </c>
      <c r="F303" s="356" t="s">
        <v>10</v>
      </c>
      <c r="G303" s="358">
        <v>2500</v>
      </c>
      <c r="H303" s="363" t="s">
        <v>22</v>
      </c>
      <c r="I303" s="363" t="s">
        <v>23</v>
      </c>
      <c r="J303" s="363" t="s">
        <v>24</v>
      </c>
      <c r="K303" s="358"/>
    </row>
    <row r="304" spans="1:11" ht="30" customHeight="1" x14ac:dyDescent="0.45">
      <c r="A304" s="356" t="s">
        <v>11</v>
      </c>
      <c r="B304" s="358">
        <v>1000</v>
      </c>
      <c r="C304" s="363">
        <f>C309</f>
        <v>8.3375000000000004</v>
      </c>
      <c r="D304" s="363">
        <f>D309</f>
        <v>10.0625</v>
      </c>
      <c r="E304" s="363">
        <f>E309</f>
        <v>10.637500000000001</v>
      </c>
      <c r="F304" s="356" t="s">
        <v>165</v>
      </c>
      <c r="G304" s="358">
        <v>4000</v>
      </c>
      <c r="H304" s="363">
        <f>H308</f>
        <v>9.5337499999999995</v>
      </c>
      <c r="I304" s="363">
        <f>I308</f>
        <v>10.520000000000001</v>
      </c>
      <c r="J304" s="363">
        <f>J308</f>
        <v>13.084250000000001</v>
      </c>
      <c r="K304" s="358"/>
    </row>
    <row r="305" spans="1:11" ht="30" customHeight="1" x14ac:dyDescent="0.45">
      <c r="A305" s="356" t="s">
        <v>165</v>
      </c>
      <c r="B305" s="358">
        <v>4000</v>
      </c>
      <c r="C305" s="472"/>
      <c r="D305" s="472"/>
      <c r="E305" s="472"/>
      <c r="F305" s="356" t="s">
        <v>11</v>
      </c>
      <c r="G305" s="358">
        <v>1000</v>
      </c>
      <c r="H305" s="472"/>
      <c r="I305" s="472"/>
      <c r="J305" s="472"/>
      <c r="K305" s="356"/>
    </row>
    <row r="306" spans="1:11" ht="30" customHeight="1" x14ac:dyDescent="0.45">
      <c r="A306" s="356" t="s">
        <v>12</v>
      </c>
      <c r="B306" s="358">
        <v>1000</v>
      </c>
      <c r="C306" s="472"/>
      <c r="D306" s="472"/>
      <c r="E306" s="472"/>
      <c r="F306" s="356" t="s">
        <v>12</v>
      </c>
      <c r="G306" s="358">
        <v>0</v>
      </c>
      <c r="H306" s="472"/>
      <c r="I306" s="472"/>
      <c r="J306" s="472"/>
      <c r="K306" s="356"/>
    </row>
    <row r="307" spans="1:11" ht="30" customHeight="1" x14ac:dyDescent="0.45">
      <c r="A307" s="356" t="s">
        <v>14</v>
      </c>
      <c r="B307" s="358">
        <v>200</v>
      </c>
      <c r="C307" s="472"/>
      <c r="D307" s="472" t="s">
        <v>21</v>
      </c>
      <c r="E307" s="472"/>
      <c r="F307" s="356" t="s">
        <v>14</v>
      </c>
      <c r="G307" s="358">
        <v>200</v>
      </c>
      <c r="H307" s="472">
        <v>0.4</v>
      </c>
      <c r="I307" s="472">
        <v>0.55000000000000004</v>
      </c>
      <c r="J307" s="472">
        <v>0.85</v>
      </c>
      <c r="K307" s="356"/>
    </row>
    <row r="308" spans="1:11" ht="30" customHeight="1" x14ac:dyDescent="0.45">
      <c r="A308" s="356" t="s">
        <v>15</v>
      </c>
      <c r="B308" s="358">
        <v>200</v>
      </c>
      <c r="C308" s="472">
        <v>0.4</v>
      </c>
      <c r="D308" s="472">
        <v>0.55000000000000004</v>
      </c>
      <c r="E308" s="472">
        <v>0.85</v>
      </c>
      <c r="F308" s="356" t="s">
        <v>15</v>
      </c>
      <c r="G308" s="358">
        <f>B307</f>
        <v>200</v>
      </c>
      <c r="H308" s="472">
        <f>G314*1.45</f>
        <v>9.5337499999999995</v>
      </c>
      <c r="I308" s="472">
        <f>G314*1.6</f>
        <v>10.520000000000001</v>
      </c>
      <c r="J308" s="472">
        <f>G314*1.99</f>
        <v>13.084250000000001</v>
      </c>
      <c r="K308" s="356"/>
    </row>
    <row r="309" spans="1:11" ht="30" customHeight="1" x14ac:dyDescent="0.45">
      <c r="A309" s="356" t="s">
        <v>27</v>
      </c>
      <c r="B309" s="358">
        <v>200</v>
      </c>
      <c r="C309" s="472">
        <f>B314*1.45</f>
        <v>8.3375000000000004</v>
      </c>
      <c r="D309" s="472">
        <f>B314*1.75</f>
        <v>10.0625</v>
      </c>
      <c r="E309" s="472">
        <f>B314*1.85</f>
        <v>10.637500000000001</v>
      </c>
      <c r="F309" s="356" t="s">
        <v>27</v>
      </c>
      <c r="G309" s="358">
        <v>200</v>
      </c>
      <c r="H309" s="472"/>
      <c r="I309" s="472"/>
      <c r="J309" s="472"/>
      <c r="K309" s="356"/>
    </row>
    <row r="310" spans="1:11" ht="30" customHeight="1" x14ac:dyDescent="0.45">
      <c r="A310" s="356" t="s">
        <v>28</v>
      </c>
      <c r="B310" s="358">
        <v>100</v>
      </c>
      <c r="C310" s="472"/>
      <c r="D310" s="472"/>
      <c r="E310" s="472"/>
      <c r="F310" s="356" t="s">
        <v>28</v>
      </c>
      <c r="G310" s="358">
        <v>100</v>
      </c>
      <c r="H310" s="472"/>
      <c r="I310" s="472"/>
      <c r="J310" s="472"/>
      <c r="K310" s="356"/>
    </row>
    <row r="311" spans="1:11" ht="30" customHeight="1" x14ac:dyDescent="0.45">
      <c r="A311" s="356" t="s">
        <v>16</v>
      </c>
      <c r="B311" s="358">
        <v>250</v>
      </c>
      <c r="C311" s="472"/>
      <c r="D311" s="472"/>
      <c r="E311" s="472"/>
      <c r="F311" s="356" t="s">
        <v>16</v>
      </c>
      <c r="G311" s="358">
        <v>250</v>
      </c>
      <c r="H311" s="472"/>
      <c r="I311" s="472"/>
      <c r="J311" s="472"/>
      <c r="K311" s="356"/>
    </row>
    <row r="312" spans="1:11" ht="30" customHeight="1" x14ac:dyDescent="0.45">
      <c r="A312" s="356" t="s">
        <v>17</v>
      </c>
      <c r="B312" s="358">
        <v>750</v>
      </c>
      <c r="C312" s="472"/>
      <c r="D312" s="472"/>
      <c r="E312" s="472"/>
      <c r="F312" s="356" t="s">
        <v>17</v>
      </c>
      <c r="G312" s="358">
        <v>750</v>
      </c>
      <c r="H312" s="472"/>
      <c r="I312" s="472"/>
      <c r="J312" s="472"/>
      <c r="K312" s="356"/>
    </row>
    <row r="313" spans="1:11" ht="30" customHeight="1" thickBot="1" x14ac:dyDescent="0.5">
      <c r="A313" s="356" t="s">
        <v>18</v>
      </c>
      <c r="B313" s="488">
        <v>4000</v>
      </c>
      <c r="C313" s="472"/>
      <c r="D313" s="472"/>
      <c r="E313" s="472"/>
      <c r="F313" s="356" t="s">
        <v>18</v>
      </c>
      <c r="G313" s="488">
        <v>4000</v>
      </c>
      <c r="H313" s="472"/>
      <c r="I313" s="472"/>
      <c r="J313" s="472"/>
      <c r="K313" s="356"/>
    </row>
    <row r="314" spans="1:11" ht="30" customHeight="1" x14ac:dyDescent="0.45">
      <c r="A314" s="356"/>
      <c r="B314" s="358">
        <f>SUM(B301:B313)/E2</f>
        <v>5.75</v>
      </c>
      <c r="C314" s="472"/>
      <c r="D314" s="472"/>
      <c r="E314" s="472"/>
      <c r="F314" s="356"/>
      <c r="G314" s="358">
        <f>SUM(G301:G313)/E2</f>
        <v>6.5750000000000002</v>
      </c>
      <c r="H314" s="472"/>
      <c r="I314" s="472"/>
      <c r="J314" s="472"/>
      <c r="K314" s="356"/>
    </row>
    <row r="315" spans="1:11" ht="30" customHeight="1" x14ac:dyDescent="0.45">
      <c r="A315" s="356"/>
      <c r="B315" s="359"/>
      <c r="C315" s="472"/>
      <c r="D315" s="472"/>
      <c r="E315" s="472"/>
      <c r="F315" s="356"/>
      <c r="G315" s="371"/>
      <c r="H315" s="472"/>
      <c r="I315" s="472"/>
      <c r="J315" s="472"/>
      <c r="K315" s="360"/>
    </row>
    <row r="316" spans="1:11" ht="30" customHeight="1" x14ac:dyDescent="0.45"/>
  </sheetData>
  <mergeCells count="82">
    <mergeCell ref="N201:S201"/>
    <mergeCell ref="P205:R205"/>
    <mergeCell ref="F264:G264"/>
    <mergeCell ref="B201:E201"/>
    <mergeCell ref="B233:E233"/>
    <mergeCell ref="G233:K233"/>
    <mergeCell ref="C237:E237"/>
    <mergeCell ref="H237:J237"/>
    <mergeCell ref="B248:E248"/>
    <mergeCell ref="C252:E252"/>
    <mergeCell ref="H252:J252"/>
    <mergeCell ref="H221:J221"/>
    <mergeCell ref="G201:K201"/>
    <mergeCell ref="A218:B218"/>
    <mergeCell ref="C218:E218"/>
    <mergeCell ref="A264:B264"/>
    <mergeCell ref="C264:E264"/>
    <mergeCell ref="A300:B300"/>
    <mergeCell ref="F299:G299"/>
    <mergeCell ref="A299:B299"/>
    <mergeCell ref="A283:B283"/>
    <mergeCell ref="A265:B265"/>
    <mergeCell ref="F300:G300"/>
    <mergeCell ref="C285:E285"/>
    <mergeCell ref="F282:J282"/>
    <mergeCell ref="B282:E282"/>
    <mergeCell ref="H218:J218"/>
    <mergeCell ref="A219:B219"/>
    <mergeCell ref="F219:G219"/>
    <mergeCell ref="F187:G187"/>
    <mergeCell ref="H171:K171"/>
    <mergeCell ref="H186:K186"/>
    <mergeCell ref="H189:J189"/>
    <mergeCell ref="C190:E190"/>
    <mergeCell ref="C205:E205"/>
    <mergeCell ref="H205:J205"/>
    <mergeCell ref="H174:J174"/>
    <mergeCell ref="F171:G171"/>
    <mergeCell ref="F172:G172"/>
    <mergeCell ref="H100:J100"/>
    <mergeCell ref="C159:E159"/>
    <mergeCell ref="H159:J159"/>
    <mergeCell ref="G155:K155"/>
    <mergeCell ref="C113:E113"/>
    <mergeCell ref="C125:E125"/>
    <mergeCell ref="H142:K142"/>
    <mergeCell ref="C144:E144"/>
    <mergeCell ref="H144:J144"/>
    <mergeCell ref="C142:E142"/>
    <mergeCell ref="C128:E128"/>
    <mergeCell ref="H125:K125"/>
    <mergeCell ref="F125:G125"/>
    <mergeCell ref="H128:J128"/>
    <mergeCell ref="A51:B51"/>
    <mergeCell ref="F23:G23"/>
    <mergeCell ref="C50:E50"/>
    <mergeCell ref="F85:G85"/>
    <mergeCell ref="C221:E221"/>
    <mergeCell ref="B155:E155"/>
    <mergeCell ref="C100:E100"/>
    <mergeCell ref="F186:G186"/>
    <mergeCell ref="B186:E186"/>
    <mergeCell ref="F218:G218"/>
    <mergeCell ref="A125:B125"/>
    <mergeCell ref="A126:B126"/>
    <mergeCell ref="F126:G126"/>
    <mergeCell ref="M238:N238"/>
    <mergeCell ref="A1:K1"/>
    <mergeCell ref="A35:K35"/>
    <mergeCell ref="C87:E87"/>
    <mergeCell ref="H87:J87"/>
    <mergeCell ref="A3:B3"/>
    <mergeCell ref="F3:G3"/>
    <mergeCell ref="H2:J2"/>
    <mergeCell ref="A13:B13"/>
    <mergeCell ref="A23:B23"/>
    <mergeCell ref="A85:B85"/>
    <mergeCell ref="A84:K84"/>
    <mergeCell ref="H38:J38"/>
    <mergeCell ref="C71:E71"/>
    <mergeCell ref="H51:J51"/>
    <mergeCell ref="F51:G51"/>
  </mergeCells>
  <pageMargins left="0.25" right="0.25" top="0.75" bottom="0.75" header="0.3" footer="0.3"/>
  <pageSetup scale="42" orientation="landscape" horizontalDpi="0" verticalDpi="0" r:id="rId1"/>
  <rowBreaks count="4" manualBreakCount="4">
    <brk id="35" max="13" man="1"/>
    <brk id="123" max="13" man="1"/>
    <brk id="169" max="13" man="1"/>
    <brk id="215" max="1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6DDD-6C53-4E7E-94D8-B73182810546}">
  <dimension ref="A2:G34"/>
  <sheetViews>
    <sheetView topLeftCell="A7" zoomScale="70" zoomScaleNormal="70" workbookViewId="0">
      <selection activeCell="C24" sqref="C24"/>
    </sheetView>
  </sheetViews>
  <sheetFormatPr baseColWidth="10" defaultRowHeight="15" x14ac:dyDescent="0.25"/>
  <cols>
    <col min="1" max="1" width="26.140625" bestFit="1" customWidth="1"/>
    <col min="2" max="2" width="14" customWidth="1"/>
  </cols>
  <sheetData>
    <row r="2" spans="1:7" ht="23.25" x14ac:dyDescent="0.35">
      <c r="A2" s="909" t="s">
        <v>532</v>
      </c>
      <c r="B2" s="909"/>
      <c r="C2" s="909"/>
      <c r="D2" s="909"/>
      <c r="E2" s="909"/>
      <c r="F2" s="909"/>
      <c r="G2" s="909"/>
    </row>
    <row r="3" spans="1:7" ht="26.25" x14ac:dyDescent="0.4">
      <c r="A3" s="910" t="s">
        <v>25</v>
      </c>
      <c r="B3" s="910"/>
      <c r="C3" s="88"/>
      <c r="D3" s="88"/>
      <c r="E3" s="88"/>
      <c r="F3" s="88"/>
      <c r="G3" s="11"/>
    </row>
    <row r="4" spans="1:7" ht="18.75" x14ac:dyDescent="0.3">
      <c r="A4" s="11" t="s">
        <v>9</v>
      </c>
      <c r="B4" s="86">
        <f>1.8*6*4000</f>
        <v>43200</v>
      </c>
      <c r="C4" s="88"/>
      <c r="D4" s="88"/>
      <c r="E4" s="88"/>
      <c r="F4" s="88"/>
      <c r="G4" s="11"/>
    </row>
    <row r="5" spans="1:7" ht="18.75" x14ac:dyDescent="0.3">
      <c r="A5" s="11" t="s">
        <v>1</v>
      </c>
      <c r="B5" s="86">
        <v>2500</v>
      </c>
      <c r="C5" s="88"/>
      <c r="D5" s="88"/>
      <c r="E5" s="88"/>
      <c r="F5" s="88"/>
      <c r="G5" s="11"/>
    </row>
    <row r="6" spans="1:7" ht="18.75" x14ac:dyDescent="0.3">
      <c r="A6" s="11" t="s">
        <v>10</v>
      </c>
      <c r="B6" s="86">
        <v>12000</v>
      </c>
      <c r="C6" s="88"/>
      <c r="D6" s="88"/>
      <c r="E6" s="88"/>
      <c r="F6" s="88"/>
      <c r="G6" s="11"/>
    </row>
    <row r="7" spans="1:7" ht="18.75" x14ac:dyDescent="0.3">
      <c r="A7" s="11" t="s">
        <v>11</v>
      </c>
      <c r="B7" s="86">
        <v>1250</v>
      </c>
      <c r="C7" s="88"/>
      <c r="D7" s="88"/>
      <c r="E7" s="88"/>
      <c r="F7" s="88"/>
      <c r="G7" s="11"/>
    </row>
    <row r="8" spans="1:7" ht="18.75" x14ac:dyDescent="0.3">
      <c r="A8" s="11" t="s">
        <v>13</v>
      </c>
      <c r="B8" s="86">
        <v>2500</v>
      </c>
      <c r="C8" s="88"/>
      <c r="D8" s="90" t="s">
        <v>22</v>
      </c>
      <c r="E8" s="90" t="s">
        <v>23</v>
      </c>
      <c r="F8" s="90" t="s">
        <v>24</v>
      </c>
      <c r="G8" s="4"/>
    </row>
    <row r="9" spans="1:7" ht="18.75" x14ac:dyDescent="0.3">
      <c r="A9" s="11" t="s">
        <v>12</v>
      </c>
      <c r="B9" s="86">
        <v>1000</v>
      </c>
      <c r="C9" s="88"/>
      <c r="D9" s="90">
        <f>D14</f>
        <v>24.269375</v>
      </c>
      <c r="E9" s="90">
        <f>E14</f>
        <v>26.78</v>
      </c>
      <c r="F9" s="90">
        <f>F14</f>
        <v>33.307625000000002</v>
      </c>
      <c r="G9" s="4"/>
    </row>
    <row r="10" spans="1:7" ht="18.75" x14ac:dyDescent="0.3">
      <c r="A10" s="11" t="s">
        <v>14</v>
      </c>
      <c r="B10" s="86">
        <v>200</v>
      </c>
      <c r="C10" s="88"/>
      <c r="D10" s="86"/>
      <c r="E10" s="86"/>
      <c r="F10" s="86"/>
      <c r="G10" s="4"/>
    </row>
    <row r="11" spans="1:7" ht="18.75" x14ac:dyDescent="0.3">
      <c r="A11" s="11" t="s">
        <v>15</v>
      </c>
      <c r="B11" s="86">
        <v>200</v>
      </c>
      <c r="C11" s="88"/>
      <c r="D11" s="88"/>
      <c r="E11" s="88"/>
      <c r="F11" s="88"/>
      <c r="G11" s="11"/>
    </row>
    <row r="12" spans="1:7" ht="18.75" x14ac:dyDescent="0.3">
      <c r="A12" s="11" t="s">
        <v>27</v>
      </c>
      <c r="B12" s="86">
        <v>0</v>
      </c>
      <c r="C12" s="88"/>
      <c r="D12" s="88"/>
      <c r="E12" s="88"/>
      <c r="F12" s="88"/>
      <c r="G12" s="11"/>
    </row>
    <row r="13" spans="1:7" ht="18.75" x14ac:dyDescent="0.3">
      <c r="A13" s="11" t="s">
        <v>28</v>
      </c>
      <c r="B13" s="86">
        <v>0</v>
      </c>
      <c r="C13" s="88"/>
      <c r="D13" s="706">
        <v>0.4</v>
      </c>
      <c r="E13" s="706">
        <v>0.55000000000000004</v>
      </c>
      <c r="F13" s="706">
        <v>0.85</v>
      </c>
      <c r="G13" s="11"/>
    </row>
    <row r="14" spans="1:7" ht="18.75" x14ac:dyDescent="0.3">
      <c r="A14" s="11" t="s">
        <v>16</v>
      </c>
      <c r="B14" s="86">
        <v>350</v>
      </c>
      <c r="C14" s="88"/>
      <c r="D14" s="86">
        <f>B17*1.45</f>
        <v>24.269375</v>
      </c>
      <c r="E14" s="86">
        <f>B17*1.6</f>
        <v>26.78</v>
      </c>
      <c r="F14" s="86">
        <f>B17*1.99</f>
        <v>33.307625000000002</v>
      </c>
      <c r="G14" s="11"/>
    </row>
    <row r="15" spans="1:7" ht="18.75" x14ac:dyDescent="0.3">
      <c r="A15" s="11" t="s">
        <v>17</v>
      </c>
      <c r="B15" s="86">
        <v>250</v>
      </c>
      <c r="C15" s="88"/>
      <c r="D15" s="862"/>
      <c r="E15" s="862"/>
      <c r="F15" s="88"/>
      <c r="G15" s="11"/>
    </row>
    <row r="16" spans="1:7" ht="24" thickBot="1" x14ac:dyDescent="0.4">
      <c r="A16" s="11" t="s">
        <v>18</v>
      </c>
      <c r="B16" s="87">
        <v>3500</v>
      </c>
      <c r="C16" s="89"/>
      <c r="D16" s="88"/>
      <c r="E16" s="88"/>
      <c r="F16" s="76"/>
      <c r="G16" s="11"/>
    </row>
    <row r="17" spans="1:7" ht="18.75" x14ac:dyDescent="0.3">
      <c r="A17" s="11"/>
      <c r="B17" s="86">
        <f>SUM(B4:B16)/4000</f>
        <v>16.737500000000001</v>
      </c>
      <c r="C17" s="89"/>
      <c r="D17" s="88"/>
      <c r="E17" s="88"/>
      <c r="F17" s="86"/>
      <c r="G17" s="11"/>
    </row>
    <row r="19" spans="1:7" ht="23.25" x14ac:dyDescent="0.35">
      <c r="A19" s="909" t="s">
        <v>533</v>
      </c>
      <c r="B19" s="909"/>
      <c r="C19" s="909"/>
      <c r="D19" s="909"/>
      <c r="E19" s="909"/>
      <c r="F19" s="909"/>
      <c r="G19" s="909"/>
    </row>
    <row r="20" spans="1:7" ht="26.25" x14ac:dyDescent="0.4">
      <c r="A20" s="910" t="s">
        <v>25</v>
      </c>
      <c r="B20" s="910"/>
      <c r="C20" s="88"/>
      <c r="D20" s="88"/>
      <c r="E20" s="88"/>
      <c r="F20" s="88"/>
      <c r="G20" s="11"/>
    </row>
    <row r="21" spans="1:7" ht="18.75" x14ac:dyDescent="0.3">
      <c r="A21" s="11" t="s">
        <v>9</v>
      </c>
      <c r="B21" s="86">
        <f>1.8*6*4000</f>
        <v>43200</v>
      </c>
      <c r="C21" s="88"/>
      <c r="D21" s="88"/>
      <c r="E21" s="88"/>
      <c r="F21" s="88"/>
      <c r="G21" s="11"/>
    </row>
    <row r="22" spans="1:7" ht="18.75" x14ac:dyDescent="0.3">
      <c r="A22" s="11" t="s">
        <v>1</v>
      </c>
      <c r="B22" s="86">
        <v>2500</v>
      </c>
      <c r="C22" s="88"/>
      <c r="D22" s="88"/>
      <c r="E22" s="88"/>
      <c r="F22" s="88"/>
      <c r="G22" s="11"/>
    </row>
    <row r="23" spans="1:7" ht="18.75" x14ac:dyDescent="0.3">
      <c r="A23" s="11" t="s">
        <v>10</v>
      </c>
      <c r="B23" s="86">
        <v>12000</v>
      </c>
      <c r="C23" s="88"/>
      <c r="D23" s="88"/>
      <c r="E23" s="88"/>
      <c r="F23" s="88"/>
      <c r="G23" s="11"/>
    </row>
    <row r="24" spans="1:7" ht="18.75" x14ac:dyDescent="0.3">
      <c r="A24" s="11" t="s">
        <v>11</v>
      </c>
      <c r="B24" s="86">
        <v>1250</v>
      </c>
      <c r="C24" s="88"/>
      <c r="D24" s="88"/>
      <c r="E24" s="88"/>
      <c r="F24" s="88"/>
      <c r="G24" s="11"/>
    </row>
    <row r="25" spans="1:7" ht="18.75" x14ac:dyDescent="0.3">
      <c r="A25" s="11" t="s">
        <v>94</v>
      </c>
      <c r="B25" s="86">
        <f>0.5*11000</f>
        <v>5500</v>
      </c>
      <c r="C25" s="88"/>
      <c r="D25" s="90" t="s">
        <v>22</v>
      </c>
      <c r="E25" s="90" t="s">
        <v>23</v>
      </c>
      <c r="F25" s="90" t="s">
        <v>24</v>
      </c>
      <c r="G25" s="4"/>
    </row>
    <row r="26" spans="1:7" ht="18.75" x14ac:dyDescent="0.3">
      <c r="A26" s="11" t="s">
        <v>12</v>
      </c>
      <c r="B26" s="86">
        <v>1000</v>
      </c>
      <c r="C26" s="88"/>
      <c r="D26" s="90">
        <f>D31</f>
        <v>25.356874999999999</v>
      </c>
      <c r="E26" s="90">
        <f>E31</f>
        <v>27.980000000000004</v>
      </c>
      <c r="F26" s="90">
        <f>F31</f>
        <v>34.800125000000001</v>
      </c>
      <c r="G26" s="4"/>
    </row>
    <row r="27" spans="1:7" ht="18.75" x14ac:dyDescent="0.3">
      <c r="A27" s="11" t="s">
        <v>14</v>
      </c>
      <c r="B27" s="86">
        <v>200</v>
      </c>
      <c r="C27" s="88"/>
      <c r="D27" s="86"/>
      <c r="E27" s="86"/>
      <c r="F27" s="86"/>
      <c r="G27" s="4"/>
    </row>
    <row r="28" spans="1:7" ht="18.75" x14ac:dyDescent="0.3">
      <c r="A28" s="11" t="s">
        <v>15</v>
      </c>
      <c r="B28" s="86">
        <v>200</v>
      </c>
      <c r="C28" s="88"/>
      <c r="D28" s="88"/>
      <c r="E28" s="88"/>
      <c r="F28" s="88"/>
      <c r="G28" s="11"/>
    </row>
    <row r="29" spans="1:7" ht="18.75" x14ac:dyDescent="0.3">
      <c r="A29" s="11" t="s">
        <v>27</v>
      </c>
      <c r="B29" s="86">
        <v>0</v>
      </c>
      <c r="C29" s="88"/>
      <c r="D29" s="88"/>
      <c r="E29" s="88"/>
      <c r="F29" s="88"/>
      <c r="G29" s="11"/>
    </row>
    <row r="30" spans="1:7" ht="18.75" x14ac:dyDescent="0.3">
      <c r="A30" s="11" t="s">
        <v>28</v>
      </c>
      <c r="B30" s="86">
        <v>0</v>
      </c>
      <c r="C30" s="88"/>
      <c r="D30" s="706">
        <v>0.4</v>
      </c>
      <c r="E30" s="706">
        <v>0.55000000000000004</v>
      </c>
      <c r="F30" s="706">
        <v>0.85</v>
      </c>
      <c r="G30" s="11"/>
    </row>
    <row r="31" spans="1:7" ht="18.75" x14ac:dyDescent="0.3">
      <c r="A31" s="11" t="s">
        <v>16</v>
      </c>
      <c r="B31" s="86">
        <v>350</v>
      </c>
      <c r="C31" s="88"/>
      <c r="D31" s="86">
        <f>B34*1.45</f>
        <v>25.356874999999999</v>
      </c>
      <c r="E31" s="86">
        <f>B34*1.6</f>
        <v>27.980000000000004</v>
      </c>
      <c r="F31" s="86">
        <f>B34*1.99</f>
        <v>34.800125000000001</v>
      </c>
      <c r="G31" s="11"/>
    </row>
    <row r="32" spans="1:7" ht="18.75" x14ac:dyDescent="0.3">
      <c r="A32" s="11" t="s">
        <v>17</v>
      </c>
      <c r="B32" s="86">
        <v>250</v>
      </c>
      <c r="C32" s="88"/>
      <c r="D32" s="862"/>
      <c r="E32" s="862"/>
      <c r="F32" s="88"/>
      <c r="G32" s="11"/>
    </row>
    <row r="33" spans="1:7" ht="24" thickBot="1" x14ac:dyDescent="0.4">
      <c r="A33" s="11" t="s">
        <v>18</v>
      </c>
      <c r="B33" s="87">
        <v>3500</v>
      </c>
      <c r="C33" s="89"/>
      <c r="D33" s="88"/>
      <c r="E33" s="88"/>
      <c r="F33" s="76"/>
      <c r="G33" s="11"/>
    </row>
    <row r="34" spans="1:7" ht="18.75" x14ac:dyDescent="0.3">
      <c r="A34" s="11"/>
      <c r="B34" s="86">
        <f>SUM(B21:B33)/4000</f>
        <v>17.487500000000001</v>
      </c>
      <c r="C34" s="89"/>
      <c r="D34" s="88"/>
      <c r="E34" s="88"/>
      <c r="F34" s="86"/>
      <c r="G34" s="11"/>
    </row>
  </sheetData>
  <mergeCells count="6">
    <mergeCell ref="D32:E32"/>
    <mergeCell ref="A2:G2"/>
    <mergeCell ref="A3:B3"/>
    <mergeCell ref="D15:E15"/>
    <mergeCell ref="A19:G19"/>
    <mergeCell ref="A20:B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BF25-B7A7-48EF-871C-B26DB4B49988}">
  <dimension ref="A2:L27"/>
  <sheetViews>
    <sheetView zoomScale="70" zoomScaleNormal="70" workbookViewId="0">
      <selection activeCell="C24" sqref="C24"/>
    </sheetView>
  </sheetViews>
  <sheetFormatPr baseColWidth="10" defaultRowHeight="15.75" x14ac:dyDescent="0.25"/>
  <cols>
    <col min="1" max="1" width="46.42578125" customWidth="1"/>
    <col min="2" max="2" width="14.5703125" style="684" customWidth="1"/>
    <col min="8" max="8" width="11.42578125" style="668"/>
    <col min="10" max="10" width="45.85546875" customWidth="1"/>
    <col min="11" max="11" width="14.7109375" customWidth="1"/>
  </cols>
  <sheetData>
    <row r="2" spans="1:11" ht="28.5" x14ac:dyDescent="0.45">
      <c r="A2" s="48"/>
      <c r="B2" s="682"/>
      <c r="C2" s="98"/>
      <c r="D2" s="98"/>
      <c r="E2" s="99"/>
      <c r="G2" s="48"/>
    </row>
    <row r="3" spans="1:11" ht="26.25" x14ac:dyDescent="0.4">
      <c r="A3" s="912" t="s">
        <v>471</v>
      </c>
      <c r="B3" s="912"/>
      <c r="C3" s="100"/>
      <c r="D3" s="101"/>
      <c r="E3" s="101"/>
      <c r="F3" s="101"/>
      <c r="G3" s="50"/>
      <c r="J3" s="912" t="s">
        <v>472</v>
      </c>
      <c r="K3" s="912"/>
    </row>
    <row r="4" spans="1:11" ht="18.75" x14ac:dyDescent="0.3">
      <c r="A4" s="11" t="s">
        <v>449</v>
      </c>
      <c r="B4" s="683">
        <f>2*2700</f>
        <v>5400</v>
      </c>
      <c r="C4" s="102"/>
      <c r="D4" s="102"/>
      <c r="E4" s="102"/>
      <c r="F4" s="5">
        <v>4000</v>
      </c>
      <c r="G4" s="4" t="s">
        <v>19</v>
      </c>
      <c r="J4" s="11" t="s">
        <v>449</v>
      </c>
      <c r="K4" s="683">
        <f>2*2700</f>
        <v>5400</v>
      </c>
    </row>
    <row r="5" spans="1:11" ht="18.75" x14ac:dyDescent="0.3">
      <c r="A5" s="11" t="s">
        <v>475</v>
      </c>
      <c r="B5" s="683">
        <f>4.9*11/6*F4</f>
        <v>35933.333333333336</v>
      </c>
      <c r="C5" s="102"/>
      <c r="D5" s="102"/>
      <c r="E5" s="102"/>
      <c r="F5" s="102"/>
      <c r="G5" s="11"/>
      <c r="J5" s="11" t="s">
        <v>450</v>
      </c>
      <c r="K5" s="683">
        <f>4.5*11/6*3800</f>
        <v>31350</v>
      </c>
    </row>
    <row r="6" spans="1:11" ht="18.75" x14ac:dyDescent="0.3">
      <c r="A6" s="11" t="s">
        <v>465</v>
      </c>
      <c r="B6" s="683">
        <f>0.5*5/3*F4</f>
        <v>3333.3333333333335</v>
      </c>
      <c r="C6" s="102"/>
      <c r="D6" s="102"/>
      <c r="E6" s="102"/>
      <c r="F6" s="102"/>
      <c r="G6" s="11"/>
      <c r="J6" s="11" t="s">
        <v>465</v>
      </c>
      <c r="K6" s="683">
        <f>0.5*5/3*3800</f>
        <v>3166.666666666667</v>
      </c>
    </row>
    <row r="7" spans="1:11" ht="18.75" x14ac:dyDescent="0.3">
      <c r="A7" s="49" t="s">
        <v>466</v>
      </c>
      <c r="B7" s="683">
        <f>0.06*5/6*F4</f>
        <v>199.99999999999997</v>
      </c>
      <c r="C7" s="102"/>
      <c r="D7" s="102"/>
      <c r="E7" s="913" t="s">
        <v>474</v>
      </c>
      <c r="F7" s="913"/>
      <c r="G7" s="11"/>
      <c r="J7" s="49" t="s">
        <v>466</v>
      </c>
      <c r="K7" s="683">
        <f>0.06*5/6*3800</f>
        <v>189.99999999999997</v>
      </c>
    </row>
    <row r="8" spans="1:11" ht="18.75" x14ac:dyDescent="0.3">
      <c r="A8" s="11" t="s">
        <v>467</v>
      </c>
      <c r="B8" s="683">
        <f>1.4*5/6*F4</f>
        <v>4666.666666666667</v>
      </c>
      <c r="C8" s="102"/>
      <c r="D8" s="911" t="s">
        <v>429</v>
      </c>
      <c r="E8" s="911"/>
      <c r="F8" s="911"/>
      <c r="G8" s="11"/>
      <c r="J8" s="11" t="s">
        <v>476</v>
      </c>
      <c r="K8" s="683">
        <f>0.9*5/6*3800</f>
        <v>2850</v>
      </c>
    </row>
    <row r="9" spans="1:11" ht="18.75" x14ac:dyDescent="0.3">
      <c r="A9" s="11" t="s">
        <v>451</v>
      </c>
      <c r="B9" s="683">
        <f>6*1/30*F4</f>
        <v>800</v>
      </c>
      <c r="C9" s="102"/>
      <c r="D9" s="102"/>
      <c r="E9" s="102"/>
      <c r="F9" s="102"/>
      <c r="G9" s="11"/>
      <c r="J9" s="11" t="s">
        <v>451</v>
      </c>
      <c r="K9" s="683">
        <f>6*1/30*3800</f>
        <v>760</v>
      </c>
    </row>
    <row r="10" spans="1:11" ht="18.75" x14ac:dyDescent="0.3">
      <c r="A10" s="11" t="s">
        <v>452</v>
      </c>
      <c r="B10" s="683">
        <f>2*2500</f>
        <v>5000</v>
      </c>
      <c r="C10" s="102"/>
      <c r="D10" s="687">
        <v>35</v>
      </c>
      <c r="E10" s="687">
        <v>65</v>
      </c>
      <c r="F10" s="687">
        <v>99</v>
      </c>
      <c r="G10" s="4"/>
      <c r="H10" s="157" t="s">
        <v>431</v>
      </c>
      <c r="J10" s="11" t="s">
        <v>452</v>
      </c>
      <c r="K10" s="683">
        <f>2*2500</f>
        <v>5000</v>
      </c>
    </row>
    <row r="11" spans="1:11" ht="18.75" x14ac:dyDescent="0.3">
      <c r="A11" s="11" t="s">
        <v>453</v>
      </c>
      <c r="B11" s="683">
        <f>0.24*10/3*F4</f>
        <v>3199.9999999999995</v>
      </c>
      <c r="C11" s="102"/>
      <c r="D11" s="6">
        <f>H11*1.35</f>
        <v>56.065263157894734</v>
      </c>
      <c r="E11" s="6">
        <f>H11*1.65</f>
        <v>68.52421052631577</v>
      </c>
      <c r="F11" s="6">
        <f>H11*1.8</f>
        <v>74.753684210526302</v>
      </c>
      <c r="G11" s="4"/>
      <c r="H11" s="688">
        <f>B27</f>
        <v>41.529824561403501</v>
      </c>
      <c r="J11" s="11" t="s">
        <v>453</v>
      </c>
      <c r="K11" s="683">
        <f>0.24*10/3*3800</f>
        <v>3039.9999999999995</v>
      </c>
    </row>
    <row r="12" spans="1:11" ht="18.75" x14ac:dyDescent="0.3">
      <c r="A12" s="11" t="s">
        <v>454</v>
      </c>
      <c r="B12" s="683">
        <f>2*3000</f>
        <v>6000</v>
      </c>
      <c r="C12" s="102"/>
      <c r="D12" s="5"/>
      <c r="E12" s="5"/>
      <c r="F12" s="5"/>
      <c r="G12" s="4"/>
      <c r="H12" s="157"/>
      <c r="J12" s="11" t="s">
        <v>454</v>
      </c>
      <c r="K12" s="683">
        <f>2*3000</f>
        <v>6000</v>
      </c>
    </row>
    <row r="13" spans="1:11" ht="18.75" x14ac:dyDescent="0.3">
      <c r="A13" s="11" t="s">
        <v>455</v>
      </c>
      <c r="B13" s="683">
        <f>8*100</f>
        <v>800</v>
      </c>
      <c r="C13" s="102"/>
      <c r="G13" s="11"/>
      <c r="H13" s="157"/>
      <c r="J13" s="11" t="s">
        <v>455</v>
      </c>
      <c r="K13" s="683">
        <f>8*100</f>
        <v>800</v>
      </c>
    </row>
    <row r="14" spans="1:11" ht="18.75" x14ac:dyDescent="0.3">
      <c r="A14" s="11" t="s">
        <v>470</v>
      </c>
      <c r="B14" s="683">
        <f>14000/3</f>
        <v>4666.666666666667</v>
      </c>
      <c r="C14" s="102"/>
      <c r="G14" s="11"/>
      <c r="H14" s="157"/>
      <c r="J14" s="11" t="s">
        <v>470</v>
      </c>
      <c r="K14" s="683">
        <f>14000/3</f>
        <v>4666.666666666667</v>
      </c>
    </row>
    <row r="15" spans="1:11" ht="18.75" x14ac:dyDescent="0.3">
      <c r="A15" s="11" t="s">
        <v>469</v>
      </c>
      <c r="B15" s="683">
        <f>14000/6</f>
        <v>2333.3333333333335</v>
      </c>
      <c r="C15" s="102"/>
      <c r="G15" s="11"/>
      <c r="H15" s="157"/>
      <c r="J15" s="11" t="s">
        <v>469</v>
      </c>
      <c r="K15" s="683">
        <f>14000/6</f>
        <v>2333.3333333333335</v>
      </c>
    </row>
    <row r="16" spans="1:11" ht="18.75" x14ac:dyDescent="0.3">
      <c r="A16" s="11" t="s">
        <v>456</v>
      </c>
      <c r="B16" s="683">
        <f>1600*2</f>
        <v>3200</v>
      </c>
      <c r="C16" s="102"/>
      <c r="D16" s="286"/>
      <c r="E16" s="913" t="s">
        <v>473</v>
      </c>
      <c r="F16" s="913"/>
      <c r="G16" s="11"/>
      <c r="H16" s="157"/>
      <c r="J16" s="11" t="s">
        <v>456</v>
      </c>
      <c r="K16" s="683">
        <f>1600*2</f>
        <v>3200</v>
      </c>
    </row>
    <row r="17" spans="1:12" ht="18.75" x14ac:dyDescent="0.3">
      <c r="A17" s="11" t="s">
        <v>457</v>
      </c>
      <c r="B17" s="683">
        <v>6000</v>
      </c>
      <c r="C17" s="98"/>
      <c r="D17" s="911" t="s">
        <v>430</v>
      </c>
      <c r="E17" s="911"/>
      <c r="F17" s="911"/>
      <c r="G17" s="11"/>
      <c r="H17" s="157"/>
      <c r="J17" s="11" t="s">
        <v>457</v>
      </c>
      <c r="K17" s="683">
        <v>6000</v>
      </c>
    </row>
    <row r="18" spans="1:12" ht="18.75" x14ac:dyDescent="0.3">
      <c r="A18" s="11" t="s">
        <v>458</v>
      </c>
      <c r="B18" s="683">
        <v>500</v>
      </c>
      <c r="C18" s="98"/>
      <c r="D18" s="687">
        <v>35</v>
      </c>
      <c r="E18" s="687">
        <v>65</v>
      </c>
      <c r="F18" s="687">
        <v>99</v>
      </c>
      <c r="G18" s="11"/>
      <c r="H18" s="157" t="s">
        <v>431</v>
      </c>
      <c r="J18" s="11" t="s">
        <v>458</v>
      </c>
      <c r="K18" s="683">
        <v>500</v>
      </c>
    </row>
    <row r="19" spans="1:12" ht="18.75" x14ac:dyDescent="0.3">
      <c r="A19" s="11" t="s">
        <v>459</v>
      </c>
      <c r="B19" s="683">
        <f>250*4</f>
        <v>1000</v>
      </c>
      <c r="D19" s="286">
        <f>H19*1.35</f>
        <v>40.714815789473683</v>
      </c>
      <c r="E19" s="286">
        <f>H19*1.65</f>
        <v>49.762552631578941</v>
      </c>
      <c r="F19" s="286">
        <f>H19*1.8</f>
        <v>54.286421052631574</v>
      </c>
      <c r="H19" s="689">
        <f>K27</f>
        <v>30.159122807017543</v>
      </c>
      <c r="J19" s="11" t="s">
        <v>459</v>
      </c>
      <c r="K19" s="683">
        <f>250*4</f>
        <v>1000</v>
      </c>
    </row>
    <row r="20" spans="1:12" ht="18.75" x14ac:dyDescent="0.3">
      <c r="A20" s="49" t="s">
        <v>460</v>
      </c>
      <c r="B20" s="683" t="s">
        <v>468</v>
      </c>
      <c r="J20" s="49" t="s">
        <v>460</v>
      </c>
      <c r="K20" s="683" t="s">
        <v>468</v>
      </c>
    </row>
    <row r="21" spans="1:12" ht="18.75" x14ac:dyDescent="0.3">
      <c r="A21" s="49" t="s">
        <v>461</v>
      </c>
      <c r="B21" s="683">
        <f>1.8*2.2*F4</f>
        <v>15840.000000000002</v>
      </c>
      <c r="J21" s="49" t="s">
        <v>461</v>
      </c>
      <c r="K21" s="683">
        <f>1.8*2.2*3800/2</f>
        <v>7524.0000000000009</v>
      </c>
    </row>
    <row r="22" spans="1:12" ht="18.75" x14ac:dyDescent="0.3">
      <c r="A22" s="49" t="s">
        <v>462</v>
      </c>
      <c r="B22" s="683">
        <f>2.2*1.8*F4</f>
        <v>15840.000000000002</v>
      </c>
      <c r="J22" s="49" t="s">
        <v>462</v>
      </c>
      <c r="K22" s="683">
        <f>2.2*1.8*3800/2</f>
        <v>7524.0000000000009</v>
      </c>
    </row>
    <row r="23" spans="1:12" ht="21" x14ac:dyDescent="0.35">
      <c r="A23" s="49" t="s">
        <v>463</v>
      </c>
      <c r="B23" s="683">
        <f>2.2*18000</f>
        <v>39600</v>
      </c>
      <c r="E23" s="859" t="s">
        <v>487</v>
      </c>
      <c r="F23" s="859"/>
      <c r="G23" s="859"/>
      <c r="J23" s="49" t="s">
        <v>463</v>
      </c>
      <c r="K23" s="683">
        <f>2.2*18000/2</f>
        <v>19800</v>
      </c>
    </row>
    <row r="24" spans="1:12" ht="23.25" x14ac:dyDescent="0.35">
      <c r="A24" s="49" t="s">
        <v>80</v>
      </c>
      <c r="B24" s="683">
        <v>2500</v>
      </c>
      <c r="F24" s="694" t="s">
        <v>488</v>
      </c>
      <c r="J24" s="49" t="s">
        <v>80</v>
      </c>
      <c r="K24" s="683">
        <v>2500</v>
      </c>
    </row>
    <row r="25" spans="1:12" ht="19.5" thickBot="1" x14ac:dyDescent="0.35">
      <c r="A25" s="49" t="s">
        <v>464</v>
      </c>
      <c r="B25" s="685">
        <v>1000</v>
      </c>
      <c r="J25" s="49" t="s">
        <v>464</v>
      </c>
      <c r="K25" s="685">
        <v>1000</v>
      </c>
    </row>
    <row r="26" spans="1:12" ht="21.75" thickTop="1" x14ac:dyDescent="0.35">
      <c r="A26" s="686" t="s">
        <v>209</v>
      </c>
      <c r="B26" s="426">
        <f>SUM(B4:B25)</f>
        <v>157813.33333333331</v>
      </c>
      <c r="C26" s="295" t="s">
        <v>8</v>
      </c>
      <c r="J26" s="686" t="s">
        <v>209</v>
      </c>
      <c r="K26" s="426">
        <f>SUM(K4:K25)</f>
        <v>114604.66666666666</v>
      </c>
      <c r="L26" s="295" t="s">
        <v>8</v>
      </c>
    </row>
    <row r="27" spans="1:12" ht="18.75" x14ac:dyDescent="0.3">
      <c r="B27" s="690">
        <f>B26/3800</f>
        <v>41.529824561403501</v>
      </c>
      <c r="C27" s="295" t="s">
        <v>61</v>
      </c>
      <c r="K27" s="690">
        <f>K26/3800</f>
        <v>30.159122807017543</v>
      </c>
      <c r="L27" s="295" t="s">
        <v>61</v>
      </c>
    </row>
  </sheetData>
  <mergeCells count="7">
    <mergeCell ref="E23:G23"/>
    <mergeCell ref="D17:F17"/>
    <mergeCell ref="J3:K3"/>
    <mergeCell ref="A3:B3"/>
    <mergeCell ref="E7:F7"/>
    <mergeCell ref="E16:F16"/>
    <mergeCell ref="D8:F8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EAFCF-65E2-4DC6-973C-895C8915A217}">
  <dimension ref="A1:E12"/>
  <sheetViews>
    <sheetView workbookViewId="0">
      <selection activeCell="C24" sqref="C24"/>
    </sheetView>
  </sheetViews>
  <sheetFormatPr baseColWidth="10" defaultRowHeight="15" x14ac:dyDescent="0.25"/>
  <cols>
    <col min="1" max="1" width="38" customWidth="1"/>
    <col min="2" max="2" width="16.7109375" customWidth="1"/>
  </cols>
  <sheetData>
    <row r="1" spans="1:5" ht="26.25" x14ac:dyDescent="0.4">
      <c r="A1" s="912" t="s">
        <v>471</v>
      </c>
      <c r="B1" s="912"/>
      <c r="C1" s="100"/>
    </row>
    <row r="2" spans="1:5" ht="18.75" x14ac:dyDescent="0.3">
      <c r="A2" s="11" t="s">
        <v>541</v>
      </c>
      <c r="B2" s="683">
        <f>4*4.5</f>
        <v>18</v>
      </c>
      <c r="C2" s="102"/>
    </row>
    <row r="3" spans="1:5" ht="18.75" x14ac:dyDescent="0.3">
      <c r="A3" s="11" t="s">
        <v>537</v>
      </c>
      <c r="B3" s="683">
        <f>0.3*2</f>
        <v>0.6</v>
      </c>
      <c r="C3" s="102"/>
    </row>
    <row r="4" spans="1:5" ht="18.75" x14ac:dyDescent="0.3">
      <c r="A4" s="11" t="s">
        <v>542</v>
      </c>
      <c r="B4" s="683">
        <v>0</v>
      </c>
      <c r="C4" s="102"/>
    </row>
    <row r="5" spans="1:5" ht="18.75" x14ac:dyDescent="0.3">
      <c r="A5" s="49" t="s">
        <v>538</v>
      </c>
      <c r="B5" s="683">
        <f>8000/4000</f>
        <v>2</v>
      </c>
      <c r="C5" s="102"/>
    </row>
    <row r="6" spans="1:5" ht="18.75" x14ac:dyDescent="0.3">
      <c r="A6" s="11" t="s">
        <v>539</v>
      </c>
      <c r="B6" s="683">
        <f>1000/4000</f>
        <v>0.25</v>
      </c>
      <c r="C6" s="102"/>
      <c r="D6" s="708" t="s">
        <v>24</v>
      </c>
      <c r="E6" s="708" t="s">
        <v>540</v>
      </c>
    </row>
    <row r="7" spans="1:5" ht="18.75" x14ac:dyDescent="0.3">
      <c r="A7" s="11"/>
      <c r="B7" s="683"/>
      <c r="C7" s="102"/>
      <c r="D7" s="709">
        <f>B11*1.68</f>
        <v>35.027999999999999</v>
      </c>
      <c r="E7" s="709">
        <f>B11*1.35</f>
        <v>28.147500000000004</v>
      </c>
    </row>
    <row r="8" spans="1:5" ht="18.75" x14ac:dyDescent="0.3">
      <c r="A8" s="49"/>
      <c r="B8" s="683"/>
    </row>
    <row r="9" spans="1:5" ht="18.75" x14ac:dyDescent="0.3">
      <c r="A9" s="49"/>
      <c r="B9" s="683"/>
    </row>
    <row r="10" spans="1:5" ht="19.5" thickBot="1" x14ac:dyDescent="0.35">
      <c r="A10" s="49"/>
      <c r="B10" s="685"/>
    </row>
    <row r="11" spans="1:5" ht="21.75" thickTop="1" x14ac:dyDescent="0.35">
      <c r="A11" s="686" t="s">
        <v>209</v>
      </c>
      <c r="B11" s="426">
        <f>SUM(B2:B10)</f>
        <v>20.85</v>
      </c>
      <c r="C11" s="295"/>
    </row>
    <row r="12" spans="1:5" ht="18.75" x14ac:dyDescent="0.3">
      <c r="B12" s="690"/>
      <c r="C12" s="295"/>
    </row>
  </sheetData>
  <mergeCells count="1">
    <mergeCell ref="A1:B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68901-2187-4559-9EC5-2543605FE672}">
  <dimension ref="A2:F14"/>
  <sheetViews>
    <sheetView workbookViewId="0">
      <selection activeCell="C24" sqref="C24"/>
    </sheetView>
  </sheetViews>
  <sheetFormatPr baseColWidth="10" defaultRowHeight="15" x14ac:dyDescent="0.25"/>
  <cols>
    <col min="1" max="1" width="32.5703125" style="60" bestFit="1" customWidth="1"/>
    <col min="2" max="2" width="17" style="721" customWidth="1"/>
    <col min="3" max="3" width="6.28515625" style="60" customWidth="1"/>
    <col min="4" max="4" width="11.42578125" style="60"/>
    <col min="5" max="5" width="15" style="60" bestFit="1" customWidth="1"/>
    <col min="6" max="6" width="12.5703125" style="60" customWidth="1"/>
  </cols>
  <sheetData>
    <row r="2" spans="1:6" ht="40.5" customHeight="1" x14ac:dyDescent="0.7">
      <c r="A2" s="914" t="s">
        <v>555</v>
      </c>
      <c r="B2" s="915"/>
      <c r="C2" s="716"/>
      <c r="D2" s="712"/>
      <c r="E2" s="712"/>
      <c r="F2" s="712"/>
    </row>
    <row r="3" spans="1:6" ht="23.25" x14ac:dyDescent="0.35">
      <c r="A3" s="717" t="s">
        <v>548</v>
      </c>
      <c r="B3" s="719">
        <v>1000</v>
      </c>
      <c r="C3" s="563"/>
      <c r="D3" s="714"/>
      <c r="E3" s="714"/>
      <c r="F3" s="714"/>
    </row>
    <row r="4" spans="1:6" ht="23.25" x14ac:dyDescent="0.35">
      <c r="A4" s="717" t="s">
        <v>549</v>
      </c>
      <c r="B4" s="719">
        <v>800</v>
      </c>
      <c r="C4" s="563"/>
      <c r="D4" s="714"/>
      <c r="E4" s="714"/>
      <c r="F4" s="714"/>
    </row>
    <row r="5" spans="1:6" ht="23.25" x14ac:dyDescent="0.35">
      <c r="A5" s="717" t="s">
        <v>550</v>
      </c>
      <c r="B5" s="719">
        <v>300</v>
      </c>
      <c r="C5" s="563"/>
      <c r="D5" s="714"/>
      <c r="E5" s="714"/>
      <c r="F5" s="714"/>
    </row>
    <row r="6" spans="1:6" ht="23.25" x14ac:dyDescent="0.35">
      <c r="A6" s="717" t="s">
        <v>94</v>
      </c>
      <c r="B6" s="719">
        <f>0.9*11000/11</f>
        <v>900</v>
      </c>
      <c r="C6" s="563"/>
      <c r="D6" s="714"/>
      <c r="E6" s="714"/>
      <c r="F6" s="714"/>
    </row>
    <row r="7" spans="1:6" ht="23.25" x14ac:dyDescent="0.35">
      <c r="A7" s="717" t="s">
        <v>11</v>
      </c>
      <c r="B7" s="719">
        <v>250</v>
      </c>
      <c r="C7" s="563"/>
      <c r="D7" s="714"/>
      <c r="E7" s="714"/>
      <c r="F7" s="714"/>
    </row>
    <row r="8" spans="1:6" ht="23.25" x14ac:dyDescent="0.35">
      <c r="A8" s="717" t="s">
        <v>1</v>
      </c>
      <c r="B8" s="719">
        <v>500</v>
      </c>
      <c r="C8" s="563"/>
      <c r="D8" s="714"/>
      <c r="E8" s="714"/>
      <c r="F8" s="714"/>
    </row>
    <row r="9" spans="1:6" ht="23.25" x14ac:dyDescent="0.35">
      <c r="A9" s="717" t="s">
        <v>551</v>
      </c>
      <c r="B9" s="719">
        <v>250</v>
      </c>
      <c r="C9" s="563"/>
      <c r="D9" s="718" t="s">
        <v>553</v>
      </c>
      <c r="E9" s="718" t="s">
        <v>554</v>
      </c>
      <c r="F9" s="718" t="s">
        <v>552</v>
      </c>
    </row>
    <row r="10" spans="1:6" ht="23.25" x14ac:dyDescent="0.35">
      <c r="A10" s="717" t="s">
        <v>281</v>
      </c>
      <c r="B10" s="719">
        <v>1500</v>
      </c>
      <c r="C10" s="563"/>
      <c r="D10" s="714">
        <f>B12*1.4</f>
        <v>2.1875</v>
      </c>
      <c r="E10" s="714">
        <f>B12*1.65</f>
        <v>2.578125</v>
      </c>
      <c r="F10" s="714">
        <f>B12*1.99</f>
        <v>3.109375</v>
      </c>
    </row>
    <row r="11" spans="1:6" ht="24" thickBot="1" x14ac:dyDescent="0.4">
      <c r="A11" s="717" t="s">
        <v>18</v>
      </c>
      <c r="B11" s="720">
        <v>1750</v>
      </c>
      <c r="C11" s="563"/>
      <c r="D11" s="714"/>
      <c r="E11" s="713"/>
      <c r="F11" s="714"/>
    </row>
    <row r="12" spans="1:6" ht="23.25" x14ac:dyDescent="0.35">
      <c r="A12" s="717"/>
      <c r="B12" s="719">
        <f>SUM(B4:B11)/4000</f>
        <v>1.5625</v>
      </c>
      <c r="C12" s="563"/>
      <c r="D12" s="714"/>
      <c r="E12" s="714"/>
      <c r="F12" s="714"/>
    </row>
    <row r="13" spans="1:6" ht="23.25" x14ac:dyDescent="0.35">
      <c r="A13" s="717"/>
      <c r="B13" s="719"/>
      <c r="C13" s="563"/>
      <c r="D13" s="714"/>
      <c r="E13" s="714"/>
      <c r="F13" s="714"/>
    </row>
    <row r="14" spans="1:6" ht="23.25" x14ac:dyDescent="0.35">
      <c r="A14" s="717"/>
      <c r="B14" s="719"/>
      <c r="C14" s="563"/>
      <c r="D14" s="714"/>
      <c r="E14" s="714"/>
      <c r="F14" s="714"/>
    </row>
  </sheetData>
  <mergeCells count="1">
    <mergeCell ref="A2:B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4367-9518-4CF6-B100-DC5C3460509D}">
  <dimension ref="A1:V64"/>
  <sheetViews>
    <sheetView view="pageBreakPreview" topLeftCell="A13" zoomScale="50" zoomScaleNormal="100" zoomScaleSheetLayoutView="50" workbookViewId="0">
      <selection activeCell="C24" sqref="C24"/>
    </sheetView>
  </sheetViews>
  <sheetFormatPr baseColWidth="10" defaultRowHeight="15" x14ac:dyDescent="0.25"/>
  <cols>
    <col min="1" max="1" width="39.28515625" style="60" customWidth="1"/>
    <col min="2" max="2" width="17.28515625" style="60" customWidth="1"/>
    <col min="3" max="3" width="7.42578125" style="60" customWidth="1"/>
    <col min="4" max="4" width="13.42578125" style="60" customWidth="1"/>
    <col min="5" max="5" width="19.7109375" style="60" bestFit="1" customWidth="1"/>
    <col min="6" max="6" width="14.5703125" style="60" customWidth="1"/>
    <col min="7" max="7" width="11.42578125" style="60"/>
    <col min="8" max="8" width="39" style="60" customWidth="1"/>
    <col min="9" max="9" width="18.28515625" style="60" customWidth="1"/>
    <col min="10" max="10" width="9" style="60" customWidth="1"/>
    <col min="11" max="11" width="13.42578125" style="60" bestFit="1" customWidth="1"/>
    <col min="12" max="12" width="17.28515625" style="60" bestFit="1" customWidth="1"/>
    <col min="13" max="13" width="11.5703125" style="60" bestFit="1" customWidth="1"/>
    <col min="14" max="14" width="11.42578125" style="60"/>
    <col min="15" max="15" width="22.42578125" style="60" customWidth="1"/>
    <col min="16" max="16" width="25.28515625" customWidth="1"/>
    <col min="17" max="17" width="23.5703125" customWidth="1"/>
    <col min="19" max="19" width="21" customWidth="1"/>
    <col min="20" max="21" width="24.28515625" customWidth="1"/>
  </cols>
  <sheetData>
    <row r="1" spans="1:22" ht="46.5" x14ac:dyDescent="0.7">
      <c r="A1" s="10"/>
      <c r="B1" s="10"/>
      <c r="C1" s="10"/>
      <c r="D1" s="586" t="s">
        <v>137</v>
      </c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10"/>
    </row>
    <row r="2" spans="1:22" ht="56.25" customHeight="1" x14ac:dyDescent="0.9">
      <c r="A2" s="63"/>
      <c r="B2" s="563"/>
      <c r="C2" s="561"/>
      <c r="D2" s="561"/>
      <c r="E2" s="587">
        <v>3800</v>
      </c>
      <c r="F2" s="588"/>
      <c r="G2" s="575"/>
      <c r="H2" s="63"/>
      <c r="I2" s="10"/>
      <c r="J2" s="924"/>
      <c r="K2" s="924"/>
      <c r="L2" s="924"/>
      <c r="M2" s="924"/>
      <c r="N2" s="207"/>
      <c r="O2" s="592"/>
      <c r="P2" s="928" t="s">
        <v>390</v>
      </c>
      <c r="Q2" s="928"/>
      <c r="R2" s="928"/>
      <c r="S2" s="928"/>
      <c r="T2" s="928"/>
      <c r="U2" s="52"/>
    </row>
    <row r="3" spans="1:22" s="538" customFormat="1" ht="36" x14ac:dyDescent="0.55000000000000004">
      <c r="A3" s="925" t="s">
        <v>378</v>
      </c>
      <c r="B3" s="925"/>
      <c r="C3" s="583"/>
      <c r="D3" s="561"/>
      <c r="E3" s="561"/>
      <c r="F3" s="561"/>
      <c r="G3" s="62"/>
      <c r="H3" s="926" t="s">
        <v>379</v>
      </c>
      <c r="I3" s="926"/>
      <c r="J3" s="583"/>
      <c r="K3" s="561"/>
      <c r="L3" s="561"/>
      <c r="M3" s="561"/>
      <c r="N3" s="583"/>
      <c r="O3" s="592"/>
      <c r="P3" s="43"/>
      <c r="Q3" s="52"/>
      <c r="R3" s="52"/>
      <c r="S3" s="52"/>
      <c r="T3" s="52"/>
      <c r="U3" s="52"/>
      <c r="V3" s="494"/>
    </row>
    <row r="4" spans="1:22" ht="30" customHeight="1" x14ac:dyDescent="0.45">
      <c r="A4" s="63" t="s">
        <v>9</v>
      </c>
      <c r="B4" s="569">
        <f>0.8*4.2*E2</f>
        <v>12768.000000000002</v>
      </c>
      <c r="C4" s="563"/>
      <c r="D4" s="574"/>
      <c r="E4" s="574"/>
      <c r="F4" s="574"/>
      <c r="G4" s="63"/>
      <c r="H4" s="63" t="s">
        <v>9</v>
      </c>
      <c r="I4" s="569">
        <f>1*4.2*E2</f>
        <v>15960</v>
      </c>
      <c r="J4" s="563"/>
      <c r="K4" s="574"/>
      <c r="L4" s="574"/>
      <c r="M4" s="574"/>
      <c r="N4" s="207"/>
      <c r="O4" s="918" t="s">
        <v>378</v>
      </c>
      <c r="P4" s="919"/>
      <c r="Q4" s="919"/>
      <c r="R4" s="628"/>
      <c r="S4" s="920" t="s">
        <v>379</v>
      </c>
      <c r="T4" s="920"/>
      <c r="U4" s="921"/>
      <c r="V4" s="494"/>
    </row>
    <row r="5" spans="1:22" ht="30" customHeight="1" x14ac:dyDescent="0.45">
      <c r="A5" s="63" t="s">
        <v>1</v>
      </c>
      <c r="B5" s="569">
        <v>500</v>
      </c>
      <c r="C5" s="563"/>
      <c r="D5" s="574"/>
      <c r="E5" s="574"/>
      <c r="F5" s="574"/>
      <c r="G5" s="63"/>
      <c r="H5" s="63" t="s">
        <v>1</v>
      </c>
      <c r="I5" s="569">
        <v>500</v>
      </c>
      <c r="J5" s="563"/>
      <c r="K5" s="574"/>
      <c r="L5" s="574"/>
      <c r="M5" s="574"/>
      <c r="N5" s="207"/>
      <c r="O5" s="629" t="s">
        <v>22</v>
      </c>
      <c r="P5" s="630" t="s">
        <v>23</v>
      </c>
      <c r="Q5" s="630" t="s">
        <v>24</v>
      </c>
      <c r="R5" s="310"/>
      <c r="S5" s="630" t="s">
        <v>22</v>
      </c>
      <c r="T5" s="630" t="s">
        <v>23</v>
      </c>
      <c r="U5" s="631" t="s">
        <v>24</v>
      </c>
      <c r="V5" s="494"/>
    </row>
    <row r="6" spans="1:22" ht="30" customHeight="1" x14ac:dyDescent="0.45">
      <c r="A6" s="63" t="s">
        <v>10</v>
      </c>
      <c r="B6" s="569">
        <v>2500</v>
      </c>
      <c r="C6" s="563"/>
      <c r="D6" s="10"/>
      <c r="E6" s="10"/>
      <c r="F6" s="10"/>
      <c r="G6" s="573"/>
      <c r="H6" s="63" t="s">
        <v>10</v>
      </c>
      <c r="I6" s="569">
        <v>2500</v>
      </c>
      <c r="J6" s="563"/>
      <c r="K6" s="10"/>
      <c r="L6" s="10"/>
      <c r="M6" s="10"/>
      <c r="N6" s="207"/>
      <c r="O6" s="632">
        <v>40</v>
      </c>
      <c r="P6" s="633">
        <v>60</v>
      </c>
      <c r="Q6" s="633">
        <v>99</v>
      </c>
      <c r="R6" s="310"/>
      <c r="S6" s="634">
        <v>40</v>
      </c>
      <c r="T6" s="634">
        <v>60</v>
      </c>
      <c r="U6" s="635">
        <v>99</v>
      </c>
      <c r="V6" s="494"/>
    </row>
    <row r="7" spans="1:22" ht="30" customHeight="1" x14ac:dyDescent="0.45">
      <c r="A7" s="63" t="s">
        <v>27</v>
      </c>
      <c r="B7" s="569">
        <v>250</v>
      </c>
      <c r="C7" s="563"/>
      <c r="D7" s="565" t="s">
        <v>22</v>
      </c>
      <c r="E7" s="565" t="s">
        <v>23</v>
      </c>
      <c r="F7" s="565" t="s">
        <v>24</v>
      </c>
      <c r="G7" s="573"/>
      <c r="H7" s="63" t="s">
        <v>27</v>
      </c>
      <c r="I7" s="569">
        <v>250</v>
      </c>
      <c r="J7" s="10"/>
      <c r="K7" s="565" t="s">
        <v>22</v>
      </c>
      <c r="L7" s="565" t="s">
        <v>23</v>
      </c>
      <c r="M7" s="565" t="s">
        <v>24</v>
      </c>
      <c r="N7" s="207"/>
      <c r="O7" s="636">
        <f>D9</f>
        <v>7.6882105263157881</v>
      </c>
      <c r="P7" s="637">
        <f t="shared" ref="P7:Q7" si="0">E9</f>
        <v>8.7865263157894731</v>
      </c>
      <c r="Q7" s="637">
        <f t="shared" si="0"/>
        <v>10.928242105263157</v>
      </c>
      <c r="R7" s="638"/>
      <c r="S7" s="637">
        <f>K9</f>
        <v>8.8642105263157891</v>
      </c>
      <c r="T7" s="637">
        <f t="shared" ref="T7:U7" si="1">L9</f>
        <v>10.130526315789474</v>
      </c>
      <c r="U7" s="639">
        <f t="shared" si="1"/>
        <v>12.599842105263159</v>
      </c>
      <c r="V7" s="494"/>
    </row>
    <row r="8" spans="1:22" ht="30" customHeight="1" x14ac:dyDescent="0.45">
      <c r="A8" s="63" t="s">
        <v>28</v>
      </c>
      <c r="B8" s="569">
        <v>100</v>
      </c>
      <c r="C8" s="563"/>
      <c r="D8" s="566">
        <v>40</v>
      </c>
      <c r="E8" s="566">
        <v>60</v>
      </c>
      <c r="F8" s="566">
        <v>99</v>
      </c>
      <c r="G8" s="573"/>
      <c r="H8" s="63" t="s">
        <v>28</v>
      </c>
      <c r="I8" s="569">
        <v>100</v>
      </c>
      <c r="J8" s="10"/>
      <c r="K8" s="576">
        <v>40</v>
      </c>
      <c r="L8" s="576">
        <v>60</v>
      </c>
      <c r="M8" s="576">
        <v>99</v>
      </c>
      <c r="N8" s="207"/>
      <c r="O8" s="592"/>
      <c r="P8" s="43"/>
      <c r="Q8" s="52"/>
      <c r="R8" s="52"/>
      <c r="S8" s="52"/>
      <c r="T8" s="52"/>
      <c r="U8" s="52"/>
      <c r="V8" s="494"/>
    </row>
    <row r="9" spans="1:22" ht="30" customHeight="1" x14ac:dyDescent="0.45">
      <c r="A9" s="63" t="s">
        <v>106</v>
      </c>
      <c r="B9" s="569">
        <v>500</v>
      </c>
      <c r="C9" s="563"/>
      <c r="D9" s="574">
        <f>B12*1.4</f>
        <v>7.6882105263157881</v>
      </c>
      <c r="E9" s="574">
        <f>B12*1.6</f>
        <v>8.7865263157894731</v>
      </c>
      <c r="F9" s="574">
        <f>B12*1.99</f>
        <v>10.928242105263157</v>
      </c>
      <c r="G9" s="577"/>
      <c r="H9" s="63" t="s">
        <v>106</v>
      </c>
      <c r="I9" s="569">
        <v>500</v>
      </c>
      <c r="J9" s="10"/>
      <c r="K9" s="574">
        <f>I12*1.4</f>
        <v>8.8642105263157891</v>
      </c>
      <c r="L9" s="574">
        <f>I12*1.6</f>
        <v>10.130526315789474</v>
      </c>
      <c r="M9" s="574">
        <f>I12*1.99</f>
        <v>12.599842105263159</v>
      </c>
      <c r="N9" s="207"/>
      <c r="O9" s="918" t="s">
        <v>381</v>
      </c>
      <c r="P9" s="919"/>
      <c r="Q9" s="919"/>
      <c r="R9" s="628"/>
      <c r="S9" s="920" t="s">
        <v>380</v>
      </c>
      <c r="T9" s="920"/>
      <c r="U9" s="921"/>
      <c r="V9" s="494"/>
    </row>
    <row r="10" spans="1:22" ht="30" customHeight="1" x14ac:dyDescent="0.45">
      <c r="A10" s="63" t="s">
        <v>16</v>
      </c>
      <c r="B10" s="569">
        <v>250</v>
      </c>
      <c r="C10" s="563"/>
      <c r="D10" s="574"/>
      <c r="E10" s="574"/>
      <c r="F10" s="574"/>
      <c r="G10" s="578"/>
      <c r="H10" s="63" t="s">
        <v>16</v>
      </c>
      <c r="I10" s="569">
        <f>B10</f>
        <v>250</v>
      </c>
      <c r="J10" s="563"/>
      <c r="K10" s="574"/>
      <c r="L10" s="574"/>
      <c r="M10" s="574"/>
      <c r="N10" s="207"/>
      <c r="O10" s="629" t="s">
        <v>22</v>
      </c>
      <c r="P10" s="630" t="s">
        <v>23</v>
      </c>
      <c r="Q10" s="630" t="s">
        <v>24</v>
      </c>
      <c r="R10" s="310"/>
      <c r="S10" s="630" t="s">
        <v>22</v>
      </c>
      <c r="T10" s="630" t="s">
        <v>23</v>
      </c>
      <c r="U10" s="631" t="s">
        <v>24</v>
      </c>
      <c r="V10" s="494"/>
    </row>
    <row r="11" spans="1:22" ht="30" customHeight="1" thickBot="1" x14ac:dyDescent="0.5">
      <c r="A11" s="63" t="s">
        <v>18</v>
      </c>
      <c r="B11" s="579">
        <v>4000</v>
      </c>
      <c r="C11" s="563"/>
      <c r="D11" s="574"/>
      <c r="E11" s="574"/>
      <c r="F11" s="574"/>
      <c r="G11" s="574"/>
      <c r="H11" s="63" t="s">
        <v>18</v>
      </c>
      <c r="I11" s="579">
        <f>B11</f>
        <v>4000</v>
      </c>
      <c r="J11" s="563"/>
      <c r="K11" s="574"/>
      <c r="L11" s="574"/>
      <c r="M11" s="574"/>
      <c r="N11" s="207"/>
      <c r="O11" s="640">
        <v>40</v>
      </c>
      <c r="P11" s="634">
        <v>60</v>
      </c>
      <c r="Q11" s="634">
        <v>99</v>
      </c>
      <c r="R11" s="310"/>
      <c r="S11" s="634">
        <v>40</v>
      </c>
      <c r="T11" s="634">
        <v>60</v>
      </c>
      <c r="U11" s="635">
        <v>99</v>
      </c>
      <c r="V11" s="494"/>
    </row>
    <row r="12" spans="1:22" ht="30" customHeight="1" x14ac:dyDescent="0.45">
      <c r="A12" s="63"/>
      <c r="B12" s="569">
        <f>SUM(B4:B11)/E2</f>
        <v>5.4915789473684207</v>
      </c>
      <c r="C12" s="563"/>
      <c r="D12" s="574"/>
      <c r="E12" s="574"/>
      <c r="F12" s="574"/>
      <c r="G12" s="574"/>
      <c r="H12" s="63"/>
      <c r="I12" s="569">
        <f>SUM(I4:I11)/E2</f>
        <v>6.3315789473684214</v>
      </c>
      <c r="J12" s="569"/>
      <c r="K12" s="574"/>
      <c r="L12" s="574"/>
      <c r="M12" s="574"/>
      <c r="N12" s="207"/>
      <c r="O12" s="636">
        <f>D20</f>
        <v>6.1202105263157893</v>
      </c>
      <c r="P12" s="637">
        <f t="shared" ref="P12:Q12" si="2">E20</f>
        <v>6.994526315789475</v>
      </c>
      <c r="Q12" s="637">
        <f t="shared" si="2"/>
        <v>8.6994421052631594</v>
      </c>
      <c r="R12" s="638"/>
      <c r="S12" s="637">
        <f>K20</f>
        <v>6.9042105263157891</v>
      </c>
      <c r="T12" s="637">
        <f t="shared" ref="T12:U12" si="3">L20</f>
        <v>7.8905263157894741</v>
      </c>
      <c r="U12" s="639">
        <f t="shared" si="3"/>
        <v>9.8138421052631575</v>
      </c>
      <c r="V12" s="494"/>
    </row>
    <row r="13" spans="1:22" ht="30" customHeight="1" x14ac:dyDescent="0.45">
      <c r="A13" s="63"/>
      <c r="B13" s="569"/>
      <c r="C13" s="563"/>
      <c r="D13" s="574"/>
      <c r="E13" s="574"/>
      <c r="F13" s="574"/>
      <c r="G13" s="574"/>
      <c r="H13" s="63"/>
      <c r="I13" s="569"/>
      <c r="J13" s="569"/>
      <c r="K13" s="574"/>
      <c r="L13" s="574"/>
      <c r="M13" s="574"/>
      <c r="N13" s="207"/>
      <c r="O13" s="592"/>
      <c r="P13" s="43"/>
      <c r="Q13" s="52"/>
      <c r="R13" s="52"/>
      <c r="S13" s="52"/>
      <c r="T13" s="52"/>
      <c r="U13" s="52"/>
      <c r="V13" s="494"/>
    </row>
    <row r="14" spans="1:22" s="538" customFormat="1" ht="36" x14ac:dyDescent="0.55000000000000004">
      <c r="A14" s="925" t="s">
        <v>381</v>
      </c>
      <c r="B14" s="925"/>
      <c r="C14" s="583"/>
      <c r="D14" s="561"/>
      <c r="E14" s="561"/>
      <c r="F14" s="585"/>
      <c r="G14" s="62"/>
      <c r="H14" s="580" t="s">
        <v>380</v>
      </c>
      <c r="I14" s="62"/>
      <c r="J14" s="62"/>
      <c r="K14" s="580"/>
      <c r="L14" s="580"/>
      <c r="M14" s="561"/>
      <c r="N14" s="583"/>
      <c r="O14" s="918" t="s">
        <v>383</v>
      </c>
      <c r="P14" s="919"/>
      <c r="Q14" s="919"/>
      <c r="R14" s="628"/>
      <c r="S14" s="920" t="s">
        <v>382</v>
      </c>
      <c r="T14" s="920"/>
      <c r="U14" s="921"/>
      <c r="V14" s="494"/>
    </row>
    <row r="15" spans="1:22" ht="30" customHeight="1" x14ac:dyDescent="0.45">
      <c r="A15" s="591" t="s">
        <v>9</v>
      </c>
      <c r="B15" s="581">
        <f>0.8*2.8*E2</f>
        <v>8512</v>
      </c>
      <c r="C15" s="563"/>
      <c r="D15" s="574"/>
      <c r="E15" s="574"/>
      <c r="F15" s="574"/>
      <c r="G15" s="578"/>
      <c r="H15" s="63" t="s">
        <v>9</v>
      </c>
      <c r="I15" s="564">
        <f>1*2.8*E2</f>
        <v>10640</v>
      </c>
      <c r="J15" s="563"/>
      <c r="K15" s="574"/>
      <c r="L15" s="574"/>
      <c r="M15" s="574"/>
      <c r="N15" s="207"/>
      <c r="O15" s="629" t="s">
        <v>22</v>
      </c>
      <c r="P15" s="630" t="s">
        <v>23</v>
      </c>
      <c r="Q15" s="630" t="s">
        <v>24</v>
      </c>
      <c r="R15" s="310"/>
      <c r="S15" s="630" t="s">
        <v>22</v>
      </c>
      <c r="T15" s="630" t="s">
        <v>23</v>
      </c>
      <c r="U15" s="631" t="s">
        <v>24</v>
      </c>
      <c r="V15" s="494"/>
    </row>
    <row r="16" spans="1:22" ht="30" customHeight="1" x14ac:dyDescent="0.7">
      <c r="A16" s="591" t="s">
        <v>1</v>
      </c>
      <c r="B16" s="581">
        <f>B5</f>
        <v>500</v>
      </c>
      <c r="C16" s="207"/>
      <c r="D16" s="10"/>
      <c r="E16" s="10"/>
      <c r="F16" s="10"/>
      <c r="G16" s="582"/>
      <c r="H16" s="63" t="s">
        <v>1</v>
      </c>
      <c r="I16" s="564">
        <v>500</v>
      </c>
      <c r="J16" s="207"/>
      <c r="K16" s="10"/>
      <c r="L16" s="10"/>
      <c r="M16" s="10"/>
      <c r="N16" s="207"/>
      <c r="O16" s="640">
        <v>40</v>
      </c>
      <c r="P16" s="634">
        <v>60</v>
      </c>
      <c r="Q16" s="634">
        <v>99</v>
      </c>
      <c r="R16" s="310"/>
      <c r="S16" s="634">
        <v>40</v>
      </c>
      <c r="T16" s="634">
        <v>60</v>
      </c>
      <c r="U16" s="635">
        <v>99</v>
      </c>
      <c r="V16" s="494"/>
    </row>
    <row r="17" spans="1:22" ht="30" customHeight="1" x14ac:dyDescent="0.45">
      <c r="A17" s="591" t="s">
        <v>10</v>
      </c>
      <c r="B17" s="581">
        <f>B6</f>
        <v>2500</v>
      </c>
      <c r="C17" s="563"/>
      <c r="D17" s="10"/>
      <c r="E17" s="10"/>
      <c r="F17" s="10"/>
      <c r="G17" s="574"/>
      <c r="H17" s="63" t="s">
        <v>10</v>
      </c>
      <c r="I17" s="564">
        <v>2500</v>
      </c>
      <c r="J17" s="563"/>
      <c r="K17" s="10"/>
      <c r="L17" s="10"/>
      <c r="M17" s="10"/>
      <c r="N17" s="207"/>
      <c r="O17" s="636">
        <f>D31</f>
        <v>7.2402105263157894</v>
      </c>
      <c r="P17" s="637">
        <f t="shared" ref="P17:Q17" si="4">E31</f>
        <v>8.2745263157894744</v>
      </c>
      <c r="Q17" s="637">
        <f t="shared" si="4"/>
        <v>10.291442105263158</v>
      </c>
      <c r="R17" s="638"/>
      <c r="S17" s="637">
        <f>K30</f>
        <v>8.8282894736842117</v>
      </c>
      <c r="T17" s="637">
        <f>L30</f>
        <v>10.463157894736844</v>
      </c>
      <c r="U17" s="639">
        <f>M30</f>
        <v>13.013552631578948</v>
      </c>
      <c r="V17" s="494"/>
    </row>
    <row r="18" spans="1:22" ht="30" customHeight="1" x14ac:dyDescent="0.45">
      <c r="A18" s="591" t="s">
        <v>27</v>
      </c>
      <c r="B18" s="569">
        <v>250</v>
      </c>
      <c r="C18" s="563"/>
      <c r="D18" s="565" t="s">
        <v>22</v>
      </c>
      <c r="E18" s="565" t="s">
        <v>23</v>
      </c>
      <c r="F18" s="565" t="s">
        <v>24</v>
      </c>
      <c r="G18" s="574"/>
      <c r="H18" s="63" t="s">
        <v>27</v>
      </c>
      <c r="I18" s="569">
        <v>250</v>
      </c>
      <c r="J18" s="563"/>
      <c r="K18" s="565" t="s">
        <v>22</v>
      </c>
      <c r="L18" s="565" t="s">
        <v>23</v>
      </c>
      <c r="M18" s="565" t="s">
        <v>24</v>
      </c>
      <c r="N18" s="207"/>
      <c r="O18" s="592"/>
      <c r="P18" s="43"/>
      <c r="Q18" s="52"/>
      <c r="R18" s="52"/>
      <c r="S18" s="52"/>
      <c r="T18" s="52"/>
      <c r="U18" s="52"/>
      <c r="V18" s="494"/>
    </row>
    <row r="19" spans="1:22" ht="30" customHeight="1" x14ac:dyDescent="0.45">
      <c r="A19" s="591" t="s">
        <v>28</v>
      </c>
      <c r="B19" s="569">
        <v>100</v>
      </c>
      <c r="C19" s="563"/>
      <c r="D19" s="576">
        <v>40</v>
      </c>
      <c r="E19" s="576">
        <v>60</v>
      </c>
      <c r="F19" s="576">
        <v>99</v>
      </c>
      <c r="G19" s="574"/>
      <c r="H19" s="63" t="s">
        <v>28</v>
      </c>
      <c r="I19" s="569">
        <v>100</v>
      </c>
      <c r="J19" s="563"/>
      <c r="K19" s="576">
        <v>40</v>
      </c>
      <c r="L19" s="576">
        <v>60</v>
      </c>
      <c r="M19" s="576">
        <v>99</v>
      </c>
      <c r="N19" s="207"/>
      <c r="O19" s="922" t="s">
        <v>394</v>
      </c>
      <c r="P19" s="916"/>
      <c r="Q19" s="916"/>
      <c r="R19" s="604"/>
      <c r="S19" s="916" t="s">
        <v>388</v>
      </c>
      <c r="T19" s="916"/>
      <c r="U19" s="917"/>
      <c r="V19" s="494"/>
    </row>
    <row r="20" spans="1:22" ht="30" customHeight="1" x14ac:dyDescent="0.45">
      <c r="A20" s="591" t="s">
        <v>106</v>
      </c>
      <c r="B20" s="569">
        <v>500</v>
      </c>
      <c r="C20" s="563"/>
      <c r="D20" s="574">
        <f>B23*1.4</f>
        <v>6.1202105263157893</v>
      </c>
      <c r="E20" s="574">
        <f>B23*1.6</f>
        <v>6.994526315789475</v>
      </c>
      <c r="F20" s="574">
        <f>B23*1.99</f>
        <v>8.6994421052631594</v>
      </c>
      <c r="G20" s="578"/>
      <c r="H20" s="63" t="s">
        <v>106</v>
      </c>
      <c r="I20" s="569">
        <v>500</v>
      </c>
      <c r="J20" s="563"/>
      <c r="K20" s="574">
        <f>I23*1.4</f>
        <v>6.9042105263157891</v>
      </c>
      <c r="L20" s="574">
        <f>I23*1.6</f>
        <v>7.8905263157894741</v>
      </c>
      <c r="M20" s="574">
        <f>I23*1.99</f>
        <v>9.8138421052631575</v>
      </c>
      <c r="N20" s="207"/>
      <c r="O20" s="605" t="s">
        <v>22</v>
      </c>
      <c r="P20" s="606" t="s">
        <v>23</v>
      </c>
      <c r="Q20" s="606" t="s">
        <v>24</v>
      </c>
      <c r="R20" s="607"/>
      <c r="S20" s="606" t="s">
        <v>22</v>
      </c>
      <c r="T20" s="606" t="s">
        <v>23</v>
      </c>
      <c r="U20" s="608" t="s">
        <v>24</v>
      </c>
      <c r="V20" s="494"/>
    </row>
    <row r="21" spans="1:22" ht="30" customHeight="1" x14ac:dyDescent="0.45">
      <c r="A21" s="591" t="s">
        <v>16</v>
      </c>
      <c r="B21" s="569">
        <v>250</v>
      </c>
      <c r="C21" s="563"/>
      <c r="D21" s="574"/>
      <c r="E21" s="574"/>
      <c r="F21" s="574"/>
      <c r="G21" s="578"/>
      <c r="H21" s="63" t="s">
        <v>16</v>
      </c>
      <c r="I21" s="569">
        <v>250</v>
      </c>
      <c r="J21" s="207"/>
      <c r="K21" s="574"/>
      <c r="L21" s="574"/>
      <c r="M21" s="574"/>
      <c r="N21" s="207"/>
      <c r="O21" s="609">
        <v>40</v>
      </c>
      <c r="P21" s="610">
        <v>60</v>
      </c>
      <c r="Q21" s="610">
        <v>99</v>
      </c>
      <c r="R21" s="607"/>
      <c r="S21" s="610">
        <v>40</v>
      </c>
      <c r="T21" s="610">
        <v>60</v>
      </c>
      <c r="U21" s="611">
        <v>99</v>
      </c>
      <c r="V21" s="494"/>
    </row>
    <row r="22" spans="1:22" ht="30" customHeight="1" thickBot="1" x14ac:dyDescent="0.5">
      <c r="A22" s="591" t="s">
        <v>18</v>
      </c>
      <c r="B22" s="579">
        <v>4000</v>
      </c>
      <c r="C22" s="563"/>
      <c r="D22" s="574"/>
      <c r="E22" s="574"/>
      <c r="F22" s="574"/>
      <c r="G22" s="574"/>
      <c r="H22" s="63" t="s">
        <v>18</v>
      </c>
      <c r="I22" s="579">
        <v>4000</v>
      </c>
      <c r="J22" s="207"/>
      <c r="K22" s="574"/>
      <c r="L22" s="574"/>
      <c r="M22" s="574"/>
      <c r="N22" s="207"/>
      <c r="O22" s="612">
        <f>D41</f>
        <v>7.9122105263157883</v>
      </c>
      <c r="P22" s="613">
        <f t="shared" ref="P22:Q22" si="5">E41</f>
        <v>9.0425263157894733</v>
      </c>
      <c r="Q22" s="613">
        <f t="shared" si="5"/>
        <v>11.246642105263158</v>
      </c>
      <c r="R22" s="614"/>
      <c r="S22" s="613">
        <f>K41</f>
        <v>9.1442105263157885</v>
      </c>
      <c r="T22" s="613">
        <f t="shared" ref="T22:U22" si="6">L41</f>
        <v>10.450526315789475</v>
      </c>
      <c r="U22" s="615">
        <f t="shared" si="6"/>
        <v>12.997842105263157</v>
      </c>
      <c r="V22" s="494"/>
    </row>
    <row r="23" spans="1:22" ht="30" customHeight="1" x14ac:dyDescent="0.45">
      <c r="A23" s="591"/>
      <c r="B23" s="118">
        <f>SUM(B15:B22)/E2</f>
        <v>4.3715789473684215</v>
      </c>
      <c r="C23" s="563"/>
      <c r="D23" s="574"/>
      <c r="E23" s="574"/>
      <c r="F23" s="574"/>
      <c r="G23" s="574"/>
      <c r="H23" s="63"/>
      <c r="I23" s="64">
        <f>SUM(I15:I22)/E2</f>
        <v>4.9315789473684211</v>
      </c>
      <c r="J23" s="569"/>
      <c r="K23" s="574"/>
      <c r="L23" s="574"/>
      <c r="M23" s="574"/>
      <c r="N23" s="207"/>
      <c r="O23" s="592"/>
      <c r="P23" s="43"/>
      <c r="Q23" s="52"/>
      <c r="R23" s="52"/>
      <c r="S23" s="52"/>
      <c r="T23" s="52"/>
      <c r="U23" s="52"/>
      <c r="V23" s="494"/>
    </row>
    <row r="24" spans="1:22" ht="30" customHeight="1" x14ac:dyDescent="0.55000000000000004">
      <c r="A24" s="591"/>
      <c r="B24" s="118"/>
      <c r="C24" s="563"/>
      <c r="D24" s="574"/>
      <c r="E24" s="574"/>
      <c r="F24" s="574"/>
      <c r="G24" s="574"/>
      <c r="H24" s="701" t="s">
        <v>382</v>
      </c>
      <c r="I24" s="701"/>
      <c r="J24" s="642"/>
      <c r="K24" s="643"/>
      <c r="L24" s="643"/>
      <c r="M24" s="643"/>
      <c r="N24" s="207"/>
      <c r="O24" s="922" t="s">
        <v>393</v>
      </c>
      <c r="P24" s="916"/>
      <c r="Q24" s="916"/>
      <c r="R24" s="916"/>
      <c r="S24" s="916" t="s">
        <v>389</v>
      </c>
      <c r="T24" s="916"/>
      <c r="U24" s="917"/>
      <c r="V24" s="494"/>
    </row>
    <row r="25" spans="1:22" s="538" customFormat="1" ht="30" customHeight="1" x14ac:dyDescent="0.55000000000000004">
      <c r="A25" s="927" t="s">
        <v>383</v>
      </c>
      <c r="B25" s="927"/>
      <c r="C25" s="642"/>
      <c r="D25" s="643"/>
      <c r="E25" s="643"/>
      <c r="F25" s="643"/>
      <c r="G25" s="644"/>
      <c r="H25" s="645" t="s">
        <v>9</v>
      </c>
      <c r="I25" s="646">
        <f>1*4*E2</f>
        <v>15200</v>
      </c>
      <c r="J25" s="647"/>
      <c r="K25" s="648"/>
      <c r="L25" s="648"/>
      <c r="M25" s="648"/>
      <c r="N25" s="583"/>
      <c r="O25" s="605" t="s">
        <v>22</v>
      </c>
      <c r="P25" s="606" t="s">
        <v>23</v>
      </c>
      <c r="Q25" s="606" t="s">
        <v>24</v>
      </c>
      <c r="R25" s="607"/>
      <c r="S25" s="606" t="s">
        <v>22</v>
      </c>
      <c r="T25" s="606" t="s">
        <v>23</v>
      </c>
      <c r="U25" s="608" t="s">
        <v>24</v>
      </c>
      <c r="V25" s="494"/>
    </row>
    <row r="26" spans="1:22" ht="30" customHeight="1" x14ac:dyDescent="0.45">
      <c r="A26" s="645" t="s">
        <v>9</v>
      </c>
      <c r="B26" s="646">
        <f>0.8*3.8*E2</f>
        <v>11552</v>
      </c>
      <c r="C26" s="647"/>
      <c r="D26" s="648"/>
      <c r="E26" s="648"/>
      <c r="F26" s="648"/>
      <c r="G26" s="649"/>
      <c r="H26" s="645" t="s">
        <v>1</v>
      </c>
      <c r="I26" s="646">
        <v>500</v>
      </c>
      <c r="J26" s="647"/>
      <c r="K26" s="650"/>
      <c r="L26" s="650"/>
      <c r="M26" s="650"/>
      <c r="N26" s="207"/>
      <c r="O26" s="609">
        <v>40</v>
      </c>
      <c r="P26" s="610">
        <v>60</v>
      </c>
      <c r="Q26" s="610">
        <v>99</v>
      </c>
      <c r="R26" s="607"/>
      <c r="S26" s="610">
        <v>40</v>
      </c>
      <c r="T26" s="610">
        <v>60</v>
      </c>
      <c r="U26" s="611">
        <v>99</v>
      </c>
      <c r="V26" s="494"/>
    </row>
    <row r="27" spans="1:22" ht="30" customHeight="1" x14ac:dyDescent="0.45">
      <c r="A27" s="645" t="s">
        <v>1</v>
      </c>
      <c r="B27" s="646">
        <f>B16</f>
        <v>500</v>
      </c>
      <c r="C27" s="647"/>
      <c r="D27" s="650"/>
      <c r="E27" s="650"/>
      <c r="F27" s="650"/>
      <c r="G27" s="649"/>
      <c r="H27" s="645" t="s">
        <v>10</v>
      </c>
      <c r="I27" s="646">
        <v>2000</v>
      </c>
      <c r="J27" s="647"/>
      <c r="K27" s="650"/>
      <c r="L27" s="650"/>
      <c r="M27" s="650"/>
      <c r="N27" s="207"/>
      <c r="O27" s="612">
        <f>D51</f>
        <v>7.3522105263157895</v>
      </c>
      <c r="P27" s="613">
        <f t="shared" ref="P27:Q27" si="7">E51</f>
        <v>8.4025263157894745</v>
      </c>
      <c r="Q27" s="613">
        <f t="shared" si="7"/>
        <v>10.450642105263158</v>
      </c>
      <c r="R27" s="614"/>
      <c r="S27" s="613">
        <f>K51</f>
        <v>8.4442105263157892</v>
      </c>
      <c r="T27" s="613">
        <f t="shared" ref="T27:U27" si="8">L51</f>
        <v>9.6505263157894738</v>
      </c>
      <c r="U27" s="615">
        <f t="shared" si="8"/>
        <v>12.002842105263158</v>
      </c>
      <c r="V27" s="494"/>
    </row>
    <row r="28" spans="1:22" ht="30" customHeight="1" x14ac:dyDescent="0.35">
      <c r="A28" s="645" t="s">
        <v>10</v>
      </c>
      <c r="B28" s="646">
        <f>B17</f>
        <v>2500</v>
      </c>
      <c r="C28" s="647"/>
      <c r="D28" s="650"/>
      <c r="E28" s="650"/>
      <c r="F28" s="650"/>
      <c r="G28" s="649"/>
      <c r="H28" s="645" t="s">
        <v>106</v>
      </c>
      <c r="I28" s="646">
        <v>500</v>
      </c>
      <c r="J28" s="647"/>
      <c r="K28" s="651" t="s">
        <v>22</v>
      </c>
      <c r="L28" s="651" t="s">
        <v>23</v>
      </c>
      <c r="M28" s="651" t="s">
        <v>24</v>
      </c>
      <c r="N28" s="207"/>
      <c r="O28" s="10"/>
      <c r="P28" s="3"/>
    </row>
    <row r="29" spans="1:22" ht="30" customHeight="1" x14ac:dyDescent="0.45">
      <c r="A29" s="645" t="s">
        <v>17</v>
      </c>
      <c r="B29" s="646">
        <v>500</v>
      </c>
      <c r="C29" s="647"/>
      <c r="D29" s="651" t="s">
        <v>22</v>
      </c>
      <c r="E29" s="651" t="s">
        <v>23</v>
      </c>
      <c r="F29" s="651" t="s">
        <v>24</v>
      </c>
      <c r="G29" s="649"/>
      <c r="H29" s="645" t="s">
        <v>27</v>
      </c>
      <c r="I29" s="646">
        <v>250</v>
      </c>
      <c r="J29" s="647"/>
      <c r="K29" s="652">
        <v>40</v>
      </c>
      <c r="L29" s="652">
        <v>60</v>
      </c>
      <c r="M29" s="652">
        <v>99</v>
      </c>
      <c r="N29" s="207"/>
      <c r="O29" s="929" t="s">
        <v>391</v>
      </c>
      <c r="P29" s="930"/>
      <c r="Q29" s="930"/>
      <c r="R29" s="930"/>
      <c r="S29" s="930" t="s">
        <v>392</v>
      </c>
      <c r="T29" s="930"/>
      <c r="U29" s="931"/>
    </row>
    <row r="30" spans="1:22" ht="30" customHeight="1" x14ac:dyDescent="0.35">
      <c r="A30" s="645" t="s">
        <v>27</v>
      </c>
      <c r="B30" s="646">
        <v>250</v>
      </c>
      <c r="C30" s="647"/>
      <c r="D30" s="652">
        <v>40</v>
      </c>
      <c r="E30" s="652">
        <v>60</v>
      </c>
      <c r="F30" s="652">
        <v>99</v>
      </c>
      <c r="G30" s="653"/>
      <c r="H30" s="645" t="s">
        <v>28</v>
      </c>
      <c r="I30" s="646">
        <v>100</v>
      </c>
      <c r="J30" s="647"/>
      <c r="K30" s="648">
        <f>I34*1.35</f>
        <v>8.8282894736842117</v>
      </c>
      <c r="L30" s="648">
        <f>I34*1.6</f>
        <v>10.463157894736844</v>
      </c>
      <c r="M30" s="648">
        <f>I34*1.99</f>
        <v>13.013552631578948</v>
      </c>
      <c r="N30" s="207"/>
      <c r="O30" s="593" t="s">
        <v>22</v>
      </c>
      <c r="P30" s="594" t="s">
        <v>23</v>
      </c>
      <c r="Q30" s="594" t="s">
        <v>24</v>
      </c>
      <c r="R30" s="595"/>
      <c r="S30" s="594" t="s">
        <v>22</v>
      </c>
      <c r="T30" s="594" t="s">
        <v>23</v>
      </c>
      <c r="U30" s="596" t="s">
        <v>24</v>
      </c>
    </row>
    <row r="31" spans="1:22" ht="30" customHeight="1" x14ac:dyDescent="0.35">
      <c r="A31" s="645" t="s">
        <v>28</v>
      </c>
      <c r="B31" s="646">
        <v>100</v>
      </c>
      <c r="C31" s="647"/>
      <c r="D31" s="648">
        <f>B34*1.4</f>
        <v>7.2402105263157894</v>
      </c>
      <c r="E31" s="648">
        <f>B34*1.6</f>
        <v>8.2745263157894744</v>
      </c>
      <c r="F31" s="648">
        <f>B34*1.99</f>
        <v>10.291442105263158</v>
      </c>
      <c r="G31" s="653"/>
      <c r="H31" s="645" t="s">
        <v>16</v>
      </c>
      <c r="I31" s="646">
        <v>300</v>
      </c>
      <c r="J31" s="647"/>
      <c r="K31" s="648"/>
      <c r="L31" s="648"/>
      <c r="M31" s="648"/>
      <c r="N31" s="207"/>
      <c r="O31" s="597">
        <v>40</v>
      </c>
      <c r="P31" s="598">
        <v>60</v>
      </c>
      <c r="Q31" s="598">
        <v>99</v>
      </c>
      <c r="R31" s="595"/>
      <c r="S31" s="598">
        <v>40</v>
      </c>
      <c r="T31" s="598">
        <v>60</v>
      </c>
      <c r="U31" s="599">
        <v>99</v>
      </c>
    </row>
    <row r="32" spans="1:22" ht="30" customHeight="1" x14ac:dyDescent="0.35">
      <c r="A32" s="645" t="s">
        <v>16</v>
      </c>
      <c r="B32" s="646">
        <v>250</v>
      </c>
      <c r="C32" s="647"/>
      <c r="D32" s="648"/>
      <c r="E32" s="648"/>
      <c r="F32" s="648"/>
      <c r="G32" s="654"/>
      <c r="H32" s="645" t="s">
        <v>58</v>
      </c>
      <c r="I32" s="646">
        <v>4000</v>
      </c>
      <c r="N32" s="207"/>
      <c r="O32" s="600">
        <f>'FRA MUSE MICR'!H8</f>
        <v>5.7362500000000001</v>
      </c>
      <c r="P32" s="601">
        <f>'FRA MUSE MICR'!I8</f>
        <v>6.6187499999999995</v>
      </c>
      <c r="Q32" s="601">
        <f>'FRA MUSE MICR'!J8</f>
        <v>7.5012499999999989</v>
      </c>
      <c r="R32" s="602"/>
      <c r="S32" s="601">
        <f>'FRA MUSE MICR'!H27</f>
        <v>8.1087500000000006</v>
      </c>
      <c r="T32" s="601">
        <f>'FRA MUSE MICR'!I27</f>
        <v>10.60375</v>
      </c>
      <c r="U32" s="603">
        <f>'FRA MUSE MICR'!J27</f>
        <v>11.851249999999999</v>
      </c>
    </row>
    <row r="33" spans="1:21" ht="30" customHeight="1" thickBot="1" x14ac:dyDescent="0.4">
      <c r="A33" s="645" t="s">
        <v>18</v>
      </c>
      <c r="B33" s="655">
        <v>4000</v>
      </c>
      <c r="C33" s="647"/>
      <c r="D33" s="648"/>
      <c r="E33" s="648"/>
      <c r="F33" s="648"/>
      <c r="G33" s="654"/>
      <c r="H33" s="645" t="s">
        <v>18</v>
      </c>
      <c r="I33" s="655">
        <v>2000</v>
      </c>
      <c r="J33" s="647"/>
      <c r="K33" s="648"/>
      <c r="L33" s="648"/>
      <c r="M33" s="648"/>
      <c r="N33" s="207"/>
      <c r="O33" s="10"/>
      <c r="P33" s="3"/>
    </row>
    <row r="34" spans="1:21" ht="30" customHeight="1" x14ac:dyDescent="0.45">
      <c r="A34" s="645"/>
      <c r="B34" s="646">
        <f>SUM(B26:B33)/E2</f>
        <v>5.1715789473684213</v>
      </c>
      <c r="C34" s="647"/>
      <c r="D34" s="648"/>
      <c r="E34" s="648"/>
      <c r="F34" s="648"/>
      <c r="G34" s="645"/>
      <c r="H34" s="645"/>
      <c r="I34" s="646">
        <f>SUM(I25:I33)/E2</f>
        <v>6.5394736842105265</v>
      </c>
      <c r="J34" s="647"/>
      <c r="K34" s="648"/>
      <c r="L34" s="648"/>
      <c r="M34" s="648"/>
      <c r="N34" s="207"/>
      <c r="O34" s="934" t="s">
        <v>395</v>
      </c>
      <c r="P34" s="932"/>
      <c r="Q34" s="932"/>
      <c r="R34" s="932"/>
      <c r="S34" s="932" t="s">
        <v>396</v>
      </c>
      <c r="T34" s="932"/>
      <c r="U34" s="933"/>
    </row>
    <row r="35" spans="1:21" ht="30" customHeight="1" x14ac:dyDescent="0.55000000000000004">
      <c r="A35" s="925" t="s">
        <v>386</v>
      </c>
      <c r="B35" s="925"/>
      <c r="C35" s="583"/>
      <c r="D35" s="561"/>
      <c r="E35" s="561"/>
      <c r="F35" s="561"/>
      <c r="G35" s="584"/>
      <c r="H35" s="925" t="s">
        <v>388</v>
      </c>
      <c r="I35" s="925"/>
      <c r="J35" s="583"/>
      <c r="K35" s="561"/>
      <c r="L35" s="561"/>
      <c r="M35" s="561"/>
      <c r="N35" s="10"/>
      <c r="O35" s="616" t="s">
        <v>22</v>
      </c>
      <c r="P35" s="617" t="s">
        <v>23</v>
      </c>
      <c r="Q35" s="617" t="s">
        <v>24</v>
      </c>
      <c r="R35" s="618"/>
      <c r="S35" s="617" t="s">
        <v>22</v>
      </c>
      <c r="T35" s="617" t="s">
        <v>23</v>
      </c>
      <c r="U35" s="619" t="s">
        <v>24</v>
      </c>
    </row>
    <row r="36" spans="1:21" ht="30" customHeight="1" x14ac:dyDescent="0.35">
      <c r="A36" s="63" t="s">
        <v>9</v>
      </c>
      <c r="B36" s="569">
        <f>0.8*4.4*E2</f>
        <v>13376.000000000002</v>
      </c>
      <c r="C36" s="563"/>
      <c r="D36" s="574"/>
      <c r="E36" s="574"/>
      <c r="F36" s="574"/>
      <c r="G36" s="577"/>
      <c r="H36" s="63" t="s">
        <v>9</v>
      </c>
      <c r="I36" s="569">
        <f>1*4.4*E2</f>
        <v>16720</v>
      </c>
      <c r="J36" s="563"/>
      <c r="K36" s="574"/>
      <c r="L36" s="574"/>
      <c r="M36" s="574"/>
      <c r="N36" s="10"/>
      <c r="O36" s="620">
        <v>40</v>
      </c>
      <c r="P36" s="621">
        <v>60</v>
      </c>
      <c r="Q36" s="621">
        <v>99</v>
      </c>
      <c r="R36" s="618"/>
      <c r="S36" s="622">
        <v>40</v>
      </c>
      <c r="T36" s="622">
        <v>60</v>
      </c>
      <c r="U36" s="623">
        <v>99</v>
      </c>
    </row>
    <row r="37" spans="1:21" ht="30" customHeight="1" x14ac:dyDescent="0.35">
      <c r="A37" s="63" t="s">
        <v>1</v>
      </c>
      <c r="B37" s="569">
        <v>500</v>
      </c>
      <c r="C37" s="563"/>
      <c r="D37" s="10"/>
      <c r="E37" s="10"/>
      <c r="F37" s="10"/>
      <c r="G37" s="577"/>
      <c r="H37" s="63" t="s">
        <v>1</v>
      </c>
      <c r="I37" s="569">
        <v>500</v>
      </c>
      <c r="J37" s="563"/>
      <c r="K37" s="10"/>
      <c r="L37" s="10"/>
      <c r="M37" s="10"/>
      <c r="N37" s="10"/>
      <c r="O37" s="624">
        <f>'FRA MUSE MICR'!C8</f>
        <v>5.1134999999999993</v>
      </c>
      <c r="P37" s="625">
        <f>'FRA MUSE MICR'!D8</f>
        <v>5.8440000000000003</v>
      </c>
      <c r="Q37" s="625">
        <f>'FRA MUSE MICR'!E8</f>
        <v>7.2684749999999996</v>
      </c>
      <c r="R37" s="626"/>
      <c r="S37" s="625">
        <f>'FRA MUSE MICR'!C27</f>
        <v>3.9724999999999997</v>
      </c>
      <c r="T37" s="625">
        <f>'FRA MUSE MICR'!D27</f>
        <v>4.54</v>
      </c>
      <c r="U37" s="627">
        <f>'FRA MUSE MICR'!E27</f>
        <v>5.6466250000000002</v>
      </c>
    </row>
    <row r="38" spans="1:21" ht="30" customHeight="1" x14ac:dyDescent="0.35">
      <c r="A38" s="63" t="s">
        <v>10</v>
      </c>
      <c r="B38" s="569">
        <v>2500</v>
      </c>
      <c r="C38" s="563"/>
      <c r="D38" s="10"/>
      <c r="E38" s="10"/>
      <c r="F38" s="10"/>
      <c r="G38" s="577"/>
      <c r="H38" s="63" t="s">
        <v>10</v>
      </c>
      <c r="I38" s="569">
        <v>2500</v>
      </c>
      <c r="J38" s="563"/>
      <c r="K38" s="10"/>
      <c r="L38" s="10"/>
      <c r="M38" s="10"/>
      <c r="N38" s="10"/>
      <c r="O38" s="10"/>
    </row>
    <row r="39" spans="1:21" ht="30" customHeight="1" x14ac:dyDescent="0.35">
      <c r="A39" s="63" t="s">
        <v>17</v>
      </c>
      <c r="B39" s="569">
        <v>500</v>
      </c>
      <c r="C39" s="563"/>
      <c r="D39" s="565" t="s">
        <v>22</v>
      </c>
      <c r="E39" s="565" t="s">
        <v>384</v>
      </c>
      <c r="F39" s="565" t="s">
        <v>24</v>
      </c>
      <c r="G39" s="577"/>
      <c r="H39" s="63" t="s">
        <v>106</v>
      </c>
      <c r="I39" s="569">
        <v>500</v>
      </c>
      <c r="J39" s="563"/>
      <c r="K39" s="565" t="s">
        <v>22</v>
      </c>
      <c r="L39" s="565" t="s">
        <v>384</v>
      </c>
      <c r="M39" s="565" t="s">
        <v>24</v>
      </c>
      <c r="N39" s="10"/>
    </row>
    <row r="40" spans="1:21" ht="30" customHeight="1" x14ac:dyDescent="0.35">
      <c r="A40" s="63" t="s">
        <v>27</v>
      </c>
      <c r="B40" s="569">
        <v>250</v>
      </c>
      <c r="C40" s="563"/>
      <c r="D40" s="576">
        <v>40</v>
      </c>
      <c r="E40" s="576">
        <v>60</v>
      </c>
      <c r="F40" s="576">
        <v>99</v>
      </c>
      <c r="G40" s="573"/>
      <c r="H40" s="63" t="s">
        <v>27</v>
      </c>
      <c r="I40" s="569">
        <v>250</v>
      </c>
      <c r="J40" s="563"/>
      <c r="K40" s="576">
        <v>40</v>
      </c>
      <c r="L40" s="576">
        <v>60</v>
      </c>
      <c r="M40" s="576">
        <v>99</v>
      </c>
      <c r="N40" s="10"/>
    </row>
    <row r="41" spans="1:21" ht="30" customHeight="1" x14ac:dyDescent="0.35">
      <c r="A41" s="63" t="s">
        <v>28</v>
      </c>
      <c r="B41" s="569">
        <v>100</v>
      </c>
      <c r="C41" s="563"/>
      <c r="D41" s="574">
        <f>B44*1.4</f>
        <v>7.9122105263157883</v>
      </c>
      <c r="E41" s="574">
        <f>B44*1.6</f>
        <v>9.0425263157894733</v>
      </c>
      <c r="F41" s="574">
        <f>B44*1.99</f>
        <v>11.246642105263158</v>
      </c>
      <c r="G41" s="573"/>
      <c r="H41" s="63" t="s">
        <v>28</v>
      </c>
      <c r="I41" s="569">
        <v>100</v>
      </c>
      <c r="J41" s="563"/>
      <c r="K41" s="574">
        <f>I44*1.4</f>
        <v>9.1442105263157885</v>
      </c>
      <c r="L41" s="574">
        <f>I44*1.6</f>
        <v>10.450526315789475</v>
      </c>
      <c r="M41" s="574">
        <f>I44*1.99</f>
        <v>12.997842105263157</v>
      </c>
      <c r="N41" s="10"/>
    </row>
    <row r="42" spans="1:21" ht="30" customHeight="1" x14ac:dyDescent="0.35">
      <c r="A42" s="63" t="s">
        <v>16</v>
      </c>
      <c r="B42" s="569">
        <v>250</v>
      </c>
      <c r="C42" s="563"/>
      <c r="D42" s="574"/>
      <c r="E42" s="574"/>
      <c r="F42" s="574"/>
      <c r="G42" s="65"/>
      <c r="H42" s="63" t="s">
        <v>16</v>
      </c>
      <c r="I42" s="569">
        <v>250</v>
      </c>
      <c r="J42" s="563"/>
      <c r="K42" s="574"/>
      <c r="L42" s="574"/>
      <c r="M42" s="574"/>
      <c r="N42" s="10"/>
    </row>
    <row r="43" spans="1:21" ht="30" customHeight="1" thickBot="1" x14ac:dyDescent="0.4">
      <c r="A43" s="63" t="s">
        <v>18</v>
      </c>
      <c r="B43" s="579">
        <v>4000</v>
      </c>
      <c r="C43" s="563"/>
      <c r="D43" s="574"/>
      <c r="E43" s="574"/>
      <c r="F43" s="574"/>
      <c r="G43" s="65"/>
      <c r="H43" s="63" t="s">
        <v>18</v>
      </c>
      <c r="I43" s="579">
        <v>4000</v>
      </c>
      <c r="J43" s="563"/>
      <c r="K43" s="574"/>
      <c r="L43" s="574"/>
      <c r="M43" s="574"/>
      <c r="N43" s="10"/>
    </row>
    <row r="44" spans="1:21" ht="30" customHeight="1" x14ac:dyDescent="0.35">
      <c r="A44" s="63"/>
      <c r="B44" s="569">
        <f>SUM(B36:B43)/E2</f>
        <v>5.6515789473684208</v>
      </c>
      <c r="C44" s="563"/>
      <c r="D44" s="574"/>
      <c r="E44" s="574"/>
      <c r="F44" s="574"/>
      <c r="G44" s="63"/>
      <c r="H44" s="63"/>
      <c r="I44" s="569">
        <f>SUM(I36:I43)/E2</f>
        <v>6.5315789473684207</v>
      </c>
      <c r="J44" s="563"/>
      <c r="K44" s="574"/>
      <c r="L44" s="574"/>
      <c r="M44" s="574"/>
      <c r="N44" s="10"/>
    </row>
    <row r="45" spans="1:21" ht="30" customHeight="1" x14ac:dyDescent="0.55000000000000004">
      <c r="A45" s="923" t="s">
        <v>387</v>
      </c>
      <c r="B45" s="923"/>
      <c r="C45" s="583"/>
      <c r="D45" s="561"/>
      <c r="E45" s="561"/>
      <c r="F45" s="561"/>
      <c r="G45" s="584"/>
      <c r="H45" s="923" t="s">
        <v>389</v>
      </c>
      <c r="I45" s="923"/>
      <c r="J45" s="583"/>
      <c r="K45" s="561"/>
      <c r="L45" s="561"/>
      <c r="M45" s="561"/>
      <c r="N45" s="10"/>
    </row>
    <row r="46" spans="1:21" ht="30" customHeight="1" x14ac:dyDescent="0.35">
      <c r="A46" s="63" t="s">
        <v>9</v>
      </c>
      <c r="B46" s="569">
        <f>0.8*3.9*E2</f>
        <v>11856</v>
      </c>
      <c r="C46" s="563"/>
      <c r="D46" s="574"/>
      <c r="E46" s="574"/>
      <c r="F46" s="574"/>
      <c r="G46" s="577"/>
      <c r="H46" s="63" t="s">
        <v>9</v>
      </c>
      <c r="I46" s="569">
        <f>1*3.9*E2</f>
        <v>14820</v>
      </c>
      <c r="J46" s="563"/>
      <c r="K46" s="574"/>
      <c r="L46" s="574"/>
      <c r="M46" s="574"/>
      <c r="N46" s="10"/>
    </row>
    <row r="47" spans="1:21" ht="30" customHeight="1" x14ac:dyDescent="0.35">
      <c r="A47" s="63" t="s">
        <v>1</v>
      </c>
      <c r="B47" s="569">
        <v>500</v>
      </c>
      <c r="C47" s="563"/>
      <c r="D47" s="10"/>
      <c r="E47" s="10"/>
      <c r="F47" s="10"/>
      <c r="G47" s="577"/>
      <c r="H47" s="63" t="s">
        <v>1</v>
      </c>
      <c r="I47" s="569">
        <v>500</v>
      </c>
      <c r="J47" s="563"/>
      <c r="K47" s="10"/>
      <c r="L47" s="10"/>
      <c r="M47" s="10"/>
      <c r="N47" s="10"/>
    </row>
    <row r="48" spans="1:21" ht="30" customHeight="1" x14ac:dyDescent="0.35">
      <c r="A48" s="63" t="s">
        <v>10</v>
      </c>
      <c r="B48" s="569">
        <v>2500</v>
      </c>
      <c r="C48" s="563"/>
      <c r="D48" s="10"/>
      <c r="E48" s="10"/>
      <c r="F48" s="10"/>
      <c r="G48" s="577"/>
      <c r="H48" s="63" t="s">
        <v>10</v>
      </c>
      <c r="I48" s="569">
        <v>2500</v>
      </c>
      <c r="J48" s="563"/>
      <c r="K48" s="10"/>
      <c r="L48" s="10"/>
      <c r="M48" s="10"/>
      <c r="N48" s="10"/>
    </row>
    <row r="49" spans="1:15" ht="30" customHeight="1" x14ac:dyDescent="0.35">
      <c r="A49" s="63" t="s">
        <v>17</v>
      </c>
      <c r="B49" s="569">
        <v>500</v>
      </c>
      <c r="C49" s="563"/>
      <c r="D49" s="565" t="s">
        <v>22</v>
      </c>
      <c r="E49" s="565" t="s">
        <v>385</v>
      </c>
      <c r="F49" s="565" t="s">
        <v>24</v>
      </c>
      <c r="G49" s="577"/>
      <c r="H49" s="63" t="s">
        <v>106</v>
      </c>
      <c r="I49" s="569">
        <v>500</v>
      </c>
      <c r="J49" s="563"/>
      <c r="K49" s="565" t="s">
        <v>22</v>
      </c>
      <c r="L49" s="565" t="s">
        <v>385</v>
      </c>
      <c r="M49" s="565" t="s">
        <v>24</v>
      </c>
      <c r="N49" s="10"/>
    </row>
    <row r="50" spans="1:15" ht="30" customHeight="1" x14ac:dyDescent="0.35">
      <c r="A50" s="63" t="s">
        <v>27</v>
      </c>
      <c r="B50" s="569">
        <v>250</v>
      </c>
      <c r="C50" s="563"/>
      <c r="D50" s="576">
        <v>40</v>
      </c>
      <c r="E50" s="576">
        <v>60</v>
      </c>
      <c r="F50" s="576">
        <v>99</v>
      </c>
      <c r="G50" s="573"/>
      <c r="H50" s="63" t="s">
        <v>27</v>
      </c>
      <c r="I50" s="569">
        <v>250</v>
      </c>
      <c r="J50" s="563"/>
      <c r="K50" s="576">
        <v>40</v>
      </c>
      <c r="L50" s="576">
        <v>60</v>
      </c>
      <c r="M50" s="576">
        <v>99</v>
      </c>
      <c r="N50" s="10"/>
    </row>
    <row r="51" spans="1:15" ht="30" customHeight="1" x14ac:dyDescent="0.35">
      <c r="A51" s="63" t="s">
        <v>28</v>
      </c>
      <c r="B51" s="569">
        <v>100</v>
      </c>
      <c r="C51" s="563"/>
      <c r="D51" s="574">
        <f>B54*1.4</f>
        <v>7.3522105263157895</v>
      </c>
      <c r="E51" s="574">
        <f>B54*1.6</f>
        <v>8.4025263157894745</v>
      </c>
      <c r="F51" s="574">
        <f>B54*1.99</f>
        <v>10.450642105263158</v>
      </c>
      <c r="G51" s="573"/>
      <c r="H51" s="63" t="s">
        <v>28</v>
      </c>
      <c r="I51" s="569">
        <v>100</v>
      </c>
      <c r="J51" s="563"/>
      <c r="K51" s="574">
        <f>I54*1.4</f>
        <v>8.4442105263157892</v>
      </c>
      <c r="L51" s="574">
        <f>I54*1.6</f>
        <v>9.6505263157894738</v>
      </c>
      <c r="M51" s="574">
        <f>I54*1.99</f>
        <v>12.002842105263158</v>
      </c>
      <c r="N51" s="10"/>
    </row>
    <row r="52" spans="1:15" ht="30" customHeight="1" x14ac:dyDescent="0.35">
      <c r="A52" s="63" t="s">
        <v>16</v>
      </c>
      <c r="B52" s="569">
        <v>250</v>
      </c>
      <c r="C52" s="563"/>
      <c r="D52" s="574"/>
      <c r="E52" s="574"/>
      <c r="F52" s="574"/>
      <c r="G52" s="65"/>
      <c r="H52" s="63" t="s">
        <v>16</v>
      </c>
      <c r="I52" s="569">
        <v>250</v>
      </c>
      <c r="J52" s="563"/>
      <c r="K52" s="574"/>
      <c r="L52" s="574"/>
      <c r="M52" s="574"/>
      <c r="N52" s="10"/>
    </row>
    <row r="53" spans="1:15" ht="30" customHeight="1" thickBot="1" x14ac:dyDescent="0.4">
      <c r="A53" s="63" t="s">
        <v>18</v>
      </c>
      <c r="B53" s="579">
        <v>4000</v>
      </c>
      <c r="C53" s="563"/>
      <c r="D53" s="574"/>
      <c r="E53" s="574"/>
      <c r="F53" s="574"/>
      <c r="G53" s="65"/>
      <c r="H53" s="63" t="s">
        <v>18</v>
      </c>
      <c r="I53" s="579">
        <v>4000</v>
      </c>
      <c r="J53" s="563"/>
      <c r="K53" s="574"/>
      <c r="L53" s="574"/>
      <c r="M53" s="574"/>
      <c r="N53" s="10"/>
    </row>
    <row r="54" spans="1:15" ht="30" customHeight="1" x14ac:dyDescent="0.35">
      <c r="A54" s="63"/>
      <c r="B54" s="569">
        <f>SUM(B46:B53)/E2</f>
        <v>5.2515789473684213</v>
      </c>
      <c r="C54" s="563"/>
      <c r="D54" s="574"/>
      <c r="E54" s="574"/>
      <c r="F54" s="574"/>
      <c r="G54" s="63"/>
      <c r="H54" s="63"/>
      <c r="I54" s="569">
        <f>SUM(I46:I53)/E2</f>
        <v>6.0315789473684207</v>
      </c>
      <c r="J54" s="563"/>
      <c r="K54" s="574"/>
      <c r="L54" s="574"/>
      <c r="M54" s="574"/>
      <c r="N54" s="10"/>
    </row>
    <row r="55" spans="1:15" s="3" customFormat="1" ht="30" customHeight="1" x14ac:dyDescent="0.55000000000000004">
      <c r="A55" s="589"/>
      <c r="B55" s="589"/>
      <c r="C55" s="583"/>
      <c r="D55" s="561"/>
      <c r="E55" s="561"/>
      <c r="F55" s="561"/>
      <c r="G55" s="584"/>
      <c r="H55" s="590"/>
      <c r="I55" s="590"/>
      <c r="J55" s="583"/>
      <c r="K55" s="561"/>
      <c r="L55" s="561"/>
      <c r="M55" s="561"/>
      <c r="N55" s="10"/>
      <c r="O55" s="10"/>
    </row>
    <row r="56" spans="1:15" s="3" customFormat="1" ht="30" customHeight="1" x14ac:dyDescent="0.35">
      <c r="A56" s="63"/>
      <c r="B56" s="569"/>
      <c r="C56" s="563"/>
      <c r="D56" s="574"/>
      <c r="E56" s="574"/>
      <c r="F56" s="574"/>
      <c r="G56" s="577"/>
      <c r="H56" s="63"/>
      <c r="I56" s="569"/>
      <c r="J56" s="563"/>
      <c r="K56" s="574"/>
      <c r="L56" s="574"/>
      <c r="M56" s="574"/>
      <c r="N56" s="10"/>
      <c r="O56" s="10"/>
    </row>
    <row r="57" spans="1:15" s="3" customFormat="1" ht="30" customHeight="1" x14ac:dyDescent="0.35">
      <c r="A57" s="63"/>
      <c r="B57" s="569"/>
      <c r="C57" s="563"/>
      <c r="D57" s="10"/>
      <c r="E57" s="10"/>
      <c r="F57" s="10"/>
      <c r="G57" s="577"/>
      <c r="H57" s="63"/>
      <c r="I57" s="569"/>
      <c r="J57" s="563"/>
      <c r="K57" s="10"/>
      <c r="L57" s="10"/>
      <c r="M57" s="10"/>
      <c r="N57" s="10"/>
      <c r="O57" s="10"/>
    </row>
    <row r="58" spans="1:15" s="3" customFormat="1" ht="30" customHeight="1" x14ac:dyDescent="0.35">
      <c r="A58" s="63"/>
      <c r="B58" s="569"/>
      <c r="C58" s="563"/>
      <c r="D58" s="10"/>
      <c r="E58" s="10"/>
      <c r="F58" s="10"/>
      <c r="G58" s="577"/>
      <c r="H58" s="63"/>
      <c r="I58" s="569"/>
      <c r="J58" s="563"/>
      <c r="K58" s="10"/>
      <c r="L58" s="10"/>
      <c r="M58" s="10"/>
      <c r="N58" s="10"/>
      <c r="O58" s="10"/>
    </row>
    <row r="59" spans="1:15" s="3" customFormat="1" ht="30" customHeight="1" x14ac:dyDescent="0.35">
      <c r="A59" s="63"/>
      <c r="B59" s="569"/>
      <c r="C59" s="563"/>
      <c r="D59" s="565"/>
      <c r="E59" s="565"/>
      <c r="F59" s="565"/>
      <c r="G59" s="577"/>
      <c r="H59" s="63"/>
      <c r="I59" s="569"/>
      <c r="J59" s="563"/>
      <c r="K59" s="565"/>
      <c r="L59" s="565"/>
      <c r="M59" s="565"/>
      <c r="N59" s="10"/>
      <c r="O59" s="10"/>
    </row>
    <row r="60" spans="1:15" s="3" customFormat="1" ht="30" customHeight="1" x14ac:dyDescent="0.35">
      <c r="A60" s="63"/>
      <c r="B60" s="569"/>
      <c r="C60" s="563"/>
      <c r="D60" s="576"/>
      <c r="E60" s="576"/>
      <c r="F60" s="576"/>
      <c r="G60" s="573"/>
      <c r="H60" s="63"/>
      <c r="I60" s="569"/>
      <c r="J60" s="563"/>
      <c r="K60" s="576"/>
      <c r="L60" s="576"/>
      <c r="M60" s="576"/>
      <c r="N60" s="10"/>
      <c r="O60" s="10"/>
    </row>
    <row r="61" spans="1:15" s="3" customFormat="1" ht="30" customHeight="1" x14ac:dyDescent="0.35">
      <c r="A61" s="63"/>
      <c r="B61" s="569"/>
      <c r="C61" s="563"/>
      <c r="D61" s="574"/>
      <c r="E61" s="574"/>
      <c r="F61" s="574"/>
      <c r="G61" s="573"/>
      <c r="H61" s="63"/>
      <c r="I61" s="569"/>
      <c r="J61" s="563"/>
      <c r="K61" s="574"/>
      <c r="L61" s="574"/>
      <c r="M61" s="574"/>
      <c r="N61" s="10"/>
      <c r="O61" s="10"/>
    </row>
    <row r="62" spans="1:15" s="3" customFormat="1" ht="30" customHeight="1" x14ac:dyDescent="0.35">
      <c r="A62" s="63"/>
      <c r="B62" s="569"/>
      <c r="C62" s="563"/>
      <c r="D62" s="574"/>
      <c r="E62" s="574"/>
      <c r="F62" s="574"/>
      <c r="G62" s="65"/>
      <c r="H62" s="63"/>
      <c r="I62" s="569"/>
      <c r="J62" s="563"/>
      <c r="K62" s="574"/>
      <c r="L62" s="574"/>
      <c r="M62" s="574"/>
      <c r="N62" s="10"/>
      <c r="O62" s="10"/>
    </row>
    <row r="63" spans="1:15" s="3" customFormat="1" ht="30" customHeight="1" x14ac:dyDescent="0.35">
      <c r="A63" s="63"/>
      <c r="B63" s="569"/>
      <c r="C63" s="563"/>
      <c r="D63" s="574"/>
      <c r="E63" s="574"/>
      <c r="F63" s="574"/>
      <c r="G63" s="65"/>
      <c r="H63" s="63"/>
      <c r="I63" s="569"/>
      <c r="J63" s="563"/>
      <c r="K63" s="574"/>
      <c r="L63" s="574"/>
      <c r="M63" s="574"/>
      <c r="N63" s="10"/>
      <c r="O63" s="10"/>
    </row>
    <row r="64" spans="1:15" s="3" customFormat="1" ht="30" customHeight="1" x14ac:dyDescent="0.35">
      <c r="A64" s="63"/>
      <c r="B64" s="569"/>
      <c r="C64" s="563"/>
      <c r="D64" s="574"/>
      <c r="E64" s="574"/>
      <c r="F64" s="574"/>
      <c r="G64" s="63"/>
      <c r="H64" s="63"/>
      <c r="I64" s="569"/>
      <c r="J64" s="563"/>
      <c r="K64" s="574"/>
      <c r="L64" s="574"/>
      <c r="M64" s="574"/>
      <c r="N64" s="10"/>
      <c r="O64" s="10"/>
    </row>
  </sheetData>
  <mergeCells count="24">
    <mergeCell ref="P2:T2"/>
    <mergeCell ref="O29:R29"/>
    <mergeCell ref="S29:U29"/>
    <mergeCell ref="A35:B35"/>
    <mergeCell ref="H35:I35"/>
    <mergeCell ref="S34:U34"/>
    <mergeCell ref="O34:R34"/>
    <mergeCell ref="O19:Q19"/>
    <mergeCell ref="A45:B45"/>
    <mergeCell ref="H45:I45"/>
    <mergeCell ref="J2:M2"/>
    <mergeCell ref="A3:B3"/>
    <mergeCell ref="H3:I3"/>
    <mergeCell ref="A14:B14"/>
    <mergeCell ref="A25:B25"/>
    <mergeCell ref="S19:U19"/>
    <mergeCell ref="S24:U24"/>
    <mergeCell ref="O4:Q4"/>
    <mergeCell ref="O9:Q9"/>
    <mergeCell ref="S4:U4"/>
    <mergeCell ref="S9:U9"/>
    <mergeCell ref="O14:Q14"/>
    <mergeCell ref="S14:U14"/>
    <mergeCell ref="O24:R24"/>
  </mergeCells>
  <phoneticPr fontId="33" type="noConversion"/>
  <pageMargins left="0.25" right="0.25" top="0.75" bottom="0.75" header="0.3" footer="0.3"/>
  <pageSetup scale="56" orientation="portrait" r:id="rId1"/>
  <rowBreaks count="1" manualBreakCount="1">
    <brk id="38" max="21" man="1"/>
  </rowBreaks>
  <colBreaks count="2" manualBreakCount="2">
    <brk id="7" max="1048575" man="1"/>
    <brk id="13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22365-CEB7-446F-9BD4-2FBF96BEAAFE}">
  <dimension ref="A2:G36"/>
  <sheetViews>
    <sheetView topLeftCell="A10" workbookViewId="0">
      <selection activeCell="C24" sqref="C24"/>
    </sheetView>
  </sheetViews>
  <sheetFormatPr baseColWidth="10" defaultRowHeight="15" x14ac:dyDescent="0.25"/>
  <cols>
    <col min="1" max="1" width="26.140625" bestFit="1" customWidth="1"/>
    <col min="2" max="2" width="14.85546875" customWidth="1"/>
    <col min="4" max="4" width="12.7109375" bestFit="1" customWidth="1"/>
  </cols>
  <sheetData>
    <row r="2" spans="1:7" ht="28.5" x14ac:dyDescent="0.45">
      <c r="A2" s="48"/>
      <c r="B2" s="98"/>
      <c r="C2" s="98"/>
      <c r="D2" s="98"/>
      <c r="E2" s="99" t="s">
        <v>365</v>
      </c>
      <c r="G2" s="48"/>
    </row>
    <row r="3" spans="1:7" ht="26.25" x14ac:dyDescent="0.4">
      <c r="A3" s="912" t="s">
        <v>144</v>
      </c>
      <c r="B3" s="912"/>
      <c r="C3" s="100"/>
      <c r="D3" s="101" t="s">
        <v>62</v>
      </c>
      <c r="E3" s="101"/>
      <c r="F3" s="101"/>
      <c r="G3" s="50"/>
    </row>
    <row r="4" spans="1:7" ht="18.75" x14ac:dyDescent="0.3">
      <c r="A4" s="11" t="s">
        <v>364</v>
      </c>
      <c r="B4" s="5">
        <f>1*2.3*F4</f>
        <v>8740</v>
      </c>
      <c r="C4" s="102"/>
      <c r="D4" s="102"/>
      <c r="E4" s="102"/>
      <c r="F4" s="5">
        <v>3800</v>
      </c>
      <c r="G4" s="4" t="s">
        <v>19</v>
      </c>
    </row>
    <row r="5" spans="1:7" ht="18.75" x14ac:dyDescent="0.3">
      <c r="A5" s="11" t="s">
        <v>1</v>
      </c>
      <c r="B5" s="5">
        <v>500</v>
      </c>
      <c r="C5" s="102"/>
      <c r="D5" s="102"/>
      <c r="E5" s="102"/>
      <c r="F5" s="102"/>
      <c r="G5" s="11"/>
    </row>
    <row r="6" spans="1:7" ht="18.75" x14ac:dyDescent="0.3">
      <c r="A6" s="11" t="s">
        <v>10</v>
      </c>
      <c r="B6" s="5">
        <v>6000</v>
      </c>
      <c r="C6" s="102"/>
      <c r="D6" s="102"/>
      <c r="E6" s="102"/>
      <c r="F6" s="102"/>
      <c r="G6" s="11"/>
    </row>
    <row r="7" spans="1:7" ht="18.75" x14ac:dyDescent="0.3">
      <c r="A7" s="49" t="s">
        <v>65</v>
      </c>
      <c r="B7" s="5">
        <v>2500</v>
      </c>
      <c r="C7" s="102"/>
      <c r="D7" s="102"/>
      <c r="E7" s="102"/>
      <c r="F7" s="102"/>
      <c r="G7" s="11"/>
    </row>
    <row r="8" spans="1:7" ht="18.75" x14ac:dyDescent="0.3">
      <c r="A8" s="11" t="s">
        <v>11</v>
      </c>
      <c r="B8" s="5">
        <v>0</v>
      </c>
      <c r="C8" s="102"/>
      <c r="D8" s="5" t="s">
        <v>66</v>
      </c>
      <c r="E8" s="102"/>
      <c r="F8" s="102"/>
      <c r="G8" s="11"/>
    </row>
    <row r="9" spans="1:7" ht="18.75" x14ac:dyDescent="0.3">
      <c r="A9" s="11" t="s">
        <v>13</v>
      </c>
      <c r="B9" s="5">
        <f>1*11000</f>
        <v>11000</v>
      </c>
      <c r="C9" s="102"/>
      <c r="D9" s="102"/>
      <c r="E9" s="102"/>
      <c r="F9" s="102"/>
      <c r="G9" s="11"/>
    </row>
    <row r="10" spans="1:7" ht="18.75" x14ac:dyDescent="0.3">
      <c r="A10" s="11" t="s">
        <v>12</v>
      </c>
      <c r="B10" s="5">
        <v>2000</v>
      </c>
      <c r="C10" s="102"/>
      <c r="D10" s="103" t="s">
        <v>22</v>
      </c>
      <c r="E10" s="103" t="s">
        <v>23</v>
      </c>
      <c r="F10" s="103" t="s">
        <v>24</v>
      </c>
      <c r="G10" s="4"/>
    </row>
    <row r="11" spans="1:7" ht="18.75" x14ac:dyDescent="0.3">
      <c r="A11" s="11" t="s">
        <v>14</v>
      </c>
      <c r="B11" s="5">
        <v>0</v>
      </c>
      <c r="C11" s="102"/>
      <c r="D11" s="6">
        <f>D15</f>
        <v>14.463947368421053</v>
      </c>
      <c r="E11" s="6">
        <f>E15</f>
        <v>16.330263157894734</v>
      </c>
      <c r="F11" s="6">
        <f>F15</f>
        <v>18.569842105263156</v>
      </c>
      <c r="G11" s="4"/>
    </row>
    <row r="12" spans="1:7" ht="18.75" x14ac:dyDescent="0.3">
      <c r="A12" s="11" t="s">
        <v>15</v>
      </c>
      <c r="B12" s="5">
        <v>0</v>
      </c>
      <c r="C12" s="102"/>
      <c r="D12" s="5"/>
      <c r="E12" s="5"/>
      <c r="F12" s="5"/>
      <c r="G12" s="4"/>
    </row>
    <row r="13" spans="1:7" ht="18.75" x14ac:dyDescent="0.3">
      <c r="A13" s="11" t="s">
        <v>27</v>
      </c>
      <c r="B13" s="5">
        <v>200</v>
      </c>
      <c r="C13" s="102"/>
      <c r="D13" s="102"/>
      <c r="E13" s="102"/>
      <c r="F13" s="102"/>
      <c r="G13" s="11"/>
    </row>
    <row r="14" spans="1:7" ht="18.75" x14ac:dyDescent="0.3">
      <c r="A14" s="11" t="s">
        <v>28</v>
      </c>
      <c r="B14" s="5">
        <v>100</v>
      </c>
      <c r="C14" s="102"/>
      <c r="D14" s="560">
        <v>45</v>
      </c>
      <c r="E14" s="560">
        <v>75</v>
      </c>
      <c r="F14" s="560">
        <v>99</v>
      </c>
      <c r="G14" s="11"/>
    </row>
    <row r="15" spans="1:7" ht="18.75" x14ac:dyDescent="0.3">
      <c r="A15" s="11" t="s">
        <v>16</v>
      </c>
      <c r="B15" s="5">
        <v>350</v>
      </c>
      <c r="C15" s="102"/>
      <c r="D15" s="5">
        <f>B18*1.55</f>
        <v>14.463947368421053</v>
      </c>
      <c r="E15" s="5">
        <f>B18*1.75</f>
        <v>16.330263157894734</v>
      </c>
      <c r="F15" s="5">
        <f>B18*1.99</f>
        <v>18.569842105263156</v>
      </c>
      <c r="G15" s="11"/>
    </row>
    <row r="16" spans="1:7" ht="18.75" x14ac:dyDescent="0.3">
      <c r="A16" s="11" t="s">
        <v>17</v>
      </c>
      <c r="B16" s="5">
        <v>70</v>
      </c>
      <c r="C16" s="102"/>
      <c r="D16" s="911"/>
      <c r="E16" s="911"/>
      <c r="F16" s="102"/>
      <c r="G16" s="11"/>
    </row>
    <row r="17" spans="1:7" ht="19.5" thickBot="1" x14ac:dyDescent="0.35">
      <c r="A17" s="11" t="s">
        <v>18</v>
      </c>
      <c r="B17" s="46">
        <v>4000</v>
      </c>
      <c r="C17" s="98"/>
      <c r="D17" s="98"/>
      <c r="E17" s="98"/>
      <c r="F17" s="5"/>
      <c r="G17" s="11"/>
    </row>
    <row r="18" spans="1:7" ht="18.75" x14ac:dyDescent="0.3">
      <c r="A18" s="11"/>
      <c r="B18" s="5">
        <f>SUM(B4:B17)/F4</f>
        <v>9.3315789473684205</v>
      </c>
      <c r="C18" s="98"/>
      <c r="D18" s="98"/>
      <c r="E18" s="98"/>
      <c r="F18" s="5"/>
      <c r="G18" s="11"/>
    </row>
    <row r="20" spans="1:7" ht="28.5" x14ac:dyDescent="0.45">
      <c r="A20" s="48"/>
      <c r="B20" s="98"/>
      <c r="C20" s="98"/>
      <c r="D20" s="98"/>
      <c r="E20" s="99" t="s">
        <v>485</v>
      </c>
      <c r="G20" s="48"/>
    </row>
    <row r="21" spans="1:7" ht="26.25" x14ac:dyDescent="0.4">
      <c r="A21" s="935" t="s">
        <v>486</v>
      </c>
      <c r="B21" s="935"/>
      <c r="C21" s="100"/>
      <c r="D21" s="101"/>
      <c r="E21" s="101"/>
      <c r="F21" s="101"/>
      <c r="G21" s="50"/>
    </row>
    <row r="22" spans="1:7" ht="18.75" x14ac:dyDescent="0.3">
      <c r="A22" s="11" t="s">
        <v>522</v>
      </c>
      <c r="B22" s="5">
        <f>1*4*F22</f>
        <v>15200</v>
      </c>
      <c r="C22" s="102"/>
      <c r="D22" s="102"/>
      <c r="E22" s="102"/>
      <c r="F22" s="5">
        <v>3800</v>
      </c>
      <c r="G22" s="4" t="s">
        <v>19</v>
      </c>
    </row>
    <row r="23" spans="1:7" ht="18.75" x14ac:dyDescent="0.3">
      <c r="A23" s="11" t="s">
        <v>1</v>
      </c>
      <c r="B23" s="5">
        <v>700</v>
      </c>
      <c r="C23" s="102"/>
      <c r="D23" s="102"/>
      <c r="E23" s="102"/>
      <c r="F23" s="102"/>
      <c r="G23" s="11"/>
    </row>
    <row r="24" spans="1:7" ht="18.75" x14ac:dyDescent="0.3">
      <c r="A24" s="11" t="s">
        <v>10</v>
      </c>
      <c r="B24" s="5">
        <v>6000</v>
      </c>
      <c r="C24" s="102"/>
      <c r="D24" s="102"/>
      <c r="E24" s="102"/>
      <c r="F24" s="102"/>
      <c r="G24" s="11"/>
    </row>
    <row r="25" spans="1:7" ht="18.75" x14ac:dyDescent="0.3">
      <c r="A25" s="49" t="s">
        <v>65</v>
      </c>
      <c r="B25" s="5">
        <v>2500</v>
      </c>
      <c r="C25" s="102"/>
      <c r="D25" s="102"/>
      <c r="E25" s="102"/>
      <c r="F25" s="102"/>
      <c r="G25" s="11"/>
    </row>
    <row r="26" spans="1:7" ht="18.75" x14ac:dyDescent="0.3">
      <c r="A26" s="11" t="s">
        <v>11</v>
      </c>
      <c r="B26" s="5">
        <v>1500</v>
      </c>
      <c r="C26" s="102"/>
      <c r="D26" s="5" t="s">
        <v>66</v>
      </c>
      <c r="E26" s="102"/>
      <c r="F26" s="102"/>
      <c r="G26" s="11"/>
    </row>
    <row r="27" spans="1:7" ht="18.75" x14ac:dyDescent="0.3">
      <c r="A27" s="11" t="s">
        <v>58</v>
      </c>
      <c r="B27" s="5">
        <v>2500</v>
      </c>
      <c r="C27" s="102"/>
      <c r="D27" s="102"/>
      <c r="E27" s="102"/>
      <c r="F27" s="102"/>
      <c r="G27" s="11"/>
    </row>
    <row r="28" spans="1:7" ht="18.75" x14ac:dyDescent="0.3">
      <c r="A28" s="11" t="s">
        <v>12</v>
      </c>
      <c r="B28" s="5">
        <v>2000</v>
      </c>
      <c r="C28" s="102"/>
      <c r="D28" s="103" t="s">
        <v>22</v>
      </c>
      <c r="E28" s="103" t="s">
        <v>23</v>
      </c>
      <c r="F28" s="103" t="s">
        <v>24</v>
      </c>
      <c r="G28" s="4"/>
    </row>
    <row r="29" spans="1:7" ht="18.75" x14ac:dyDescent="0.3">
      <c r="A29" s="11" t="s">
        <v>14</v>
      </c>
      <c r="B29" s="5">
        <v>200</v>
      </c>
      <c r="C29" s="102"/>
      <c r="D29" s="6">
        <f>D33</f>
        <v>14.325263157894737</v>
      </c>
      <c r="E29" s="6">
        <f>E33</f>
        <v>14.787368421052632</v>
      </c>
      <c r="F29" s="6">
        <f>F33</f>
        <v>17.559999999999999</v>
      </c>
      <c r="G29" s="4"/>
    </row>
    <row r="30" spans="1:7" ht="18.75" x14ac:dyDescent="0.3">
      <c r="A30" s="11" t="s">
        <v>15</v>
      </c>
      <c r="B30" s="5">
        <v>200</v>
      </c>
      <c r="C30" s="102"/>
      <c r="D30" s="5"/>
      <c r="E30" s="5"/>
      <c r="F30" s="5"/>
      <c r="G30" s="4"/>
    </row>
    <row r="31" spans="1:7" ht="18.75" x14ac:dyDescent="0.3">
      <c r="A31" s="11" t="s">
        <v>27</v>
      </c>
      <c r="B31" s="5">
        <v>200</v>
      </c>
      <c r="C31" s="102"/>
      <c r="D31" s="102"/>
      <c r="E31" s="102"/>
      <c r="F31" s="102"/>
      <c r="G31" s="11"/>
    </row>
    <row r="32" spans="1:7" ht="18.75" x14ac:dyDescent="0.3">
      <c r="A32" s="11" t="s">
        <v>28</v>
      </c>
      <c r="B32" s="5">
        <v>100</v>
      </c>
      <c r="C32" s="102"/>
      <c r="D32" s="693">
        <v>45</v>
      </c>
      <c r="E32" s="693">
        <v>75</v>
      </c>
      <c r="F32" s="693">
        <v>99</v>
      </c>
      <c r="G32" s="11"/>
    </row>
    <row r="33" spans="1:7" ht="18.75" x14ac:dyDescent="0.3">
      <c r="A33" s="11" t="s">
        <v>16</v>
      </c>
      <c r="B33" s="5">
        <v>250</v>
      </c>
      <c r="C33" s="102"/>
      <c r="D33" s="5">
        <f>B36*1.55</f>
        <v>14.325263157894737</v>
      </c>
      <c r="E33" s="5">
        <f>B36*1.6</f>
        <v>14.787368421052632</v>
      </c>
      <c r="F33" s="5">
        <f>B36*1.9</f>
        <v>17.559999999999999</v>
      </c>
      <c r="G33" s="11"/>
    </row>
    <row r="34" spans="1:7" ht="18.75" x14ac:dyDescent="0.3">
      <c r="A34" s="11" t="s">
        <v>17</v>
      </c>
      <c r="B34" s="5">
        <v>70</v>
      </c>
      <c r="C34" s="102"/>
      <c r="D34" s="911"/>
      <c r="E34" s="911"/>
      <c r="F34" s="102"/>
      <c r="G34" s="11"/>
    </row>
    <row r="35" spans="1:7" ht="19.5" thickBot="1" x14ac:dyDescent="0.35">
      <c r="A35" s="11" t="s">
        <v>18</v>
      </c>
      <c r="B35" s="46">
        <v>3700</v>
      </c>
      <c r="C35" s="98"/>
      <c r="D35" s="98"/>
      <c r="E35" s="98"/>
      <c r="F35" s="5"/>
      <c r="G35" s="11"/>
    </row>
    <row r="36" spans="1:7" ht="18.75" x14ac:dyDescent="0.3">
      <c r="A36" s="11"/>
      <c r="B36" s="5">
        <f>SUM(B22:B35)/F22</f>
        <v>9.2421052631578942</v>
      </c>
      <c r="C36" s="98"/>
      <c r="D36" s="98"/>
      <c r="E36" s="98"/>
      <c r="F36" s="5"/>
      <c r="G36" s="11"/>
    </row>
  </sheetData>
  <mergeCells count="4">
    <mergeCell ref="A3:B3"/>
    <mergeCell ref="D16:E16"/>
    <mergeCell ref="A21:B21"/>
    <mergeCell ref="D34:E34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K73"/>
  <sheetViews>
    <sheetView topLeftCell="A31" zoomScale="80" zoomScaleNormal="80" zoomScaleSheetLayoutView="80" workbookViewId="0">
      <selection activeCell="C24" sqref="C24"/>
    </sheetView>
  </sheetViews>
  <sheetFormatPr baseColWidth="10" defaultRowHeight="18.75" x14ac:dyDescent="0.3"/>
  <cols>
    <col min="1" max="1" width="25.140625" style="11" customWidth="1"/>
    <col min="2" max="2" width="11.85546875" style="89" customWidth="1"/>
    <col min="3" max="3" width="14.42578125" style="89" bestFit="1" customWidth="1"/>
    <col min="4" max="6" width="14.42578125" style="88" bestFit="1" customWidth="1"/>
    <col min="7" max="7" width="20.28515625" style="11" customWidth="1"/>
    <col min="8" max="8" width="12.7109375" style="3" bestFit="1" customWidth="1"/>
    <col min="9" max="9" width="13.140625" style="3" bestFit="1" customWidth="1"/>
    <col min="10" max="10" width="12.7109375" style="3" bestFit="1" customWidth="1"/>
    <col min="11" max="11" width="11.42578125" style="3"/>
  </cols>
  <sheetData>
    <row r="1" spans="1:11" ht="33.75" x14ac:dyDescent="0.5">
      <c r="A1" s="909" t="s">
        <v>33</v>
      </c>
      <c r="B1" s="909"/>
      <c r="C1" s="909"/>
      <c r="D1" s="909"/>
      <c r="E1" s="909"/>
      <c r="F1" s="909"/>
      <c r="G1" s="909"/>
      <c r="H1" s="14"/>
      <c r="I1" s="14"/>
      <c r="J1" s="14"/>
      <c r="K1" s="14"/>
    </row>
    <row r="2" spans="1:11" ht="23.25" x14ac:dyDescent="0.35">
      <c r="A2" s="938" t="s">
        <v>25</v>
      </c>
      <c r="B2" s="938"/>
      <c r="C2" s="88"/>
      <c r="F2" s="86">
        <v>3800</v>
      </c>
      <c r="G2" s="11" t="s">
        <v>61</v>
      </c>
    </row>
    <row r="3" spans="1:11" x14ac:dyDescent="0.3">
      <c r="A3" s="11" t="s">
        <v>9</v>
      </c>
      <c r="B3" s="86">
        <f>0.8*5.31*F2</f>
        <v>16142.400000000001</v>
      </c>
      <c r="C3" s="88"/>
    </row>
    <row r="4" spans="1:11" x14ac:dyDescent="0.3">
      <c r="A4" s="11" t="s">
        <v>1</v>
      </c>
      <c r="B4" s="86">
        <v>1000</v>
      </c>
      <c r="C4" s="88"/>
    </row>
    <row r="5" spans="1:11" x14ac:dyDescent="0.3">
      <c r="A5" s="11" t="s">
        <v>10</v>
      </c>
      <c r="B5" s="86">
        <v>2500</v>
      </c>
      <c r="C5" s="88"/>
      <c r="D5" s="90" t="s">
        <v>22</v>
      </c>
      <c r="E5" s="90" t="s">
        <v>23</v>
      </c>
      <c r="F5" s="90" t="s">
        <v>24</v>
      </c>
      <c r="G5" s="4"/>
    </row>
    <row r="6" spans="1:11" x14ac:dyDescent="0.3">
      <c r="A6" s="11" t="s">
        <v>11</v>
      </c>
      <c r="B6" s="86">
        <v>0</v>
      </c>
      <c r="C6" s="88"/>
      <c r="D6" s="90">
        <f>D12</f>
        <v>9.9372315789473689</v>
      </c>
      <c r="E6" s="90">
        <f>E12</f>
        <v>11.99321052631579</v>
      </c>
      <c r="F6" s="90">
        <f>F12</f>
        <v>13.637993684210528</v>
      </c>
      <c r="G6" s="4"/>
    </row>
    <row r="7" spans="1:11" x14ac:dyDescent="0.3">
      <c r="A7" s="11" t="s">
        <v>12</v>
      </c>
      <c r="B7" s="86">
        <v>1000</v>
      </c>
      <c r="C7" s="88"/>
      <c r="D7" s="86"/>
      <c r="E7" s="86"/>
      <c r="F7" s="86"/>
      <c r="G7" s="4"/>
    </row>
    <row r="8" spans="1:11" x14ac:dyDescent="0.3">
      <c r="A8" s="11" t="s">
        <v>14</v>
      </c>
      <c r="B8" s="86">
        <v>0</v>
      </c>
      <c r="C8" s="88"/>
    </row>
    <row r="9" spans="1:11" x14ac:dyDescent="0.3">
      <c r="A9" s="11" t="s">
        <v>15</v>
      </c>
      <c r="B9" s="86">
        <v>0</v>
      </c>
      <c r="C9" s="88"/>
    </row>
    <row r="10" spans="1:11" x14ac:dyDescent="0.3">
      <c r="A10" s="11" t="s">
        <v>27</v>
      </c>
      <c r="B10" s="86">
        <v>200</v>
      </c>
      <c r="C10" s="88"/>
    </row>
    <row r="11" spans="1:11" x14ac:dyDescent="0.3">
      <c r="A11" s="11" t="s">
        <v>28</v>
      </c>
      <c r="B11" s="86">
        <v>100</v>
      </c>
      <c r="C11" s="88"/>
      <c r="D11" s="81">
        <v>0.4</v>
      </c>
      <c r="E11" s="81">
        <v>0.6</v>
      </c>
      <c r="F11" s="81">
        <v>0.9</v>
      </c>
    </row>
    <row r="12" spans="1:11" x14ac:dyDescent="0.3">
      <c r="A12" s="11" t="s">
        <v>16</v>
      </c>
      <c r="B12" s="86">
        <v>350</v>
      </c>
      <c r="C12" s="88"/>
      <c r="D12" s="86">
        <f>B15*1.45</f>
        <v>9.9372315789473689</v>
      </c>
      <c r="E12" s="86">
        <f>B15*1.75</f>
        <v>11.99321052631579</v>
      </c>
      <c r="F12" s="86">
        <f>B15*1.99</f>
        <v>13.637993684210528</v>
      </c>
    </row>
    <row r="13" spans="1:11" ht="23.25" x14ac:dyDescent="0.35">
      <c r="A13" s="11" t="s">
        <v>17</v>
      </c>
      <c r="B13" s="86">
        <v>750</v>
      </c>
      <c r="C13" s="88"/>
      <c r="D13" s="862"/>
      <c r="E13" s="862"/>
      <c r="I13" s="909"/>
      <c r="J13" s="909"/>
    </row>
    <row r="14" spans="1:11" ht="24" thickBot="1" x14ac:dyDescent="0.4">
      <c r="A14" s="11" t="s">
        <v>18</v>
      </c>
      <c r="B14" s="87">
        <v>4000</v>
      </c>
      <c r="F14" s="76"/>
    </row>
    <row r="15" spans="1:11" x14ac:dyDescent="0.3">
      <c r="B15" s="86">
        <f>SUM(B3:B14)/F2</f>
        <v>6.8532631578947374</v>
      </c>
      <c r="F15" s="86"/>
    </row>
    <row r="16" spans="1:11" x14ac:dyDescent="0.3">
      <c r="B16" s="86"/>
      <c r="C16" s="86"/>
      <c r="D16" s="86"/>
      <c r="E16" s="86"/>
      <c r="F16" s="86"/>
    </row>
    <row r="17" spans="1:10" x14ac:dyDescent="0.3">
      <c r="B17" s="88"/>
      <c r="C17" s="86"/>
      <c r="D17" s="86"/>
      <c r="E17" s="86"/>
      <c r="F17" s="86"/>
    </row>
    <row r="18" spans="1:10" x14ac:dyDescent="0.3">
      <c r="B18" s="88"/>
      <c r="C18" s="86"/>
      <c r="D18" s="86"/>
      <c r="E18" s="86"/>
      <c r="F18" s="86"/>
    </row>
    <row r="19" spans="1:10" ht="44.25" customHeight="1" x14ac:dyDescent="0.45">
      <c r="A19" s="937" t="s">
        <v>26</v>
      </c>
      <c r="B19" s="937"/>
      <c r="C19" s="88"/>
      <c r="D19" s="939" t="s">
        <v>33</v>
      </c>
      <c r="E19" s="939"/>
    </row>
    <row r="20" spans="1:10" x14ac:dyDescent="0.3">
      <c r="A20" s="11" t="s">
        <v>9</v>
      </c>
      <c r="B20" s="86">
        <f>1.1*1.9*F2</f>
        <v>7941.9999999999991</v>
      </c>
      <c r="C20" s="88"/>
    </row>
    <row r="21" spans="1:10" x14ac:dyDescent="0.3">
      <c r="A21" s="11" t="s">
        <v>1</v>
      </c>
      <c r="B21" s="86">
        <v>700</v>
      </c>
      <c r="C21" s="88"/>
    </row>
    <row r="22" spans="1:10" x14ac:dyDescent="0.3">
      <c r="A22" s="11" t="s">
        <v>10</v>
      </c>
      <c r="B22" s="86">
        <v>2500</v>
      </c>
      <c r="C22" s="88"/>
    </row>
    <row r="23" spans="1:10" x14ac:dyDescent="0.3">
      <c r="A23" s="11" t="s">
        <v>11</v>
      </c>
      <c r="B23" s="86">
        <v>1000</v>
      </c>
      <c r="C23" s="88"/>
    </row>
    <row r="24" spans="1:10" x14ac:dyDescent="0.3">
      <c r="A24" s="11" t="s">
        <v>58</v>
      </c>
      <c r="B24" s="698">
        <v>4500</v>
      </c>
      <c r="C24" s="88"/>
      <c r="D24" s="90" t="s">
        <v>22</v>
      </c>
      <c r="E24" s="90" t="s">
        <v>23</v>
      </c>
      <c r="F24" s="90" t="s">
        <v>24</v>
      </c>
      <c r="G24" s="4"/>
    </row>
    <row r="25" spans="1:10" x14ac:dyDescent="0.3">
      <c r="A25" s="11" t="s">
        <v>12</v>
      </c>
      <c r="B25" s="86">
        <v>1000</v>
      </c>
      <c r="C25" s="88"/>
      <c r="D25" s="90">
        <f>D30</f>
        <v>8.0291842105263154</v>
      </c>
      <c r="E25" s="90">
        <f>E30</f>
        <v>8.3060526315789467</v>
      </c>
      <c r="F25" s="90">
        <f>F30</f>
        <v>11.019363157894738</v>
      </c>
      <c r="G25" s="4"/>
    </row>
    <row r="26" spans="1:10" x14ac:dyDescent="0.3">
      <c r="A26" s="11" t="s">
        <v>14</v>
      </c>
      <c r="B26" s="86">
        <v>0</v>
      </c>
      <c r="C26" s="88"/>
      <c r="D26" s="86"/>
      <c r="E26" s="86"/>
      <c r="F26" s="86"/>
      <c r="G26" s="4"/>
    </row>
    <row r="27" spans="1:10" x14ac:dyDescent="0.3">
      <c r="A27" s="11" t="s">
        <v>15</v>
      </c>
      <c r="B27" s="86">
        <v>0</v>
      </c>
      <c r="C27" s="88"/>
    </row>
    <row r="28" spans="1:10" x14ac:dyDescent="0.3">
      <c r="A28" s="11" t="s">
        <v>27</v>
      </c>
      <c r="B28" s="86">
        <v>0</v>
      </c>
      <c r="C28" s="88"/>
    </row>
    <row r="29" spans="1:10" x14ac:dyDescent="0.3">
      <c r="A29" s="11" t="s">
        <v>28</v>
      </c>
      <c r="B29" s="86">
        <v>100</v>
      </c>
      <c r="C29" s="88"/>
      <c r="D29" s="81">
        <v>0.4</v>
      </c>
      <c r="E29" s="81">
        <v>0.55000000000000004</v>
      </c>
      <c r="F29" s="81">
        <v>0.85</v>
      </c>
    </row>
    <row r="30" spans="1:10" ht="23.25" x14ac:dyDescent="0.35">
      <c r="A30" s="11" t="s">
        <v>16</v>
      </c>
      <c r="B30" s="86">
        <v>350</v>
      </c>
      <c r="C30" s="88"/>
      <c r="D30" s="86">
        <f>B33*1.45</f>
        <v>8.0291842105263154</v>
      </c>
      <c r="E30" s="86">
        <f>B33*1.5</f>
        <v>8.3060526315789467</v>
      </c>
      <c r="F30" s="86">
        <f>B33*1.99</f>
        <v>11.019363157894738</v>
      </c>
      <c r="I30" s="909"/>
      <c r="J30" s="909"/>
    </row>
    <row r="31" spans="1:10" ht="23.25" x14ac:dyDescent="0.35">
      <c r="A31" s="11" t="s">
        <v>17</v>
      </c>
      <c r="B31" s="86">
        <v>250</v>
      </c>
      <c r="F31" s="76"/>
    </row>
    <row r="32" spans="1:10" ht="19.5" thickBot="1" x14ac:dyDescent="0.35">
      <c r="A32" s="11" t="s">
        <v>18</v>
      </c>
      <c r="B32" s="87">
        <v>2700</v>
      </c>
      <c r="F32" s="86"/>
    </row>
    <row r="33" spans="1:11" x14ac:dyDescent="0.3">
      <c r="B33" s="86">
        <f>SUM(B20:B32)/F2</f>
        <v>5.5373684210526317</v>
      </c>
      <c r="C33" s="86"/>
      <c r="D33" s="86"/>
      <c r="E33" s="86"/>
      <c r="F33" s="86"/>
    </row>
    <row r="34" spans="1:11" x14ac:dyDescent="0.3">
      <c r="B34" s="88"/>
      <c r="C34" s="86"/>
      <c r="D34" s="86"/>
      <c r="E34" s="86"/>
      <c r="F34" s="86"/>
    </row>
    <row r="35" spans="1:11" x14ac:dyDescent="0.3">
      <c r="B35" s="88"/>
      <c r="C35" s="86"/>
      <c r="D35" s="86"/>
      <c r="E35" s="86"/>
      <c r="F35" s="86"/>
    </row>
    <row r="36" spans="1:11" x14ac:dyDescent="0.3">
      <c r="A36" s="936"/>
      <c r="B36" s="936"/>
      <c r="C36" s="88"/>
    </row>
    <row r="37" spans="1:11" ht="33.75" x14ac:dyDescent="0.5">
      <c r="A37" s="909" t="s">
        <v>34</v>
      </c>
      <c r="B37" s="909"/>
      <c r="C37" s="909"/>
      <c r="D37" s="909"/>
      <c r="E37" s="909"/>
      <c r="F37" s="909"/>
      <c r="G37" s="909"/>
      <c r="H37" s="14"/>
      <c r="I37" s="14"/>
      <c r="J37" s="14"/>
      <c r="K37" s="14"/>
    </row>
    <row r="38" spans="1:11" ht="26.25" x14ac:dyDescent="0.4">
      <c r="A38" s="910" t="s">
        <v>25</v>
      </c>
      <c r="B38" s="910"/>
      <c r="C38" s="88"/>
    </row>
    <row r="39" spans="1:11" x14ac:dyDescent="0.3">
      <c r="A39" s="11" t="s">
        <v>9</v>
      </c>
      <c r="B39" s="86">
        <f>0.8*5.31*F2</f>
        <v>16142.400000000001</v>
      </c>
      <c r="C39" s="88"/>
    </row>
    <row r="40" spans="1:11" x14ac:dyDescent="0.3">
      <c r="A40" s="11" t="s">
        <v>1</v>
      </c>
      <c r="B40" s="86">
        <v>1000</v>
      </c>
      <c r="C40" s="88"/>
    </row>
    <row r="41" spans="1:11" x14ac:dyDescent="0.3">
      <c r="A41" s="11" t="s">
        <v>10</v>
      </c>
      <c r="B41" s="86">
        <v>2500</v>
      </c>
      <c r="C41" s="88"/>
    </row>
    <row r="42" spans="1:11" x14ac:dyDescent="0.3">
      <c r="A42" s="11" t="s">
        <v>11</v>
      </c>
      <c r="B42" s="86">
        <v>1000</v>
      </c>
      <c r="C42" s="88"/>
    </row>
    <row r="43" spans="1:11" x14ac:dyDescent="0.3">
      <c r="A43" s="11" t="s">
        <v>13</v>
      </c>
      <c r="B43" s="86">
        <v>1000</v>
      </c>
      <c r="C43" s="88"/>
      <c r="D43" s="90" t="s">
        <v>22</v>
      </c>
      <c r="E43" s="90" t="s">
        <v>23</v>
      </c>
      <c r="F43" s="90" t="s">
        <v>24</v>
      </c>
      <c r="G43" s="4"/>
    </row>
    <row r="44" spans="1:11" x14ac:dyDescent="0.3">
      <c r="A44" s="11" t="s">
        <v>12</v>
      </c>
      <c r="B44" s="86">
        <v>1000</v>
      </c>
      <c r="C44" s="88"/>
      <c r="D44" s="90">
        <f>D49</f>
        <v>10.853021052631579</v>
      </c>
      <c r="E44" s="90">
        <f>E49</f>
        <v>13.098473684210528</v>
      </c>
      <c r="F44" s="90">
        <f>F49</f>
        <v>14.894835789473685</v>
      </c>
      <c r="G44" s="4"/>
    </row>
    <row r="45" spans="1:11" x14ac:dyDescent="0.3">
      <c r="A45" s="11" t="s">
        <v>14</v>
      </c>
      <c r="B45" s="86">
        <v>200</v>
      </c>
      <c r="C45" s="88"/>
      <c r="D45" s="86"/>
      <c r="E45" s="86"/>
      <c r="F45" s="86"/>
      <c r="G45" s="4"/>
    </row>
    <row r="46" spans="1:11" x14ac:dyDescent="0.3">
      <c r="A46" s="11" t="s">
        <v>15</v>
      </c>
      <c r="B46" s="86">
        <v>200</v>
      </c>
      <c r="C46" s="88"/>
    </row>
    <row r="47" spans="1:11" x14ac:dyDescent="0.3">
      <c r="A47" s="11" t="s">
        <v>27</v>
      </c>
      <c r="B47" s="86">
        <v>200</v>
      </c>
      <c r="C47" s="88"/>
    </row>
    <row r="48" spans="1:11" x14ac:dyDescent="0.3">
      <c r="A48" s="11" t="s">
        <v>28</v>
      </c>
      <c r="B48" s="86">
        <v>100</v>
      </c>
      <c r="C48" s="88"/>
      <c r="D48" s="81">
        <v>0.4</v>
      </c>
      <c r="E48" s="81">
        <v>0.55000000000000004</v>
      </c>
      <c r="F48" s="81">
        <v>0.85</v>
      </c>
    </row>
    <row r="49" spans="1:10" x14ac:dyDescent="0.3">
      <c r="A49" s="11" t="s">
        <v>16</v>
      </c>
      <c r="B49" s="86">
        <v>350</v>
      </c>
      <c r="C49" s="88"/>
      <c r="D49" s="86">
        <f>B52*1.45</f>
        <v>10.853021052631579</v>
      </c>
      <c r="E49" s="86">
        <f>B52*1.75</f>
        <v>13.098473684210528</v>
      </c>
      <c r="F49" s="86">
        <f>B52*1.99</f>
        <v>14.894835789473685</v>
      </c>
    </row>
    <row r="50" spans="1:10" ht="23.25" x14ac:dyDescent="0.35">
      <c r="A50" s="11" t="s">
        <v>17</v>
      </c>
      <c r="B50" s="86">
        <v>750</v>
      </c>
      <c r="C50" s="88"/>
      <c r="D50" s="862"/>
      <c r="E50" s="862"/>
      <c r="I50" s="909"/>
      <c r="J50" s="909"/>
    </row>
    <row r="51" spans="1:10" ht="24" thickBot="1" x14ac:dyDescent="0.4">
      <c r="A51" s="11" t="s">
        <v>18</v>
      </c>
      <c r="B51" s="87">
        <v>4000</v>
      </c>
      <c r="F51" s="76"/>
    </row>
    <row r="52" spans="1:10" x14ac:dyDescent="0.3">
      <c r="B52" s="86">
        <f>SUM(B39:B51)/F2</f>
        <v>7.4848421052631586</v>
      </c>
      <c r="F52" s="86"/>
    </row>
    <row r="53" spans="1:10" x14ac:dyDescent="0.3">
      <c r="B53" s="86"/>
      <c r="C53" s="86"/>
      <c r="D53" s="86"/>
      <c r="E53" s="86"/>
      <c r="F53" s="86"/>
    </row>
    <row r="54" spans="1:10" x14ac:dyDescent="0.3">
      <c r="B54" s="88"/>
      <c r="C54" s="86"/>
      <c r="D54" s="86"/>
      <c r="E54" s="86"/>
      <c r="F54" s="86"/>
    </row>
    <row r="55" spans="1:10" x14ac:dyDescent="0.3">
      <c r="B55" s="88"/>
      <c r="C55" s="86"/>
      <c r="D55" s="86"/>
      <c r="E55" s="86"/>
      <c r="F55" s="86"/>
    </row>
    <row r="56" spans="1:10" ht="37.5" customHeight="1" x14ac:dyDescent="0.4">
      <c r="A56" s="910" t="s">
        <v>26</v>
      </c>
      <c r="B56" s="910"/>
      <c r="C56" s="88"/>
      <c r="D56" s="91" t="s">
        <v>34</v>
      </c>
    </row>
    <row r="57" spans="1:10" x14ac:dyDescent="0.3">
      <c r="A57" s="11" t="s">
        <v>9</v>
      </c>
      <c r="B57" s="86">
        <f>2*5.31*F2</f>
        <v>40356</v>
      </c>
      <c r="C57" s="88"/>
      <c r="F57" s="88" t="s">
        <v>52</v>
      </c>
    </row>
    <row r="58" spans="1:10" x14ac:dyDescent="0.3">
      <c r="A58" s="11" t="s">
        <v>1</v>
      </c>
      <c r="B58" s="86">
        <v>1000</v>
      </c>
      <c r="C58" s="88"/>
    </row>
    <row r="59" spans="1:10" x14ac:dyDescent="0.3">
      <c r="A59" s="11" t="s">
        <v>10</v>
      </c>
      <c r="B59" s="86">
        <v>2500</v>
      </c>
      <c r="C59" s="88"/>
    </row>
    <row r="60" spans="1:10" x14ac:dyDescent="0.3">
      <c r="A60" s="11" t="s">
        <v>11</v>
      </c>
      <c r="B60" s="86">
        <v>1000</v>
      </c>
      <c r="C60" s="88"/>
    </row>
    <row r="61" spans="1:10" x14ac:dyDescent="0.3">
      <c r="A61" s="11" t="s">
        <v>13</v>
      </c>
      <c r="B61" s="86">
        <v>1000</v>
      </c>
      <c r="C61" s="88"/>
      <c r="D61" s="90" t="s">
        <v>22</v>
      </c>
      <c r="E61" s="90" t="s">
        <v>23</v>
      </c>
      <c r="F61" s="90" t="s">
        <v>24</v>
      </c>
      <c r="G61" s="4"/>
    </row>
    <row r="62" spans="1:10" x14ac:dyDescent="0.3">
      <c r="A62" s="11" t="s">
        <v>12</v>
      </c>
      <c r="B62" s="86">
        <v>1000</v>
      </c>
      <c r="C62" s="88"/>
      <c r="D62" s="90">
        <f>D68</f>
        <v>20.092421052631579</v>
      </c>
      <c r="E62" s="90">
        <f>E68</f>
        <v>20.78526315789474</v>
      </c>
      <c r="F62" s="90">
        <f>F68</f>
        <v>27.575115789473685</v>
      </c>
      <c r="G62" s="4"/>
    </row>
    <row r="63" spans="1:10" x14ac:dyDescent="0.3">
      <c r="A63" s="11" t="s">
        <v>14</v>
      </c>
      <c r="B63" s="86">
        <v>200</v>
      </c>
      <c r="C63" s="88"/>
      <c r="D63" s="86"/>
      <c r="E63" s="86"/>
      <c r="F63" s="86"/>
      <c r="G63" s="4"/>
    </row>
    <row r="64" spans="1:10" x14ac:dyDescent="0.3">
      <c r="A64" s="11" t="s">
        <v>15</v>
      </c>
      <c r="B64" s="86">
        <v>200</v>
      </c>
      <c r="C64" s="88"/>
    </row>
    <row r="65" spans="1:10" x14ac:dyDescent="0.3">
      <c r="A65" s="11" t="s">
        <v>27</v>
      </c>
      <c r="B65" s="86">
        <v>200</v>
      </c>
      <c r="C65" s="88"/>
    </row>
    <row r="66" spans="1:10" x14ac:dyDescent="0.3">
      <c r="A66" s="11" t="s">
        <v>28</v>
      </c>
      <c r="B66" s="86">
        <v>100</v>
      </c>
      <c r="C66" s="88"/>
    </row>
    <row r="67" spans="1:10" x14ac:dyDescent="0.3">
      <c r="A67" s="11" t="s">
        <v>16</v>
      </c>
      <c r="B67" s="86">
        <v>350</v>
      </c>
      <c r="C67" s="88"/>
      <c r="D67" s="81">
        <v>0.4</v>
      </c>
      <c r="E67" s="81">
        <v>0.55000000000000004</v>
      </c>
      <c r="F67" s="81">
        <v>0.85</v>
      </c>
    </row>
    <row r="68" spans="1:10" ht="23.25" x14ac:dyDescent="0.35">
      <c r="A68" s="11" t="s">
        <v>17</v>
      </c>
      <c r="B68" s="86">
        <v>750</v>
      </c>
      <c r="C68" s="88"/>
      <c r="D68" s="86">
        <f>B70*1.45</f>
        <v>20.092421052631579</v>
      </c>
      <c r="E68" s="86">
        <f>B70*1.5</f>
        <v>20.78526315789474</v>
      </c>
      <c r="F68" s="86">
        <f>B70*1.99</f>
        <v>27.575115789473685</v>
      </c>
      <c r="I68" s="909"/>
      <c r="J68" s="909"/>
    </row>
    <row r="69" spans="1:10" ht="24" thickBot="1" x14ac:dyDescent="0.4">
      <c r="A69" s="11" t="s">
        <v>18</v>
      </c>
      <c r="B69" s="87">
        <v>4000</v>
      </c>
      <c r="F69" s="76"/>
    </row>
    <row r="70" spans="1:10" x14ac:dyDescent="0.3">
      <c r="B70" s="86">
        <f>SUM(B57:B69)/F2</f>
        <v>13.856842105263159</v>
      </c>
      <c r="F70" s="86"/>
    </row>
    <row r="71" spans="1:10" x14ac:dyDescent="0.3">
      <c r="B71" s="86"/>
      <c r="C71" s="86"/>
      <c r="D71" s="86"/>
      <c r="E71" s="86"/>
      <c r="F71" s="86"/>
    </row>
    <row r="72" spans="1:10" x14ac:dyDescent="0.3">
      <c r="B72" s="88"/>
      <c r="C72" s="86"/>
      <c r="D72" s="86"/>
      <c r="E72" s="86"/>
      <c r="F72" s="86"/>
    </row>
    <row r="73" spans="1:10" x14ac:dyDescent="0.3">
      <c r="B73" s="88"/>
      <c r="C73" s="86"/>
      <c r="D73" s="86"/>
      <c r="E73" s="86"/>
      <c r="F73" s="86"/>
    </row>
  </sheetData>
  <mergeCells count="14">
    <mergeCell ref="A56:B56"/>
    <mergeCell ref="I68:J68"/>
    <mergeCell ref="A38:B38"/>
    <mergeCell ref="D50:E50"/>
    <mergeCell ref="I50:J50"/>
    <mergeCell ref="A36:B36"/>
    <mergeCell ref="A37:G37"/>
    <mergeCell ref="A1:G1"/>
    <mergeCell ref="I13:J13"/>
    <mergeCell ref="A19:B19"/>
    <mergeCell ref="I30:J30"/>
    <mergeCell ref="A2:B2"/>
    <mergeCell ref="D13:E13"/>
    <mergeCell ref="D19:E19"/>
  </mergeCells>
  <pageMargins left="0.31496062992125984" right="0.11811023622047245" top="0.55118110236220474" bottom="0.15748031496062992" header="0.31496062992125984" footer="0.31496062992125984"/>
  <pageSetup scale="89" orientation="portrait" horizontalDpi="0" verticalDpi="0" r:id="rId1"/>
  <rowBreaks count="1" manualBreakCount="1">
    <brk id="36" max="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M102"/>
  <sheetViews>
    <sheetView zoomScale="70" zoomScaleNormal="70" workbookViewId="0">
      <selection activeCell="C24" sqref="C24"/>
    </sheetView>
  </sheetViews>
  <sheetFormatPr baseColWidth="10" defaultRowHeight="21" x14ac:dyDescent="0.35"/>
  <cols>
    <col min="1" max="1" width="27.7109375" style="11" customWidth="1"/>
    <col min="2" max="2" width="12" style="88" bestFit="1" customWidth="1"/>
    <col min="3" max="5" width="14.7109375" style="88" bestFit="1" customWidth="1"/>
    <col min="6" max="6" width="14.42578125" style="88" customWidth="1"/>
    <col min="7" max="7" width="14.7109375" style="11" bestFit="1" customWidth="1"/>
    <col min="8" max="8" width="26.140625" style="12" bestFit="1" customWidth="1"/>
    <col min="9" max="9" width="15.28515625" style="3" customWidth="1"/>
    <col min="10" max="10" width="14.140625" style="3" bestFit="1" customWidth="1"/>
    <col min="11" max="12" width="11.42578125" style="3"/>
  </cols>
  <sheetData>
    <row r="1" spans="1:13" ht="33.75" x14ac:dyDescent="0.5">
      <c r="A1" s="909" t="s">
        <v>293</v>
      </c>
      <c r="B1" s="909"/>
      <c r="C1" s="909"/>
      <c r="D1" s="909"/>
      <c r="E1" s="909"/>
      <c r="F1" s="909"/>
      <c r="G1" s="16"/>
      <c r="H1" s="14"/>
      <c r="I1" s="14"/>
      <c r="J1" s="14"/>
      <c r="K1" s="14"/>
    </row>
    <row r="2" spans="1:13" ht="23.25" x14ac:dyDescent="0.35">
      <c r="A2" s="909" t="s">
        <v>25</v>
      </c>
      <c r="B2" s="909"/>
      <c r="F2" s="92">
        <v>3800</v>
      </c>
      <c r="G2" s="28" t="s">
        <v>61</v>
      </c>
    </row>
    <row r="3" spans="1:13" x14ac:dyDescent="0.35">
      <c r="A3" s="11" t="s">
        <v>29</v>
      </c>
      <c r="B3" s="86">
        <f>1.7*4*F2</f>
        <v>25840</v>
      </c>
    </row>
    <row r="4" spans="1:13" ht="28.5" x14ac:dyDescent="0.45">
      <c r="A4" s="11" t="s">
        <v>1</v>
      </c>
      <c r="B4" s="86">
        <v>1000</v>
      </c>
      <c r="H4" s="941" t="s">
        <v>31</v>
      </c>
      <c r="I4" s="941"/>
      <c r="J4" s="941"/>
      <c r="K4" s="941"/>
      <c r="L4" s="941"/>
      <c r="M4" s="941"/>
    </row>
    <row r="5" spans="1:13" ht="26.25" x14ac:dyDescent="0.4">
      <c r="A5" s="11" t="s">
        <v>10</v>
      </c>
      <c r="B5" s="86">
        <v>4500</v>
      </c>
      <c r="H5" s="910" t="s">
        <v>25</v>
      </c>
      <c r="I5" s="910"/>
      <c r="J5" s="88"/>
      <c r="K5" s="88"/>
      <c r="L5" s="88"/>
      <c r="M5" s="88"/>
    </row>
    <row r="6" spans="1:13" ht="26.25" x14ac:dyDescent="0.4">
      <c r="A6" s="11" t="s">
        <v>11</v>
      </c>
      <c r="B6" s="86">
        <v>0</v>
      </c>
      <c r="D6" s="943" t="s">
        <v>25</v>
      </c>
      <c r="E6" s="943"/>
      <c r="F6" s="943"/>
      <c r="H6" s="11" t="s">
        <v>29</v>
      </c>
      <c r="I6" s="86">
        <f>1.8*2.9*F2</f>
        <v>19836</v>
      </c>
      <c r="J6" s="88"/>
      <c r="K6" s="88"/>
      <c r="L6" s="88"/>
      <c r="M6" s="88"/>
    </row>
    <row r="7" spans="1:13" ht="18.75" x14ac:dyDescent="0.3">
      <c r="A7" s="11" t="s">
        <v>12</v>
      </c>
      <c r="B7" s="86">
        <v>0</v>
      </c>
      <c r="D7" s="90" t="s">
        <v>22</v>
      </c>
      <c r="E7" s="90" t="s">
        <v>23</v>
      </c>
      <c r="F7" s="90" t="s">
        <v>24</v>
      </c>
      <c r="G7" s="4"/>
      <c r="H7" s="11" t="s">
        <v>1</v>
      </c>
      <c r="I7" s="86">
        <v>700</v>
      </c>
      <c r="J7" s="88"/>
      <c r="K7" s="88"/>
      <c r="L7" s="88"/>
      <c r="M7" s="88"/>
    </row>
    <row r="8" spans="1:13" ht="18.75" x14ac:dyDescent="0.3">
      <c r="A8" s="11" t="s">
        <v>14</v>
      </c>
      <c r="B8" s="86">
        <v>0</v>
      </c>
      <c r="D8" s="90">
        <f>D12</f>
        <v>14.000131578947368</v>
      </c>
      <c r="E8" s="90">
        <f>E12</f>
        <v>16.89671052631579</v>
      </c>
      <c r="F8" s="90">
        <f>F12</f>
        <v>19.213973684210526</v>
      </c>
      <c r="G8" s="4"/>
      <c r="H8" s="11" t="s">
        <v>10</v>
      </c>
      <c r="I8" s="86">
        <v>3000</v>
      </c>
      <c r="J8" s="88"/>
      <c r="K8" s="88"/>
      <c r="L8" s="88"/>
      <c r="M8" s="88"/>
    </row>
    <row r="9" spans="1:13" ht="23.25" x14ac:dyDescent="0.35">
      <c r="A9" s="11" t="s">
        <v>15</v>
      </c>
      <c r="B9" s="86">
        <v>0</v>
      </c>
      <c r="D9" s="86"/>
      <c r="E9" s="86"/>
      <c r="F9" s="86"/>
      <c r="G9" s="4"/>
      <c r="H9" s="11" t="s">
        <v>11</v>
      </c>
      <c r="I9" s="86">
        <v>3000</v>
      </c>
      <c r="J9" s="88"/>
      <c r="K9" s="940" t="s">
        <v>108</v>
      </c>
      <c r="L9" s="940"/>
      <c r="M9" s="940"/>
    </row>
    <row r="10" spans="1:13" ht="18.75" x14ac:dyDescent="0.3">
      <c r="A10" s="11" t="s">
        <v>27</v>
      </c>
      <c r="B10" s="86">
        <v>200</v>
      </c>
      <c r="H10" s="11" t="s">
        <v>377</v>
      </c>
      <c r="I10" s="86">
        <f>1.8*13000</f>
        <v>23400</v>
      </c>
      <c r="J10" s="88"/>
      <c r="K10" s="90" t="s">
        <v>22</v>
      </c>
      <c r="L10" s="90" t="s">
        <v>23</v>
      </c>
      <c r="M10" s="90" t="s">
        <v>24</v>
      </c>
    </row>
    <row r="11" spans="1:13" ht="18.75" x14ac:dyDescent="0.3">
      <c r="A11" s="11" t="s">
        <v>28</v>
      </c>
      <c r="B11" s="86">
        <v>100</v>
      </c>
      <c r="D11" s="81">
        <v>0.4</v>
      </c>
      <c r="E11" s="166">
        <v>0.6</v>
      </c>
      <c r="F11" s="166">
        <v>0.9</v>
      </c>
      <c r="H11" s="11" t="s">
        <v>191</v>
      </c>
      <c r="I11" s="86">
        <v>1000</v>
      </c>
      <c r="J11" s="88"/>
      <c r="K11" s="90"/>
      <c r="L11" s="90"/>
      <c r="M11" s="90"/>
    </row>
    <row r="12" spans="1:13" ht="18.75" x14ac:dyDescent="0.3">
      <c r="A12" s="11" t="s">
        <v>16</v>
      </c>
      <c r="B12" s="86">
        <v>300</v>
      </c>
      <c r="D12" s="86">
        <f>B15*1.45</f>
        <v>14.000131578947368</v>
      </c>
      <c r="E12" s="86">
        <f>B15*1.75</f>
        <v>16.89671052631579</v>
      </c>
      <c r="F12" s="86">
        <f>B15*1.99</f>
        <v>19.213973684210526</v>
      </c>
      <c r="H12" s="11" t="s">
        <v>12</v>
      </c>
      <c r="I12" s="86">
        <v>2000</v>
      </c>
      <c r="J12" s="88"/>
      <c r="K12" s="90">
        <f>K17</f>
        <v>20.706868421052633</v>
      </c>
      <c r="L12" s="90">
        <f>L17</f>
        <v>26.842236842105265</v>
      </c>
      <c r="M12" s="90">
        <f>M17</f>
        <v>30.523457894736843</v>
      </c>
    </row>
    <row r="13" spans="1:13" ht="18.75" x14ac:dyDescent="0.3">
      <c r="A13" s="11" t="s">
        <v>17</v>
      </c>
      <c r="B13" s="86">
        <v>750</v>
      </c>
      <c r="H13" s="11" t="s">
        <v>27</v>
      </c>
      <c r="I13" s="86">
        <v>200</v>
      </c>
      <c r="J13" s="88"/>
      <c r="K13" s="86"/>
      <c r="L13" s="86"/>
      <c r="M13" s="86"/>
    </row>
    <row r="14" spans="1:13" ht="19.5" thickBot="1" x14ac:dyDescent="0.35">
      <c r="A14" s="11" t="s">
        <v>18</v>
      </c>
      <c r="B14" s="87">
        <v>4000</v>
      </c>
      <c r="H14" s="11" t="s">
        <v>28</v>
      </c>
      <c r="I14" s="86">
        <v>100</v>
      </c>
      <c r="J14" s="88"/>
      <c r="K14" s="88"/>
      <c r="L14" s="88"/>
      <c r="M14" s="88"/>
    </row>
    <row r="15" spans="1:13" ht="18.75" x14ac:dyDescent="0.3">
      <c r="B15" s="86">
        <f>SUM(B3:B14)/F2</f>
        <v>9.655263157894737</v>
      </c>
      <c r="F15" s="86"/>
      <c r="H15" s="11" t="s">
        <v>16</v>
      </c>
      <c r="I15" s="86">
        <v>300</v>
      </c>
      <c r="J15" s="88"/>
      <c r="K15" s="88"/>
      <c r="L15" s="88"/>
      <c r="M15" s="88"/>
    </row>
    <row r="16" spans="1:13" ht="18.75" x14ac:dyDescent="0.3">
      <c r="B16" s="86"/>
      <c r="C16" s="86"/>
      <c r="D16" s="86"/>
      <c r="E16" s="86"/>
      <c r="F16" s="86"/>
      <c r="H16" s="11" t="s">
        <v>17</v>
      </c>
      <c r="I16" s="86">
        <v>750</v>
      </c>
      <c r="J16" s="88"/>
      <c r="K16" s="674">
        <v>0.4</v>
      </c>
      <c r="L16" s="674">
        <v>0.6</v>
      </c>
      <c r="M16" s="674">
        <v>0.9</v>
      </c>
    </row>
    <row r="17" spans="1:13" ht="19.5" thickBot="1" x14ac:dyDescent="0.35">
      <c r="C17" s="86"/>
      <c r="D17" s="86"/>
      <c r="E17" s="86"/>
      <c r="F17" s="86"/>
      <c r="H17" s="11" t="s">
        <v>18</v>
      </c>
      <c r="I17" s="87">
        <v>4000</v>
      </c>
      <c r="J17" s="88"/>
      <c r="K17" s="86">
        <f>I18*1.35</f>
        <v>20.706868421052633</v>
      </c>
      <c r="L17" s="86">
        <f>I18*1.75</f>
        <v>26.842236842105265</v>
      </c>
      <c r="M17" s="86">
        <f>I18*1.99</f>
        <v>30.523457894736843</v>
      </c>
    </row>
    <row r="18" spans="1:13" ht="26.25" x14ac:dyDescent="0.3">
      <c r="A18" s="944" t="s">
        <v>115</v>
      </c>
      <c r="B18" s="944"/>
      <c r="H18" s="11"/>
      <c r="I18" s="86">
        <f>SUM(I6:I17)/F2</f>
        <v>15.338421052631579</v>
      </c>
      <c r="J18" s="88"/>
      <c r="K18" s="862"/>
      <c r="L18" s="862"/>
      <c r="M18" s="88"/>
    </row>
    <row r="19" spans="1:13" x14ac:dyDescent="0.35">
      <c r="A19" s="11" t="s">
        <v>29</v>
      </c>
      <c r="B19" s="86">
        <f>1.5*4*F2</f>
        <v>22800</v>
      </c>
      <c r="J19" s="88"/>
      <c r="K19" s="88"/>
      <c r="L19" s="88"/>
      <c r="M19" s="86"/>
    </row>
    <row r="20" spans="1:13" x14ac:dyDescent="0.35">
      <c r="A20" s="11" t="s">
        <v>1</v>
      </c>
      <c r="B20" s="86">
        <v>1000</v>
      </c>
      <c r="J20" s="88"/>
      <c r="K20" s="88"/>
      <c r="L20" s="88"/>
      <c r="M20" s="86"/>
    </row>
    <row r="21" spans="1:13" ht="26.25" x14ac:dyDescent="0.4">
      <c r="A21" s="11" t="s">
        <v>10</v>
      </c>
      <c r="B21" s="86">
        <v>4000</v>
      </c>
      <c r="D21" s="943" t="s">
        <v>115</v>
      </c>
      <c r="E21" s="943"/>
      <c r="F21" s="943"/>
      <c r="H21" s="11"/>
      <c r="I21" s="88"/>
      <c r="J21" s="86"/>
      <c r="K21" s="86"/>
      <c r="L21" s="86"/>
      <c r="M21" s="86"/>
    </row>
    <row r="22" spans="1:13" ht="18.75" x14ac:dyDescent="0.3">
      <c r="A22" s="11" t="s">
        <v>11</v>
      </c>
      <c r="B22" s="86">
        <v>0</v>
      </c>
      <c r="D22" s="90" t="s">
        <v>22</v>
      </c>
      <c r="E22" s="90" t="s">
        <v>23</v>
      </c>
      <c r="F22" s="90" t="s">
        <v>24</v>
      </c>
      <c r="H22" s="11"/>
      <c r="I22" s="88"/>
      <c r="J22" s="86"/>
      <c r="K22" s="86"/>
      <c r="L22" s="86"/>
      <c r="M22" s="86"/>
    </row>
    <row r="23" spans="1:13" ht="28.5" x14ac:dyDescent="0.3">
      <c r="A23" s="11" t="s">
        <v>12</v>
      </c>
      <c r="B23" s="86">
        <f>B7</f>
        <v>0</v>
      </c>
      <c r="D23" s="90">
        <f>D27</f>
        <v>12.649342105263157</v>
      </c>
      <c r="E23" s="90">
        <f>E27</f>
        <v>15.266447368421051</v>
      </c>
      <c r="F23" s="90">
        <f>F27</f>
        <v>17.360131578947367</v>
      </c>
      <c r="H23" s="942" t="s">
        <v>115</v>
      </c>
      <c r="I23" s="942"/>
      <c r="J23" s="88"/>
      <c r="K23" s="88"/>
      <c r="L23" s="88"/>
      <c r="M23" s="88"/>
    </row>
    <row r="24" spans="1:13" ht="18.75" x14ac:dyDescent="0.3">
      <c r="A24" s="11" t="s">
        <v>14</v>
      </c>
      <c r="B24" s="86">
        <f>B8</f>
        <v>0</v>
      </c>
      <c r="D24" s="86"/>
      <c r="E24" s="86"/>
      <c r="F24" s="86"/>
      <c r="G24" s="4"/>
      <c r="H24" s="11" t="s">
        <v>29</v>
      </c>
      <c r="I24" s="86">
        <f>1.5*2.9*F2</f>
        <v>16530</v>
      </c>
      <c r="J24" s="88"/>
      <c r="K24" s="88"/>
      <c r="L24" s="88"/>
      <c r="M24" s="88"/>
    </row>
    <row r="25" spans="1:13" ht="23.25" x14ac:dyDescent="0.35">
      <c r="A25" s="11" t="s">
        <v>15</v>
      </c>
      <c r="B25" s="86">
        <f>B9</f>
        <v>0</v>
      </c>
      <c r="G25" s="4"/>
      <c r="H25" s="11" t="s">
        <v>1</v>
      </c>
      <c r="I25" s="86">
        <v>700</v>
      </c>
      <c r="J25" s="88"/>
      <c r="K25" s="940" t="s">
        <v>115</v>
      </c>
      <c r="L25" s="940"/>
      <c r="M25" s="940"/>
    </row>
    <row r="26" spans="1:13" ht="18.75" x14ac:dyDescent="0.3">
      <c r="A26" s="11" t="s">
        <v>27</v>
      </c>
      <c r="B26" s="86">
        <v>200</v>
      </c>
      <c r="D26" s="81">
        <v>0.4</v>
      </c>
      <c r="E26" s="81">
        <v>0.6</v>
      </c>
      <c r="F26" s="81">
        <v>0.9</v>
      </c>
      <c r="G26" s="4"/>
      <c r="H26" s="11" t="s">
        <v>10</v>
      </c>
      <c r="I26" s="86">
        <v>3000</v>
      </c>
      <c r="J26" s="88"/>
      <c r="K26" s="90" t="s">
        <v>22</v>
      </c>
      <c r="L26" s="90" t="s">
        <v>23</v>
      </c>
      <c r="M26" s="90" t="s">
        <v>24</v>
      </c>
    </row>
    <row r="27" spans="1:13" ht="18.75" x14ac:dyDescent="0.3">
      <c r="A27" s="11" t="s">
        <v>28</v>
      </c>
      <c r="B27" s="86">
        <v>100</v>
      </c>
      <c r="D27" s="86">
        <f>B31*1.45</f>
        <v>12.649342105263157</v>
      </c>
      <c r="E27" s="86">
        <f>B31*1.75</f>
        <v>15.266447368421051</v>
      </c>
      <c r="F27" s="86">
        <f>B31*1.99</f>
        <v>17.360131578947367</v>
      </c>
      <c r="H27" s="11" t="s">
        <v>11</v>
      </c>
      <c r="I27" s="86">
        <v>1000</v>
      </c>
      <c r="J27" s="88"/>
      <c r="K27" s="90">
        <f>K33</f>
        <v>17.436315789473685</v>
      </c>
      <c r="L27" s="90">
        <f>L33</f>
        <v>21.956842105263156</v>
      </c>
      <c r="M27" s="90">
        <f>M33</f>
        <v>25.702421052631578</v>
      </c>
    </row>
    <row r="28" spans="1:13" ht="18.75" x14ac:dyDescent="0.3">
      <c r="A28" s="11" t="s">
        <v>16</v>
      </c>
      <c r="B28" s="86">
        <f>B12</f>
        <v>300</v>
      </c>
      <c r="H28" s="11" t="s">
        <v>377</v>
      </c>
      <c r="I28" s="86">
        <f>1.5*13000</f>
        <v>19500</v>
      </c>
      <c r="J28" s="88"/>
      <c r="K28" s="86"/>
      <c r="L28" s="86"/>
      <c r="M28" s="86"/>
    </row>
    <row r="29" spans="1:13" ht="18.75" x14ac:dyDescent="0.3">
      <c r="A29" s="11" t="s">
        <v>17</v>
      </c>
      <c r="B29" s="86">
        <f>B13</f>
        <v>750</v>
      </c>
      <c r="H29" s="11" t="s">
        <v>191</v>
      </c>
      <c r="I29" s="86">
        <v>1000</v>
      </c>
      <c r="J29" s="88"/>
      <c r="K29" s="86"/>
      <c r="L29" s="86"/>
      <c r="M29" s="86"/>
    </row>
    <row r="30" spans="1:13" ht="19.5" thickBot="1" x14ac:dyDescent="0.35">
      <c r="A30" s="11" t="s">
        <v>18</v>
      </c>
      <c r="B30" s="87">
        <f>B14</f>
        <v>4000</v>
      </c>
      <c r="F30" s="86"/>
      <c r="H30" s="11" t="s">
        <v>12</v>
      </c>
      <c r="I30" s="86">
        <f>I12</f>
        <v>2000</v>
      </c>
      <c r="J30" s="88"/>
      <c r="K30" s="88"/>
      <c r="L30" s="88"/>
      <c r="M30" s="88"/>
    </row>
    <row r="31" spans="1:13" ht="18.75" x14ac:dyDescent="0.3">
      <c r="B31" s="86">
        <f>SUM(B19:B30)/F2</f>
        <v>8.723684210526315</v>
      </c>
      <c r="F31" s="86"/>
      <c r="H31" s="11" t="s">
        <v>27</v>
      </c>
      <c r="I31" s="86">
        <v>200</v>
      </c>
      <c r="J31" s="88"/>
      <c r="K31" s="88"/>
      <c r="L31" s="88"/>
      <c r="M31" s="88"/>
    </row>
    <row r="32" spans="1:13" ht="18.75" x14ac:dyDescent="0.3">
      <c r="H32" s="11" t="s">
        <v>28</v>
      </c>
      <c r="I32" s="86">
        <v>100</v>
      </c>
      <c r="J32" s="88"/>
      <c r="K32" s="674">
        <v>0.4</v>
      </c>
      <c r="L32" s="674">
        <v>0.6</v>
      </c>
      <c r="M32" s="674">
        <v>0.9</v>
      </c>
    </row>
    <row r="33" spans="1:13" ht="28.5" x14ac:dyDescent="0.45">
      <c r="A33" s="941" t="s">
        <v>113</v>
      </c>
      <c r="B33" s="941"/>
      <c r="C33" s="16"/>
      <c r="D33" s="16"/>
      <c r="E33" s="16"/>
      <c r="F33" s="16"/>
      <c r="G33" s="16"/>
      <c r="H33" s="11" t="s">
        <v>16</v>
      </c>
      <c r="I33" s="86">
        <f>I15</f>
        <v>300</v>
      </c>
      <c r="J33" s="88"/>
      <c r="K33" s="86">
        <f>I36*1.35</f>
        <v>17.436315789473685</v>
      </c>
      <c r="L33" s="86">
        <f>I36*1.7</f>
        <v>21.956842105263156</v>
      </c>
      <c r="M33" s="86">
        <f>I36*1.99</f>
        <v>25.702421052631578</v>
      </c>
    </row>
    <row r="34" spans="1:13" ht="18.75" x14ac:dyDescent="0.3">
      <c r="A34" s="11" t="s">
        <v>29</v>
      </c>
      <c r="B34" s="86">
        <f>2*4*F2</f>
        <v>30400</v>
      </c>
      <c r="H34" s="11" t="s">
        <v>17</v>
      </c>
      <c r="I34" s="86">
        <f>I16</f>
        <v>750</v>
      </c>
      <c r="J34" s="88"/>
      <c r="K34" s="88"/>
      <c r="L34" s="88"/>
      <c r="M34" s="88"/>
    </row>
    <row r="35" spans="1:13" ht="19.5" thickBot="1" x14ac:dyDescent="0.35">
      <c r="A35" s="11" t="s">
        <v>1</v>
      </c>
      <c r="B35" s="86">
        <v>700</v>
      </c>
      <c r="H35" s="11" t="s">
        <v>18</v>
      </c>
      <c r="I35" s="87">
        <f>I17</f>
        <v>4000</v>
      </c>
      <c r="J35" s="88"/>
      <c r="K35" s="88"/>
      <c r="L35" s="88"/>
      <c r="M35" s="88"/>
    </row>
    <row r="36" spans="1:13" ht="18.75" x14ac:dyDescent="0.3">
      <c r="A36" s="11" t="s">
        <v>10</v>
      </c>
      <c r="B36" s="86">
        <v>3500</v>
      </c>
      <c r="H36" s="11"/>
      <c r="I36" s="86">
        <f>SUM(I24:I35)/F2</f>
        <v>12.91578947368421</v>
      </c>
      <c r="J36" s="88"/>
      <c r="K36" s="88"/>
      <c r="L36" s="88"/>
      <c r="M36" s="88"/>
    </row>
    <row r="37" spans="1:13" x14ac:dyDescent="0.35">
      <c r="A37" s="11" t="s">
        <v>11</v>
      </c>
      <c r="B37" s="86">
        <v>0</v>
      </c>
      <c r="J37" s="88"/>
      <c r="K37" s="88"/>
      <c r="L37" s="88"/>
      <c r="M37" s="86"/>
    </row>
    <row r="38" spans="1:13" x14ac:dyDescent="0.35">
      <c r="A38" s="11" t="s">
        <v>58</v>
      </c>
      <c r="B38" s="86">
        <v>2000</v>
      </c>
      <c r="J38" s="88"/>
      <c r="K38" s="88"/>
      <c r="L38" s="88"/>
      <c r="M38" s="86"/>
    </row>
    <row r="39" spans="1:13" ht="26.25" x14ac:dyDescent="0.4">
      <c r="A39" s="11" t="s">
        <v>12</v>
      </c>
      <c r="B39" s="86">
        <v>1000</v>
      </c>
      <c r="D39" s="943" t="s">
        <v>26</v>
      </c>
      <c r="E39" s="943"/>
      <c r="F39" s="943"/>
      <c r="H39" s="11"/>
      <c r="I39" s="88"/>
      <c r="J39" s="88"/>
      <c r="K39" s="88"/>
      <c r="L39" s="88"/>
      <c r="M39" s="88"/>
    </row>
    <row r="40" spans="1:13" ht="28.5" x14ac:dyDescent="0.45">
      <c r="A40" s="11" t="s">
        <v>14</v>
      </c>
      <c r="B40" s="86">
        <v>200</v>
      </c>
      <c r="D40" s="90" t="s">
        <v>22</v>
      </c>
      <c r="E40" s="90" t="s">
        <v>23</v>
      </c>
      <c r="F40" s="90" t="s">
        <v>24</v>
      </c>
      <c r="G40" s="4"/>
      <c r="H40" s="937" t="s">
        <v>26</v>
      </c>
      <c r="I40" s="937"/>
      <c r="J40" s="88"/>
      <c r="K40" s="80"/>
      <c r="L40" s="91"/>
      <c r="M40" s="91"/>
    </row>
    <row r="41" spans="1:13" ht="18.75" x14ac:dyDescent="0.3">
      <c r="A41" s="11" t="s">
        <v>15</v>
      </c>
      <c r="B41" s="86">
        <v>200</v>
      </c>
      <c r="D41" s="90">
        <f>D45</f>
        <v>16.064473684210526</v>
      </c>
      <c r="E41" s="90">
        <f>E45</f>
        <v>19.388157894736842</v>
      </c>
      <c r="F41" s="90">
        <f>F45</f>
        <v>22.047105263157896</v>
      </c>
      <c r="G41" s="4"/>
      <c r="H41" s="11" t="s">
        <v>29</v>
      </c>
      <c r="I41" s="86">
        <f>1*2*F2</f>
        <v>7600</v>
      </c>
      <c r="J41" s="88"/>
      <c r="K41" s="88"/>
      <c r="L41" s="88"/>
      <c r="M41" s="88"/>
    </row>
    <row r="42" spans="1:13" ht="18.75" x14ac:dyDescent="0.3">
      <c r="A42" s="11" t="s">
        <v>27</v>
      </c>
      <c r="B42" s="86">
        <v>200</v>
      </c>
      <c r="D42" s="86"/>
      <c r="E42" s="86"/>
      <c r="F42" s="86"/>
      <c r="G42" s="4"/>
      <c r="H42" s="11" t="s">
        <v>1</v>
      </c>
      <c r="I42" s="86">
        <v>700</v>
      </c>
      <c r="J42" s="88"/>
      <c r="K42" s="88"/>
      <c r="L42" s="88"/>
      <c r="M42" s="88"/>
    </row>
    <row r="43" spans="1:13" ht="23.25" x14ac:dyDescent="0.35">
      <c r="A43" s="11" t="s">
        <v>28</v>
      </c>
      <c r="B43" s="86">
        <v>100</v>
      </c>
      <c r="H43" s="11" t="s">
        <v>10</v>
      </c>
      <c r="I43" s="86">
        <v>3000</v>
      </c>
      <c r="J43" s="88"/>
      <c r="K43" s="940" t="s">
        <v>26</v>
      </c>
      <c r="L43" s="940"/>
      <c r="M43" s="940"/>
    </row>
    <row r="44" spans="1:13" ht="18.75" x14ac:dyDescent="0.3">
      <c r="A44" s="11" t="s">
        <v>16</v>
      </c>
      <c r="B44" s="86">
        <v>300</v>
      </c>
      <c r="D44" s="81">
        <v>0.4</v>
      </c>
      <c r="E44" s="81">
        <v>0.6</v>
      </c>
      <c r="F44" s="81">
        <v>0.9</v>
      </c>
      <c r="H44" s="11" t="s">
        <v>11</v>
      </c>
      <c r="I44" s="86">
        <v>3000</v>
      </c>
      <c r="J44" s="88"/>
      <c r="K44" s="90" t="s">
        <v>22</v>
      </c>
      <c r="L44" s="90" t="s">
        <v>23</v>
      </c>
      <c r="M44" s="90" t="s">
        <v>24</v>
      </c>
    </row>
    <row r="45" spans="1:13" ht="18.75" x14ac:dyDescent="0.3">
      <c r="A45" s="11" t="s">
        <v>17</v>
      </c>
      <c r="B45" s="86">
        <v>500</v>
      </c>
      <c r="D45" s="86">
        <f>B47*1.45</f>
        <v>16.064473684210526</v>
      </c>
      <c r="E45" s="86">
        <f>B47*1.75</f>
        <v>19.388157894736842</v>
      </c>
      <c r="F45" s="86">
        <f>B47*1.99</f>
        <v>22.047105263157896</v>
      </c>
      <c r="H45" s="11" t="s">
        <v>58</v>
      </c>
      <c r="I45" s="86">
        <v>11000</v>
      </c>
      <c r="J45" s="88"/>
      <c r="K45" s="90">
        <f>K49</f>
        <v>11.623684210526315</v>
      </c>
      <c r="L45" s="90">
        <f>L49</f>
        <v>13.699342105263156</v>
      </c>
      <c r="M45" s="90">
        <f>M49</f>
        <v>14.944736842105263</v>
      </c>
    </row>
    <row r="46" spans="1:13" ht="19.5" thickBot="1" x14ac:dyDescent="0.35">
      <c r="A46" s="11" t="s">
        <v>18</v>
      </c>
      <c r="B46" s="87">
        <v>3000</v>
      </c>
      <c r="F46" s="86"/>
      <c r="H46" s="11" t="s">
        <v>191</v>
      </c>
      <c r="I46" s="86">
        <v>1000</v>
      </c>
      <c r="J46" s="88"/>
      <c r="K46" s="86"/>
      <c r="L46" s="86"/>
      <c r="M46" s="86"/>
    </row>
    <row r="47" spans="1:13" ht="18.75" x14ac:dyDescent="0.3">
      <c r="B47" s="86">
        <f>SUM(B34:B46)/F2</f>
        <v>11.078947368421053</v>
      </c>
      <c r="F47" s="86"/>
      <c r="H47" s="11" t="s">
        <v>27</v>
      </c>
      <c r="I47" s="86">
        <v>200</v>
      </c>
      <c r="J47" s="88"/>
      <c r="K47" s="88"/>
      <c r="L47" s="88"/>
      <c r="M47" s="88"/>
    </row>
    <row r="48" spans="1:13" ht="18.75" x14ac:dyDescent="0.3">
      <c r="B48" s="86"/>
      <c r="C48" s="86"/>
      <c r="D48" s="86"/>
      <c r="E48" s="86"/>
      <c r="F48" s="86"/>
      <c r="H48" s="11" t="s">
        <v>285</v>
      </c>
      <c r="I48" s="86">
        <v>0</v>
      </c>
      <c r="J48" s="88"/>
      <c r="K48" s="674">
        <v>0.4</v>
      </c>
      <c r="L48" s="674">
        <v>0.6</v>
      </c>
      <c r="M48" s="674">
        <v>0.9</v>
      </c>
    </row>
    <row r="49" spans="1:13" ht="28.5" x14ac:dyDescent="0.45">
      <c r="A49" s="941" t="s">
        <v>31</v>
      </c>
      <c r="B49" s="941"/>
      <c r="C49" s="941"/>
      <c r="D49" s="941"/>
      <c r="E49" s="941"/>
      <c r="F49" s="941"/>
      <c r="G49" s="16"/>
      <c r="H49" s="11" t="s">
        <v>16</v>
      </c>
      <c r="I49" s="86">
        <v>300</v>
      </c>
      <c r="J49" s="88"/>
      <c r="K49" s="86">
        <f>I52*1.4</f>
        <v>11.623684210526315</v>
      </c>
      <c r="L49" s="86">
        <f>I52*1.65</f>
        <v>13.699342105263156</v>
      </c>
      <c r="M49" s="86">
        <f>I52*1.8</f>
        <v>14.944736842105263</v>
      </c>
    </row>
    <row r="50" spans="1:13" ht="26.25" x14ac:dyDescent="0.4">
      <c r="A50" s="910" t="s">
        <v>25</v>
      </c>
      <c r="B50" s="910"/>
      <c r="H50" s="11" t="s">
        <v>17</v>
      </c>
      <c r="I50" s="86">
        <v>750</v>
      </c>
      <c r="J50" s="88"/>
      <c r="K50" s="88"/>
      <c r="L50" s="88"/>
      <c r="M50" s="88"/>
    </row>
    <row r="51" spans="1:13" ht="19.5" thickBot="1" x14ac:dyDescent="0.35">
      <c r="A51" s="11" t="s">
        <v>29</v>
      </c>
      <c r="B51" s="86">
        <f>1.8*4*F2</f>
        <v>27360</v>
      </c>
      <c r="H51" s="11" t="s">
        <v>18</v>
      </c>
      <c r="I51" s="87">
        <v>4000</v>
      </c>
      <c r="J51" s="88"/>
      <c r="K51" s="88"/>
      <c r="L51" s="88"/>
      <c r="M51" s="88"/>
    </row>
    <row r="52" spans="1:13" ht="18.75" x14ac:dyDescent="0.3">
      <c r="A52" s="11" t="s">
        <v>1</v>
      </c>
      <c r="B52" s="86">
        <v>700</v>
      </c>
      <c r="H52" s="11"/>
      <c r="I52" s="86">
        <f>SUM(I41:I51)/F2</f>
        <v>8.3026315789473681</v>
      </c>
      <c r="J52" s="88"/>
      <c r="K52" s="862"/>
      <c r="L52" s="862"/>
      <c r="M52" s="88"/>
    </row>
    <row r="53" spans="1:13" x14ac:dyDescent="0.35">
      <c r="A53" s="11" t="s">
        <v>10</v>
      </c>
      <c r="B53" s="86">
        <v>3000</v>
      </c>
      <c r="J53" s="88"/>
      <c r="K53" s="88"/>
      <c r="L53" s="88"/>
      <c r="M53" s="86"/>
    </row>
    <row r="54" spans="1:13" ht="23.25" x14ac:dyDescent="0.35">
      <c r="A54" s="11" t="s">
        <v>11</v>
      </c>
      <c r="B54" s="86">
        <v>500</v>
      </c>
      <c r="D54" s="940" t="s">
        <v>108</v>
      </c>
      <c r="E54" s="940"/>
      <c r="F54" s="940"/>
      <c r="J54" s="88"/>
      <c r="K54" s="88"/>
      <c r="L54" s="88"/>
      <c r="M54" s="86"/>
    </row>
    <row r="55" spans="1:13" x14ac:dyDescent="0.35">
      <c r="A55" s="11" t="s">
        <v>13</v>
      </c>
      <c r="B55" s="86">
        <v>3000</v>
      </c>
      <c r="D55" s="90" t="s">
        <v>22</v>
      </c>
      <c r="E55" s="90" t="s">
        <v>23</v>
      </c>
      <c r="F55" s="90" t="s">
        <v>24</v>
      </c>
      <c r="G55" s="4"/>
    </row>
    <row r="56" spans="1:13" x14ac:dyDescent="0.35">
      <c r="A56" s="11" t="s">
        <v>191</v>
      </c>
      <c r="B56" s="86">
        <v>1000</v>
      </c>
      <c r="D56" s="90"/>
      <c r="E56" s="90"/>
      <c r="F56" s="90"/>
      <c r="G56" s="4"/>
    </row>
    <row r="57" spans="1:13" x14ac:dyDescent="0.35">
      <c r="A57" s="11" t="s">
        <v>12</v>
      </c>
      <c r="B57" s="86">
        <v>1000</v>
      </c>
      <c r="D57" s="90">
        <f>D62</f>
        <v>16.144605263157892</v>
      </c>
      <c r="E57" s="90">
        <f>E62</f>
        <v>19.484868421052632</v>
      </c>
      <c r="F57" s="90">
        <f>F62</f>
        <v>22.157078947368419</v>
      </c>
      <c r="G57" s="4"/>
    </row>
    <row r="58" spans="1:13" x14ac:dyDescent="0.35">
      <c r="A58" s="11" t="s">
        <v>14</v>
      </c>
      <c r="B58" s="86">
        <v>200</v>
      </c>
      <c r="D58" s="86"/>
      <c r="E58" s="86"/>
      <c r="F58" s="86"/>
      <c r="G58" s="4"/>
    </row>
    <row r="59" spans="1:13" x14ac:dyDescent="0.35">
      <c r="A59" s="11" t="s">
        <v>15</v>
      </c>
      <c r="B59" s="86">
        <v>200</v>
      </c>
    </row>
    <row r="60" spans="1:13" x14ac:dyDescent="0.35">
      <c r="A60" s="11" t="s">
        <v>27</v>
      </c>
      <c r="B60" s="86">
        <v>200</v>
      </c>
    </row>
    <row r="61" spans="1:13" x14ac:dyDescent="0.35">
      <c r="A61" s="11" t="s">
        <v>28</v>
      </c>
      <c r="B61" s="86">
        <v>100</v>
      </c>
      <c r="D61" s="81">
        <v>0.4</v>
      </c>
      <c r="E61" s="81">
        <v>0.6</v>
      </c>
      <c r="F61" s="81">
        <v>0.9</v>
      </c>
    </row>
    <row r="62" spans="1:13" x14ac:dyDescent="0.35">
      <c r="A62" s="11" t="s">
        <v>16</v>
      </c>
      <c r="B62" s="86">
        <v>300</v>
      </c>
      <c r="D62" s="86">
        <f>B65*1.45</f>
        <v>16.144605263157892</v>
      </c>
      <c r="E62" s="86">
        <f>B65*1.75</f>
        <v>19.484868421052632</v>
      </c>
      <c r="F62" s="86">
        <f>B65*1.99</f>
        <v>22.157078947368419</v>
      </c>
    </row>
    <row r="63" spans="1:13" ht="23.25" x14ac:dyDescent="0.35">
      <c r="A63" s="11" t="s">
        <v>17</v>
      </c>
      <c r="B63" s="86">
        <v>750</v>
      </c>
      <c r="D63" s="862"/>
      <c r="E63" s="862"/>
      <c r="I63" s="909"/>
      <c r="J63" s="909"/>
    </row>
    <row r="64" spans="1:13" ht="21.75" thickBot="1" x14ac:dyDescent="0.4">
      <c r="A64" s="11" t="s">
        <v>18</v>
      </c>
      <c r="B64" s="87">
        <v>4000</v>
      </c>
      <c r="F64" s="86"/>
    </row>
    <row r="65" spans="1:7" x14ac:dyDescent="0.35">
      <c r="B65" s="86">
        <f>SUM(B51:B64)/F2</f>
        <v>11.134210526315789</v>
      </c>
      <c r="F65" s="86"/>
    </row>
    <row r="66" spans="1:7" x14ac:dyDescent="0.35">
      <c r="C66" s="86"/>
      <c r="D66" s="86"/>
      <c r="E66" s="86"/>
      <c r="F66" s="86"/>
    </row>
    <row r="67" spans="1:7" x14ac:dyDescent="0.35">
      <c r="C67" s="86"/>
      <c r="D67" s="86"/>
      <c r="E67" s="86"/>
      <c r="F67" s="86"/>
    </row>
    <row r="68" spans="1:7" ht="28.5" x14ac:dyDescent="0.35">
      <c r="A68" s="942" t="s">
        <v>115</v>
      </c>
      <c r="B68" s="942"/>
    </row>
    <row r="69" spans="1:7" x14ac:dyDescent="0.35">
      <c r="A69" s="11" t="s">
        <v>29</v>
      </c>
      <c r="B69" s="86">
        <f>1.5*4*F2</f>
        <v>22800</v>
      </c>
    </row>
    <row r="70" spans="1:7" ht="23.25" x14ac:dyDescent="0.35">
      <c r="A70" s="11" t="s">
        <v>1</v>
      </c>
      <c r="B70" s="86">
        <v>700</v>
      </c>
      <c r="D70" s="940" t="s">
        <v>115</v>
      </c>
      <c r="E70" s="940"/>
      <c r="F70" s="940"/>
    </row>
    <row r="71" spans="1:7" x14ac:dyDescent="0.35">
      <c r="A71" s="11" t="s">
        <v>10</v>
      </c>
      <c r="B71" s="86">
        <v>3000</v>
      </c>
      <c r="D71" s="90" t="s">
        <v>22</v>
      </c>
      <c r="E71" s="90" t="s">
        <v>23</v>
      </c>
      <c r="F71" s="90" t="s">
        <v>24</v>
      </c>
    </row>
    <row r="72" spans="1:7" x14ac:dyDescent="0.35">
      <c r="A72" s="11" t="s">
        <v>11</v>
      </c>
      <c r="B72" s="86">
        <v>1000</v>
      </c>
      <c r="D72" s="90">
        <f>D78</f>
        <v>14.786184210526315</v>
      </c>
      <c r="E72" s="90">
        <f>E78</f>
        <v>17.335526315789473</v>
      </c>
      <c r="F72" s="90">
        <f>F78</f>
        <v>20.292763157894736</v>
      </c>
    </row>
    <row r="73" spans="1:7" x14ac:dyDescent="0.35">
      <c r="A73" s="11" t="s">
        <v>13</v>
      </c>
      <c r="B73" s="86">
        <v>3500</v>
      </c>
      <c r="D73" s="86"/>
      <c r="E73" s="86"/>
      <c r="F73" s="86"/>
    </row>
    <row r="74" spans="1:7" x14ac:dyDescent="0.35">
      <c r="A74" s="11" t="s">
        <v>191</v>
      </c>
      <c r="B74" s="86">
        <v>1000</v>
      </c>
      <c r="D74" s="86"/>
      <c r="E74" s="86"/>
      <c r="F74" s="86"/>
    </row>
    <row r="75" spans="1:7" x14ac:dyDescent="0.35">
      <c r="A75" s="11" t="s">
        <v>12</v>
      </c>
      <c r="B75" s="86">
        <f>B57</f>
        <v>1000</v>
      </c>
      <c r="G75" s="4"/>
    </row>
    <row r="76" spans="1:7" x14ac:dyDescent="0.35">
      <c r="A76" s="11" t="s">
        <v>14</v>
      </c>
      <c r="B76" s="86">
        <f>B58</f>
        <v>200</v>
      </c>
      <c r="G76" s="4"/>
    </row>
    <row r="77" spans="1:7" x14ac:dyDescent="0.35">
      <c r="A77" s="11" t="s">
        <v>15</v>
      </c>
      <c r="B77" s="86">
        <f>B59</f>
        <v>200</v>
      </c>
      <c r="D77" s="81">
        <v>0.4</v>
      </c>
      <c r="E77" s="81">
        <v>0.6</v>
      </c>
      <c r="F77" s="81">
        <v>0.9</v>
      </c>
      <c r="G77" s="4"/>
    </row>
    <row r="78" spans="1:7" x14ac:dyDescent="0.35">
      <c r="A78" s="11" t="s">
        <v>27</v>
      </c>
      <c r="B78" s="86">
        <v>200</v>
      </c>
      <c r="D78" s="86">
        <f>B83*1.45</f>
        <v>14.786184210526315</v>
      </c>
      <c r="E78" s="86">
        <f>B83*1.7</f>
        <v>17.335526315789473</v>
      </c>
      <c r="F78" s="86">
        <f>B83*1.99</f>
        <v>20.292763157894736</v>
      </c>
    </row>
    <row r="79" spans="1:7" x14ac:dyDescent="0.35">
      <c r="A79" s="11" t="s">
        <v>28</v>
      </c>
      <c r="B79" s="86">
        <v>100</v>
      </c>
    </row>
    <row r="80" spans="1:7" x14ac:dyDescent="0.35">
      <c r="A80" s="11" t="s">
        <v>16</v>
      </c>
      <c r="B80" s="86">
        <f>B62</f>
        <v>300</v>
      </c>
    </row>
    <row r="81" spans="1:10" ht="23.25" x14ac:dyDescent="0.35">
      <c r="A81" s="11" t="s">
        <v>17</v>
      </c>
      <c r="B81" s="86">
        <f>B63</f>
        <v>750</v>
      </c>
      <c r="I81" s="9"/>
      <c r="J81" s="9"/>
    </row>
    <row r="82" spans="1:10" ht="21.75" thickBot="1" x14ac:dyDescent="0.4">
      <c r="A82" s="11" t="s">
        <v>18</v>
      </c>
      <c r="B82" s="87">
        <f>B64</f>
        <v>4000</v>
      </c>
      <c r="F82" s="86"/>
    </row>
    <row r="83" spans="1:10" x14ac:dyDescent="0.35">
      <c r="B83" s="86">
        <f>SUM(B69:B82)/F2</f>
        <v>10.197368421052632</v>
      </c>
      <c r="F83" s="86"/>
    </row>
    <row r="85" spans="1:10" ht="33.75" x14ac:dyDescent="0.5">
      <c r="A85" s="937" t="s">
        <v>26</v>
      </c>
      <c r="B85" s="937"/>
      <c r="D85" s="80"/>
      <c r="E85" s="91"/>
      <c r="F85" s="91"/>
      <c r="G85" s="25"/>
      <c r="H85" s="14"/>
      <c r="I85" s="14"/>
      <c r="J85" s="14"/>
    </row>
    <row r="86" spans="1:10" x14ac:dyDescent="0.35">
      <c r="A86" s="11" t="s">
        <v>29</v>
      </c>
      <c r="B86" s="86">
        <f>2*4*F2</f>
        <v>30400</v>
      </c>
    </row>
    <row r="87" spans="1:10" x14ac:dyDescent="0.35">
      <c r="A87" s="11" t="s">
        <v>1</v>
      </c>
      <c r="B87" s="86">
        <v>700</v>
      </c>
    </row>
    <row r="88" spans="1:10" ht="23.25" x14ac:dyDescent="0.35">
      <c r="A88" s="11" t="s">
        <v>10</v>
      </c>
      <c r="B88" s="86">
        <v>3000</v>
      </c>
      <c r="D88" s="940" t="s">
        <v>26</v>
      </c>
      <c r="E88" s="940"/>
      <c r="F88" s="940"/>
    </row>
    <row r="89" spans="1:10" x14ac:dyDescent="0.35">
      <c r="A89" s="11" t="s">
        <v>11</v>
      </c>
      <c r="B89" s="86">
        <v>1000</v>
      </c>
      <c r="D89" s="90" t="s">
        <v>22</v>
      </c>
      <c r="E89" s="90" t="s">
        <v>23</v>
      </c>
      <c r="F89" s="90" t="s">
        <v>24</v>
      </c>
      <c r="G89" s="4"/>
    </row>
    <row r="90" spans="1:10" x14ac:dyDescent="0.35">
      <c r="A90" s="11" t="s">
        <v>13</v>
      </c>
      <c r="B90" s="86">
        <v>4000</v>
      </c>
      <c r="D90" s="90">
        <f>D94</f>
        <v>17.495394736842105</v>
      </c>
      <c r="E90" s="90">
        <f>E94</f>
        <v>21.11513157894737</v>
      </c>
      <c r="F90" s="90">
        <f>F94</f>
        <v>24.010921052631581</v>
      </c>
      <c r="G90" s="4"/>
    </row>
    <row r="91" spans="1:10" x14ac:dyDescent="0.35">
      <c r="A91" s="11" t="s">
        <v>191</v>
      </c>
      <c r="B91" s="86">
        <v>1000</v>
      </c>
      <c r="D91" s="86"/>
      <c r="E91" s="86"/>
      <c r="F91" s="86"/>
      <c r="G91" s="4"/>
    </row>
    <row r="92" spans="1:10" x14ac:dyDescent="0.35">
      <c r="A92" s="11" t="s">
        <v>14</v>
      </c>
      <c r="B92" s="86">
        <v>200</v>
      </c>
    </row>
    <row r="93" spans="1:10" x14ac:dyDescent="0.35">
      <c r="A93" s="11" t="s">
        <v>15</v>
      </c>
      <c r="B93" s="86">
        <v>200</v>
      </c>
      <c r="D93" s="81">
        <v>0.4</v>
      </c>
      <c r="E93" s="81">
        <v>0.6</v>
      </c>
      <c r="F93" s="81">
        <v>0.9</v>
      </c>
    </row>
    <row r="94" spans="1:10" x14ac:dyDescent="0.35">
      <c r="A94" s="11" t="s">
        <v>27</v>
      </c>
      <c r="B94" s="86">
        <v>200</v>
      </c>
      <c r="D94" s="86">
        <f>B99*1.45</f>
        <v>17.495394736842105</v>
      </c>
      <c r="E94" s="86">
        <f>B99*1.75</f>
        <v>21.11513157894737</v>
      </c>
      <c r="F94" s="86">
        <f>B99*1.99</f>
        <v>24.010921052631581</v>
      </c>
    </row>
    <row r="95" spans="1:10" x14ac:dyDescent="0.35">
      <c r="A95" s="11" t="s">
        <v>28</v>
      </c>
      <c r="B95" s="86">
        <v>100</v>
      </c>
    </row>
    <row r="96" spans="1:10" x14ac:dyDescent="0.35">
      <c r="A96" s="11" t="s">
        <v>16</v>
      </c>
      <c r="B96" s="86">
        <v>300</v>
      </c>
    </row>
    <row r="97" spans="1:10" ht="23.25" x14ac:dyDescent="0.35">
      <c r="A97" s="11" t="s">
        <v>17</v>
      </c>
      <c r="B97" s="86">
        <v>750</v>
      </c>
      <c r="D97" s="862"/>
      <c r="E97" s="862"/>
      <c r="I97" s="909"/>
      <c r="J97" s="909"/>
    </row>
    <row r="98" spans="1:10" ht="21.75" thickBot="1" x14ac:dyDescent="0.4">
      <c r="A98" s="11" t="s">
        <v>18</v>
      </c>
      <c r="B98" s="87">
        <v>4000</v>
      </c>
      <c r="F98" s="86"/>
    </row>
    <row r="99" spans="1:10" x14ac:dyDescent="0.35">
      <c r="B99" s="86">
        <f>SUM(B86:B98)/F2</f>
        <v>12.065789473684211</v>
      </c>
      <c r="F99" s="86"/>
    </row>
    <row r="100" spans="1:10" x14ac:dyDescent="0.35">
      <c r="B100" s="86"/>
      <c r="C100" s="86"/>
      <c r="D100" s="86"/>
      <c r="E100" s="86"/>
      <c r="F100" s="86"/>
    </row>
    <row r="101" spans="1:10" x14ac:dyDescent="0.35">
      <c r="C101" s="86"/>
      <c r="D101" s="86"/>
      <c r="E101" s="86"/>
      <c r="F101" s="86"/>
    </row>
    <row r="102" spans="1:10" x14ac:dyDescent="0.35">
      <c r="C102" s="86"/>
      <c r="D102" s="86"/>
      <c r="E102" s="86"/>
      <c r="F102" s="86"/>
    </row>
  </sheetData>
  <mergeCells count="27">
    <mergeCell ref="K43:M43"/>
    <mergeCell ref="K52:L52"/>
    <mergeCell ref="A85:B85"/>
    <mergeCell ref="D97:E97"/>
    <mergeCell ref="I97:J97"/>
    <mergeCell ref="A50:B50"/>
    <mergeCell ref="D63:E63"/>
    <mergeCell ref="I63:J63"/>
    <mergeCell ref="A68:B68"/>
    <mergeCell ref="D54:F54"/>
    <mergeCell ref="D88:F88"/>
    <mergeCell ref="D70:F70"/>
    <mergeCell ref="A1:F1"/>
    <mergeCell ref="A33:B33"/>
    <mergeCell ref="A49:F49"/>
    <mergeCell ref="A2:B2"/>
    <mergeCell ref="D6:F6"/>
    <mergeCell ref="D21:F21"/>
    <mergeCell ref="D39:F39"/>
    <mergeCell ref="A18:B18"/>
    <mergeCell ref="K25:M25"/>
    <mergeCell ref="H40:I40"/>
    <mergeCell ref="H4:M4"/>
    <mergeCell ref="H5:I5"/>
    <mergeCell ref="K9:M9"/>
    <mergeCell ref="K18:L18"/>
    <mergeCell ref="H23:I23"/>
  </mergeCells>
  <pageMargins left="0.11811023622047245" right="0.11811023622047245" top="0.15748031496062992" bottom="0.15748031496062992" header="0.31496062992125984" footer="0.31496062992125984"/>
  <pageSetup scale="94" orientation="portrait" horizontalDpi="0" verticalDpi="0" r:id="rId1"/>
  <rowBreaks count="3" manualBreakCount="3">
    <brk id="31" max="6" man="1"/>
    <brk id="48" max="6" man="1"/>
    <brk id="84" max="6" man="1"/>
  </rowBreaks>
  <colBreaks count="1" manualBreakCount="1">
    <brk id="8" max="147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2536-1280-4563-B3F9-5922B0579A37}">
  <dimension ref="A2:F19"/>
  <sheetViews>
    <sheetView topLeftCell="A2" zoomScale="70" zoomScaleNormal="70" workbookViewId="0">
      <selection activeCell="G12" sqref="G12"/>
    </sheetView>
  </sheetViews>
  <sheetFormatPr baseColWidth="10" defaultRowHeight="15" x14ac:dyDescent="0.25"/>
  <cols>
    <col min="1" max="1" width="15.28515625" customWidth="1"/>
    <col min="2" max="2" width="16.28515625" customWidth="1"/>
    <col min="3" max="3" width="21.85546875" customWidth="1"/>
    <col min="4" max="4" width="28.7109375" customWidth="1"/>
    <col min="5" max="5" width="13.42578125" customWidth="1"/>
    <col min="6" max="6" width="18.42578125" customWidth="1"/>
  </cols>
  <sheetData>
    <row r="2" spans="1:6" ht="63.75" customHeight="1" x14ac:dyDescent="0.3">
      <c r="A2" s="734"/>
      <c r="B2" s="734"/>
      <c r="C2" s="734"/>
      <c r="D2" s="734"/>
      <c r="E2" s="734"/>
      <c r="F2" s="734"/>
    </row>
    <row r="3" spans="1:6" ht="20.25" x14ac:dyDescent="0.3">
      <c r="A3" s="735" t="s">
        <v>604</v>
      </c>
      <c r="B3" s="736"/>
      <c r="C3" s="736"/>
      <c r="D3" s="736"/>
      <c r="E3" s="736"/>
      <c r="F3" s="736"/>
    </row>
    <row r="4" spans="1:6" ht="16.5" x14ac:dyDescent="0.3">
      <c r="A4" s="734"/>
      <c r="B4" s="736"/>
      <c r="C4" s="736"/>
      <c r="D4" s="736"/>
      <c r="E4" s="736"/>
      <c r="F4" s="736"/>
    </row>
    <row r="5" spans="1:6" ht="16.5" x14ac:dyDescent="0.3">
      <c r="A5" s="734"/>
      <c r="B5" s="736"/>
      <c r="C5" s="736"/>
      <c r="D5" s="736"/>
      <c r="E5" s="736"/>
      <c r="F5" s="736"/>
    </row>
    <row r="6" spans="1:6" ht="20.25" x14ac:dyDescent="0.25">
      <c r="A6" s="945" t="s">
        <v>593</v>
      </c>
      <c r="B6" s="946"/>
      <c r="C6" s="737"/>
      <c r="D6" s="737"/>
      <c r="E6" s="737"/>
      <c r="F6" s="738"/>
    </row>
    <row r="7" spans="1:6" ht="21" x14ac:dyDescent="0.3">
      <c r="A7" s="493"/>
      <c r="B7" s="493"/>
      <c r="C7" s="739"/>
      <c r="D7" s="739"/>
      <c r="E7" s="739"/>
      <c r="F7" s="736"/>
    </row>
    <row r="8" spans="1:6" ht="18.75" thickBot="1" x14ac:dyDescent="0.35">
      <c r="A8" s="740"/>
      <c r="B8" s="740"/>
      <c r="C8" s="740"/>
      <c r="D8" s="740"/>
      <c r="E8" s="740"/>
      <c r="F8" s="736"/>
    </row>
    <row r="9" spans="1:6" ht="26.25" thickBot="1" x14ac:dyDescent="0.3">
      <c r="A9" s="741" t="s">
        <v>594</v>
      </c>
      <c r="B9" s="742" t="s">
        <v>595</v>
      </c>
      <c r="C9" s="742" t="s">
        <v>596</v>
      </c>
      <c r="D9" s="743" t="s">
        <v>12</v>
      </c>
      <c r="E9" s="742" t="s">
        <v>597</v>
      </c>
      <c r="F9" s="744" t="s">
        <v>603</v>
      </c>
    </row>
    <row r="10" spans="1:6" ht="18" x14ac:dyDescent="0.25">
      <c r="A10" s="745"/>
      <c r="B10" s="746"/>
      <c r="C10" s="746"/>
      <c r="D10" s="746"/>
      <c r="E10" s="746"/>
      <c r="F10" s="747"/>
    </row>
    <row r="11" spans="1:6" ht="18" x14ac:dyDescent="0.25">
      <c r="A11" s="748" t="s">
        <v>600</v>
      </c>
      <c r="B11" s="749" t="s">
        <v>601</v>
      </c>
      <c r="C11" s="750" t="s">
        <v>598</v>
      </c>
      <c r="D11" s="750" t="s">
        <v>602</v>
      </c>
      <c r="E11" s="749">
        <v>1</v>
      </c>
      <c r="F11" s="751">
        <v>25</v>
      </c>
    </row>
    <row r="12" spans="1:6" ht="18" x14ac:dyDescent="0.25">
      <c r="A12" s="748"/>
      <c r="B12" s="749"/>
      <c r="C12" s="750"/>
      <c r="D12" s="750"/>
      <c r="E12" s="749"/>
      <c r="F12" s="751"/>
    </row>
    <row r="13" spans="1:6" ht="18" x14ac:dyDescent="0.25">
      <c r="A13" s="748" t="s">
        <v>600</v>
      </c>
      <c r="B13" s="749" t="s">
        <v>601</v>
      </c>
      <c r="C13" s="750" t="s">
        <v>598</v>
      </c>
      <c r="D13" s="750" t="s">
        <v>602</v>
      </c>
      <c r="E13" s="749">
        <v>12</v>
      </c>
      <c r="F13" s="751">
        <v>20</v>
      </c>
    </row>
    <row r="14" spans="1:6" ht="18" x14ac:dyDescent="0.25">
      <c r="A14" s="748"/>
      <c r="B14" s="749"/>
      <c r="C14" s="750"/>
      <c r="D14" s="750"/>
      <c r="E14" s="749"/>
      <c r="F14" s="751"/>
    </row>
    <row r="15" spans="1:6" ht="18" x14ac:dyDescent="0.25">
      <c r="A15" s="748" t="s">
        <v>600</v>
      </c>
      <c r="B15" s="749" t="s">
        <v>601</v>
      </c>
      <c r="C15" s="750" t="s">
        <v>598</v>
      </c>
      <c r="D15" s="750" t="s">
        <v>602</v>
      </c>
      <c r="E15" s="749">
        <v>36</v>
      </c>
      <c r="F15" s="751">
        <v>18</v>
      </c>
    </row>
    <row r="16" spans="1:6" ht="18" x14ac:dyDescent="0.25">
      <c r="A16" s="748"/>
      <c r="B16" s="749"/>
      <c r="C16" s="750"/>
      <c r="D16" s="750"/>
      <c r="E16" s="749"/>
      <c r="F16" s="751"/>
    </row>
    <row r="17" spans="1:6" ht="18.75" thickBot="1" x14ac:dyDescent="0.3">
      <c r="A17" s="752"/>
      <c r="B17" s="753"/>
      <c r="C17" s="753"/>
      <c r="D17" s="753"/>
      <c r="E17" s="753"/>
      <c r="F17" s="754"/>
    </row>
    <row r="18" spans="1:6" ht="16.5" x14ac:dyDescent="0.3">
      <c r="A18" s="734"/>
      <c r="B18" s="734"/>
      <c r="C18" s="734"/>
      <c r="D18" s="734"/>
      <c r="E18" s="734"/>
      <c r="F18" s="734"/>
    </row>
    <row r="19" spans="1:6" ht="108" customHeight="1" x14ac:dyDescent="0.25">
      <c r="A19" s="947" t="s">
        <v>599</v>
      </c>
      <c r="B19" s="948"/>
      <c r="C19" s="948"/>
      <c r="D19" s="948"/>
      <c r="E19" s="948"/>
      <c r="F19" s="948"/>
    </row>
  </sheetData>
  <mergeCells count="2">
    <mergeCell ref="A6:B6"/>
    <mergeCell ref="A19:F1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A1100-F60D-4901-87A6-CAA43461CAE7}">
  <dimension ref="A3:F19"/>
  <sheetViews>
    <sheetView workbookViewId="0">
      <selection activeCell="C24" sqref="C24"/>
    </sheetView>
  </sheetViews>
  <sheetFormatPr baseColWidth="10" defaultRowHeight="15" x14ac:dyDescent="0.25"/>
  <cols>
    <col min="1" max="1" width="26.140625" bestFit="1" customWidth="1"/>
    <col min="2" max="2" width="13.7109375" customWidth="1"/>
  </cols>
  <sheetData>
    <row r="3" spans="1:6" ht="28.5" x14ac:dyDescent="0.45">
      <c r="A3" s="15" t="s">
        <v>489</v>
      </c>
      <c r="B3" s="15"/>
      <c r="C3" s="15"/>
      <c r="D3" s="15"/>
      <c r="E3" s="15"/>
      <c r="F3" s="25">
        <v>3800</v>
      </c>
    </row>
    <row r="4" spans="1:6" ht="26.25" x14ac:dyDescent="0.4">
      <c r="A4" s="910" t="s">
        <v>490</v>
      </c>
      <c r="B4" s="910"/>
      <c r="C4" s="88"/>
      <c r="D4" s="88"/>
      <c r="E4" s="88"/>
      <c r="F4" s="88"/>
    </row>
    <row r="5" spans="1:6" ht="18.75" x14ac:dyDescent="0.3">
      <c r="A5" s="11" t="s">
        <v>491</v>
      </c>
      <c r="B5" s="86">
        <f>2*5.5*3800</f>
        <v>41800</v>
      </c>
      <c r="C5" s="88"/>
      <c r="D5" s="88"/>
      <c r="E5" s="88"/>
      <c r="F5" s="88"/>
    </row>
    <row r="6" spans="1:6" ht="18.75" x14ac:dyDescent="0.3">
      <c r="A6" s="11" t="s">
        <v>1</v>
      </c>
      <c r="B6" s="86">
        <v>700</v>
      </c>
      <c r="C6" s="88"/>
      <c r="D6" s="88"/>
      <c r="E6" s="88"/>
      <c r="F6" s="88"/>
    </row>
    <row r="7" spans="1:6" ht="18.75" x14ac:dyDescent="0.3">
      <c r="A7" s="11" t="s">
        <v>10</v>
      </c>
      <c r="B7" s="86">
        <v>10000</v>
      </c>
      <c r="C7" s="88"/>
      <c r="D7" s="88"/>
      <c r="E7" s="88"/>
      <c r="F7" s="88"/>
    </row>
    <row r="8" spans="1:6" ht="23.25" x14ac:dyDescent="0.35">
      <c r="A8" s="11" t="s">
        <v>492</v>
      </c>
      <c r="B8" s="86">
        <v>2800</v>
      </c>
      <c r="C8" s="88"/>
      <c r="D8" s="940" t="s">
        <v>108</v>
      </c>
      <c r="E8" s="940"/>
      <c r="F8" s="940"/>
    </row>
    <row r="9" spans="1:6" ht="18.75" x14ac:dyDescent="0.3">
      <c r="A9" s="11" t="s">
        <v>285</v>
      </c>
      <c r="B9" s="86">
        <v>3000</v>
      </c>
      <c r="C9" s="88"/>
      <c r="D9" s="90" t="s">
        <v>22</v>
      </c>
      <c r="E9" s="90" t="s">
        <v>23</v>
      </c>
      <c r="F9" s="90" t="s">
        <v>24</v>
      </c>
    </row>
    <row r="10" spans="1:6" ht="18.75" x14ac:dyDescent="0.3">
      <c r="A10" s="11" t="s">
        <v>191</v>
      </c>
      <c r="B10" s="86">
        <v>0</v>
      </c>
      <c r="C10" s="88"/>
      <c r="D10" s="90"/>
      <c r="E10" s="90"/>
      <c r="F10" s="90"/>
    </row>
    <row r="11" spans="1:6" ht="18.75" x14ac:dyDescent="0.3">
      <c r="A11" s="11" t="s">
        <v>12</v>
      </c>
      <c r="B11" s="86">
        <v>1000</v>
      </c>
      <c r="C11" s="88"/>
      <c r="D11" s="90">
        <f>D16</f>
        <v>24.440131578947366</v>
      </c>
      <c r="E11" s="90">
        <f>E16</f>
        <v>29.496710526315788</v>
      </c>
      <c r="F11" s="90">
        <f>F16</f>
        <v>32.024999999999999</v>
      </c>
    </row>
    <row r="12" spans="1:6" ht="18.75" x14ac:dyDescent="0.3">
      <c r="A12" s="11" t="s">
        <v>14</v>
      </c>
      <c r="B12" s="86">
        <v>0</v>
      </c>
      <c r="C12" s="88"/>
      <c r="D12" s="86"/>
      <c r="E12" s="86"/>
      <c r="F12" s="86"/>
    </row>
    <row r="13" spans="1:6" ht="18.75" x14ac:dyDescent="0.3">
      <c r="A13" s="11" t="s">
        <v>15</v>
      </c>
      <c r="B13" s="86">
        <v>0</v>
      </c>
      <c r="C13" s="88"/>
      <c r="D13" s="88"/>
      <c r="E13" s="88"/>
      <c r="F13" s="88"/>
    </row>
    <row r="14" spans="1:6" ht="18.75" x14ac:dyDescent="0.3">
      <c r="A14" s="11" t="s">
        <v>27</v>
      </c>
      <c r="B14" s="86">
        <v>0</v>
      </c>
      <c r="C14" s="88"/>
      <c r="D14" s="88"/>
      <c r="E14" s="88"/>
      <c r="F14" s="88"/>
    </row>
    <row r="15" spans="1:6" ht="18.75" x14ac:dyDescent="0.3">
      <c r="A15" s="11" t="s">
        <v>28</v>
      </c>
      <c r="B15" s="86">
        <v>0</v>
      </c>
      <c r="C15" s="88"/>
      <c r="D15" s="695">
        <v>0.4</v>
      </c>
      <c r="E15" s="695">
        <v>0.6</v>
      </c>
      <c r="F15" s="695">
        <v>0.9</v>
      </c>
    </row>
    <row r="16" spans="1:6" ht="18.75" x14ac:dyDescent="0.3">
      <c r="A16" s="11" t="s">
        <v>16</v>
      </c>
      <c r="B16" s="86">
        <v>300</v>
      </c>
      <c r="C16" s="88"/>
      <c r="D16" s="86">
        <f>B19*1.45</f>
        <v>24.440131578947366</v>
      </c>
      <c r="E16" s="86">
        <f>B19*1.75</f>
        <v>29.496710526315788</v>
      </c>
      <c r="F16" s="86">
        <f>B19*1.9</f>
        <v>32.024999999999999</v>
      </c>
    </row>
    <row r="17" spans="1:6" ht="18.75" x14ac:dyDescent="0.3">
      <c r="A17" s="11" t="s">
        <v>17</v>
      </c>
      <c r="B17" s="86">
        <v>750</v>
      </c>
      <c r="C17" s="88"/>
      <c r="D17" s="862"/>
      <c r="E17" s="862"/>
      <c r="F17" s="88"/>
    </row>
    <row r="18" spans="1:6" ht="19.5" thickBot="1" x14ac:dyDescent="0.35">
      <c r="A18" s="11" t="s">
        <v>18</v>
      </c>
      <c r="B18" s="87">
        <v>3700</v>
      </c>
      <c r="C18" s="88"/>
      <c r="D18" s="88"/>
      <c r="E18" s="88"/>
      <c r="F18" s="86"/>
    </row>
    <row r="19" spans="1:6" ht="18.75" x14ac:dyDescent="0.3">
      <c r="A19" s="11"/>
      <c r="B19" s="86">
        <f>SUM(B5:B18)/F3</f>
        <v>16.855263157894736</v>
      </c>
      <c r="C19" s="88"/>
      <c r="D19" s="88"/>
      <c r="E19" s="88"/>
      <c r="F19" s="86"/>
    </row>
  </sheetData>
  <mergeCells count="3">
    <mergeCell ref="A4:B4"/>
    <mergeCell ref="D8:F8"/>
    <mergeCell ref="D17:E1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98"/>
  <sheetViews>
    <sheetView topLeftCell="A16" workbookViewId="0">
      <selection activeCell="F4" sqref="F4"/>
    </sheetView>
  </sheetViews>
  <sheetFormatPr baseColWidth="10" defaultRowHeight="15" x14ac:dyDescent="0.25"/>
  <cols>
    <col min="1" max="1" width="28.140625" customWidth="1"/>
    <col min="2" max="2" width="12.42578125" customWidth="1"/>
    <col min="4" max="4" width="14.7109375" customWidth="1"/>
    <col min="5" max="5" width="13" customWidth="1"/>
    <col min="6" max="6" width="12.5703125" customWidth="1"/>
  </cols>
  <sheetData>
    <row r="2" spans="1:6" ht="23.25" x14ac:dyDescent="0.35">
      <c r="A2" s="16" t="s">
        <v>262</v>
      </c>
      <c r="B2" s="16"/>
      <c r="C2" s="16"/>
      <c r="D2" s="16"/>
      <c r="E2" s="16"/>
      <c r="F2" s="16"/>
    </row>
    <row r="3" spans="1:6" ht="21" x14ac:dyDescent="0.35">
      <c r="A3" s="949" t="s">
        <v>25</v>
      </c>
      <c r="B3" s="949"/>
      <c r="C3" s="88"/>
      <c r="D3" s="88"/>
      <c r="E3" s="88"/>
      <c r="F3" s="92">
        <v>4000</v>
      </c>
    </row>
    <row r="4" spans="1:6" ht="18.75" x14ac:dyDescent="0.3">
      <c r="A4" s="11" t="s">
        <v>29</v>
      </c>
      <c r="B4" s="86">
        <f>1.1*3*F3</f>
        <v>13200.000000000002</v>
      </c>
      <c r="C4" s="88"/>
      <c r="D4" s="88"/>
      <c r="E4" s="88"/>
      <c r="F4" s="88"/>
    </row>
    <row r="5" spans="1:6" ht="18.75" x14ac:dyDescent="0.3">
      <c r="A5" s="11" t="s">
        <v>1</v>
      </c>
      <c r="B5" s="86">
        <v>7000</v>
      </c>
      <c r="C5" s="88"/>
      <c r="D5" s="88"/>
      <c r="E5" s="88"/>
      <c r="F5" s="88"/>
    </row>
    <row r="6" spans="1:6" ht="18.75" x14ac:dyDescent="0.3">
      <c r="A6" s="11" t="s">
        <v>10</v>
      </c>
      <c r="B6" s="86">
        <v>3500</v>
      </c>
      <c r="C6" s="88"/>
      <c r="D6" s="88"/>
      <c r="E6" s="88"/>
      <c r="F6" s="88"/>
    </row>
    <row r="7" spans="1:6" ht="18.75" x14ac:dyDescent="0.3">
      <c r="A7" s="11" t="s">
        <v>11</v>
      </c>
      <c r="B7" s="86">
        <v>1000</v>
      </c>
      <c r="C7" s="88"/>
      <c r="D7" s="862" t="s">
        <v>263</v>
      </c>
      <c r="E7" s="862"/>
      <c r="F7" s="862"/>
    </row>
    <row r="8" spans="1:6" ht="18.75" x14ac:dyDescent="0.3">
      <c r="A8" s="11" t="s">
        <v>14</v>
      </c>
      <c r="B8" s="86">
        <v>200</v>
      </c>
      <c r="C8" s="88"/>
      <c r="D8" s="90" t="s">
        <v>22</v>
      </c>
      <c r="E8" s="90" t="s">
        <v>23</v>
      </c>
      <c r="F8" s="90" t="s">
        <v>24</v>
      </c>
    </row>
    <row r="9" spans="1:6" ht="18.75" x14ac:dyDescent="0.3">
      <c r="A9" s="49" t="s">
        <v>58</v>
      </c>
      <c r="B9" s="208">
        <v>1500</v>
      </c>
      <c r="C9" s="88"/>
      <c r="D9" s="90">
        <f>D13</f>
        <v>11.581875</v>
      </c>
      <c r="E9" s="90">
        <f>E13</f>
        <v>13.978125</v>
      </c>
      <c r="F9" s="90">
        <f>F13</f>
        <v>15.895125</v>
      </c>
    </row>
    <row r="10" spans="1:6" ht="18.75" x14ac:dyDescent="0.3">
      <c r="A10" s="11" t="s">
        <v>15</v>
      </c>
      <c r="B10" s="86">
        <v>200</v>
      </c>
      <c r="C10" s="88"/>
      <c r="D10" s="86"/>
      <c r="E10" s="86"/>
      <c r="F10" s="86"/>
    </row>
    <row r="11" spans="1:6" ht="18.75" x14ac:dyDescent="0.3">
      <c r="A11" s="11" t="s">
        <v>27</v>
      </c>
      <c r="B11" s="86">
        <v>200</v>
      </c>
      <c r="C11" s="88"/>
      <c r="D11" s="88"/>
      <c r="E11" s="88"/>
      <c r="F11" s="88"/>
    </row>
    <row r="12" spans="1:6" ht="18.75" x14ac:dyDescent="0.3">
      <c r="A12" s="11" t="s">
        <v>28</v>
      </c>
      <c r="B12" s="86">
        <v>100</v>
      </c>
      <c r="C12" s="88"/>
      <c r="D12" s="257">
        <v>0.4</v>
      </c>
      <c r="E12" s="257">
        <v>0.6</v>
      </c>
      <c r="F12" s="257">
        <v>0.9</v>
      </c>
    </row>
    <row r="13" spans="1:6" ht="18.75" x14ac:dyDescent="0.3">
      <c r="A13" s="11" t="s">
        <v>16</v>
      </c>
      <c r="B13" s="86">
        <v>300</v>
      </c>
      <c r="C13" s="88"/>
      <c r="D13" s="86">
        <f>B16*1.45</f>
        <v>11.581875</v>
      </c>
      <c r="E13" s="86">
        <f>B16*1.75</f>
        <v>13.978125</v>
      </c>
      <c r="F13" s="86">
        <f>B16*1.99</f>
        <v>15.895125</v>
      </c>
    </row>
    <row r="14" spans="1:6" ht="18.75" x14ac:dyDescent="0.3">
      <c r="A14" s="11" t="s">
        <v>17</v>
      </c>
      <c r="B14" s="86">
        <v>750</v>
      </c>
      <c r="C14" s="88"/>
      <c r="D14" s="88"/>
      <c r="E14" s="88"/>
      <c r="F14" s="88"/>
    </row>
    <row r="15" spans="1:6" ht="19.5" thickBot="1" x14ac:dyDescent="0.35">
      <c r="A15" s="11" t="s">
        <v>18</v>
      </c>
      <c r="B15" s="87">
        <v>4000</v>
      </c>
      <c r="C15" s="88"/>
      <c r="D15" s="88"/>
      <c r="E15" s="88"/>
      <c r="F15" s="88"/>
    </row>
    <row r="16" spans="1:6" ht="18.75" x14ac:dyDescent="0.3">
      <c r="A16" s="11"/>
      <c r="B16" s="86">
        <f>SUM(B4:B15)/F3</f>
        <v>7.9874999999999998</v>
      </c>
      <c r="C16" s="88"/>
      <c r="D16" s="88"/>
      <c r="E16" s="88"/>
      <c r="F16" s="86"/>
    </row>
    <row r="17" spans="1:6" ht="18.75" x14ac:dyDescent="0.3">
      <c r="A17" s="11"/>
      <c r="B17" s="86"/>
      <c r="C17" s="86"/>
      <c r="D17" s="86"/>
      <c r="E17" s="86"/>
      <c r="F17" s="86"/>
    </row>
    <row r="18" spans="1:6" ht="18.75" x14ac:dyDescent="0.3">
      <c r="A18" s="11"/>
      <c r="B18" s="88"/>
      <c r="C18" s="86"/>
      <c r="D18" s="86"/>
      <c r="E18" s="86"/>
      <c r="F18" s="86"/>
    </row>
    <row r="19" spans="1:6" ht="18.75" x14ac:dyDescent="0.3">
      <c r="A19" s="950" t="s">
        <v>140</v>
      </c>
      <c r="B19" s="950"/>
      <c r="C19" s="88"/>
      <c r="D19" s="88"/>
      <c r="E19" s="88"/>
      <c r="F19" s="88"/>
    </row>
    <row r="20" spans="1:6" ht="18.75" x14ac:dyDescent="0.3">
      <c r="A20" s="11" t="s">
        <v>29</v>
      </c>
      <c r="B20" s="86">
        <f>0.6*3*F3</f>
        <v>7199.9999999999991</v>
      </c>
      <c r="C20" s="88"/>
      <c r="D20" s="88"/>
      <c r="E20" s="88"/>
      <c r="F20" s="88"/>
    </row>
    <row r="21" spans="1:6" ht="18.75" x14ac:dyDescent="0.3">
      <c r="A21" s="11" t="s">
        <v>1</v>
      </c>
      <c r="B21" s="86">
        <v>700</v>
      </c>
      <c r="C21" s="88"/>
      <c r="D21" s="88"/>
      <c r="E21" s="88"/>
      <c r="F21" s="88"/>
    </row>
    <row r="22" spans="1:6" ht="18.75" x14ac:dyDescent="0.3">
      <c r="A22" s="11" t="s">
        <v>10</v>
      </c>
      <c r="B22" s="86">
        <v>2500</v>
      </c>
      <c r="C22" s="88"/>
      <c r="D22" s="862" t="s">
        <v>265</v>
      </c>
      <c r="E22" s="862"/>
      <c r="F22" s="862"/>
    </row>
    <row r="23" spans="1:6" ht="18.75" x14ac:dyDescent="0.3">
      <c r="A23" s="11" t="s">
        <v>11</v>
      </c>
      <c r="B23" s="86">
        <v>1000</v>
      </c>
      <c r="C23" s="88"/>
      <c r="D23" s="90" t="s">
        <v>22</v>
      </c>
      <c r="E23" s="90" t="s">
        <v>23</v>
      </c>
      <c r="F23" s="90" t="s">
        <v>24</v>
      </c>
    </row>
    <row r="24" spans="1:6" ht="18.75" x14ac:dyDescent="0.3">
      <c r="A24" s="11" t="s">
        <v>58</v>
      </c>
      <c r="B24" s="86">
        <v>1000</v>
      </c>
      <c r="C24" s="88"/>
      <c r="D24" s="90">
        <f>D28</f>
        <v>6.1087500000000006</v>
      </c>
      <c r="E24" s="90">
        <f>E28</f>
        <v>7.9187500000000011</v>
      </c>
      <c r="F24" s="90">
        <f>F28</f>
        <v>9.0047500000000014</v>
      </c>
    </row>
    <row r="25" spans="1:6" ht="18.75" x14ac:dyDescent="0.3">
      <c r="A25" s="11" t="s">
        <v>14</v>
      </c>
      <c r="B25" s="86">
        <f>B8</f>
        <v>200</v>
      </c>
      <c r="C25" s="88"/>
      <c r="D25" s="86"/>
      <c r="E25" s="86"/>
      <c r="F25" s="86"/>
    </row>
    <row r="26" spans="1:6" ht="18.75" x14ac:dyDescent="0.3">
      <c r="A26" s="11" t="s">
        <v>15</v>
      </c>
      <c r="B26" s="86">
        <v>500</v>
      </c>
      <c r="C26" s="88"/>
      <c r="D26" s="88"/>
      <c r="E26" s="88"/>
      <c r="F26" s="88"/>
    </row>
    <row r="27" spans="1:6" ht="18.75" x14ac:dyDescent="0.3">
      <c r="A27" s="11" t="s">
        <v>27</v>
      </c>
      <c r="B27" s="86">
        <v>200</v>
      </c>
      <c r="C27" s="88"/>
      <c r="D27" s="257">
        <v>0.4</v>
      </c>
      <c r="E27" s="257">
        <v>0.6</v>
      </c>
      <c r="F27" s="257">
        <v>0.9</v>
      </c>
    </row>
    <row r="28" spans="1:6" ht="18.75" x14ac:dyDescent="0.3">
      <c r="A28" s="11" t="s">
        <v>17</v>
      </c>
      <c r="B28" s="86">
        <v>500</v>
      </c>
      <c r="C28" s="88"/>
      <c r="D28" s="86">
        <f>B32*1.35</f>
        <v>6.1087500000000006</v>
      </c>
      <c r="E28" s="86">
        <f>B32*1.75</f>
        <v>7.9187500000000011</v>
      </c>
      <c r="F28" s="86">
        <f>B32*1.99</f>
        <v>9.0047500000000014</v>
      </c>
    </row>
    <row r="29" spans="1:6" ht="18.75" x14ac:dyDescent="0.3">
      <c r="A29" s="11" t="s">
        <v>16</v>
      </c>
      <c r="B29" s="86">
        <f>B13</f>
        <v>300</v>
      </c>
      <c r="C29" s="88"/>
      <c r="D29" s="88"/>
      <c r="E29" s="88"/>
      <c r="F29" s="88"/>
    </row>
    <row r="30" spans="1:6" ht="18.75" x14ac:dyDescent="0.3">
      <c r="A30" s="11" t="s">
        <v>12</v>
      </c>
      <c r="B30" s="86">
        <v>2000</v>
      </c>
      <c r="C30" s="88"/>
      <c r="D30" s="88"/>
      <c r="E30" s="88"/>
      <c r="F30" s="88"/>
    </row>
    <row r="31" spans="1:6" ht="19.5" thickBot="1" x14ac:dyDescent="0.35">
      <c r="A31" s="11" t="s">
        <v>18</v>
      </c>
      <c r="B31" s="87">
        <v>2000</v>
      </c>
      <c r="C31" s="88"/>
      <c r="D31" s="88"/>
      <c r="E31" s="88"/>
      <c r="F31" s="86"/>
    </row>
    <row r="32" spans="1:6" ht="18.75" x14ac:dyDescent="0.3">
      <c r="A32" s="11"/>
      <c r="B32" s="86">
        <f>SUM(B20:B31)/F3</f>
        <v>4.5250000000000004</v>
      </c>
      <c r="C32" s="88"/>
      <c r="D32" s="88"/>
      <c r="E32" s="88"/>
      <c r="F32" s="86"/>
    </row>
    <row r="33" spans="1:6" ht="18.75" x14ac:dyDescent="0.3">
      <c r="A33" s="11"/>
      <c r="B33" s="88"/>
      <c r="C33" s="88"/>
      <c r="D33" s="88"/>
      <c r="E33" s="88"/>
      <c r="F33" s="88"/>
    </row>
    <row r="34" spans="1:6" ht="23.25" x14ac:dyDescent="0.35">
      <c r="A34" s="16" t="s">
        <v>32</v>
      </c>
      <c r="B34" s="16"/>
      <c r="C34" s="16"/>
      <c r="D34" s="16"/>
      <c r="E34" s="16"/>
      <c r="F34" s="16"/>
    </row>
    <row r="35" spans="1:6" ht="18.75" x14ac:dyDescent="0.3">
      <c r="A35" s="951" t="s">
        <v>54</v>
      </c>
      <c r="B35" s="951"/>
      <c r="C35" s="88"/>
      <c r="D35" s="88"/>
      <c r="E35" s="88"/>
      <c r="F35" s="88"/>
    </row>
    <row r="36" spans="1:6" ht="18.75" x14ac:dyDescent="0.3">
      <c r="A36" s="11" t="s">
        <v>29</v>
      </c>
      <c r="B36" s="86">
        <f>1.25*3*F3</f>
        <v>15000</v>
      </c>
      <c r="C36" s="88"/>
      <c r="D36" s="88"/>
      <c r="E36" s="88"/>
      <c r="F36" s="88"/>
    </row>
    <row r="37" spans="1:6" ht="18.75" x14ac:dyDescent="0.3">
      <c r="A37" s="11" t="s">
        <v>1</v>
      </c>
      <c r="B37" s="86">
        <v>1000</v>
      </c>
      <c r="C37" s="88"/>
      <c r="D37" s="88"/>
      <c r="E37" s="88"/>
      <c r="F37" s="88"/>
    </row>
    <row r="38" spans="1:6" ht="18.75" x14ac:dyDescent="0.3">
      <c r="A38" s="11" t="s">
        <v>10</v>
      </c>
      <c r="B38" s="86">
        <v>4000</v>
      </c>
      <c r="C38" s="88"/>
      <c r="D38" s="88"/>
      <c r="E38" s="88"/>
      <c r="F38" s="88"/>
    </row>
    <row r="39" spans="1:6" ht="18.75" x14ac:dyDescent="0.3">
      <c r="A39" s="11" t="s">
        <v>11</v>
      </c>
      <c r="B39" s="86">
        <v>1000</v>
      </c>
      <c r="C39" s="88"/>
      <c r="D39" s="88"/>
      <c r="E39" s="88"/>
      <c r="F39" s="88"/>
    </row>
    <row r="40" spans="1:6" ht="18.75" x14ac:dyDescent="0.3">
      <c r="A40" s="11" t="s">
        <v>58</v>
      </c>
      <c r="B40" s="86">
        <v>2500</v>
      </c>
      <c r="C40" s="88"/>
      <c r="D40" s="862" t="s">
        <v>264</v>
      </c>
      <c r="E40" s="862"/>
      <c r="F40" s="862"/>
    </row>
    <row r="41" spans="1:6" ht="18.75" x14ac:dyDescent="0.3">
      <c r="A41" s="11" t="s">
        <v>14</v>
      </c>
      <c r="B41" s="86">
        <v>200</v>
      </c>
      <c r="C41" s="88"/>
      <c r="D41" s="90" t="s">
        <v>22</v>
      </c>
      <c r="E41" s="90" t="s">
        <v>23</v>
      </c>
      <c r="F41" s="90" t="s">
        <v>24</v>
      </c>
    </row>
    <row r="42" spans="1:6" ht="18.75" x14ac:dyDescent="0.3">
      <c r="A42" s="11" t="s">
        <v>15</v>
      </c>
      <c r="B42" s="86">
        <v>200</v>
      </c>
      <c r="C42" s="88"/>
      <c r="D42" s="90">
        <f>D46</f>
        <v>10.603125</v>
      </c>
      <c r="E42" s="90">
        <f>E46</f>
        <v>12.796875</v>
      </c>
      <c r="F42" s="90">
        <f>F46</f>
        <v>14.551875000000001</v>
      </c>
    </row>
    <row r="43" spans="1:6" ht="18.75" x14ac:dyDescent="0.3">
      <c r="A43" s="11" t="s">
        <v>27</v>
      </c>
      <c r="B43" s="86">
        <v>200</v>
      </c>
      <c r="C43" s="88"/>
      <c r="D43" s="86"/>
      <c r="E43" s="86"/>
      <c r="F43" s="86"/>
    </row>
    <row r="44" spans="1:6" ht="18.75" x14ac:dyDescent="0.3">
      <c r="A44" s="11" t="s">
        <v>28</v>
      </c>
      <c r="B44" s="86">
        <v>100</v>
      </c>
      <c r="C44" s="88"/>
      <c r="D44" s="88"/>
      <c r="E44" s="88"/>
      <c r="F44" s="88"/>
    </row>
    <row r="45" spans="1:6" ht="18.75" x14ac:dyDescent="0.3">
      <c r="A45" s="11" t="s">
        <v>16</v>
      </c>
      <c r="B45" s="86">
        <v>300</v>
      </c>
      <c r="C45" s="88"/>
      <c r="D45" s="257">
        <v>0.4</v>
      </c>
      <c r="E45" s="257">
        <v>0.6</v>
      </c>
      <c r="F45" s="257">
        <v>0.9</v>
      </c>
    </row>
    <row r="46" spans="1:6" ht="18.75" x14ac:dyDescent="0.3">
      <c r="A46" s="11" t="s">
        <v>17</v>
      </c>
      <c r="B46" s="86">
        <v>750</v>
      </c>
      <c r="C46" s="88"/>
      <c r="D46" s="86">
        <f>B48*1.45</f>
        <v>10.603125</v>
      </c>
      <c r="E46" s="86">
        <f>B48*1.75</f>
        <v>12.796875</v>
      </c>
      <c r="F46" s="86">
        <f>B48*1.99</f>
        <v>14.551875000000001</v>
      </c>
    </row>
    <row r="47" spans="1:6" ht="19.5" thickBot="1" x14ac:dyDescent="0.35">
      <c r="A47" s="11" t="s">
        <v>18</v>
      </c>
      <c r="B47" s="87">
        <v>4000</v>
      </c>
      <c r="C47" s="88"/>
      <c r="D47" s="88"/>
      <c r="E47" s="88"/>
      <c r="F47" s="86"/>
    </row>
    <row r="48" spans="1:6" ht="18.75" x14ac:dyDescent="0.3">
      <c r="A48" s="11"/>
      <c r="B48" s="86">
        <f>SUM(B36:B47)/F3</f>
        <v>7.3125</v>
      </c>
      <c r="C48" s="88"/>
      <c r="D48" s="88"/>
      <c r="E48" s="88"/>
      <c r="F48" s="86"/>
    </row>
    <row r="49" spans="1:6" ht="18.75" x14ac:dyDescent="0.3">
      <c r="A49" s="11"/>
      <c r="B49" s="86"/>
      <c r="C49" s="86"/>
      <c r="D49" s="86"/>
      <c r="E49" s="86"/>
      <c r="F49" s="86"/>
    </row>
    <row r="50" spans="1:6" s="3" customFormat="1" ht="23.25" x14ac:dyDescent="0.35">
      <c r="A50" s="16"/>
      <c r="B50" s="16"/>
      <c r="C50" s="16"/>
      <c r="D50" s="16"/>
      <c r="E50" s="16"/>
      <c r="F50" s="16"/>
    </row>
    <row r="51" spans="1:6" s="3" customFormat="1" ht="18.75" x14ac:dyDescent="0.3">
      <c r="A51" s="951"/>
      <c r="B51" s="951"/>
      <c r="C51" s="88"/>
      <c r="D51" s="88"/>
      <c r="E51" s="88"/>
      <c r="F51" s="88"/>
    </row>
    <row r="52" spans="1:6" s="3" customFormat="1" ht="18.75" x14ac:dyDescent="0.3">
      <c r="A52" s="11"/>
      <c r="B52" s="86"/>
      <c r="C52" s="88"/>
      <c r="D52" s="88"/>
      <c r="E52" s="88"/>
      <c r="F52" s="88"/>
    </row>
    <row r="53" spans="1:6" s="3" customFormat="1" ht="18.75" x14ac:dyDescent="0.3">
      <c r="A53" s="11"/>
      <c r="B53" s="86"/>
      <c r="C53" s="88"/>
      <c r="D53" s="88"/>
      <c r="E53" s="88"/>
      <c r="F53" s="88"/>
    </row>
    <row r="54" spans="1:6" s="3" customFormat="1" ht="18.75" x14ac:dyDescent="0.3">
      <c r="A54" s="11"/>
      <c r="B54" s="86"/>
      <c r="C54" s="88"/>
      <c r="D54" s="88"/>
      <c r="E54" s="88"/>
      <c r="F54" s="88"/>
    </row>
    <row r="55" spans="1:6" s="3" customFormat="1" ht="18.75" x14ac:dyDescent="0.3">
      <c r="A55" s="11"/>
      <c r="B55" s="86"/>
      <c r="C55" s="88"/>
      <c r="D55" s="862"/>
      <c r="E55" s="862"/>
      <c r="F55" s="862"/>
    </row>
    <row r="56" spans="1:6" s="3" customFormat="1" ht="18.75" x14ac:dyDescent="0.3">
      <c r="A56" s="11"/>
      <c r="B56" s="86"/>
      <c r="C56" s="88"/>
      <c r="D56" s="90"/>
      <c r="E56" s="90"/>
      <c r="F56" s="90"/>
    </row>
    <row r="57" spans="1:6" s="3" customFormat="1" ht="18.75" x14ac:dyDescent="0.3">
      <c r="A57" s="11"/>
      <c r="B57" s="86"/>
      <c r="C57" s="88"/>
      <c r="D57" s="90"/>
      <c r="E57" s="90"/>
      <c r="F57" s="90"/>
    </row>
    <row r="58" spans="1:6" s="3" customFormat="1" ht="18.75" x14ac:dyDescent="0.3">
      <c r="A58" s="11"/>
      <c r="B58" s="86"/>
      <c r="C58" s="88"/>
      <c r="D58" s="86"/>
      <c r="E58" s="86"/>
      <c r="F58" s="86"/>
    </row>
    <row r="59" spans="1:6" s="3" customFormat="1" ht="18.75" x14ac:dyDescent="0.3">
      <c r="A59" s="11"/>
      <c r="B59" s="86"/>
      <c r="C59" s="88"/>
      <c r="D59" s="88"/>
      <c r="E59" s="88"/>
      <c r="F59" s="88"/>
    </row>
    <row r="60" spans="1:6" s="3" customFormat="1" ht="18.75" x14ac:dyDescent="0.3">
      <c r="A60" s="11"/>
      <c r="B60" s="86"/>
      <c r="C60" s="88"/>
      <c r="D60" s="88"/>
      <c r="E60" s="88"/>
      <c r="F60" s="88"/>
    </row>
    <row r="61" spans="1:6" s="3" customFormat="1" ht="18.75" x14ac:dyDescent="0.3">
      <c r="A61" s="11"/>
      <c r="B61" s="86"/>
      <c r="C61" s="88"/>
      <c r="D61" s="257"/>
      <c r="E61" s="257"/>
      <c r="F61" s="257"/>
    </row>
    <row r="62" spans="1:6" s="3" customFormat="1" ht="18.75" x14ac:dyDescent="0.3">
      <c r="A62" s="11"/>
      <c r="B62" s="86"/>
      <c r="C62" s="88"/>
      <c r="D62" s="86"/>
      <c r="E62" s="86"/>
      <c r="F62" s="86"/>
    </row>
    <row r="63" spans="1:6" s="3" customFormat="1" ht="18.75" x14ac:dyDescent="0.3">
      <c r="A63" s="11"/>
      <c r="B63" s="86"/>
      <c r="C63" s="88"/>
      <c r="D63" s="862"/>
      <c r="E63" s="862"/>
      <c r="F63" s="88"/>
    </row>
    <row r="64" spans="1:6" s="3" customFormat="1" ht="18.75" x14ac:dyDescent="0.3">
      <c r="A64" s="11"/>
      <c r="B64" s="86"/>
      <c r="C64" s="88"/>
      <c r="D64" s="88"/>
      <c r="E64" s="88"/>
      <c r="F64" s="86"/>
    </row>
    <row r="65" spans="1:6" s="3" customFormat="1" ht="18.75" x14ac:dyDescent="0.3">
      <c r="A65" s="11"/>
      <c r="B65" s="86"/>
      <c r="C65" s="88"/>
      <c r="D65" s="88"/>
      <c r="E65" s="88"/>
      <c r="F65" s="86"/>
    </row>
    <row r="66" spans="1:6" s="3" customFormat="1" ht="18.75" x14ac:dyDescent="0.3">
      <c r="A66" s="11"/>
      <c r="B66" s="88"/>
      <c r="C66" s="86"/>
      <c r="D66" s="86"/>
      <c r="E66" s="86"/>
      <c r="F66" s="86"/>
    </row>
    <row r="67" spans="1:6" s="3" customFormat="1" ht="18.75" x14ac:dyDescent="0.3">
      <c r="A67" s="11"/>
      <c r="B67" s="88"/>
      <c r="C67" s="86"/>
      <c r="D67" s="86"/>
      <c r="E67" s="86"/>
      <c r="F67" s="86"/>
    </row>
    <row r="68" spans="1:6" s="3" customFormat="1" ht="18.75" x14ac:dyDescent="0.3">
      <c r="A68" s="950"/>
      <c r="B68" s="950"/>
      <c r="C68" s="88"/>
      <c r="D68" s="88"/>
      <c r="E68" s="88"/>
      <c r="F68" s="88"/>
    </row>
    <row r="69" spans="1:6" s="3" customFormat="1" ht="18.75" x14ac:dyDescent="0.3">
      <c r="A69" s="11"/>
      <c r="B69" s="86"/>
      <c r="C69" s="88"/>
      <c r="D69" s="88"/>
      <c r="E69" s="88"/>
      <c r="F69" s="88"/>
    </row>
    <row r="70" spans="1:6" s="3" customFormat="1" ht="18.75" x14ac:dyDescent="0.3">
      <c r="A70" s="11"/>
      <c r="B70" s="86"/>
      <c r="C70" s="88"/>
      <c r="D70" s="862"/>
      <c r="E70" s="862"/>
      <c r="F70" s="862"/>
    </row>
    <row r="71" spans="1:6" s="3" customFormat="1" ht="18.75" x14ac:dyDescent="0.3">
      <c r="A71" s="11"/>
      <c r="B71" s="86"/>
      <c r="C71" s="88"/>
      <c r="D71" s="90"/>
      <c r="E71" s="90"/>
      <c r="F71" s="90"/>
    </row>
    <row r="72" spans="1:6" s="3" customFormat="1" ht="18.75" x14ac:dyDescent="0.3">
      <c r="A72" s="11"/>
      <c r="B72" s="86"/>
      <c r="C72" s="88"/>
      <c r="D72" s="90"/>
      <c r="E72" s="90"/>
      <c r="F72" s="90"/>
    </row>
    <row r="73" spans="1:6" s="3" customFormat="1" ht="18.75" x14ac:dyDescent="0.3">
      <c r="A73" s="11"/>
      <c r="B73" s="86"/>
      <c r="C73" s="88"/>
      <c r="D73" s="86"/>
      <c r="E73" s="86"/>
      <c r="F73" s="86"/>
    </row>
    <row r="74" spans="1:6" s="3" customFormat="1" ht="18.75" x14ac:dyDescent="0.3">
      <c r="A74" s="11"/>
      <c r="B74" s="86"/>
      <c r="C74" s="88"/>
      <c r="D74" s="88"/>
      <c r="E74" s="88"/>
      <c r="F74" s="88"/>
    </row>
    <row r="75" spans="1:6" s="3" customFormat="1" ht="18.75" x14ac:dyDescent="0.3">
      <c r="A75" s="11"/>
      <c r="B75" s="86"/>
      <c r="C75" s="88"/>
      <c r="D75" s="88"/>
      <c r="E75" s="88"/>
      <c r="F75" s="88"/>
    </row>
    <row r="76" spans="1:6" s="3" customFormat="1" ht="18.75" x14ac:dyDescent="0.3">
      <c r="A76" s="11"/>
      <c r="B76" s="86"/>
      <c r="C76" s="88"/>
      <c r="D76" s="257"/>
      <c r="E76" s="257"/>
      <c r="F76" s="257"/>
    </row>
    <row r="77" spans="1:6" s="3" customFormat="1" ht="18.75" x14ac:dyDescent="0.3">
      <c r="A77" s="11"/>
      <c r="B77" s="86"/>
      <c r="C77" s="88"/>
      <c r="D77" s="86"/>
      <c r="E77" s="86"/>
      <c r="F77" s="86"/>
    </row>
    <row r="78" spans="1:6" s="3" customFormat="1" ht="18.75" x14ac:dyDescent="0.3">
      <c r="A78" s="11"/>
      <c r="B78" s="86"/>
      <c r="C78" s="88"/>
      <c r="D78" s="88"/>
      <c r="E78" s="88"/>
      <c r="F78" s="88"/>
    </row>
    <row r="79" spans="1:6" s="3" customFormat="1" ht="18.75" x14ac:dyDescent="0.3">
      <c r="A79" s="11"/>
      <c r="B79" s="86"/>
      <c r="C79" s="88"/>
      <c r="D79" s="88"/>
      <c r="E79" s="88"/>
      <c r="F79" s="88"/>
    </row>
    <row r="80" spans="1:6" s="3" customFormat="1" ht="18.75" x14ac:dyDescent="0.3">
      <c r="A80" s="11"/>
      <c r="B80" s="86"/>
      <c r="C80" s="88"/>
      <c r="D80" s="88"/>
      <c r="E80" s="88"/>
      <c r="F80" s="88"/>
    </row>
    <row r="81" spans="1:6" s="3" customFormat="1" ht="18.75" x14ac:dyDescent="0.3">
      <c r="A81" s="11"/>
      <c r="B81" s="86"/>
      <c r="C81" s="88"/>
      <c r="D81" s="88"/>
      <c r="E81" s="88"/>
      <c r="F81" s="86"/>
    </row>
    <row r="82" spans="1:6" s="3" customFormat="1" ht="18.75" x14ac:dyDescent="0.3">
      <c r="A82" s="11"/>
      <c r="B82" s="86"/>
      <c r="C82" s="88"/>
      <c r="D82" s="88"/>
      <c r="E82" s="88"/>
      <c r="F82" s="86"/>
    </row>
    <row r="83" spans="1:6" s="3" customFormat="1" ht="18.75" x14ac:dyDescent="0.3">
      <c r="A83" s="11"/>
      <c r="B83" s="88"/>
      <c r="C83" s="88"/>
      <c r="D83" s="88"/>
      <c r="E83" s="88"/>
      <c r="F83" s="88"/>
    </row>
    <row r="84" spans="1:6" s="3" customFormat="1" ht="23.25" x14ac:dyDescent="0.35">
      <c r="A84" s="951"/>
      <c r="B84" s="951"/>
      <c r="C84" s="88"/>
      <c r="D84" s="80"/>
      <c r="E84" s="91"/>
      <c r="F84" s="91"/>
    </row>
    <row r="85" spans="1:6" s="3" customFormat="1" ht="18.75" x14ac:dyDescent="0.3">
      <c r="A85" s="11"/>
      <c r="B85" s="86"/>
      <c r="C85" s="88"/>
      <c r="D85" s="88"/>
      <c r="E85" s="88"/>
      <c r="F85" s="88"/>
    </row>
    <row r="86" spans="1:6" s="3" customFormat="1" ht="18.75" x14ac:dyDescent="0.3">
      <c r="A86" s="11"/>
      <c r="B86" s="86"/>
      <c r="C86" s="88"/>
      <c r="D86" s="88"/>
      <c r="E86" s="88"/>
      <c r="F86" s="88"/>
    </row>
    <row r="87" spans="1:6" s="3" customFormat="1" ht="18.75" x14ac:dyDescent="0.3">
      <c r="A87" s="11"/>
      <c r="B87" s="86"/>
      <c r="C87" s="88"/>
      <c r="D87" s="862"/>
      <c r="E87" s="862"/>
      <c r="F87" s="862"/>
    </row>
    <row r="88" spans="1:6" s="3" customFormat="1" ht="18.75" x14ac:dyDescent="0.3">
      <c r="A88" s="11"/>
      <c r="B88" s="86"/>
      <c r="C88" s="88"/>
      <c r="D88" s="90"/>
      <c r="E88" s="90"/>
      <c r="F88" s="90"/>
    </row>
    <row r="89" spans="1:6" s="3" customFormat="1" ht="18.75" x14ac:dyDescent="0.3">
      <c r="A89" s="11"/>
      <c r="B89" s="86"/>
      <c r="C89" s="88"/>
      <c r="D89" s="90"/>
      <c r="E89" s="90"/>
      <c r="F89" s="90"/>
    </row>
    <row r="90" spans="1:6" s="3" customFormat="1" ht="18.75" x14ac:dyDescent="0.3">
      <c r="A90" s="11"/>
      <c r="B90" s="86"/>
      <c r="C90" s="88"/>
      <c r="D90" s="86"/>
      <c r="E90" s="86"/>
      <c r="F90" s="86"/>
    </row>
    <row r="91" spans="1:6" s="3" customFormat="1" ht="18.75" x14ac:dyDescent="0.3">
      <c r="A91" s="11"/>
      <c r="B91" s="86"/>
      <c r="C91" s="88"/>
      <c r="D91" s="88"/>
      <c r="E91" s="88"/>
      <c r="F91" s="88"/>
    </row>
    <row r="92" spans="1:6" s="3" customFormat="1" ht="18.75" x14ac:dyDescent="0.3">
      <c r="A92" s="11"/>
      <c r="B92" s="86"/>
      <c r="C92" s="88"/>
      <c r="D92" s="257"/>
      <c r="E92" s="257"/>
      <c r="F92" s="257"/>
    </row>
    <row r="93" spans="1:6" s="3" customFormat="1" ht="18.75" x14ac:dyDescent="0.3">
      <c r="A93" s="11"/>
      <c r="B93" s="86"/>
      <c r="C93" s="88"/>
      <c r="D93" s="86"/>
      <c r="E93" s="86"/>
      <c r="F93" s="86"/>
    </row>
    <row r="94" spans="1:6" s="3" customFormat="1" ht="18.75" x14ac:dyDescent="0.3">
      <c r="A94" s="11"/>
      <c r="B94" s="86"/>
      <c r="C94" s="88"/>
      <c r="D94" s="88"/>
      <c r="E94" s="88"/>
      <c r="F94" s="88"/>
    </row>
    <row r="95" spans="1:6" s="3" customFormat="1" ht="18.75" x14ac:dyDescent="0.3">
      <c r="A95" s="11"/>
      <c r="B95" s="86"/>
      <c r="C95" s="88"/>
      <c r="D95" s="88"/>
      <c r="E95" s="88"/>
      <c r="F95" s="88"/>
    </row>
    <row r="96" spans="1:6" s="3" customFormat="1" ht="18.75" x14ac:dyDescent="0.3">
      <c r="A96" s="11"/>
      <c r="B96" s="86"/>
      <c r="C96" s="88"/>
      <c r="D96" s="862"/>
      <c r="E96" s="862"/>
      <c r="F96" s="88"/>
    </row>
    <row r="97" spans="1:6" s="3" customFormat="1" ht="18.75" x14ac:dyDescent="0.3">
      <c r="A97" s="11"/>
      <c r="B97" s="86"/>
      <c r="C97" s="88"/>
      <c r="D97" s="88"/>
      <c r="E97" s="88"/>
      <c r="F97" s="86"/>
    </row>
    <row r="98" spans="1:6" ht="18.75" x14ac:dyDescent="0.3">
      <c r="A98" s="11"/>
      <c r="B98" s="86"/>
      <c r="C98" s="88"/>
      <c r="D98" s="88"/>
      <c r="E98" s="88"/>
      <c r="F98" s="86"/>
    </row>
  </sheetData>
  <mergeCells count="14">
    <mergeCell ref="D87:F87"/>
    <mergeCell ref="D96:E96"/>
    <mergeCell ref="A51:B51"/>
    <mergeCell ref="D55:F55"/>
    <mergeCell ref="D63:E63"/>
    <mergeCell ref="A68:B68"/>
    <mergeCell ref="D70:F70"/>
    <mergeCell ref="A84:B84"/>
    <mergeCell ref="D40:F40"/>
    <mergeCell ref="A3:B3"/>
    <mergeCell ref="D7:F7"/>
    <mergeCell ref="A19:B19"/>
    <mergeCell ref="D22:F22"/>
    <mergeCell ref="A35:B3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M115"/>
  <sheetViews>
    <sheetView view="pageBreakPreview" zoomScale="80" zoomScaleNormal="100" zoomScaleSheetLayoutView="80" workbookViewId="0">
      <selection activeCell="F3" sqref="F3"/>
    </sheetView>
  </sheetViews>
  <sheetFormatPr baseColWidth="10" defaultRowHeight="15" x14ac:dyDescent="0.25"/>
  <cols>
    <col min="1" max="1" width="24.42578125" style="3" customWidth="1"/>
    <col min="2" max="2" width="12.7109375" style="93" bestFit="1" customWidth="1"/>
    <col min="3" max="4" width="12.7109375" style="83" bestFit="1" customWidth="1"/>
    <col min="5" max="5" width="14.140625" style="83" bestFit="1" customWidth="1"/>
    <col min="6" max="6" width="15.5703125" style="83" customWidth="1"/>
    <col min="7" max="7" width="11.42578125" style="3"/>
    <col min="8" max="8" width="12.7109375" style="3" bestFit="1" customWidth="1"/>
    <col min="9" max="9" width="13.140625" style="3" bestFit="1" customWidth="1"/>
    <col min="10" max="10" width="14.140625" style="3" bestFit="1" customWidth="1"/>
    <col min="11" max="13" width="11.42578125" style="3"/>
  </cols>
  <sheetData>
    <row r="1" spans="1:11" ht="33.75" x14ac:dyDescent="0.5">
      <c r="A1" s="937" t="s">
        <v>53</v>
      </c>
      <c r="B1" s="937"/>
      <c r="C1" s="861" t="s">
        <v>36</v>
      </c>
      <c r="D1" s="861"/>
      <c r="E1" s="861"/>
      <c r="F1" s="861"/>
      <c r="G1" s="861"/>
      <c r="H1" s="14"/>
      <c r="I1" s="14"/>
      <c r="J1" s="14"/>
      <c r="K1" s="14"/>
    </row>
    <row r="2" spans="1:11" ht="18.75" x14ac:dyDescent="0.3">
      <c r="A2" s="3" t="s">
        <v>30</v>
      </c>
      <c r="B2" s="5">
        <f>1.8*5.2*F2</f>
        <v>37440.000000000007</v>
      </c>
      <c r="F2" s="86">
        <v>4000</v>
      </c>
      <c r="G2" s="4" t="s">
        <v>61</v>
      </c>
    </row>
    <row r="3" spans="1:11" ht="18.75" x14ac:dyDescent="0.3">
      <c r="A3" s="3" t="s">
        <v>1</v>
      </c>
      <c r="B3" s="5">
        <v>1000</v>
      </c>
    </row>
    <row r="4" spans="1:11" ht="18.75" x14ac:dyDescent="0.3">
      <c r="A4" s="3" t="s">
        <v>10</v>
      </c>
      <c r="B4" s="5">
        <v>4500</v>
      </c>
    </row>
    <row r="5" spans="1:11" ht="18.75" x14ac:dyDescent="0.3">
      <c r="A5" s="3" t="s">
        <v>11</v>
      </c>
      <c r="B5" s="5">
        <v>0</v>
      </c>
    </row>
    <row r="6" spans="1:11" ht="18.75" x14ac:dyDescent="0.3">
      <c r="A6" s="3" t="s">
        <v>12</v>
      </c>
      <c r="B6" s="5">
        <v>0</v>
      </c>
      <c r="D6" s="953" t="s">
        <v>246</v>
      </c>
      <c r="E6" s="953"/>
      <c r="F6" s="953"/>
    </row>
    <row r="7" spans="1:11" ht="18.75" x14ac:dyDescent="0.3">
      <c r="A7" s="3" t="s">
        <v>14</v>
      </c>
      <c r="B7" s="5">
        <v>0</v>
      </c>
      <c r="D7" s="90" t="s">
        <v>22</v>
      </c>
      <c r="E7" s="90" t="s">
        <v>23</v>
      </c>
      <c r="F7" s="90" t="s">
        <v>24</v>
      </c>
      <c r="G7" s="4"/>
    </row>
    <row r="8" spans="1:11" ht="21" x14ac:dyDescent="0.35">
      <c r="A8" s="3" t="s">
        <v>15</v>
      </c>
      <c r="B8" s="5">
        <v>0</v>
      </c>
      <c r="D8" s="92">
        <f>D13</f>
        <v>17.505125000000003</v>
      </c>
      <c r="E8" s="92">
        <f>E13</f>
        <v>21.126875000000005</v>
      </c>
      <c r="F8" s="92">
        <f>F13</f>
        <v>24.024275000000006</v>
      </c>
      <c r="G8" s="4"/>
    </row>
    <row r="9" spans="1:11" ht="18.75" x14ac:dyDescent="0.3">
      <c r="A9" s="3" t="s">
        <v>27</v>
      </c>
      <c r="B9" s="5">
        <v>200</v>
      </c>
      <c r="G9" s="4"/>
    </row>
    <row r="10" spans="1:11" ht="18.75" x14ac:dyDescent="0.3">
      <c r="A10" s="3" t="s">
        <v>28</v>
      </c>
      <c r="B10" s="5">
        <v>100</v>
      </c>
    </row>
    <row r="11" spans="1:11" ht="18.75" x14ac:dyDescent="0.3">
      <c r="A11" s="3" t="s">
        <v>16</v>
      </c>
      <c r="B11" s="5">
        <v>300</v>
      </c>
      <c r="D11" s="81">
        <v>0.4</v>
      </c>
      <c r="E11" s="168">
        <v>0.6</v>
      </c>
      <c r="F11" s="168">
        <v>0.9</v>
      </c>
      <c r="G11" s="86"/>
    </row>
    <row r="12" spans="1:11" ht="18.75" x14ac:dyDescent="0.3">
      <c r="A12" s="3" t="s">
        <v>17</v>
      </c>
      <c r="B12" s="5">
        <v>750</v>
      </c>
      <c r="D12" s="86">
        <f>B14*1.45</f>
        <v>70020.500000000015</v>
      </c>
      <c r="E12" s="86">
        <f>B14*1.75</f>
        <v>84507.500000000015</v>
      </c>
      <c r="F12" s="86">
        <f>B14*1.99</f>
        <v>96097.10000000002</v>
      </c>
      <c r="G12" s="86"/>
    </row>
    <row r="13" spans="1:11" ht="21.75" thickBot="1" x14ac:dyDescent="0.4">
      <c r="A13" s="3" t="s">
        <v>18</v>
      </c>
      <c r="B13" s="46">
        <v>4000</v>
      </c>
      <c r="D13" s="92">
        <f>D12/F2</f>
        <v>17.505125000000003</v>
      </c>
      <c r="E13" s="92">
        <f>E12/F2</f>
        <v>21.126875000000005</v>
      </c>
      <c r="F13" s="92">
        <f>F12/F2</f>
        <v>24.024275000000006</v>
      </c>
      <c r="G13" s="86"/>
    </row>
    <row r="14" spans="1:11" ht="18.75" x14ac:dyDescent="0.3">
      <c r="B14" s="5">
        <f>SUM(B2:B13)</f>
        <v>48290.000000000007</v>
      </c>
    </row>
    <row r="15" spans="1:11" ht="21" x14ac:dyDescent="0.35">
      <c r="B15" s="7"/>
    </row>
    <row r="16" spans="1:11" ht="18.75" x14ac:dyDescent="0.3">
      <c r="C16" s="86"/>
      <c r="D16" s="86"/>
      <c r="E16" s="86"/>
      <c r="F16" s="86"/>
    </row>
    <row r="17" spans="1:10" ht="18.75" x14ac:dyDescent="0.3">
      <c r="C17" s="86"/>
      <c r="D17" s="86"/>
      <c r="E17" s="86"/>
      <c r="F17" s="86"/>
    </row>
    <row r="18" spans="1:10" ht="18" customHeight="1" x14ac:dyDescent="0.25">
      <c r="A18" s="952" t="s">
        <v>116</v>
      </c>
      <c r="B18" s="952"/>
    </row>
    <row r="19" spans="1:10" ht="18.75" x14ac:dyDescent="0.3">
      <c r="A19" s="3" t="s">
        <v>30</v>
      </c>
      <c r="B19" s="5">
        <f>1.5*5.2*F2</f>
        <v>31200.000000000004</v>
      </c>
    </row>
    <row r="20" spans="1:10" ht="18.75" x14ac:dyDescent="0.3">
      <c r="A20" s="3" t="s">
        <v>1</v>
      </c>
      <c r="B20" s="5">
        <v>1000</v>
      </c>
    </row>
    <row r="21" spans="1:10" ht="18.75" x14ac:dyDescent="0.3">
      <c r="A21" s="3" t="s">
        <v>10</v>
      </c>
      <c r="B21" s="5">
        <v>4500</v>
      </c>
      <c r="D21" s="953" t="s">
        <v>247</v>
      </c>
      <c r="E21" s="953"/>
      <c r="F21" s="953"/>
      <c r="G21" s="244"/>
    </row>
    <row r="22" spans="1:10" ht="18.75" x14ac:dyDescent="0.3">
      <c r="A22" s="3" t="s">
        <v>11</v>
      </c>
      <c r="B22" s="5">
        <v>0</v>
      </c>
      <c r="D22" s="90" t="s">
        <v>22</v>
      </c>
      <c r="E22" s="90" t="s">
        <v>23</v>
      </c>
      <c r="F22" s="90" t="s">
        <v>24</v>
      </c>
      <c r="G22" s="4"/>
    </row>
    <row r="23" spans="1:10" ht="18.75" x14ac:dyDescent="0.3">
      <c r="A23" s="3" t="s">
        <v>12</v>
      </c>
      <c r="B23" s="5">
        <f>B6</f>
        <v>0</v>
      </c>
      <c r="D23" s="90">
        <f>D30</f>
        <v>15.243124999999999</v>
      </c>
      <c r="E23" s="90">
        <f>E30</f>
        <v>18.396875000000001</v>
      </c>
      <c r="F23" s="90">
        <f>F30</f>
        <v>20.919875000000001</v>
      </c>
      <c r="G23" s="4"/>
    </row>
    <row r="24" spans="1:10" ht="21" x14ac:dyDescent="0.35">
      <c r="A24" s="3" t="s">
        <v>14</v>
      </c>
      <c r="B24" s="5">
        <f>B7</f>
        <v>0</v>
      </c>
      <c r="D24" s="92"/>
      <c r="E24" s="92"/>
      <c r="F24" s="92"/>
      <c r="G24" s="4"/>
    </row>
    <row r="25" spans="1:10" ht="18.75" x14ac:dyDescent="0.3">
      <c r="A25" s="3" t="s">
        <v>15</v>
      </c>
      <c r="B25" s="5">
        <f>B8</f>
        <v>0</v>
      </c>
    </row>
    <row r="26" spans="1:10" ht="18.75" x14ac:dyDescent="0.3">
      <c r="A26" s="3" t="s">
        <v>27</v>
      </c>
      <c r="B26" s="5">
        <v>200</v>
      </c>
    </row>
    <row r="27" spans="1:10" ht="18.75" x14ac:dyDescent="0.3">
      <c r="A27" s="3" t="s">
        <v>28</v>
      </c>
      <c r="B27" s="5">
        <v>100</v>
      </c>
    </row>
    <row r="28" spans="1:10" ht="18.75" x14ac:dyDescent="0.3">
      <c r="A28" s="3" t="s">
        <v>16</v>
      </c>
      <c r="B28" s="5">
        <f>B11</f>
        <v>300</v>
      </c>
      <c r="D28" s="81">
        <v>0.4</v>
      </c>
      <c r="E28" s="81">
        <v>0.6</v>
      </c>
      <c r="F28" s="81">
        <v>0.9</v>
      </c>
      <c r="G28" s="86"/>
    </row>
    <row r="29" spans="1:10" ht="23.25" x14ac:dyDescent="0.35">
      <c r="A29" s="3" t="s">
        <v>17</v>
      </c>
      <c r="B29" s="5">
        <f>B12</f>
        <v>750</v>
      </c>
      <c r="D29" s="86">
        <f>B31*1.45</f>
        <v>60972.5</v>
      </c>
      <c r="E29" s="86">
        <f>B31*1.75</f>
        <v>73587.5</v>
      </c>
      <c r="F29" s="86">
        <f>B31*1.99</f>
        <v>83679.5</v>
      </c>
      <c r="G29" s="86"/>
      <c r="I29" s="9"/>
      <c r="J29" s="9"/>
    </row>
    <row r="30" spans="1:10" ht="21.75" thickBot="1" x14ac:dyDescent="0.4">
      <c r="A30" s="3" t="s">
        <v>18</v>
      </c>
      <c r="B30" s="46">
        <f>B13</f>
        <v>4000</v>
      </c>
      <c r="D30" s="92">
        <f>D29/F2</f>
        <v>15.243124999999999</v>
      </c>
      <c r="E30" s="92">
        <f>E29/F2</f>
        <v>18.396875000000001</v>
      </c>
      <c r="F30" s="92">
        <f>F29/F2</f>
        <v>20.919875000000001</v>
      </c>
      <c r="G30" s="86"/>
    </row>
    <row r="31" spans="1:10" ht="18.75" x14ac:dyDescent="0.3">
      <c r="B31" s="5">
        <f>SUM(B19:B30)</f>
        <v>42050</v>
      </c>
    </row>
    <row r="32" spans="1:10" ht="21" x14ac:dyDescent="0.35">
      <c r="B32" s="7"/>
    </row>
    <row r="33" spans="1:7" ht="18.75" x14ac:dyDescent="0.3">
      <c r="C33" s="86"/>
      <c r="D33" s="86"/>
      <c r="E33" s="86"/>
      <c r="F33" s="86"/>
    </row>
    <row r="34" spans="1:7" ht="18.75" x14ac:dyDescent="0.3">
      <c r="C34" s="86"/>
      <c r="D34" s="86"/>
      <c r="E34" s="86"/>
      <c r="F34" s="86"/>
    </row>
    <row r="37" spans="1:7" ht="33.75" x14ac:dyDescent="0.5">
      <c r="A37" s="861"/>
      <c r="B37" s="861"/>
    </row>
    <row r="38" spans="1:7" ht="33.75" x14ac:dyDescent="0.5">
      <c r="A38" s="937" t="s">
        <v>54</v>
      </c>
      <c r="B38" s="937"/>
      <c r="C38" s="861" t="s">
        <v>36</v>
      </c>
      <c r="D38" s="861"/>
      <c r="E38" s="861"/>
      <c r="F38" s="861"/>
      <c r="G38" s="861"/>
    </row>
    <row r="39" spans="1:7" ht="18.75" x14ac:dyDescent="0.3">
      <c r="A39" s="3" t="s">
        <v>30</v>
      </c>
      <c r="B39" s="5">
        <f>2*5.2*F2</f>
        <v>41600</v>
      </c>
    </row>
    <row r="40" spans="1:7" ht="18.75" x14ac:dyDescent="0.3">
      <c r="A40" s="3" t="s">
        <v>1</v>
      </c>
      <c r="B40" s="5">
        <v>1000</v>
      </c>
    </row>
    <row r="41" spans="1:7" ht="18.75" x14ac:dyDescent="0.3">
      <c r="A41" s="3" t="s">
        <v>10</v>
      </c>
      <c r="B41" s="5">
        <v>4500</v>
      </c>
    </row>
    <row r="42" spans="1:7" ht="18.75" x14ac:dyDescent="0.3">
      <c r="A42" s="3" t="s">
        <v>11</v>
      </c>
      <c r="B42" s="5">
        <v>0</v>
      </c>
      <c r="D42" s="953" t="s">
        <v>248</v>
      </c>
      <c r="E42" s="953"/>
      <c r="F42" s="953"/>
    </row>
    <row r="43" spans="1:7" ht="18.75" x14ac:dyDescent="0.3">
      <c r="A43" s="3" t="s">
        <v>12</v>
      </c>
      <c r="B43" s="5">
        <v>1000</v>
      </c>
      <c r="D43" s="90" t="s">
        <v>22</v>
      </c>
      <c r="E43" s="90" t="s">
        <v>23</v>
      </c>
      <c r="F43" s="90" t="s">
        <v>24</v>
      </c>
      <c r="G43" s="4"/>
    </row>
    <row r="44" spans="1:7" ht="18.75" x14ac:dyDescent="0.3">
      <c r="A44" s="3" t="s">
        <v>14</v>
      </c>
      <c r="B44" s="5">
        <v>0</v>
      </c>
      <c r="D44" s="90">
        <f>D48</f>
        <v>19.375624999999999</v>
      </c>
      <c r="E44" s="90">
        <f>E48</f>
        <v>23.384374999999999</v>
      </c>
      <c r="F44" s="90">
        <f>F48</f>
        <v>26.591374999999999</v>
      </c>
      <c r="G44" s="4"/>
    </row>
    <row r="45" spans="1:7" ht="21" x14ac:dyDescent="0.35">
      <c r="A45" s="3" t="s">
        <v>15</v>
      </c>
      <c r="B45" s="5">
        <v>0</v>
      </c>
      <c r="D45" s="92"/>
      <c r="E45" s="92"/>
      <c r="F45" s="92"/>
      <c r="G45" s="4"/>
    </row>
    <row r="46" spans="1:7" ht="18.75" x14ac:dyDescent="0.3">
      <c r="A46" s="3" t="s">
        <v>27</v>
      </c>
      <c r="B46" s="5">
        <v>200</v>
      </c>
      <c r="D46" s="81">
        <v>0.4</v>
      </c>
      <c r="E46" s="168">
        <v>0.6</v>
      </c>
      <c r="F46" s="168">
        <v>0.9</v>
      </c>
    </row>
    <row r="47" spans="1:7" ht="18.75" x14ac:dyDescent="0.3">
      <c r="A47" s="3" t="s">
        <v>28</v>
      </c>
      <c r="B47" s="5">
        <v>100</v>
      </c>
      <c r="D47" s="86">
        <f>B51*1.45</f>
        <v>77502.5</v>
      </c>
      <c r="E47" s="86">
        <f>B51*1.75</f>
        <v>93537.5</v>
      </c>
      <c r="F47" s="86">
        <f>B51*1.99</f>
        <v>106365.5</v>
      </c>
    </row>
    <row r="48" spans="1:7" ht="21" x14ac:dyDescent="0.35">
      <c r="A48" s="3" t="s">
        <v>16</v>
      </c>
      <c r="B48" s="5">
        <v>300</v>
      </c>
      <c r="D48" s="92">
        <f>D47/F2</f>
        <v>19.375624999999999</v>
      </c>
      <c r="E48" s="92">
        <f>E47/F2</f>
        <v>23.384374999999999</v>
      </c>
      <c r="F48" s="92">
        <f>F47/F2</f>
        <v>26.591374999999999</v>
      </c>
    </row>
    <row r="49" spans="1:12" ht="23.25" x14ac:dyDescent="0.35">
      <c r="A49" s="3" t="s">
        <v>17</v>
      </c>
      <c r="B49" s="5">
        <v>750</v>
      </c>
      <c r="I49" s="909"/>
      <c r="J49" s="909"/>
    </row>
    <row r="50" spans="1:12" ht="19.5" thickBot="1" x14ac:dyDescent="0.35">
      <c r="A50" s="3" t="s">
        <v>18</v>
      </c>
      <c r="B50" s="46">
        <v>4000</v>
      </c>
    </row>
    <row r="51" spans="1:12" ht="18.75" x14ac:dyDescent="0.3">
      <c r="B51" s="5">
        <f>SUM(B39:B50)</f>
        <v>53450</v>
      </c>
    </row>
    <row r="52" spans="1:12" ht="21" x14ac:dyDescent="0.35">
      <c r="B52" s="7"/>
      <c r="F52" s="86"/>
    </row>
    <row r="53" spans="1:12" ht="18.75" x14ac:dyDescent="0.3">
      <c r="C53" s="86"/>
      <c r="D53" s="86"/>
      <c r="E53" s="86"/>
      <c r="F53" s="86"/>
    </row>
    <row r="54" spans="1:12" ht="18.75" x14ac:dyDescent="0.3">
      <c r="C54" s="86"/>
      <c r="D54" s="86"/>
      <c r="E54" s="86"/>
      <c r="F54" s="86"/>
    </row>
    <row r="55" spans="1:12" ht="46.5" x14ac:dyDescent="0.25">
      <c r="A55" s="954"/>
      <c r="B55" s="954"/>
    </row>
    <row r="58" spans="1:12" ht="28.5" x14ac:dyDescent="0.45">
      <c r="A58" s="937" t="s">
        <v>53</v>
      </c>
      <c r="B58" s="937"/>
      <c r="C58" s="85" t="s">
        <v>35</v>
      </c>
      <c r="D58" s="85"/>
      <c r="E58" s="85"/>
      <c r="F58" s="85"/>
      <c r="G58" s="15"/>
      <c r="H58" s="15"/>
      <c r="I58" s="15"/>
      <c r="J58" s="15"/>
      <c r="K58" s="15"/>
      <c r="L58" s="15"/>
    </row>
    <row r="59" spans="1:12" ht="18.75" x14ac:dyDescent="0.3">
      <c r="A59" s="3" t="s">
        <v>30</v>
      </c>
      <c r="B59" s="5">
        <f>1.8*5.2*F2</f>
        <v>37440.000000000007</v>
      </c>
    </row>
    <row r="60" spans="1:12" ht="18.75" x14ac:dyDescent="0.3">
      <c r="A60" s="3" t="s">
        <v>1</v>
      </c>
      <c r="B60" s="5">
        <v>1000</v>
      </c>
    </row>
    <row r="61" spans="1:12" ht="18.75" x14ac:dyDescent="0.3">
      <c r="A61" s="3" t="s">
        <v>10</v>
      </c>
      <c r="B61" s="5">
        <v>4500</v>
      </c>
    </row>
    <row r="62" spans="1:12" ht="18.75" x14ac:dyDescent="0.3">
      <c r="A62" s="3" t="s">
        <v>11</v>
      </c>
      <c r="B62" s="5">
        <v>1000</v>
      </c>
    </row>
    <row r="63" spans="1:12" ht="18.75" x14ac:dyDescent="0.3">
      <c r="A63" s="3" t="s">
        <v>13</v>
      </c>
      <c r="B63" s="5">
        <v>1000</v>
      </c>
    </row>
    <row r="64" spans="1:12" ht="18.75" x14ac:dyDescent="0.3">
      <c r="A64" s="3" t="s">
        <v>12</v>
      </c>
      <c r="B64" s="5">
        <v>1000</v>
      </c>
      <c r="D64" s="953" t="s">
        <v>249</v>
      </c>
      <c r="E64" s="953"/>
      <c r="F64" s="953"/>
    </row>
    <row r="65" spans="1:10" ht="18.75" x14ac:dyDescent="0.3">
      <c r="A65" s="3" t="s">
        <v>14</v>
      </c>
      <c r="B65" s="5">
        <v>200</v>
      </c>
      <c r="D65" s="90" t="s">
        <v>22</v>
      </c>
      <c r="E65" s="90" t="s">
        <v>23</v>
      </c>
      <c r="F65" s="90" t="s">
        <v>24</v>
      </c>
      <c r="G65" s="4"/>
    </row>
    <row r="66" spans="1:10" ht="18.75" x14ac:dyDescent="0.3">
      <c r="A66" s="3" t="s">
        <v>15</v>
      </c>
      <c r="B66" s="5">
        <v>200</v>
      </c>
      <c r="D66" s="90">
        <f>D70</f>
        <v>18.737625000000005</v>
      </c>
      <c r="E66" s="90">
        <f>E70</f>
        <v>22.614375000000003</v>
      </c>
      <c r="F66" s="90">
        <f>F70</f>
        <v>25.715775000000004</v>
      </c>
      <c r="G66" s="4"/>
    </row>
    <row r="67" spans="1:10" ht="21" x14ac:dyDescent="0.35">
      <c r="A67" s="3" t="s">
        <v>27</v>
      </c>
      <c r="B67" s="5">
        <v>200</v>
      </c>
      <c r="D67" s="92"/>
      <c r="E67" s="92"/>
      <c r="F67" s="92"/>
      <c r="G67" s="4"/>
    </row>
    <row r="68" spans="1:10" ht="18.75" x14ac:dyDescent="0.3">
      <c r="A68" s="3" t="s">
        <v>28</v>
      </c>
      <c r="B68" s="5">
        <v>100</v>
      </c>
      <c r="D68" s="81">
        <v>0.4</v>
      </c>
      <c r="E68" s="168">
        <v>0.6</v>
      </c>
      <c r="F68" s="168">
        <v>0.9</v>
      </c>
    </row>
    <row r="69" spans="1:10" ht="18.75" x14ac:dyDescent="0.3">
      <c r="A69" s="3" t="s">
        <v>16</v>
      </c>
      <c r="B69" s="5">
        <v>300</v>
      </c>
      <c r="D69" s="86">
        <f>B72*1.45</f>
        <v>74950.500000000015</v>
      </c>
      <c r="E69" s="86">
        <f>B72*1.75</f>
        <v>90457.500000000015</v>
      </c>
      <c r="F69" s="86">
        <f>B72*1.99</f>
        <v>102863.10000000002</v>
      </c>
    </row>
    <row r="70" spans="1:10" ht="23.25" x14ac:dyDescent="0.35">
      <c r="A70" s="3" t="s">
        <v>17</v>
      </c>
      <c r="B70" s="5">
        <v>750</v>
      </c>
      <c r="D70" s="92">
        <f>D69/F2</f>
        <v>18.737625000000005</v>
      </c>
      <c r="E70" s="92">
        <f>E69/F2</f>
        <v>22.614375000000003</v>
      </c>
      <c r="F70" s="92">
        <f>F69/F2</f>
        <v>25.715775000000004</v>
      </c>
      <c r="I70" s="909"/>
      <c r="J70" s="909"/>
    </row>
    <row r="71" spans="1:10" ht="19.5" thickBot="1" x14ac:dyDescent="0.35">
      <c r="A71" s="3" t="s">
        <v>18</v>
      </c>
      <c r="B71" s="46">
        <v>4000</v>
      </c>
    </row>
    <row r="72" spans="1:10" ht="18.75" x14ac:dyDescent="0.3">
      <c r="B72" s="5">
        <f>SUM(B59:B71)</f>
        <v>51690.000000000007</v>
      </c>
    </row>
    <row r="73" spans="1:10" ht="21" x14ac:dyDescent="0.35">
      <c r="B73" s="7"/>
      <c r="F73" s="86"/>
    </row>
    <row r="74" spans="1:10" ht="18.75" x14ac:dyDescent="0.3">
      <c r="C74" s="86"/>
      <c r="D74" s="86"/>
      <c r="E74" s="86"/>
      <c r="F74" s="86"/>
    </row>
    <row r="75" spans="1:10" ht="18.75" x14ac:dyDescent="0.3">
      <c r="C75" s="86"/>
      <c r="D75" s="86"/>
      <c r="E75" s="86"/>
      <c r="F75" s="86"/>
    </row>
    <row r="76" spans="1:10" ht="46.5" x14ac:dyDescent="0.25">
      <c r="A76" s="954"/>
      <c r="B76" s="954"/>
    </row>
    <row r="77" spans="1:10" ht="28.5" x14ac:dyDescent="0.25">
      <c r="A77" s="942" t="s">
        <v>115</v>
      </c>
      <c r="B77" s="942"/>
    </row>
    <row r="78" spans="1:10" ht="18.75" x14ac:dyDescent="0.3">
      <c r="A78" s="3" t="s">
        <v>30</v>
      </c>
      <c r="B78" s="5">
        <f>1.5*5.2*F2</f>
        <v>31200.000000000004</v>
      </c>
    </row>
    <row r="79" spans="1:10" ht="18.75" x14ac:dyDescent="0.3">
      <c r="A79" s="3" t="s">
        <v>1</v>
      </c>
      <c r="B79" s="5">
        <v>1000</v>
      </c>
    </row>
    <row r="80" spans="1:10" ht="18.75" x14ac:dyDescent="0.3">
      <c r="A80" s="3" t="s">
        <v>10</v>
      </c>
      <c r="B80" s="5">
        <v>4500</v>
      </c>
    </row>
    <row r="81" spans="1:10" ht="18.75" x14ac:dyDescent="0.3">
      <c r="A81" s="3" t="s">
        <v>11</v>
      </c>
      <c r="B81" s="5">
        <v>1000</v>
      </c>
      <c r="D81" s="953" t="s">
        <v>251</v>
      </c>
      <c r="E81" s="953"/>
      <c r="F81" s="953"/>
    </row>
    <row r="82" spans="1:10" ht="18.75" x14ac:dyDescent="0.3">
      <c r="A82" s="3" t="s">
        <v>13</v>
      </c>
      <c r="B82" s="5">
        <f>B63</f>
        <v>1000</v>
      </c>
      <c r="D82" s="90" t="s">
        <v>22</v>
      </c>
      <c r="E82" s="90" t="s">
        <v>23</v>
      </c>
      <c r="F82" s="90" t="s">
        <v>24</v>
      </c>
      <c r="G82" s="4"/>
    </row>
    <row r="83" spans="1:10" ht="18.75" x14ac:dyDescent="0.3">
      <c r="A83" s="3" t="s">
        <v>12</v>
      </c>
      <c r="B83" s="5">
        <f>B64</f>
        <v>1000</v>
      </c>
      <c r="D83" s="90">
        <f>D88</f>
        <v>16.475625000000001</v>
      </c>
      <c r="E83" s="90">
        <f>E88</f>
        <v>19.884374999999999</v>
      </c>
      <c r="F83" s="90">
        <f>F88</f>
        <v>22.611374999999999</v>
      </c>
      <c r="G83" s="4"/>
    </row>
    <row r="84" spans="1:10" ht="21" x14ac:dyDescent="0.35">
      <c r="A84" s="3" t="s">
        <v>14</v>
      </c>
      <c r="B84" s="5">
        <f>B65</f>
        <v>200</v>
      </c>
      <c r="D84" s="92"/>
      <c r="E84" s="92"/>
      <c r="F84" s="92"/>
      <c r="G84" s="4"/>
    </row>
    <row r="85" spans="1:10" ht="18.75" x14ac:dyDescent="0.3">
      <c r="A85" s="3" t="s">
        <v>15</v>
      </c>
      <c r="B85" s="5">
        <f>B66</f>
        <v>200</v>
      </c>
    </row>
    <row r="86" spans="1:10" ht="18.75" x14ac:dyDescent="0.3">
      <c r="A86" s="3" t="s">
        <v>27</v>
      </c>
      <c r="B86" s="5">
        <v>200</v>
      </c>
      <c r="D86" s="81">
        <v>0.4</v>
      </c>
      <c r="E86" s="81">
        <v>0.6</v>
      </c>
      <c r="F86" s="81">
        <v>0.9</v>
      </c>
    </row>
    <row r="87" spans="1:10" ht="18.75" x14ac:dyDescent="0.3">
      <c r="A87" s="3" t="s">
        <v>28</v>
      </c>
      <c r="B87" s="5">
        <v>100</v>
      </c>
      <c r="D87" s="86">
        <f>B91*1.45</f>
        <v>65902.5</v>
      </c>
      <c r="E87" s="86">
        <f>B91*1.75</f>
        <v>79537.5</v>
      </c>
      <c r="F87" s="86">
        <f>B91*1.99</f>
        <v>90445.5</v>
      </c>
    </row>
    <row r="88" spans="1:10" ht="21" x14ac:dyDescent="0.35">
      <c r="A88" s="3" t="s">
        <v>16</v>
      </c>
      <c r="B88" s="5">
        <f t="shared" ref="B88:B90" si="0">B69</f>
        <v>300</v>
      </c>
      <c r="D88" s="92">
        <f>D87/F2</f>
        <v>16.475625000000001</v>
      </c>
      <c r="E88" s="92">
        <f>E87/F2</f>
        <v>19.884374999999999</v>
      </c>
      <c r="F88" s="92">
        <f>F87/F2</f>
        <v>22.611374999999999</v>
      </c>
    </row>
    <row r="89" spans="1:10" ht="23.25" x14ac:dyDescent="0.35">
      <c r="A89" s="3" t="s">
        <v>17</v>
      </c>
      <c r="B89" s="5">
        <f t="shared" si="0"/>
        <v>750</v>
      </c>
      <c r="I89" s="9"/>
      <c r="J89" s="9"/>
    </row>
    <row r="90" spans="1:10" ht="19.5" thickBot="1" x14ac:dyDescent="0.35">
      <c r="A90" s="3" t="s">
        <v>18</v>
      </c>
      <c r="B90" s="46">
        <f t="shared" si="0"/>
        <v>4000</v>
      </c>
    </row>
    <row r="91" spans="1:10" ht="18.75" x14ac:dyDescent="0.3">
      <c r="B91" s="5">
        <f>SUM(B78:B90)</f>
        <v>45450</v>
      </c>
      <c r="F91" s="86"/>
    </row>
    <row r="92" spans="1:10" ht="21" x14ac:dyDescent="0.35">
      <c r="B92" s="7"/>
      <c r="F92" s="86"/>
    </row>
    <row r="93" spans="1:10" ht="18.75" x14ac:dyDescent="0.3">
      <c r="C93" s="86"/>
      <c r="D93" s="86"/>
      <c r="E93" s="86"/>
      <c r="F93" s="86"/>
    </row>
    <row r="94" spans="1:10" ht="18.75" x14ac:dyDescent="0.3">
      <c r="C94" s="86"/>
      <c r="D94" s="86"/>
      <c r="E94" s="86"/>
      <c r="F94" s="86"/>
    </row>
    <row r="97" spans="1:10" ht="28.5" x14ac:dyDescent="0.45">
      <c r="A97" s="937" t="s">
        <v>54</v>
      </c>
      <c r="B97" s="937"/>
      <c r="D97" s="85" t="s">
        <v>35</v>
      </c>
    </row>
    <row r="98" spans="1:10" ht="18.75" x14ac:dyDescent="0.3">
      <c r="A98" s="3" t="s">
        <v>30</v>
      </c>
      <c r="B98" s="5">
        <f>2*5.2*F2</f>
        <v>41600</v>
      </c>
    </row>
    <row r="99" spans="1:10" ht="18.75" x14ac:dyDescent="0.3">
      <c r="A99" s="3" t="s">
        <v>1</v>
      </c>
      <c r="B99" s="5">
        <v>1000</v>
      </c>
    </row>
    <row r="100" spans="1:10" ht="18.75" x14ac:dyDescent="0.3">
      <c r="A100" s="3" t="s">
        <v>10</v>
      </c>
      <c r="B100" s="5">
        <v>4500</v>
      </c>
    </row>
    <row r="101" spans="1:10" ht="18.75" x14ac:dyDescent="0.3">
      <c r="A101" s="3" t="s">
        <v>11</v>
      </c>
      <c r="B101" s="5">
        <v>1000</v>
      </c>
      <c r="D101" s="953" t="s">
        <v>250</v>
      </c>
      <c r="E101" s="953"/>
      <c r="F101" s="953"/>
    </row>
    <row r="102" spans="1:10" ht="18.75" x14ac:dyDescent="0.3">
      <c r="A102" s="3" t="s">
        <v>13</v>
      </c>
      <c r="B102" s="5">
        <v>1000</v>
      </c>
      <c r="D102" s="90" t="s">
        <v>22</v>
      </c>
      <c r="E102" s="90" t="s">
        <v>23</v>
      </c>
      <c r="F102" s="90" t="s">
        <v>24</v>
      </c>
      <c r="G102" s="4"/>
    </row>
    <row r="103" spans="1:10" ht="18.75" x14ac:dyDescent="0.3">
      <c r="A103" s="3" t="s">
        <v>12</v>
      </c>
      <c r="B103" s="5">
        <v>1000</v>
      </c>
      <c r="D103" s="90">
        <f>D107</f>
        <v>20.245625</v>
      </c>
      <c r="E103" s="90">
        <f>E107</f>
        <v>24.434374999999999</v>
      </c>
      <c r="F103" s="90">
        <f>F107</f>
        <v>27.785374999999998</v>
      </c>
      <c r="G103" s="4"/>
    </row>
    <row r="104" spans="1:10" ht="21" x14ac:dyDescent="0.35">
      <c r="A104" s="3" t="s">
        <v>14</v>
      </c>
      <c r="B104" s="5">
        <v>200</v>
      </c>
      <c r="D104" s="92"/>
      <c r="E104" s="92"/>
      <c r="F104" s="92"/>
      <c r="G104" s="4"/>
    </row>
    <row r="105" spans="1:10" ht="18.75" x14ac:dyDescent="0.3">
      <c r="A105" s="3" t="s">
        <v>15</v>
      </c>
      <c r="B105" s="5">
        <v>200</v>
      </c>
      <c r="D105" s="81">
        <v>0.4</v>
      </c>
      <c r="E105" s="168">
        <v>0.6</v>
      </c>
      <c r="F105" s="168">
        <v>0.9</v>
      </c>
    </row>
    <row r="106" spans="1:10" ht="18.75" x14ac:dyDescent="0.3">
      <c r="A106" s="3" t="s">
        <v>27</v>
      </c>
      <c r="B106" s="5">
        <v>200</v>
      </c>
      <c r="D106" s="86">
        <f>B111*1.45</f>
        <v>80982.5</v>
      </c>
      <c r="E106" s="86">
        <f>B111*1.75</f>
        <v>97737.5</v>
      </c>
      <c r="F106" s="86">
        <f>B111*1.99</f>
        <v>111141.5</v>
      </c>
    </row>
    <row r="107" spans="1:10" ht="21" x14ac:dyDescent="0.35">
      <c r="A107" s="3" t="s">
        <v>28</v>
      </c>
      <c r="B107" s="5">
        <v>100</v>
      </c>
      <c r="D107" s="92">
        <f>D106/F2</f>
        <v>20.245625</v>
      </c>
      <c r="E107" s="92">
        <f>E106/F2</f>
        <v>24.434374999999999</v>
      </c>
      <c r="F107" s="92">
        <f>F106/F2</f>
        <v>27.785374999999998</v>
      </c>
    </row>
    <row r="108" spans="1:10" ht="18.75" x14ac:dyDescent="0.3">
      <c r="A108" s="3" t="s">
        <v>16</v>
      </c>
      <c r="B108" s="5">
        <v>300</v>
      </c>
    </row>
    <row r="109" spans="1:10" ht="23.25" x14ac:dyDescent="0.35">
      <c r="A109" s="3" t="s">
        <v>17</v>
      </c>
      <c r="B109" s="5">
        <v>750</v>
      </c>
      <c r="I109" s="909"/>
      <c r="J109" s="909"/>
    </row>
    <row r="110" spans="1:10" ht="19.5" thickBot="1" x14ac:dyDescent="0.35">
      <c r="A110" s="3" t="s">
        <v>18</v>
      </c>
      <c r="B110" s="46">
        <v>4000</v>
      </c>
    </row>
    <row r="111" spans="1:10" ht="18.75" x14ac:dyDescent="0.3">
      <c r="B111" s="5">
        <f>SUM(B98:B110)</f>
        <v>55850</v>
      </c>
      <c r="F111" s="86"/>
    </row>
    <row r="112" spans="1:10" ht="21" x14ac:dyDescent="0.35">
      <c r="B112" s="7"/>
      <c r="F112" s="86"/>
    </row>
    <row r="113" spans="1:6" ht="18.75" x14ac:dyDescent="0.3">
      <c r="D113" s="86"/>
      <c r="E113" s="86"/>
      <c r="F113" s="86"/>
    </row>
    <row r="114" spans="1:6" ht="18.75" x14ac:dyDescent="0.3">
      <c r="C114" s="86"/>
      <c r="D114" s="86"/>
      <c r="E114" s="86"/>
      <c r="F114" s="86"/>
    </row>
    <row r="115" spans="1:6" ht="46.5" x14ac:dyDescent="0.25">
      <c r="A115" s="954"/>
      <c r="B115" s="954"/>
    </row>
  </sheetData>
  <mergeCells count="21">
    <mergeCell ref="I109:J109"/>
    <mergeCell ref="A115:B115"/>
    <mergeCell ref="C1:G1"/>
    <mergeCell ref="C38:G38"/>
    <mergeCell ref="I70:J70"/>
    <mergeCell ref="A76:B76"/>
    <mergeCell ref="A77:B77"/>
    <mergeCell ref="A97:B97"/>
    <mergeCell ref="A38:B38"/>
    <mergeCell ref="I49:J49"/>
    <mergeCell ref="A55:B55"/>
    <mergeCell ref="A58:B58"/>
    <mergeCell ref="A1:B1"/>
    <mergeCell ref="D64:F64"/>
    <mergeCell ref="D81:F81"/>
    <mergeCell ref="D101:F101"/>
    <mergeCell ref="A18:B18"/>
    <mergeCell ref="D6:F6"/>
    <mergeCell ref="D21:F21"/>
    <mergeCell ref="D42:F42"/>
    <mergeCell ref="A37:B37"/>
  </mergeCells>
  <pageMargins left="0.25" right="0.25" top="0.75" bottom="0.75" header="0.3" footer="0.3"/>
  <pageSetup scale="82" orientation="portrait" r:id="rId1"/>
  <rowBreaks count="2" manualBreakCount="2">
    <brk id="33" max="6" man="1"/>
    <brk id="75" max="6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/>
  <dimension ref="A1:N116"/>
  <sheetViews>
    <sheetView view="pageBreakPreview" topLeftCell="A70" zoomScale="70" zoomScaleNormal="100" zoomScaleSheetLayoutView="70" workbookViewId="0">
      <selection activeCell="C24" sqref="C24"/>
    </sheetView>
  </sheetViews>
  <sheetFormatPr baseColWidth="10" defaultRowHeight="15" x14ac:dyDescent="0.25"/>
  <cols>
    <col min="1" max="1" width="24.140625" style="3" customWidth="1"/>
    <col min="2" max="2" width="12" style="83" bestFit="1" customWidth="1"/>
    <col min="3" max="5" width="12.7109375" style="83" bestFit="1" customWidth="1"/>
    <col min="6" max="6" width="14.28515625" style="83" customWidth="1"/>
    <col min="7" max="7" width="11.42578125" style="3"/>
    <col min="8" max="8" width="23.7109375" style="3" customWidth="1"/>
    <col min="9" max="9" width="20.7109375" style="3" customWidth="1"/>
    <col min="10" max="10" width="12.7109375" style="3" bestFit="1" customWidth="1"/>
    <col min="11" max="11" width="14.140625" style="3" customWidth="1"/>
    <col min="12" max="12" width="12.5703125" style="3" customWidth="1"/>
    <col min="13" max="13" width="12.7109375" style="3" customWidth="1"/>
    <col min="14" max="14" width="11.42578125" style="3"/>
  </cols>
  <sheetData>
    <row r="1" spans="1:14" ht="33.75" x14ac:dyDescent="0.5">
      <c r="A1" s="15" t="s">
        <v>169</v>
      </c>
      <c r="B1" s="85"/>
      <c r="C1" s="861" t="s">
        <v>226</v>
      </c>
      <c r="D1" s="861"/>
      <c r="E1" s="861"/>
      <c r="F1" s="861"/>
      <c r="G1" s="861"/>
      <c r="H1" s="15" t="s">
        <v>169</v>
      </c>
      <c r="I1" s="85"/>
      <c r="J1" s="861" t="s">
        <v>256</v>
      </c>
      <c r="K1" s="861"/>
      <c r="L1" s="861"/>
      <c r="M1" s="861"/>
      <c r="N1" s="861"/>
    </row>
    <row r="2" spans="1:14" ht="21" x14ac:dyDescent="0.35">
      <c r="A2" s="3" t="s">
        <v>252</v>
      </c>
      <c r="B2" s="86">
        <f>1.1*4*F2</f>
        <v>16720</v>
      </c>
      <c r="F2" s="92">
        <v>3800</v>
      </c>
      <c r="G2" s="28"/>
      <c r="H2" s="3" t="s">
        <v>252</v>
      </c>
      <c r="I2" s="86">
        <f>0.9*4*M2</f>
        <v>13680</v>
      </c>
      <c r="J2" s="83"/>
      <c r="K2" s="83"/>
      <c r="L2" s="83"/>
      <c r="M2" s="92">
        <v>3800</v>
      </c>
      <c r="N2" s="28"/>
    </row>
    <row r="3" spans="1:14" ht="18.75" x14ac:dyDescent="0.3">
      <c r="A3" s="3" t="s">
        <v>1</v>
      </c>
      <c r="B3" s="86">
        <v>700</v>
      </c>
      <c r="H3" s="3" t="s">
        <v>1</v>
      </c>
      <c r="I3" s="86">
        <v>700</v>
      </c>
      <c r="J3" s="83"/>
      <c r="K3" s="83"/>
      <c r="L3" s="83"/>
      <c r="M3" s="83"/>
    </row>
    <row r="4" spans="1:14" ht="21" x14ac:dyDescent="0.35">
      <c r="A4" s="3" t="s">
        <v>10</v>
      </c>
      <c r="B4" s="86">
        <v>4000</v>
      </c>
      <c r="D4" s="939" t="s">
        <v>25</v>
      </c>
      <c r="E4" s="939"/>
      <c r="F4" s="939"/>
      <c r="H4" s="3" t="s">
        <v>10</v>
      </c>
      <c r="I4" s="86">
        <v>4000</v>
      </c>
      <c r="J4" s="83"/>
      <c r="K4" s="939" t="s">
        <v>25</v>
      </c>
      <c r="L4" s="939"/>
      <c r="M4" s="939"/>
    </row>
    <row r="5" spans="1:14" ht="18.75" x14ac:dyDescent="0.3">
      <c r="A5" s="3" t="s">
        <v>11</v>
      </c>
      <c r="B5" s="86">
        <v>1000</v>
      </c>
      <c r="D5" s="90" t="s">
        <v>22</v>
      </c>
      <c r="E5" s="90" t="s">
        <v>23</v>
      </c>
      <c r="F5" s="90" t="s">
        <v>24</v>
      </c>
      <c r="G5" s="4"/>
      <c r="H5" s="3" t="s">
        <v>11</v>
      </c>
      <c r="I5" s="86">
        <v>1000</v>
      </c>
      <c r="J5" s="83"/>
      <c r="K5" s="90" t="s">
        <v>22</v>
      </c>
      <c r="L5" s="90" t="s">
        <v>23</v>
      </c>
      <c r="M5" s="90" t="s">
        <v>24</v>
      </c>
      <c r="N5" s="4"/>
    </row>
    <row r="6" spans="1:14" ht="18.75" x14ac:dyDescent="0.3">
      <c r="A6" s="3" t="s">
        <v>12</v>
      </c>
      <c r="B6" s="86">
        <v>2000</v>
      </c>
      <c r="D6" s="90">
        <f>D11</f>
        <v>51504</v>
      </c>
      <c r="E6" s="90">
        <f>E11</f>
        <v>62160</v>
      </c>
      <c r="F6" s="90">
        <f>F11</f>
        <v>70684.800000000003</v>
      </c>
      <c r="G6" s="4"/>
      <c r="H6" s="3" t="s">
        <v>12</v>
      </c>
      <c r="I6" s="86">
        <v>2000</v>
      </c>
      <c r="J6" s="83"/>
      <c r="K6" s="90">
        <f>K11</f>
        <v>44486</v>
      </c>
      <c r="L6" s="90">
        <f>L11</f>
        <v>53690</v>
      </c>
      <c r="M6" s="90">
        <f>M11</f>
        <v>61053.2</v>
      </c>
      <c r="N6" s="4"/>
    </row>
    <row r="7" spans="1:14" ht="21" x14ac:dyDescent="0.35">
      <c r="A7" s="3" t="s">
        <v>14</v>
      </c>
      <c r="B7" s="86">
        <v>200</v>
      </c>
      <c r="D7" s="92">
        <f>D6/F2</f>
        <v>13.553684210526315</v>
      </c>
      <c r="E7" s="92">
        <f>E6/F2</f>
        <v>16.357894736842105</v>
      </c>
      <c r="F7" s="92">
        <f>F6/F2</f>
        <v>18.601263157894738</v>
      </c>
      <c r="G7" s="4"/>
      <c r="H7" s="3" t="s">
        <v>14</v>
      </c>
      <c r="I7" s="86">
        <v>200</v>
      </c>
      <c r="J7" s="83"/>
      <c r="K7" s="92">
        <f>K6/M2</f>
        <v>11.706842105263158</v>
      </c>
      <c r="L7" s="92">
        <f>L6/M2</f>
        <v>14.128947368421052</v>
      </c>
      <c r="M7" s="92">
        <f>M6/M2</f>
        <v>16.066631578947369</v>
      </c>
      <c r="N7" s="4"/>
    </row>
    <row r="8" spans="1:14" ht="18.75" x14ac:dyDescent="0.3">
      <c r="A8" s="3" t="s">
        <v>15</v>
      </c>
      <c r="B8" s="86">
        <v>500</v>
      </c>
      <c r="H8" s="3" t="s">
        <v>15</v>
      </c>
      <c r="I8" s="86">
        <v>500</v>
      </c>
      <c r="J8" s="83"/>
      <c r="K8" s="83"/>
      <c r="L8" s="83"/>
      <c r="M8" s="83"/>
    </row>
    <row r="9" spans="1:14" ht="18.75" x14ac:dyDescent="0.3">
      <c r="A9" s="3" t="s">
        <v>58</v>
      </c>
      <c r="B9" s="86">
        <v>6000</v>
      </c>
      <c r="H9" s="3" t="s">
        <v>27</v>
      </c>
      <c r="I9" s="86">
        <v>200</v>
      </c>
      <c r="J9" s="83"/>
      <c r="K9" s="83"/>
      <c r="L9" s="83"/>
      <c r="M9" s="83"/>
    </row>
    <row r="10" spans="1:14" ht="18.75" x14ac:dyDescent="0.3">
      <c r="A10" s="3" t="s">
        <v>28</v>
      </c>
      <c r="B10" s="86">
        <v>100</v>
      </c>
      <c r="D10" s="81">
        <v>0.4</v>
      </c>
      <c r="E10" s="81">
        <v>0.6</v>
      </c>
      <c r="F10" s="81">
        <v>0.9</v>
      </c>
      <c r="H10" s="3" t="s">
        <v>28</v>
      </c>
      <c r="I10" s="86">
        <v>100</v>
      </c>
      <c r="J10" s="83"/>
      <c r="K10" s="242">
        <v>0.4</v>
      </c>
      <c r="L10" s="242">
        <v>0.6</v>
      </c>
      <c r="M10" s="242">
        <v>0.9</v>
      </c>
    </row>
    <row r="11" spans="1:14" ht="18.75" x14ac:dyDescent="0.3">
      <c r="A11" s="3" t="s">
        <v>16</v>
      </c>
      <c r="B11" s="86">
        <v>300</v>
      </c>
      <c r="D11" s="86">
        <f>B14*1.45</f>
        <v>51504</v>
      </c>
      <c r="E11" s="86">
        <f>B14*1.75</f>
        <v>62160</v>
      </c>
      <c r="F11" s="86">
        <f>B14*1.99</f>
        <v>70684.800000000003</v>
      </c>
      <c r="H11" s="3" t="s">
        <v>16</v>
      </c>
      <c r="I11" s="86">
        <v>300</v>
      </c>
      <c r="J11" s="83"/>
      <c r="K11" s="86">
        <f>I14*1.45</f>
        <v>44486</v>
      </c>
      <c r="L11" s="86">
        <f>I14*1.75</f>
        <v>53690</v>
      </c>
      <c r="M11" s="86">
        <f>I14*1.99</f>
        <v>61053.2</v>
      </c>
    </row>
    <row r="12" spans="1:14" ht="21" x14ac:dyDescent="0.35">
      <c r="A12" s="3" t="s">
        <v>17</v>
      </c>
      <c r="B12" s="86">
        <v>0</v>
      </c>
      <c r="D12" s="92">
        <f>D11/F2</f>
        <v>13.553684210526315</v>
      </c>
      <c r="E12" s="92">
        <f>E11/F2</f>
        <v>16.357894736842105</v>
      </c>
      <c r="F12" s="92">
        <f>F11/F2</f>
        <v>18.601263157894738</v>
      </c>
      <c r="H12" s="3" t="s">
        <v>58</v>
      </c>
      <c r="I12" s="86">
        <v>4000</v>
      </c>
      <c r="J12" s="83"/>
      <c r="K12" s="92">
        <f>K11/M2</f>
        <v>11.706842105263158</v>
      </c>
      <c r="L12" s="92">
        <f>L11/M2</f>
        <v>14.128947368421052</v>
      </c>
      <c r="M12" s="92">
        <f>M11/M2</f>
        <v>16.066631578947369</v>
      </c>
    </row>
    <row r="13" spans="1:14" ht="18.75" x14ac:dyDescent="0.3">
      <c r="A13" s="3" t="s">
        <v>18</v>
      </c>
      <c r="B13" s="172">
        <v>4000</v>
      </c>
      <c r="F13" s="86"/>
      <c r="H13" s="3" t="s">
        <v>18</v>
      </c>
      <c r="I13" s="699">
        <v>4000</v>
      </c>
      <c r="J13" s="83"/>
      <c r="K13" s="83"/>
      <c r="L13" s="83"/>
      <c r="M13" s="86"/>
    </row>
    <row r="14" spans="1:14" ht="18.75" x14ac:dyDescent="0.3">
      <c r="B14" s="86">
        <f>SUM(B2:B13)</f>
        <v>35520</v>
      </c>
      <c r="F14" s="86"/>
      <c r="I14" s="86">
        <f>SUM(I2:I13)</f>
        <v>30680</v>
      </c>
      <c r="J14" s="83"/>
      <c r="K14" s="83"/>
      <c r="L14" s="83"/>
      <c r="M14" s="86"/>
    </row>
    <row r="15" spans="1:14" ht="21" x14ac:dyDescent="0.35">
      <c r="B15" s="92"/>
      <c r="F15" s="86"/>
      <c r="I15" s="92"/>
      <c r="J15" s="83"/>
      <c r="K15" s="83"/>
      <c r="L15" s="83"/>
      <c r="M15" s="86"/>
    </row>
    <row r="16" spans="1:14" ht="18.75" x14ac:dyDescent="0.3">
      <c r="C16" s="86"/>
      <c r="D16" s="86"/>
      <c r="E16" s="86"/>
      <c r="F16" s="86"/>
      <c r="I16" s="83"/>
      <c r="J16" s="86"/>
      <c r="K16" s="86"/>
      <c r="L16" s="86"/>
      <c r="M16" s="86"/>
    </row>
    <row r="17" spans="1:13" ht="18.75" x14ac:dyDescent="0.3">
      <c r="C17" s="86"/>
      <c r="D17" s="86"/>
      <c r="E17" s="86"/>
      <c r="F17" s="86"/>
      <c r="I17" s="83"/>
      <c r="J17" s="86"/>
      <c r="K17" s="86"/>
      <c r="L17" s="86"/>
      <c r="M17" s="86"/>
    </row>
    <row r="18" spans="1:13" ht="46.5" x14ac:dyDescent="0.25">
      <c r="A18" s="954"/>
      <c r="B18" s="954"/>
      <c r="H18" s="954"/>
      <c r="I18" s="954"/>
      <c r="J18" s="83"/>
      <c r="K18" s="83"/>
      <c r="L18" s="83"/>
      <c r="M18" s="83"/>
    </row>
    <row r="19" spans="1:13" ht="28.5" x14ac:dyDescent="0.45">
      <c r="A19" s="15" t="s">
        <v>169</v>
      </c>
      <c r="B19" s="85"/>
      <c r="D19" s="862" t="s">
        <v>227</v>
      </c>
      <c r="E19" s="862"/>
      <c r="F19" s="862"/>
    </row>
    <row r="20" spans="1:13" ht="18.75" x14ac:dyDescent="0.3">
      <c r="A20" s="3" t="s">
        <v>252</v>
      </c>
      <c r="B20" s="86">
        <f>1.2*4*F2</f>
        <v>18240</v>
      </c>
    </row>
    <row r="21" spans="1:13" ht="18.75" x14ac:dyDescent="0.3">
      <c r="A21" s="3" t="s">
        <v>1</v>
      </c>
      <c r="B21" s="86">
        <v>700</v>
      </c>
    </row>
    <row r="22" spans="1:13" ht="21" x14ac:dyDescent="0.35">
      <c r="A22" s="3" t="s">
        <v>10</v>
      </c>
      <c r="B22" s="86">
        <v>4000</v>
      </c>
      <c r="E22" s="92" t="s">
        <v>113</v>
      </c>
    </row>
    <row r="23" spans="1:13" ht="18.75" x14ac:dyDescent="0.3">
      <c r="A23" s="3" t="s">
        <v>11</v>
      </c>
      <c r="B23" s="86">
        <v>1000</v>
      </c>
      <c r="D23" s="90" t="s">
        <v>22</v>
      </c>
      <c r="E23" s="90" t="s">
        <v>23</v>
      </c>
      <c r="F23" s="90" t="s">
        <v>24</v>
      </c>
    </row>
    <row r="24" spans="1:13" ht="18.75" x14ac:dyDescent="0.3">
      <c r="A24" s="3" t="s">
        <v>12</v>
      </c>
      <c r="B24" s="86">
        <v>2000</v>
      </c>
      <c r="D24" s="90">
        <f>D30</f>
        <v>55158</v>
      </c>
      <c r="E24" s="90">
        <f>E30</f>
        <v>66570</v>
      </c>
      <c r="F24" s="90">
        <f>F30</f>
        <v>75699.600000000006</v>
      </c>
    </row>
    <row r="25" spans="1:13" ht="21" x14ac:dyDescent="0.35">
      <c r="A25" s="3" t="s">
        <v>14</v>
      </c>
      <c r="B25" s="86">
        <v>200</v>
      </c>
      <c r="D25" s="92">
        <f>D24/F2</f>
        <v>14.515263157894736</v>
      </c>
      <c r="E25" s="92">
        <f>E24/F2</f>
        <v>17.518421052631577</v>
      </c>
      <c r="F25" s="92">
        <f>F24/F2</f>
        <v>19.920947368421054</v>
      </c>
    </row>
    <row r="26" spans="1:13" ht="21" x14ac:dyDescent="0.35">
      <c r="A26" s="3" t="s">
        <v>58</v>
      </c>
      <c r="B26" s="86">
        <v>6000</v>
      </c>
      <c r="D26" s="92"/>
      <c r="E26" s="92"/>
      <c r="F26" s="92"/>
    </row>
    <row r="27" spans="1:13" ht="18.75" x14ac:dyDescent="0.3">
      <c r="A27" s="3" t="s">
        <v>15</v>
      </c>
      <c r="B27" s="86">
        <v>500</v>
      </c>
    </row>
    <row r="28" spans="1:13" ht="18.75" x14ac:dyDescent="0.3">
      <c r="A28" s="3" t="s">
        <v>27</v>
      </c>
      <c r="B28" s="86">
        <v>200</v>
      </c>
    </row>
    <row r="29" spans="1:13" ht="18.75" x14ac:dyDescent="0.3">
      <c r="A29" s="3" t="s">
        <v>28</v>
      </c>
      <c r="B29" s="86">
        <v>100</v>
      </c>
      <c r="D29" s="81">
        <v>0.4</v>
      </c>
      <c r="E29" s="81">
        <v>0.6</v>
      </c>
      <c r="F29" s="81">
        <v>0.9</v>
      </c>
    </row>
    <row r="30" spans="1:13" ht="18.75" x14ac:dyDescent="0.3">
      <c r="A30" s="3" t="s">
        <v>16</v>
      </c>
      <c r="B30" s="86">
        <v>350</v>
      </c>
      <c r="D30" s="86">
        <f>B33*1.45</f>
        <v>55158</v>
      </c>
      <c r="E30" s="86">
        <f>B33*1.75</f>
        <v>66570</v>
      </c>
      <c r="F30" s="86">
        <f>B33*1.99</f>
        <v>75699.600000000006</v>
      </c>
    </row>
    <row r="31" spans="1:13" ht="21" x14ac:dyDescent="0.35">
      <c r="A31" s="3" t="s">
        <v>17</v>
      </c>
      <c r="B31" s="86">
        <v>750</v>
      </c>
      <c r="D31" s="92">
        <f>D30/F2</f>
        <v>14.515263157894736</v>
      </c>
      <c r="E31" s="92">
        <f>E30/F2</f>
        <v>17.518421052631577</v>
      </c>
      <c r="F31" s="92">
        <f>F30/F2</f>
        <v>19.920947368421054</v>
      </c>
    </row>
    <row r="32" spans="1:13" ht="18.75" x14ac:dyDescent="0.3">
      <c r="A32" s="3" t="s">
        <v>18</v>
      </c>
      <c r="B32" s="172">
        <v>4000</v>
      </c>
      <c r="C32" s="86"/>
      <c r="D32" s="86"/>
      <c r="E32" s="86"/>
      <c r="F32" s="86"/>
    </row>
    <row r="33" spans="1:14" ht="18.75" x14ac:dyDescent="0.3">
      <c r="B33" s="86">
        <f>SUM(B20:B32)</f>
        <v>38040</v>
      </c>
      <c r="C33" s="86"/>
      <c r="D33" s="86"/>
      <c r="E33" s="86"/>
      <c r="F33" s="86"/>
    </row>
    <row r="35" spans="1:14" ht="21" x14ac:dyDescent="0.35">
      <c r="B35" s="92"/>
      <c r="F35" s="86"/>
      <c r="I35" s="92"/>
      <c r="J35" s="83"/>
      <c r="K35" s="83"/>
      <c r="L35" s="83"/>
      <c r="M35" s="86"/>
    </row>
    <row r="36" spans="1:14" ht="18.75" x14ac:dyDescent="0.3">
      <c r="C36" s="86"/>
      <c r="D36" s="86"/>
      <c r="E36" s="86"/>
      <c r="F36" s="86"/>
      <c r="I36" s="83"/>
      <c r="J36" s="86"/>
      <c r="K36" s="86"/>
      <c r="L36" s="86"/>
      <c r="M36" s="86"/>
    </row>
    <row r="37" spans="1:14" ht="18.75" x14ac:dyDescent="0.3">
      <c r="C37" s="86"/>
      <c r="D37" s="86"/>
      <c r="E37" s="86"/>
      <c r="F37" s="86"/>
      <c r="I37" s="83"/>
      <c r="J37" s="86"/>
      <c r="K37" s="86"/>
      <c r="L37" s="86"/>
      <c r="M37" s="86"/>
    </row>
    <row r="38" spans="1:14" x14ac:dyDescent="0.25">
      <c r="I38" s="83"/>
      <c r="J38" s="83"/>
      <c r="K38" s="83"/>
      <c r="L38" s="83"/>
      <c r="M38" s="83"/>
    </row>
    <row r="40" spans="1:14" ht="33.75" x14ac:dyDescent="0.5">
      <c r="A40" s="942" t="s">
        <v>48</v>
      </c>
      <c r="B40" s="942"/>
      <c r="C40" s="861" t="s">
        <v>255</v>
      </c>
      <c r="D40" s="861"/>
      <c r="E40" s="861"/>
      <c r="F40" s="861"/>
      <c r="G40" s="861"/>
      <c r="H40" s="942" t="s">
        <v>258</v>
      </c>
      <c r="I40" s="942"/>
      <c r="J40" s="861" t="s">
        <v>257</v>
      </c>
      <c r="K40" s="861"/>
      <c r="L40" s="861"/>
      <c r="M40" s="861"/>
      <c r="N40" s="861"/>
    </row>
    <row r="41" spans="1:14" ht="18.75" x14ac:dyDescent="0.3">
      <c r="A41" s="3" t="s">
        <v>252</v>
      </c>
      <c r="B41" s="86">
        <f>B2</f>
        <v>16720</v>
      </c>
      <c r="F41" s="83">
        <v>3800</v>
      </c>
      <c r="H41" s="3" t="s">
        <v>252</v>
      </c>
      <c r="I41" s="86">
        <f>I2</f>
        <v>13680</v>
      </c>
      <c r="J41" s="83"/>
      <c r="K41" s="83"/>
      <c r="L41" s="83"/>
      <c r="M41" s="83"/>
    </row>
    <row r="42" spans="1:14" ht="18.75" x14ac:dyDescent="0.3">
      <c r="A42" s="3" t="s">
        <v>1</v>
      </c>
      <c r="B42" s="86">
        <v>500</v>
      </c>
      <c r="H42" s="3" t="s">
        <v>1</v>
      </c>
      <c r="I42" s="86">
        <v>500</v>
      </c>
      <c r="J42" s="83"/>
      <c r="K42" s="83"/>
      <c r="L42" s="83"/>
      <c r="M42" s="83"/>
    </row>
    <row r="43" spans="1:14" ht="18.75" x14ac:dyDescent="0.3">
      <c r="A43" s="3" t="s">
        <v>10</v>
      </c>
      <c r="B43" s="86">
        <v>3000</v>
      </c>
      <c r="H43" s="3" t="s">
        <v>10</v>
      </c>
      <c r="I43" s="86">
        <v>3000</v>
      </c>
      <c r="J43" s="83"/>
      <c r="K43" s="83"/>
      <c r="L43" s="83"/>
      <c r="M43" s="83"/>
    </row>
    <row r="44" spans="1:14" ht="18.75" x14ac:dyDescent="0.3">
      <c r="A44" s="3" t="s">
        <v>11</v>
      </c>
      <c r="B44" s="86">
        <v>500</v>
      </c>
      <c r="H44" s="3" t="s">
        <v>11</v>
      </c>
      <c r="I44" s="86">
        <v>500</v>
      </c>
      <c r="J44" s="83"/>
      <c r="K44" s="83"/>
      <c r="L44" s="83"/>
      <c r="M44" s="83"/>
    </row>
    <row r="45" spans="1:14" ht="18.75" x14ac:dyDescent="0.3">
      <c r="A45" s="10" t="s">
        <v>58</v>
      </c>
      <c r="B45" s="86">
        <v>3000</v>
      </c>
      <c r="H45" s="10" t="s">
        <v>58</v>
      </c>
      <c r="I45" s="86">
        <v>3000</v>
      </c>
      <c r="J45" s="83"/>
      <c r="K45" s="83"/>
      <c r="L45" s="83"/>
      <c r="M45" s="83"/>
    </row>
    <row r="46" spans="1:14" ht="18.75" x14ac:dyDescent="0.3">
      <c r="A46" s="3" t="s">
        <v>338</v>
      </c>
      <c r="B46" s="86">
        <v>1000</v>
      </c>
      <c r="D46" s="90" t="s">
        <v>22</v>
      </c>
      <c r="E46" s="90" t="s">
        <v>23</v>
      </c>
      <c r="F46" s="90" t="s">
        <v>24</v>
      </c>
      <c r="G46" s="4"/>
      <c r="H46" s="3" t="s">
        <v>191</v>
      </c>
      <c r="I46" s="86">
        <v>1000</v>
      </c>
      <c r="J46" s="83"/>
      <c r="K46" s="90" t="s">
        <v>22</v>
      </c>
      <c r="L46" s="90" t="s">
        <v>23</v>
      </c>
      <c r="M46" s="90" t="s">
        <v>24</v>
      </c>
      <c r="N46" s="4"/>
    </row>
    <row r="47" spans="1:14" ht="18.75" x14ac:dyDescent="0.3">
      <c r="A47" s="3" t="s">
        <v>14</v>
      </c>
      <c r="B47" s="86">
        <v>200</v>
      </c>
      <c r="D47" s="90">
        <f>D52</f>
        <v>11.62671052631579</v>
      </c>
      <c r="E47" s="90">
        <f>E52</f>
        <v>14.032236842105263</v>
      </c>
      <c r="F47" s="90">
        <f>F52</f>
        <v>15.956657894736843</v>
      </c>
      <c r="G47" s="4"/>
      <c r="H47" s="3" t="s">
        <v>14</v>
      </c>
      <c r="I47" s="86">
        <v>200</v>
      </c>
      <c r="J47" s="83"/>
      <c r="K47" s="90">
        <f>K52</f>
        <v>10.46671052631579</v>
      </c>
      <c r="L47" s="90">
        <f>L52</f>
        <v>12.632236842105264</v>
      </c>
      <c r="M47" s="90">
        <f>M52</f>
        <v>14.364657894736842</v>
      </c>
      <c r="N47" s="4"/>
    </row>
    <row r="48" spans="1:14" ht="21" x14ac:dyDescent="0.35">
      <c r="A48" s="3" t="s">
        <v>15</v>
      </c>
      <c r="B48" s="86">
        <v>200</v>
      </c>
      <c r="D48" s="92">
        <f>D47/F2</f>
        <v>3.0596606648199448E-3</v>
      </c>
      <c r="E48" s="92">
        <f>E47/F2</f>
        <v>3.6926939058171747E-3</v>
      </c>
      <c r="F48" s="92">
        <f>F47/F2</f>
        <v>4.199120498614959E-3</v>
      </c>
      <c r="G48" s="4"/>
      <c r="H48" s="3" t="s">
        <v>15</v>
      </c>
      <c r="I48" s="86">
        <v>200</v>
      </c>
      <c r="J48" s="83"/>
      <c r="K48" s="92">
        <f>K47/M2</f>
        <v>2.754397506925208E-3</v>
      </c>
      <c r="L48" s="92">
        <f>L47/M2</f>
        <v>3.324272853185596E-3</v>
      </c>
      <c r="M48" s="92">
        <f>M47/M2</f>
        <v>3.780173130193906E-3</v>
      </c>
      <c r="N48" s="4"/>
    </row>
    <row r="49" spans="1:13" ht="18.75" x14ac:dyDescent="0.3">
      <c r="A49" s="3" t="s">
        <v>27</v>
      </c>
      <c r="B49" s="86">
        <v>200</v>
      </c>
      <c r="H49" s="3" t="s">
        <v>27</v>
      </c>
      <c r="I49" s="86">
        <v>200</v>
      </c>
      <c r="J49" s="83"/>
      <c r="K49" s="83"/>
      <c r="L49" s="83"/>
      <c r="M49" s="83"/>
    </row>
    <row r="50" spans="1:13" ht="18.75" x14ac:dyDescent="0.3">
      <c r="A50" s="3" t="s">
        <v>28</v>
      </c>
      <c r="B50" s="86">
        <v>100</v>
      </c>
      <c r="H50" s="3" t="s">
        <v>28</v>
      </c>
      <c r="I50" s="86">
        <v>100</v>
      </c>
      <c r="J50" s="83"/>
      <c r="K50" s="83"/>
      <c r="L50" s="83"/>
      <c r="M50" s="83"/>
    </row>
    <row r="51" spans="1:13" ht="18.75" x14ac:dyDescent="0.3">
      <c r="A51" s="3" t="s">
        <v>16</v>
      </c>
      <c r="B51" s="86">
        <f>B11</f>
        <v>300</v>
      </c>
      <c r="D51" s="81">
        <v>0.4</v>
      </c>
      <c r="E51" s="81">
        <v>0.6</v>
      </c>
      <c r="F51" s="81">
        <v>0.9</v>
      </c>
      <c r="H51" s="3" t="s">
        <v>16</v>
      </c>
      <c r="I51" s="86">
        <f>I11</f>
        <v>300</v>
      </c>
      <c r="J51" s="83"/>
      <c r="K51" s="242">
        <v>0.4</v>
      </c>
      <c r="L51" s="242">
        <v>0.6</v>
      </c>
      <c r="M51" s="242">
        <v>0.9</v>
      </c>
    </row>
    <row r="52" spans="1:13" ht="18.75" x14ac:dyDescent="0.3">
      <c r="A52" s="3" t="s">
        <v>17</v>
      </c>
      <c r="B52" s="86">
        <v>750</v>
      </c>
      <c r="D52" s="86">
        <f>B54*1.45</f>
        <v>11.62671052631579</v>
      </c>
      <c r="E52" s="86">
        <f>B54*1.75</f>
        <v>14.032236842105263</v>
      </c>
      <c r="F52" s="86">
        <f>B54*1.99</f>
        <v>15.956657894736843</v>
      </c>
      <c r="H52" s="3" t="s">
        <v>17</v>
      </c>
      <c r="I52" s="86">
        <v>750</v>
      </c>
      <c r="J52" s="83"/>
      <c r="K52" s="86">
        <f>I54*1.45</f>
        <v>10.46671052631579</v>
      </c>
      <c r="L52" s="86">
        <f>I54*1.75</f>
        <v>12.632236842105264</v>
      </c>
      <c r="M52" s="86">
        <f>I54*1.99</f>
        <v>14.364657894736842</v>
      </c>
    </row>
    <row r="53" spans="1:13" ht="21" x14ac:dyDescent="0.35">
      <c r="A53" s="3" t="s">
        <v>18</v>
      </c>
      <c r="B53" s="172">
        <f>B13</f>
        <v>4000</v>
      </c>
      <c r="D53" s="92">
        <f>D52/F2</f>
        <v>3.0596606648199448E-3</v>
      </c>
      <c r="E53" s="92">
        <f>E52/F2</f>
        <v>3.6926939058171747E-3</v>
      </c>
      <c r="F53" s="92">
        <f>F52/F2</f>
        <v>4.199120498614959E-3</v>
      </c>
      <c r="H53" s="3" t="s">
        <v>18</v>
      </c>
      <c r="I53" s="172">
        <f>I13</f>
        <v>4000</v>
      </c>
      <c r="J53" s="83"/>
      <c r="K53" s="92">
        <f>K52/M2</f>
        <v>2.754397506925208E-3</v>
      </c>
      <c r="L53" s="92">
        <f>L52/M2</f>
        <v>3.324272853185596E-3</v>
      </c>
      <c r="M53" s="92">
        <f>M52/M2</f>
        <v>3.780173130193906E-3</v>
      </c>
    </row>
    <row r="54" spans="1:13" ht="18.75" x14ac:dyDescent="0.3">
      <c r="B54" s="86">
        <f>SUM(B41:B53)/F41</f>
        <v>8.0184210526315791</v>
      </c>
      <c r="F54" s="86"/>
      <c r="I54" s="86">
        <f>SUM(I41:I53)/F41</f>
        <v>7.2184210526315793</v>
      </c>
      <c r="J54" s="83"/>
      <c r="K54" s="83"/>
      <c r="L54" s="83"/>
      <c r="M54" s="86"/>
    </row>
    <row r="57" spans="1:13" ht="46.5" x14ac:dyDescent="0.25">
      <c r="A57" s="954"/>
      <c r="B57" s="954"/>
    </row>
    <row r="58" spans="1:13" ht="33.75" x14ac:dyDescent="0.5">
      <c r="A58" s="937" t="s">
        <v>49</v>
      </c>
      <c r="B58" s="937"/>
      <c r="C58" s="861" t="s">
        <v>59</v>
      </c>
      <c r="D58" s="861"/>
      <c r="E58" s="861"/>
      <c r="F58" s="861"/>
      <c r="G58" s="861"/>
    </row>
    <row r="59" spans="1:13" ht="18.75" x14ac:dyDescent="0.3">
      <c r="A59" s="3" t="s">
        <v>252</v>
      </c>
      <c r="B59" s="86">
        <f>B20</f>
        <v>18240</v>
      </c>
    </row>
    <row r="60" spans="1:13" ht="18.75" x14ac:dyDescent="0.3">
      <c r="A60" s="3" t="s">
        <v>1</v>
      </c>
      <c r="B60" s="86">
        <v>500</v>
      </c>
    </row>
    <row r="61" spans="1:13" ht="18.75" x14ac:dyDescent="0.3">
      <c r="A61" s="3" t="s">
        <v>10</v>
      </c>
      <c r="B61" s="86">
        <v>3000</v>
      </c>
      <c r="D61" s="90" t="s">
        <v>22</v>
      </c>
      <c r="E61" s="90" t="s">
        <v>23</v>
      </c>
      <c r="F61" s="90" t="s">
        <v>24</v>
      </c>
    </row>
    <row r="62" spans="1:13" ht="18.75" x14ac:dyDescent="0.3">
      <c r="A62" s="10" t="s">
        <v>58</v>
      </c>
      <c r="B62" s="86">
        <v>4000</v>
      </c>
      <c r="D62" s="90">
        <f>D68</f>
        <v>12.60736842105263</v>
      </c>
      <c r="E62" s="90">
        <f>E68</f>
        <v>15.215789473684209</v>
      </c>
      <c r="F62" s="90">
        <f>F68</f>
        <v>17.302526315789471</v>
      </c>
    </row>
    <row r="63" spans="1:13" ht="21" x14ac:dyDescent="0.35">
      <c r="A63" s="3" t="s">
        <v>11</v>
      </c>
      <c r="B63" s="86">
        <v>500</v>
      </c>
      <c r="D63" s="92">
        <f>D62/F2</f>
        <v>3.3177285318559554E-3</v>
      </c>
      <c r="E63" s="92">
        <f>E62/F2</f>
        <v>4.0041551246537393E-3</v>
      </c>
      <c r="F63" s="92">
        <f>F62/F2</f>
        <v>4.5532963988919664E-3</v>
      </c>
    </row>
    <row r="64" spans="1:13" ht="18.75" x14ac:dyDescent="0.3">
      <c r="A64" s="3" t="s">
        <v>191</v>
      </c>
      <c r="B64" s="86">
        <v>1000</v>
      </c>
    </row>
    <row r="65" spans="1:13" ht="18.75" x14ac:dyDescent="0.3">
      <c r="A65" s="3" t="s">
        <v>14</v>
      </c>
      <c r="B65" s="86">
        <v>200</v>
      </c>
    </row>
    <row r="66" spans="1:13" ht="18.75" x14ac:dyDescent="0.3">
      <c r="A66" s="3" t="s">
        <v>15</v>
      </c>
      <c r="B66" s="86">
        <v>200</v>
      </c>
    </row>
    <row r="67" spans="1:13" ht="18.75" x14ac:dyDescent="0.3">
      <c r="A67" s="3" t="s">
        <v>27</v>
      </c>
      <c r="B67" s="86">
        <v>200</v>
      </c>
      <c r="D67" s="397">
        <v>0.4</v>
      </c>
      <c r="E67" s="397">
        <v>0.6</v>
      </c>
      <c r="F67" s="397">
        <v>0.9</v>
      </c>
    </row>
    <row r="68" spans="1:13" ht="18.75" x14ac:dyDescent="0.3">
      <c r="A68" s="3" t="s">
        <v>28</v>
      </c>
      <c r="B68" s="86">
        <v>100</v>
      </c>
      <c r="D68" s="86">
        <f>B72*1.45</f>
        <v>12.60736842105263</v>
      </c>
      <c r="E68" s="86">
        <f>B72*1.75</f>
        <v>15.215789473684209</v>
      </c>
      <c r="F68" s="86">
        <f>B72*1.99</f>
        <v>17.302526315789471</v>
      </c>
    </row>
    <row r="69" spans="1:13" ht="21" x14ac:dyDescent="0.35">
      <c r="A69" s="3" t="s">
        <v>16</v>
      </c>
      <c r="B69" s="86">
        <f>B30</f>
        <v>350</v>
      </c>
      <c r="D69" s="92">
        <f>D68/F2</f>
        <v>3.3177285318559554E-3</v>
      </c>
      <c r="E69" s="92">
        <f>E68/F2</f>
        <v>4.0041551246537393E-3</v>
      </c>
      <c r="F69" s="92">
        <f>F68/F2</f>
        <v>4.5532963988919664E-3</v>
      </c>
    </row>
    <row r="70" spans="1:13" ht="23.25" x14ac:dyDescent="0.35">
      <c r="A70" s="3" t="s">
        <v>17</v>
      </c>
      <c r="B70" s="86">
        <v>750</v>
      </c>
      <c r="C70" s="86"/>
      <c r="D70" s="86"/>
      <c r="E70" s="86"/>
      <c r="F70" s="86"/>
      <c r="I70" s="9"/>
      <c r="J70" s="9"/>
    </row>
    <row r="71" spans="1:13" ht="18.75" x14ac:dyDescent="0.3">
      <c r="A71" s="3" t="s">
        <v>18</v>
      </c>
      <c r="B71" s="172">
        <f>B32</f>
        <v>4000</v>
      </c>
      <c r="C71" s="86"/>
      <c r="D71" s="86"/>
      <c r="E71" s="86"/>
      <c r="F71" s="86"/>
    </row>
    <row r="72" spans="1:13" ht="18.75" x14ac:dyDescent="0.3">
      <c r="B72" s="86">
        <f>SUM(B59:B71)/F41</f>
        <v>8.6947368421052627</v>
      </c>
    </row>
    <row r="73" spans="1:13" ht="21" x14ac:dyDescent="0.35">
      <c r="B73" s="92"/>
    </row>
    <row r="78" spans="1:13" ht="31.5" x14ac:dyDescent="0.5">
      <c r="A78" s="942" t="s">
        <v>48</v>
      </c>
      <c r="B78" s="942"/>
      <c r="D78" s="94" t="s">
        <v>60</v>
      </c>
      <c r="E78" s="94"/>
      <c r="F78" s="94"/>
      <c r="G78" s="17"/>
      <c r="H78" s="942" t="s">
        <v>259</v>
      </c>
      <c r="I78" s="942"/>
      <c r="J78" s="83"/>
      <c r="K78" s="85" t="s">
        <v>260</v>
      </c>
      <c r="L78" s="94"/>
      <c r="M78" s="94"/>
    </row>
    <row r="79" spans="1:13" ht="18.75" x14ac:dyDescent="0.3">
      <c r="A79" s="3" t="s">
        <v>252</v>
      </c>
      <c r="B79" s="86">
        <f>B2</f>
        <v>16720</v>
      </c>
      <c r="H79" s="3" t="s">
        <v>252</v>
      </c>
      <c r="I79" s="86">
        <f>I2</f>
        <v>13680</v>
      </c>
      <c r="J79" s="83"/>
      <c r="K79" s="83"/>
      <c r="L79" s="83"/>
      <c r="M79" s="83"/>
    </row>
    <row r="80" spans="1:13" ht="18.75" x14ac:dyDescent="0.3">
      <c r="A80" s="3" t="s">
        <v>1</v>
      </c>
      <c r="B80" s="86">
        <v>1000</v>
      </c>
      <c r="H80" s="3" t="s">
        <v>1</v>
      </c>
      <c r="I80" s="86">
        <v>1000</v>
      </c>
      <c r="J80" s="83"/>
      <c r="K80" s="83"/>
      <c r="L80" s="83"/>
      <c r="M80" s="83"/>
    </row>
    <row r="81" spans="1:13" ht="18.75" x14ac:dyDescent="0.3">
      <c r="A81" s="3" t="s">
        <v>10</v>
      </c>
      <c r="B81" s="86">
        <v>4500</v>
      </c>
      <c r="H81" s="3" t="s">
        <v>10</v>
      </c>
      <c r="I81" s="86">
        <v>4500</v>
      </c>
      <c r="J81" s="83"/>
      <c r="K81" s="83"/>
      <c r="L81" s="83"/>
      <c r="M81" s="83"/>
    </row>
    <row r="82" spans="1:13" ht="18.75" x14ac:dyDescent="0.3">
      <c r="A82" s="3" t="s">
        <v>11</v>
      </c>
      <c r="B82" s="86">
        <v>1000</v>
      </c>
      <c r="D82" s="90" t="s">
        <v>22</v>
      </c>
      <c r="E82" s="90" t="s">
        <v>23</v>
      </c>
      <c r="F82" s="90" t="s">
        <v>24</v>
      </c>
      <c r="H82" s="3" t="s">
        <v>11</v>
      </c>
      <c r="I82" s="86">
        <v>1000</v>
      </c>
      <c r="J82" s="83"/>
      <c r="K82" s="90" t="s">
        <v>22</v>
      </c>
      <c r="L82" s="90" t="s">
        <v>23</v>
      </c>
      <c r="M82" s="90" t="s">
        <v>24</v>
      </c>
    </row>
    <row r="83" spans="1:13" ht="18.75" x14ac:dyDescent="0.3">
      <c r="A83" s="3" t="s">
        <v>13</v>
      </c>
      <c r="B83" s="86">
        <v>4000</v>
      </c>
      <c r="D83" s="90">
        <f>D89</f>
        <v>50779</v>
      </c>
      <c r="E83" s="90">
        <f>E89</f>
        <v>61285</v>
      </c>
      <c r="F83" s="90">
        <f>F89</f>
        <v>69689.8</v>
      </c>
      <c r="H83" s="3" t="s">
        <v>13</v>
      </c>
      <c r="I83" s="86">
        <v>4000</v>
      </c>
      <c r="J83" s="83"/>
      <c r="K83" s="90">
        <f>K89</f>
        <v>46371</v>
      </c>
      <c r="L83" s="90">
        <f>L89</f>
        <v>55965</v>
      </c>
      <c r="M83" s="90">
        <f>M89</f>
        <v>63640.2</v>
      </c>
    </row>
    <row r="84" spans="1:13" ht="21" x14ac:dyDescent="0.35">
      <c r="A84" s="3" t="s">
        <v>12</v>
      </c>
      <c r="B84" s="86">
        <v>2000</v>
      </c>
      <c r="D84" s="92">
        <f>D83/F2</f>
        <v>13.362894736842104</v>
      </c>
      <c r="E84" s="92">
        <f>E83/F2</f>
        <v>16.127631578947369</v>
      </c>
      <c r="F84" s="92">
        <f>F83/F2</f>
        <v>18.339421052631579</v>
      </c>
      <c r="H84" s="3" t="s">
        <v>12</v>
      </c>
      <c r="I84" s="86">
        <v>2000</v>
      </c>
      <c r="J84" s="83"/>
      <c r="K84" s="92">
        <f>K83/M2</f>
        <v>12.202894736842106</v>
      </c>
      <c r="L84" s="92">
        <f>L83/M2</f>
        <v>14.727631578947369</v>
      </c>
      <c r="M84" s="92">
        <f>M83/M2</f>
        <v>16.747421052631577</v>
      </c>
    </row>
    <row r="85" spans="1:13" ht="18.75" x14ac:dyDescent="0.3">
      <c r="A85" s="3" t="s">
        <v>14</v>
      </c>
      <c r="B85" s="86">
        <v>200</v>
      </c>
      <c r="H85" s="3" t="s">
        <v>14</v>
      </c>
      <c r="I85" s="86">
        <v>200</v>
      </c>
      <c r="J85" s="83"/>
      <c r="K85" s="83"/>
      <c r="L85" s="83"/>
      <c r="M85" s="83"/>
    </row>
    <row r="86" spans="1:13" ht="18.75" x14ac:dyDescent="0.3">
      <c r="A86" s="3" t="s">
        <v>15</v>
      </c>
      <c r="B86" s="86">
        <v>200</v>
      </c>
      <c r="H86" s="3" t="s">
        <v>15</v>
      </c>
      <c r="I86" s="86">
        <v>200</v>
      </c>
      <c r="J86" s="83"/>
      <c r="K86" s="83"/>
      <c r="L86" s="83"/>
      <c r="M86" s="83"/>
    </row>
    <row r="87" spans="1:13" ht="18.75" x14ac:dyDescent="0.3">
      <c r="A87" s="3" t="s">
        <v>27</v>
      </c>
      <c r="B87" s="86">
        <v>200</v>
      </c>
      <c r="H87" s="3" t="s">
        <v>27</v>
      </c>
      <c r="I87" s="86">
        <v>200</v>
      </c>
      <c r="J87" s="83"/>
      <c r="K87" s="83"/>
      <c r="L87" s="83"/>
      <c r="M87" s="83"/>
    </row>
    <row r="88" spans="1:13" ht="18.75" x14ac:dyDescent="0.3">
      <c r="A88" s="3" t="s">
        <v>28</v>
      </c>
      <c r="B88" s="86">
        <v>100</v>
      </c>
      <c r="D88" s="81">
        <v>0.4</v>
      </c>
      <c r="E88" s="81">
        <v>0.6</v>
      </c>
      <c r="F88" s="81">
        <v>0.9</v>
      </c>
      <c r="H88" s="3" t="s">
        <v>28</v>
      </c>
      <c r="I88" s="86">
        <v>100</v>
      </c>
      <c r="J88" s="83"/>
      <c r="K88" s="242">
        <v>0.4</v>
      </c>
      <c r="L88" s="242">
        <v>0.6</v>
      </c>
      <c r="M88" s="242">
        <v>0.9</v>
      </c>
    </row>
    <row r="89" spans="1:13" ht="18.75" x14ac:dyDescent="0.3">
      <c r="A89" s="3" t="s">
        <v>16</v>
      </c>
      <c r="B89" s="86">
        <v>350</v>
      </c>
      <c r="D89" s="86">
        <f>B92*1.45</f>
        <v>50779</v>
      </c>
      <c r="E89" s="86">
        <f>B92*1.75</f>
        <v>61285</v>
      </c>
      <c r="F89" s="86">
        <f>B92*1.99</f>
        <v>69689.8</v>
      </c>
      <c r="H89" s="3" t="s">
        <v>16</v>
      </c>
      <c r="I89" s="86">
        <v>350</v>
      </c>
      <c r="J89" s="83"/>
      <c r="K89" s="86">
        <f>I92*1.45</f>
        <v>46371</v>
      </c>
      <c r="L89" s="86">
        <f>I92*1.75</f>
        <v>55965</v>
      </c>
      <c r="M89" s="86">
        <f>I92*1.99</f>
        <v>63640.2</v>
      </c>
    </row>
    <row r="90" spans="1:13" ht="21" x14ac:dyDescent="0.35">
      <c r="A90" s="3" t="s">
        <v>17</v>
      </c>
      <c r="B90" s="86">
        <v>750</v>
      </c>
      <c r="D90" s="92">
        <f>D89/F2</f>
        <v>13.362894736842104</v>
      </c>
      <c r="E90" s="92">
        <f>E89/F2</f>
        <v>16.127631578947369</v>
      </c>
      <c r="F90" s="92">
        <f>F89/F2</f>
        <v>18.339421052631579</v>
      </c>
      <c r="H90" s="3" t="s">
        <v>17</v>
      </c>
      <c r="I90" s="86">
        <v>750</v>
      </c>
      <c r="J90" s="83"/>
      <c r="K90" s="92">
        <f>K89/M2</f>
        <v>12.202894736842106</v>
      </c>
      <c r="L90" s="92">
        <f>L89/M2</f>
        <v>14.727631578947369</v>
      </c>
      <c r="M90" s="92">
        <f>M89/M2</f>
        <v>16.747421052631577</v>
      </c>
    </row>
    <row r="91" spans="1:13" ht="18.75" x14ac:dyDescent="0.3">
      <c r="A91" s="3" t="s">
        <v>18</v>
      </c>
      <c r="B91" s="172">
        <v>4000</v>
      </c>
      <c r="C91" s="86"/>
      <c r="D91" s="86"/>
      <c r="E91" s="86"/>
      <c r="F91" s="86"/>
      <c r="H91" s="3" t="s">
        <v>18</v>
      </c>
      <c r="I91" s="172">
        <v>4000</v>
      </c>
      <c r="J91" s="86"/>
      <c r="K91" s="86"/>
      <c r="L91" s="86"/>
      <c r="M91" s="86"/>
    </row>
    <row r="92" spans="1:13" ht="18.75" x14ac:dyDescent="0.3">
      <c r="B92" s="86">
        <f>SUM(B79:B91)</f>
        <v>35020</v>
      </c>
      <c r="C92" s="86"/>
      <c r="D92" s="86"/>
      <c r="E92" s="86"/>
      <c r="F92" s="86"/>
      <c r="I92" s="86">
        <f>SUM(I79:I91)</f>
        <v>31980</v>
      </c>
      <c r="J92" s="86"/>
      <c r="K92" s="86"/>
      <c r="L92" s="86"/>
      <c r="M92" s="86"/>
    </row>
    <row r="93" spans="1:13" ht="21" x14ac:dyDescent="0.35">
      <c r="B93" s="92"/>
    </row>
    <row r="98" spans="1:10" ht="31.5" x14ac:dyDescent="0.5">
      <c r="A98" s="937" t="s">
        <v>49</v>
      </c>
      <c r="B98" s="937"/>
      <c r="D98" s="94" t="s">
        <v>60</v>
      </c>
    </row>
    <row r="99" spans="1:10" ht="18.75" x14ac:dyDescent="0.3">
      <c r="A99" s="3" t="s">
        <v>252</v>
      </c>
      <c r="B99" s="86">
        <f>B20</f>
        <v>18240</v>
      </c>
    </row>
    <row r="100" spans="1:10" ht="18.75" x14ac:dyDescent="0.3">
      <c r="A100" s="3" t="s">
        <v>1</v>
      </c>
      <c r="B100" s="86">
        <v>1000</v>
      </c>
    </row>
    <row r="101" spans="1:10" ht="18.75" x14ac:dyDescent="0.3">
      <c r="A101" s="3" t="s">
        <v>10</v>
      </c>
      <c r="B101" s="86">
        <v>4500</v>
      </c>
      <c r="D101" s="90" t="s">
        <v>22</v>
      </c>
      <c r="E101" s="90" t="s">
        <v>23</v>
      </c>
      <c r="F101" s="90" t="s">
        <v>24</v>
      </c>
    </row>
    <row r="102" spans="1:10" ht="18.75" x14ac:dyDescent="0.3">
      <c r="A102" s="3" t="s">
        <v>11</v>
      </c>
      <c r="B102" s="86">
        <v>1000</v>
      </c>
      <c r="D102" s="90">
        <f>D108</f>
        <v>52983</v>
      </c>
      <c r="E102" s="90">
        <f>E108</f>
        <v>63945</v>
      </c>
      <c r="F102" s="90">
        <f>F108</f>
        <v>72714.600000000006</v>
      </c>
    </row>
    <row r="103" spans="1:10" ht="21" x14ac:dyDescent="0.35">
      <c r="A103" s="3" t="s">
        <v>13</v>
      </c>
      <c r="B103" s="86">
        <v>4000</v>
      </c>
      <c r="D103" s="92">
        <f>D102/F2</f>
        <v>13.942894736842105</v>
      </c>
      <c r="E103" s="92">
        <f>E102/F2</f>
        <v>16.827631578947368</v>
      </c>
      <c r="F103" s="92">
        <f>F102/F2</f>
        <v>19.135421052631582</v>
      </c>
    </row>
    <row r="104" spans="1:10" ht="18.75" x14ac:dyDescent="0.3">
      <c r="A104" s="3" t="s">
        <v>12</v>
      </c>
      <c r="B104" s="86">
        <v>2000</v>
      </c>
    </row>
    <row r="105" spans="1:10" ht="18.75" x14ac:dyDescent="0.3">
      <c r="A105" s="3" t="s">
        <v>14</v>
      </c>
      <c r="B105" s="86">
        <v>200</v>
      </c>
    </row>
    <row r="106" spans="1:10" ht="18.75" x14ac:dyDescent="0.3">
      <c r="A106" s="3" t="s">
        <v>15</v>
      </c>
      <c r="B106" s="86">
        <v>200</v>
      </c>
    </row>
    <row r="107" spans="1:10" ht="18.75" x14ac:dyDescent="0.3">
      <c r="A107" s="3" t="s">
        <v>27</v>
      </c>
      <c r="B107" s="86">
        <v>200</v>
      </c>
      <c r="D107" s="81">
        <v>0.4</v>
      </c>
      <c r="E107" s="81">
        <v>0.6</v>
      </c>
      <c r="F107" s="81">
        <v>0.9</v>
      </c>
    </row>
    <row r="108" spans="1:10" ht="18.75" x14ac:dyDescent="0.3">
      <c r="A108" s="3" t="s">
        <v>28</v>
      </c>
      <c r="B108" s="86">
        <v>100</v>
      </c>
      <c r="D108" s="86">
        <f>B112*1.45</f>
        <v>52983</v>
      </c>
      <c r="E108" s="86">
        <f>B112*1.75</f>
        <v>63945</v>
      </c>
      <c r="F108" s="86">
        <f>B112*1.99</f>
        <v>72714.600000000006</v>
      </c>
    </row>
    <row r="109" spans="1:10" ht="21" x14ac:dyDescent="0.35">
      <c r="A109" s="3" t="s">
        <v>16</v>
      </c>
      <c r="B109" s="86">
        <v>350</v>
      </c>
      <c r="D109" s="92">
        <f>D108/F2</f>
        <v>13.942894736842105</v>
      </c>
      <c r="E109" s="92">
        <f>E108/F2</f>
        <v>16.827631578947368</v>
      </c>
      <c r="F109" s="92">
        <f>F108/F2</f>
        <v>19.135421052631582</v>
      </c>
    </row>
    <row r="110" spans="1:10" ht="23.25" x14ac:dyDescent="0.35">
      <c r="A110" s="3" t="s">
        <v>17</v>
      </c>
      <c r="B110" s="86">
        <v>750</v>
      </c>
      <c r="C110" s="86"/>
      <c r="D110" s="86"/>
      <c r="E110" s="86"/>
      <c r="F110" s="86"/>
      <c r="I110" s="909"/>
      <c r="J110" s="909"/>
    </row>
    <row r="111" spans="1:10" ht="18.75" x14ac:dyDescent="0.3">
      <c r="A111" s="3" t="s">
        <v>18</v>
      </c>
      <c r="B111" s="172">
        <v>4000</v>
      </c>
      <c r="C111" s="86"/>
      <c r="D111" s="86"/>
      <c r="E111" s="86"/>
      <c r="F111" s="86"/>
    </row>
    <row r="112" spans="1:10" ht="18.75" x14ac:dyDescent="0.3">
      <c r="B112" s="86">
        <f>SUM(B99:B111)</f>
        <v>36540</v>
      </c>
    </row>
    <row r="113" spans="1:2" ht="21" x14ac:dyDescent="0.35">
      <c r="B113" s="92"/>
    </row>
    <row r="116" spans="1:2" ht="46.5" x14ac:dyDescent="0.25">
      <c r="A116" s="954"/>
      <c r="B116" s="954"/>
    </row>
  </sheetData>
  <mergeCells count="19">
    <mergeCell ref="A57:B57"/>
    <mergeCell ref="A98:B98"/>
    <mergeCell ref="I110:J110"/>
    <mergeCell ref="A116:B116"/>
    <mergeCell ref="A78:B78"/>
    <mergeCell ref="H78:I78"/>
    <mergeCell ref="C58:G58"/>
    <mergeCell ref="A58:B58"/>
    <mergeCell ref="J1:N1"/>
    <mergeCell ref="K4:M4"/>
    <mergeCell ref="C1:G1"/>
    <mergeCell ref="C40:G40"/>
    <mergeCell ref="A18:B18"/>
    <mergeCell ref="A40:B40"/>
    <mergeCell ref="D19:F19"/>
    <mergeCell ref="D4:F4"/>
    <mergeCell ref="H18:I18"/>
    <mergeCell ref="H40:I40"/>
    <mergeCell ref="J40:N40"/>
  </mergeCells>
  <pageMargins left="0.11811023622047245" right="0.11811023622047245" top="0.15748031496062992" bottom="0.15748031496062992" header="0.31496062992125984" footer="0.31496062992125984"/>
  <pageSetup orientation="portrait" r:id="rId1"/>
  <rowBreaks count="3" manualBreakCount="3">
    <brk id="38" max="13" man="1"/>
    <brk id="77" max="13" man="1"/>
    <brk id="115" max="6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B1:BI233"/>
  <sheetViews>
    <sheetView view="pageBreakPreview" zoomScale="85" zoomScaleNormal="20" zoomScaleSheetLayoutView="85" workbookViewId="0">
      <selection activeCell="G8" sqref="G8"/>
    </sheetView>
  </sheetViews>
  <sheetFormatPr baseColWidth="10" defaultRowHeight="15" x14ac:dyDescent="0.25"/>
  <cols>
    <col min="2" max="2" width="29" style="3" customWidth="1"/>
    <col min="3" max="3" width="15.42578125" style="83" customWidth="1"/>
    <col min="4" max="5" width="14.28515625" style="83" bestFit="1" customWidth="1"/>
    <col min="6" max="6" width="13.140625" style="83" customWidth="1"/>
    <col min="7" max="8" width="13.140625" style="207" customWidth="1"/>
    <col min="9" max="9" width="29.28515625" style="83" customWidth="1"/>
    <col min="10" max="10" width="15.7109375" style="83" customWidth="1"/>
    <col min="11" max="11" width="14.5703125" style="83" customWidth="1"/>
    <col min="12" max="13" width="14" style="83" customWidth="1"/>
    <col min="14" max="15" width="11.42578125" style="10"/>
    <col min="16" max="16" width="32.140625" style="3" customWidth="1"/>
    <col min="17" max="17" width="17.140625" style="83" customWidth="1"/>
    <col min="18" max="18" width="17.5703125" style="83" customWidth="1"/>
    <col min="19" max="19" width="15.7109375" style="84" customWidth="1"/>
    <col min="20" max="20" width="15.28515625" style="84" customWidth="1"/>
    <col min="21" max="22" width="11.42578125" style="60"/>
    <col min="23" max="23" width="28.85546875" customWidth="1"/>
    <col min="24" max="24" width="15.5703125" style="84" customWidth="1"/>
    <col min="25" max="25" width="12.85546875" style="84" bestFit="1" customWidth="1"/>
    <col min="26" max="26" width="11.28515625" style="84" customWidth="1"/>
    <col min="27" max="27" width="13.42578125" style="84" bestFit="1" customWidth="1"/>
    <col min="28" max="29" width="14" style="84" customWidth="1"/>
    <col min="30" max="30" width="28.140625" customWidth="1"/>
    <col min="31" max="31" width="16" customWidth="1"/>
    <col min="32" max="32" width="14.42578125" customWidth="1"/>
    <col min="33" max="33" width="13.85546875" customWidth="1"/>
    <col min="34" max="34" width="11.140625" customWidth="1"/>
    <col min="35" max="36" width="11.42578125" style="60"/>
    <col min="37" max="37" width="30.140625" customWidth="1"/>
    <col min="38" max="38" width="14.5703125" customWidth="1"/>
    <col min="39" max="39" width="13.28515625" customWidth="1"/>
    <col min="40" max="40" width="13.5703125" customWidth="1"/>
    <col min="41" max="41" width="13.140625" customWidth="1"/>
    <col min="42" max="43" width="13.7109375" customWidth="1"/>
    <col min="44" max="44" width="30.5703125" customWidth="1"/>
    <col min="45" max="45" width="14.85546875" customWidth="1"/>
    <col min="51" max="51" width="26.5703125" customWidth="1"/>
    <col min="52" max="52" width="13.85546875" customWidth="1"/>
    <col min="57" max="57" width="28.28515625" customWidth="1"/>
    <col min="58" max="58" width="14.28515625" customWidth="1"/>
  </cols>
  <sheetData>
    <row r="1" spans="2:48" ht="33.75" x14ac:dyDescent="0.5">
      <c r="B1" s="968" t="s">
        <v>37</v>
      </c>
      <c r="C1" s="968"/>
      <c r="D1" s="174"/>
      <c r="E1" s="174" t="s">
        <v>167</v>
      </c>
      <c r="F1" s="174"/>
      <c r="G1" s="414"/>
      <c r="H1" s="414"/>
      <c r="I1" s="971" t="s">
        <v>37</v>
      </c>
      <c r="J1" s="971"/>
      <c r="K1" s="417" t="s">
        <v>149</v>
      </c>
      <c r="L1" s="412"/>
      <c r="M1" s="412"/>
      <c r="N1" s="230"/>
      <c r="O1" s="230"/>
      <c r="P1" s="211" t="s">
        <v>110</v>
      </c>
      <c r="Q1" s="212"/>
      <c r="R1" s="214" t="s">
        <v>114</v>
      </c>
      <c r="S1" s="213"/>
      <c r="T1" s="213"/>
      <c r="U1" s="10"/>
      <c r="V1" s="10"/>
      <c r="W1" s="418" t="s">
        <v>110</v>
      </c>
      <c r="X1" s="962" t="s">
        <v>194</v>
      </c>
      <c r="Y1" s="962"/>
      <c r="Z1" s="962"/>
      <c r="AA1" s="962"/>
      <c r="AD1" s="960" t="s">
        <v>38</v>
      </c>
      <c r="AE1" s="960"/>
      <c r="AF1" s="248" t="s">
        <v>167</v>
      </c>
      <c r="AG1" s="184"/>
      <c r="AH1" s="184"/>
      <c r="AI1" s="10"/>
      <c r="AJ1" s="10"/>
      <c r="AK1" s="419" t="s">
        <v>38</v>
      </c>
      <c r="AL1" s="187" t="s">
        <v>57</v>
      </c>
      <c r="AM1" s="403"/>
      <c r="AN1" s="184"/>
      <c r="AO1" s="184"/>
      <c r="AR1" s="959" t="s">
        <v>40</v>
      </c>
      <c r="AS1" s="959"/>
      <c r="AT1" s="957"/>
      <c r="AU1" s="957"/>
      <c r="AV1" s="957"/>
    </row>
    <row r="2" spans="2:48" ht="33.75" x14ac:dyDescent="0.5">
      <c r="B2" s="175" t="s">
        <v>46</v>
      </c>
      <c r="C2" s="176"/>
      <c r="D2" s="173"/>
      <c r="E2" s="173"/>
      <c r="F2" s="173"/>
      <c r="I2" s="175" t="s">
        <v>46</v>
      </c>
      <c r="J2" s="175"/>
      <c r="K2" s="412"/>
      <c r="L2" s="412"/>
      <c r="M2" s="173"/>
      <c r="P2" s="961" t="s">
        <v>141</v>
      </c>
      <c r="Q2" s="961"/>
      <c r="R2" s="213"/>
      <c r="S2" s="413" t="s">
        <v>167</v>
      </c>
      <c r="T2" s="213"/>
      <c r="U2" s="10"/>
      <c r="V2" s="10"/>
      <c r="W2" s="249" t="s">
        <v>46</v>
      </c>
      <c r="X2" s="249"/>
      <c r="Y2" s="213"/>
      <c r="Z2" s="411"/>
      <c r="AA2" s="411"/>
      <c r="AD2" s="186" t="s">
        <v>46</v>
      </c>
      <c r="AE2" s="187"/>
      <c r="AF2" s="184"/>
      <c r="AG2" s="184"/>
      <c r="AH2" s="184"/>
      <c r="AI2" s="10"/>
      <c r="AJ2" s="10"/>
      <c r="AK2" s="186" t="s">
        <v>46</v>
      </c>
      <c r="AL2" s="187"/>
      <c r="AM2" s="403"/>
      <c r="AN2" s="403"/>
      <c r="AO2" s="184"/>
      <c r="AR2" s="200" t="s">
        <v>46</v>
      </c>
      <c r="AS2" s="201"/>
      <c r="AT2" s="198"/>
      <c r="AU2" s="198"/>
      <c r="AV2" s="198"/>
    </row>
    <row r="3" spans="2:48" ht="21" x14ac:dyDescent="0.35">
      <c r="B3" s="177" t="s">
        <v>9</v>
      </c>
      <c r="C3" s="178">
        <f>0.9*1.8*F3</f>
        <v>6480</v>
      </c>
      <c r="D3" s="173"/>
      <c r="E3" s="173"/>
      <c r="F3" s="179">
        <v>4000</v>
      </c>
      <c r="G3" s="210"/>
      <c r="H3" s="210"/>
      <c r="I3" s="177" t="s">
        <v>9</v>
      </c>
      <c r="J3" s="178">
        <f>1.1*1.6*F3</f>
        <v>7040.0000000000009</v>
      </c>
      <c r="K3" s="173"/>
      <c r="L3" s="173"/>
      <c r="M3" s="173"/>
      <c r="N3" s="231"/>
      <c r="O3" s="231"/>
      <c r="P3" s="215" t="s">
        <v>9</v>
      </c>
      <c r="Q3" s="216">
        <f>0.9*4*F3</f>
        <v>14400</v>
      </c>
      <c r="R3" s="213"/>
      <c r="S3" s="213"/>
      <c r="T3" s="213"/>
      <c r="U3" s="10"/>
      <c r="V3" s="10"/>
      <c r="W3" s="215" t="s">
        <v>9</v>
      </c>
      <c r="X3" s="216">
        <f>1.2*4*F3</f>
        <v>19200</v>
      </c>
      <c r="Y3" s="213"/>
      <c r="Z3" s="213"/>
      <c r="AA3" s="213"/>
      <c r="AD3" s="188" t="s">
        <v>9</v>
      </c>
      <c r="AE3" s="189">
        <f>1*2.3*F3</f>
        <v>9200</v>
      </c>
      <c r="AF3" s="184"/>
      <c r="AG3" s="184"/>
      <c r="AH3" s="184"/>
      <c r="AI3" s="10"/>
      <c r="AJ3" s="10"/>
      <c r="AK3" s="188" t="s">
        <v>9</v>
      </c>
      <c r="AL3" s="189">
        <f>1*3*F3</f>
        <v>12000</v>
      </c>
      <c r="AM3" s="184"/>
      <c r="AN3" s="184"/>
      <c r="AO3" s="184"/>
      <c r="AR3" s="199" t="s">
        <v>9</v>
      </c>
      <c r="AS3" s="202">
        <f>1*5.31*F3</f>
        <v>21240</v>
      </c>
      <c r="AT3" s="198"/>
      <c r="AU3" s="198"/>
      <c r="AV3" s="198"/>
    </row>
    <row r="4" spans="2:48" ht="18.75" x14ac:dyDescent="0.3">
      <c r="B4" s="177" t="s">
        <v>1</v>
      </c>
      <c r="C4" s="178">
        <v>500</v>
      </c>
      <c r="D4" s="173"/>
      <c r="E4" s="173"/>
      <c r="F4" s="173"/>
      <c r="I4" s="177" t="s">
        <v>1</v>
      </c>
      <c r="J4" s="178">
        <v>700</v>
      </c>
      <c r="K4" s="173"/>
      <c r="L4" s="173"/>
      <c r="M4" s="173"/>
      <c r="P4" s="215" t="s">
        <v>1</v>
      </c>
      <c r="Q4" s="216">
        <v>700</v>
      </c>
      <c r="R4" s="213"/>
      <c r="S4" s="213"/>
      <c r="T4" s="213"/>
      <c r="U4" s="10"/>
      <c r="V4" s="10"/>
      <c r="W4" s="215" t="s">
        <v>1</v>
      </c>
      <c r="X4" s="216">
        <v>700</v>
      </c>
      <c r="Y4" s="213"/>
      <c r="Z4" s="213"/>
      <c r="AA4" s="213"/>
      <c r="AD4" s="185" t="s">
        <v>1</v>
      </c>
      <c r="AE4" s="190">
        <v>500</v>
      </c>
      <c r="AF4" s="184"/>
      <c r="AG4" s="184"/>
      <c r="AH4" s="184"/>
      <c r="AI4" s="10"/>
      <c r="AJ4" s="10"/>
      <c r="AK4" s="185" t="s">
        <v>1</v>
      </c>
      <c r="AL4" s="190">
        <v>700</v>
      </c>
      <c r="AM4" s="184"/>
      <c r="AN4" s="184"/>
      <c r="AO4" s="184"/>
      <c r="AR4" s="199" t="s">
        <v>1</v>
      </c>
      <c r="AS4" s="202">
        <v>700</v>
      </c>
      <c r="AT4" s="198"/>
      <c r="AU4" s="198"/>
      <c r="AV4" s="198"/>
    </row>
    <row r="5" spans="2:48" ht="18.75" x14ac:dyDescent="0.3">
      <c r="B5" s="177" t="s">
        <v>10</v>
      </c>
      <c r="C5" s="178">
        <v>2000</v>
      </c>
      <c r="D5" s="173"/>
      <c r="E5" s="449" t="s">
        <v>331</v>
      </c>
      <c r="F5" s="173"/>
      <c r="I5" s="177" t="s">
        <v>10</v>
      </c>
      <c r="J5" s="178">
        <v>2500</v>
      </c>
      <c r="K5" s="180" t="s">
        <v>22</v>
      </c>
      <c r="L5" s="180" t="s">
        <v>23</v>
      </c>
      <c r="M5" s="180" t="s">
        <v>24</v>
      </c>
      <c r="P5" s="215" t="s">
        <v>10</v>
      </c>
      <c r="Q5" s="216">
        <v>2500</v>
      </c>
      <c r="R5" s="213"/>
      <c r="S5" s="213"/>
      <c r="T5" s="213"/>
      <c r="U5" s="10"/>
      <c r="V5" s="10"/>
      <c r="W5" s="215" t="s">
        <v>10</v>
      </c>
      <c r="X5" s="216">
        <v>2500</v>
      </c>
      <c r="Y5" s="213"/>
      <c r="Z5" s="213"/>
      <c r="AA5" s="213"/>
      <c r="AD5" s="185" t="s">
        <v>10</v>
      </c>
      <c r="AE5" s="190">
        <v>2500</v>
      </c>
      <c r="AF5" s="184"/>
      <c r="AG5" s="184"/>
      <c r="AH5" s="184"/>
      <c r="AI5" s="10"/>
      <c r="AJ5" s="10"/>
      <c r="AK5" s="185" t="s">
        <v>10</v>
      </c>
      <c r="AL5" s="190">
        <v>2500</v>
      </c>
      <c r="AM5" s="184"/>
      <c r="AN5" s="184"/>
      <c r="AO5" s="184"/>
      <c r="AR5" s="199" t="s">
        <v>10</v>
      </c>
      <c r="AS5" s="202">
        <v>2500</v>
      </c>
      <c r="AT5" s="198"/>
      <c r="AU5" s="198"/>
      <c r="AV5" s="198"/>
    </row>
    <row r="6" spans="2:48" ht="21" x14ac:dyDescent="0.35">
      <c r="B6" s="177" t="s">
        <v>58</v>
      </c>
      <c r="C6" s="178">
        <v>500</v>
      </c>
      <c r="D6" s="180" t="s">
        <v>22</v>
      </c>
      <c r="E6" s="180" t="s">
        <v>23</v>
      </c>
      <c r="F6" s="180" t="s">
        <v>24</v>
      </c>
      <c r="G6" s="415"/>
      <c r="H6" s="415"/>
      <c r="I6" s="177" t="s">
        <v>11</v>
      </c>
      <c r="J6" s="178">
        <v>2000</v>
      </c>
      <c r="K6" s="180">
        <f>K12</f>
        <v>11.703999999999999</v>
      </c>
      <c r="L6" s="180">
        <f>L12</f>
        <v>14.629999999999999</v>
      </c>
      <c r="M6" s="180">
        <f>M12</f>
        <v>16.636399999999998</v>
      </c>
      <c r="P6" s="215" t="s">
        <v>58</v>
      </c>
      <c r="Q6" s="216">
        <v>5000</v>
      </c>
      <c r="R6" s="213"/>
      <c r="S6" s="218" t="s">
        <v>112</v>
      </c>
      <c r="T6" s="218"/>
      <c r="U6" s="10"/>
      <c r="V6" s="10"/>
      <c r="W6" s="215" t="s">
        <v>11</v>
      </c>
      <c r="X6" s="216">
        <v>3000</v>
      </c>
      <c r="Y6" s="213"/>
      <c r="Z6" s="213"/>
      <c r="AA6" s="213"/>
      <c r="AD6" s="185" t="s">
        <v>58</v>
      </c>
      <c r="AE6" s="190">
        <v>1000</v>
      </c>
      <c r="AF6" s="184"/>
      <c r="AG6" s="184"/>
      <c r="AH6" s="184"/>
      <c r="AI6" s="10"/>
      <c r="AJ6" s="10"/>
      <c r="AK6" s="185" t="s">
        <v>195</v>
      </c>
      <c r="AL6" s="190">
        <f>15000/1.3</f>
        <v>11538.461538461537</v>
      </c>
      <c r="AM6" s="184"/>
      <c r="AN6" s="184"/>
      <c r="AO6" s="184"/>
      <c r="AR6" s="199" t="s">
        <v>11</v>
      </c>
      <c r="AS6" s="202">
        <v>1000</v>
      </c>
      <c r="AT6" s="198"/>
      <c r="AU6" s="198"/>
      <c r="AV6" s="198"/>
    </row>
    <row r="7" spans="2:48" ht="21" x14ac:dyDescent="0.35">
      <c r="B7" s="177" t="s">
        <v>11</v>
      </c>
      <c r="C7" s="178">
        <v>500</v>
      </c>
      <c r="D7" s="180">
        <f>D11</f>
        <v>4.8140000000000001</v>
      </c>
      <c r="E7" s="180">
        <f>E11</f>
        <v>5.81</v>
      </c>
      <c r="F7" s="180">
        <f>F11</f>
        <v>6.6067999999999998</v>
      </c>
      <c r="G7" s="415"/>
      <c r="H7" s="415"/>
      <c r="I7" s="177" t="s">
        <v>94</v>
      </c>
      <c r="J7" s="178">
        <f>1.3*11000</f>
        <v>14300</v>
      </c>
      <c r="K7" s="179"/>
      <c r="L7" s="179"/>
      <c r="M7" s="179"/>
      <c r="P7" s="215" t="s">
        <v>11</v>
      </c>
      <c r="Q7" s="216">
        <v>500</v>
      </c>
      <c r="R7" s="219" t="s">
        <v>22</v>
      </c>
      <c r="S7" s="219" t="s">
        <v>23</v>
      </c>
      <c r="T7" s="219" t="s">
        <v>24</v>
      </c>
      <c r="W7" s="215" t="s">
        <v>94</v>
      </c>
      <c r="X7" s="216">
        <f>15000/1.1</f>
        <v>13636.363636363636</v>
      </c>
      <c r="Y7" s="219" t="s">
        <v>22</v>
      </c>
      <c r="Z7" s="219" t="s">
        <v>23</v>
      </c>
      <c r="AA7" s="219" t="s">
        <v>24</v>
      </c>
      <c r="AD7" s="185" t="s">
        <v>11</v>
      </c>
      <c r="AE7" s="190">
        <v>500</v>
      </c>
      <c r="AF7" s="191" t="s">
        <v>22</v>
      </c>
      <c r="AG7" s="191" t="s">
        <v>23</v>
      </c>
      <c r="AH7" s="191" t="s">
        <v>24</v>
      </c>
      <c r="AI7" s="209"/>
      <c r="AJ7" s="209"/>
      <c r="AK7" s="185" t="s">
        <v>11</v>
      </c>
      <c r="AL7" s="190">
        <v>3000</v>
      </c>
      <c r="AM7" s="191" t="s">
        <v>22</v>
      </c>
      <c r="AN7" s="191" t="s">
        <v>23</v>
      </c>
      <c r="AO7" s="191" t="s">
        <v>24</v>
      </c>
      <c r="AR7" s="199" t="s">
        <v>13</v>
      </c>
      <c r="AS7" s="202">
        <v>1500</v>
      </c>
      <c r="AT7" s="203" t="s">
        <v>22</v>
      </c>
      <c r="AU7" s="203" t="s">
        <v>23</v>
      </c>
      <c r="AV7" s="203" t="s">
        <v>24</v>
      </c>
    </row>
    <row r="8" spans="2:48" ht="21" x14ac:dyDescent="0.35">
      <c r="B8" s="177" t="s">
        <v>12</v>
      </c>
      <c r="C8" s="178">
        <v>0</v>
      </c>
      <c r="D8" s="179"/>
      <c r="E8" s="179"/>
      <c r="F8" s="179"/>
      <c r="G8" s="210"/>
      <c r="H8" s="210"/>
      <c r="I8" s="177" t="s">
        <v>12</v>
      </c>
      <c r="J8" s="178">
        <v>1000</v>
      </c>
      <c r="K8" s="173"/>
      <c r="L8" s="173"/>
      <c r="M8" s="173"/>
      <c r="P8" s="215" t="s">
        <v>12</v>
      </c>
      <c r="Q8" s="216">
        <v>0</v>
      </c>
      <c r="R8" s="219">
        <f>R12</f>
        <v>10.385624999999999</v>
      </c>
      <c r="S8" s="219">
        <f>S12</f>
        <v>11.818124999999998</v>
      </c>
      <c r="T8" s="219">
        <f>T12</f>
        <v>15.04125</v>
      </c>
      <c r="U8" s="10"/>
      <c r="V8" s="10"/>
      <c r="W8" s="215" t="s">
        <v>12</v>
      </c>
      <c r="X8" s="216">
        <v>2000</v>
      </c>
      <c r="Y8" s="219">
        <f>Y13</f>
        <v>16.833181818181817</v>
      </c>
      <c r="Z8" s="219">
        <f>Z13</f>
        <v>20.315909090909088</v>
      </c>
      <c r="AA8" s="219">
        <f>AA13</f>
        <v>23.102090909090904</v>
      </c>
      <c r="AD8" s="185" t="s">
        <v>12</v>
      </c>
      <c r="AE8" s="190">
        <v>0</v>
      </c>
      <c r="AF8" s="191">
        <f>AF13</f>
        <v>5.8</v>
      </c>
      <c r="AG8" s="191">
        <f>AG13</f>
        <v>6.6</v>
      </c>
      <c r="AH8" s="191">
        <f>AH13</f>
        <v>7.96</v>
      </c>
      <c r="AI8" s="209"/>
      <c r="AJ8" s="209"/>
      <c r="AK8" s="185" t="s">
        <v>58</v>
      </c>
      <c r="AL8" s="190">
        <v>0</v>
      </c>
      <c r="AM8" s="191">
        <f>AM12</f>
        <v>13.462692307692308</v>
      </c>
      <c r="AN8" s="191">
        <f>AN12</f>
        <v>16.248076923076923</v>
      </c>
      <c r="AO8" s="191">
        <f>AO12</f>
        <v>18.476384615384617</v>
      </c>
      <c r="AR8" s="199" t="s">
        <v>12</v>
      </c>
      <c r="AS8" s="202">
        <f>X8</f>
        <v>2000</v>
      </c>
      <c r="AT8" s="203">
        <f>AT13</f>
        <v>12.448250000000002</v>
      </c>
      <c r="AU8" s="203">
        <f>AU13</f>
        <v>15.023750000000001</v>
      </c>
      <c r="AV8" s="203">
        <f>AV13</f>
        <v>17.084150000000001</v>
      </c>
    </row>
    <row r="9" spans="2:48" ht="21" x14ac:dyDescent="0.35">
      <c r="B9" s="177" t="s">
        <v>14</v>
      </c>
      <c r="C9" s="178">
        <v>200</v>
      </c>
      <c r="D9" s="173"/>
      <c r="E9" s="173"/>
      <c r="F9" s="173"/>
      <c r="I9" s="177" t="s">
        <v>14</v>
      </c>
      <c r="J9" s="178">
        <v>300</v>
      </c>
      <c r="K9" s="173"/>
      <c r="L9" s="173"/>
      <c r="M9" s="173"/>
      <c r="N9" s="209"/>
      <c r="O9" s="209"/>
      <c r="P9" s="215" t="s">
        <v>14</v>
      </c>
      <c r="Q9" s="216">
        <v>200</v>
      </c>
      <c r="R9" s="220"/>
      <c r="S9" s="220"/>
      <c r="T9" s="220"/>
      <c r="U9" s="10"/>
      <c r="V9" s="10"/>
      <c r="W9" s="215" t="s">
        <v>14</v>
      </c>
      <c r="X9" s="216">
        <v>0</v>
      </c>
      <c r="Y9" s="220"/>
      <c r="Z9" s="220"/>
      <c r="AA9" s="220"/>
      <c r="AD9" s="185" t="s">
        <v>14</v>
      </c>
      <c r="AE9" s="190">
        <v>0</v>
      </c>
      <c r="AF9" s="192"/>
      <c r="AG9" s="192"/>
      <c r="AH9" s="192"/>
      <c r="AI9" s="209"/>
      <c r="AJ9" s="209"/>
      <c r="AK9" s="185" t="s">
        <v>12</v>
      </c>
      <c r="AL9" s="190">
        <v>2000</v>
      </c>
      <c r="AM9" s="192"/>
      <c r="AN9" s="192"/>
      <c r="AO9" s="192"/>
      <c r="AR9" s="199" t="s">
        <v>14</v>
      </c>
      <c r="AS9" s="202">
        <f>X9</f>
        <v>0</v>
      </c>
      <c r="AT9" s="204"/>
      <c r="AU9" s="204"/>
      <c r="AV9" s="204"/>
    </row>
    <row r="10" spans="2:48" ht="18.75" x14ac:dyDescent="0.3">
      <c r="B10" s="177" t="s">
        <v>15</v>
      </c>
      <c r="C10" s="178">
        <v>50</v>
      </c>
      <c r="D10" s="182">
        <v>0.4</v>
      </c>
      <c r="E10" s="182">
        <v>0.6</v>
      </c>
      <c r="F10" s="182">
        <v>0.9</v>
      </c>
      <c r="G10" s="416"/>
      <c r="H10" s="416"/>
      <c r="I10" s="177" t="s">
        <v>15</v>
      </c>
      <c r="J10" s="178">
        <v>200</v>
      </c>
      <c r="K10" s="173"/>
      <c r="L10" s="173"/>
      <c r="M10" s="173"/>
      <c r="N10" s="208"/>
      <c r="O10" s="208"/>
      <c r="P10" s="215" t="s">
        <v>15</v>
      </c>
      <c r="Q10" s="216">
        <v>200</v>
      </c>
      <c r="R10" s="213"/>
      <c r="S10" s="217"/>
      <c r="T10" s="217"/>
      <c r="U10" s="209"/>
      <c r="V10" s="209"/>
      <c r="W10" s="215" t="s">
        <v>15</v>
      </c>
      <c r="X10" s="216">
        <v>0</v>
      </c>
      <c r="Y10" s="213"/>
      <c r="Z10" s="213"/>
      <c r="AA10" s="213"/>
      <c r="AD10" s="185" t="s">
        <v>15</v>
      </c>
      <c r="AE10" s="190">
        <v>0</v>
      </c>
      <c r="AF10" s="184"/>
      <c r="AG10" s="184"/>
      <c r="AH10" s="184"/>
      <c r="AI10" s="10"/>
      <c r="AJ10" s="10"/>
      <c r="AK10" s="185" t="s">
        <v>14</v>
      </c>
      <c r="AL10" s="190">
        <v>0</v>
      </c>
      <c r="AM10" s="184"/>
      <c r="AN10" s="184"/>
      <c r="AO10" s="184"/>
      <c r="AR10" s="199" t="s">
        <v>15</v>
      </c>
      <c r="AS10" s="202">
        <f>X10</f>
        <v>0</v>
      </c>
      <c r="AT10" s="198"/>
      <c r="AU10" s="198"/>
      <c r="AV10" s="198"/>
    </row>
    <row r="11" spans="2:48" ht="18.75" x14ac:dyDescent="0.3">
      <c r="B11" s="177" t="s">
        <v>27</v>
      </c>
      <c r="C11" s="178">
        <v>200</v>
      </c>
      <c r="D11" s="178">
        <f>C16*1.45</f>
        <v>4.8140000000000001</v>
      </c>
      <c r="E11" s="178">
        <f>C16*1.75</f>
        <v>5.81</v>
      </c>
      <c r="F11" s="178">
        <f>C16*1.99</f>
        <v>6.6067999999999998</v>
      </c>
      <c r="G11" s="208"/>
      <c r="H11" s="208"/>
      <c r="I11" s="177" t="s">
        <v>27</v>
      </c>
      <c r="J11" s="178">
        <v>200</v>
      </c>
      <c r="K11" s="182">
        <v>0.4</v>
      </c>
      <c r="L11" s="182">
        <v>0.6</v>
      </c>
      <c r="M11" s="182">
        <v>0.9</v>
      </c>
      <c r="N11" s="208"/>
      <c r="O11" s="208"/>
      <c r="P11" s="215" t="s">
        <v>27</v>
      </c>
      <c r="Q11" s="216">
        <v>200</v>
      </c>
      <c r="R11" s="222">
        <v>0.4</v>
      </c>
      <c r="S11" s="222">
        <v>0.6</v>
      </c>
      <c r="T11" s="222">
        <v>0.9</v>
      </c>
      <c r="U11" s="209"/>
      <c r="V11" s="209"/>
      <c r="W11" s="215" t="s">
        <v>27</v>
      </c>
      <c r="X11" s="216">
        <v>200</v>
      </c>
      <c r="Y11" s="213"/>
      <c r="Z11" s="213"/>
      <c r="AA11" s="213"/>
      <c r="AD11" s="185" t="s">
        <v>27</v>
      </c>
      <c r="AE11" s="190">
        <v>0</v>
      </c>
      <c r="AF11" s="184"/>
      <c r="AG11" s="184"/>
      <c r="AH11" s="184"/>
      <c r="AI11" s="10"/>
      <c r="AJ11" s="10"/>
      <c r="AK11" s="185" t="s">
        <v>15</v>
      </c>
      <c r="AL11" s="190">
        <v>0</v>
      </c>
      <c r="AM11" s="194">
        <v>0.4</v>
      </c>
      <c r="AN11" s="194">
        <v>0.6</v>
      </c>
      <c r="AO11" s="194">
        <v>0.9</v>
      </c>
      <c r="AR11" s="199" t="s">
        <v>27</v>
      </c>
      <c r="AS11" s="202">
        <v>200</v>
      </c>
      <c r="AT11" s="198"/>
      <c r="AU11" s="198"/>
      <c r="AV11" s="198"/>
    </row>
    <row r="12" spans="2:48" ht="21" x14ac:dyDescent="0.35">
      <c r="B12" s="177" t="s">
        <v>28</v>
      </c>
      <c r="C12" s="178">
        <v>100</v>
      </c>
      <c r="D12" s="179"/>
      <c r="E12" s="179"/>
      <c r="F12" s="179"/>
      <c r="G12" s="210"/>
      <c r="H12" s="210"/>
      <c r="I12" s="177" t="s">
        <v>28</v>
      </c>
      <c r="J12" s="178">
        <v>100</v>
      </c>
      <c r="K12" s="178">
        <f>J16*1.4</f>
        <v>11.703999999999999</v>
      </c>
      <c r="L12" s="178">
        <f>J16*1.75</f>
        <v>14.629999999999999</v>
      </c>
      <c r="M12" s="178">
        <f>J16*1.99</f>
        <v>16.636399999999998</v>
      </c>
      <c r="N12" s="208"/>
      <c r="O12" s="208"/>
      <c r="P12" s="215" t="s">
        <v>28</v>
      </c>
      <c r="Q12" s="216">
        <v>100</v>
      </c>
      <c r="R12" s="216">
        <f>Q16*1.45</f>
        <v>10.385624999999999</v>
      </c>
      <c r="S12" s="216">
        <f>Q16*1.65</f>
        <v>11.818124999999998</v>
      </c>
      <c r="T12" s="216">
        <f>Q16*2.1</f>
        <v>15.04125</v>
      </c>
      <c r="U12" s="209"/>
      <c r="V12" s="209"/>
      <c r="W12" s="215" t="s">
        <v>28</v>
      </c>
      <c r="X12" s="216">
        <v>100</v>
      </c>
      <c r="Y12" s="222">
        <v>0.4</v>
      </c>
      <c r="Z12" s="222">
        <v>0.6</v>
      </c>
      <c r="AA12" s="222">
        <v>0.9</v>
      </c>
      <c r="AD12" s="185" t="s">
        <v>28</v>
      </c>
      <c r="AE12" s="190">
        <v>0</v>
      </c>
      <c r="AF12" s="194">
        <v>0.4</v>
      </c>
      <c r="AG12" s="194">
        <v>0.6</v>
      </c>
      <c r="AH12" s="194">
        <v>0.9</v>
      </c>
      <c r="AI12" s="10"/>
      <c r="AJ12" s="10"/>
      <c r="AK12" s="185" t="s">
        <v>27</v>
      </c>
      <c r="AL12" s="190">
        <v>200</v>
      </c>
      <c r="AM12" s="190">
        <f>AL17*1.45</f>
        <v>13.462692307692308</v>
      </c>
      <c r="AN12" s="190">
        <f>AL17*1.75</f>
        <v>16.248076923076923</v>
      </c>
      <c r="AO12" s="190">
        <f>AL17*1.99</f>
        <v>18.476384615384617</v>
      </c>
      <c r="AR12" s="199" t="s">
        <v>28</v>
      </c>
      <c r="AS12" s="202">
        <v>100</v>
      </c>
      <c r="AT12" s="206">
        <v>0.4</v>
      </c>
      <c r="AU12" s="206">
        <v>0.6</v>
      </c>
      <c r="AV12" s="206">
        <v>0.9</v>
      </c>
    </row>
    <row r="13" spans="2:48" ht="21" x14ac:dyDescent="0.35">
      <c r="B13" s="177" t="s">
        <v>16</v>
      </c>
      <c r="C13" s="178">
        <v>250</v>
      </c>
      <c r="D13" s="173"/>
      <c r="E13" s="173"/>
      <c r="F13" s="173"/>
      <c r="I13" s="177" t="s">
        <v>16</v>
      </c>
      <c r="J13" s="178">
        <v>350</v>
      </c>
      <c r="K13" s="179"/>
      <c r="L13" s="179"/>
      <c r="M13" s="179"/>
      <c r="P13" s="215" t="s">
        <v>16</v>
      </c>
      <c r="Q13" s="216">
        <v>350</v>
      </c>
      <c r="R13" s="213"/>
      <c r="S13" s="213"/>
      <c r="T13" s="213"/>
      <c r="U13" s="10"/>
      <c r="V13" s="10"/>
      <c r="W13" s="215" t="s">
        <v>16</v>
      </c>
      <c r="X13" s="216">
        <f>J13</f>
        <v>350</v>
      </c>
      <c r="Y13" s="216">
        <f>X16*1.45</f>
        <v>16.833181818181817</v>
      </c>
      <c r="Z13" s="216">
        <f>X16*1.75</f>
        <v>20.315909090909088</v>
      </c>
      <c r="AA13" s="216">
        <f>X16*1.99</f>
        <v>23.102090909090904</v>
      </c>
      <c r="AD13" s="185" t="s">
        <v>16</v>
      </c>
      <c r="AE13" s="190">
        <f>C13</f>
        <v>250</v>
      </c>
      <c r="AF13" s="190">
        <f>AE16*1.45</f>
        <v>5.8</v>
      </c>
      <c r="AG13" s="190">
        <f>AE16*1.65</f>
        <v>6.6</v>
      </c>
      <c r="AH13" s="190">
        <f>AE16*1.99</f>
        <v>7.96</v>
      </c>
      <c r="AI13" s="10"/>
      <c r="AJ13" s="10"/>
      <c r="AK13" s="185" t="s">
        <v>28</v>
      </c>
      <c r="AL13" s="190">
        <v>100</v>
      </c>
      <c r="AM13" s="184"/>
      <c r="AN13" s="184"/>
      <c r="AO13" s="184"/>
      <c r="AR13" s="199" t="s">
        <v>16</v>
      </c>
      <c r="AS13" s="202">
        <f>X13</f>
        <v>350</v>
      </c>
      <c r="AT13" s="202">
        <f>AS16*1.45</f>
        <v>12.448250000000002</v>
      </c>
      <c r="AU13" s="202">
        <f>AS16*1.75</f>
        <v>15.023750000000001</v>
      </c>
      <c r="AV13" s="202">
        <f>AS16*1.99</f>
        <v>17.084150000000001</v>
      </c>
    </row>
    <row r="14" spans="2:48" ht="23.25" x14ac:dyDescent="0.35">
      <c r="B14" s="177" t="s">
        <v>17</v>
      </c>
      <c r="C14" s="178">
        <v>500</v>
      </c>
      <c r="D14" s="173"/>
      <c r="E14" s="449"/>
      <c r="F14" s="173"/>
      <c r="I14" s="177" t="s">
        <v>17</v>
      </c>
      <c r="J14" s="178">
        <v>750</v>
      </c>
      <c r="K14" s="183"/>
      <c r="L14" s="183"/>
      <c r="M14" s="173"/>
      <c r="P14" s="215" t="s">
        <v>17</v>
      </c>
      <c r="Q14" s="216">
        <v>500</v>
      </c>
      <c r="R14" s="213"/>
      <c r="S14" s="213"/>
      <c r="T14" s="213"/>
      <c r="U14" s="10"/>
      <c r="V14" s="10"/>
      <c r="W14" s="215" t="s">
        <v>17</v>
      </c>
      <c r="X14" s="216">
        <f>J14</f>
        <v>750</v>
      </c>
      <c r="Y14" s="220"/>
      <c r="Z14" s="220"/>
      <c r="AA14" s="220"/>
      <c r="AD14" s="185" t="s">
        <v>17</v>
      </c>
      <c r="AE14" s="190">
        <v>50</v>
      </c>
      <c r="AF14" s="192"/>
      <c r="AG14" s="192"/>
      <c r="AH14" s="192"/>
      <c r="AI14" s="10"/>
      <c r="AJ14" s="10"/>
      <c r="AK14" s="185" t="s">
        <v>16</v>
      </c>
      <c r="AL14" s="190">
        <v>350</v>
      </c>
      <c r="AM14" s="184"/>
      <c r="AN14" s="184"/>
      <c r="AO14" s="184"/>
      <c r="AR14" s="199" t="s">
        <v>17</v>
      </c>
      <c r="AS14" s="202">
        <f>X14</f>
        <v>750</v>
      </c>
      <c r="AT14" s="204"/>
      <c r="AU14" s="204"/>
      <c r="AV14" s="204"/>
    </row>
    <row r="15" spans="2:48" ht="19.5" thickBot="1" x14ac:dyDescent="0.35">
      <c r="B15" s="177" t="s">
        <v>18</v>
      </c>
      <c r="C15" s="181">
        <v>2000</v>
      </c>
      <c r="D15" s="180"/>
      <c r="E15" s="180"/>
      <c r="F15" s="180"/>
      <c r="I15" s="177" t="s">
        <v>18</v>
      </c>
      <c r="J15" s="181">
        <v>4000</v>
      </c>
      <c r="K15" s="173"/>
      <c r="L15" s="173"/>
      <c r="M15" s="178"/>
      <c r="P15" s="215" t="s">
        <v>18</v>
      </c>
      <c r="Q15" s="221">
        <v>4000</v>
      </c>
      <c r="R15" s="213"/>
      <c r="S15" s="213"/>
      <c r="T15" s="213"/>
      <c r="U15" s="10"/>
      <c r="V15" s="10"/>
      <c r="W15" s="215" t="s">
        <v>18</v>
      </c>
      <c r="X15" s="221">
        <f>J15</f>
        <v>4000</v>
      </c>
      <c r="Y15" s="253"/>
      <c r="Z15" s="253"/>
      <c r="AA15" s="216"/>
      <c r="AD15" s="185" t="s">
        <v>18</v>
      </c>
      <c r="AE15" s="193">
        <f>C15</f>
        <v>2000</v>
      </c>
      <c r="AF15" s="226"/>
      <c r="AG15" s="226"/>
      <c r="AH15" s="190"/>
      <c r="AI15" s="10"/>
      <c r="AJ15" s="10"/>
      <c r="AK15" s="185" t="s">
        <v>17</v>
      </c>
      <c r="AL15" s="190">
        <v>750</v>
      </c>
      <c r="AM15" s="226"/>
      <c r="AN15" s="226"/>
      <c r="AO15" s="190"/>
      <c r="AR15" s="199" t="s">
        <v>18</v>
      </c>
      <c r="AS15" s="205">
        <f>X15</f>
        <v>4000</v>
      </c>
      <c r="AT15" s="228"/>
      <c r="AU15" s="228"/>
      <c r="AV15" s="202"/>
    </row>
    <row r="16" spans="2:48" ht="19.5" thickBot="1" x14ac:dyDescent="0.35">
      <c r="B16" s="177"/>
      <c r="C16" s="178">
        <f>SUM(C3:C15)/F3</f>
        <v>3.32</v>
      </c>
      <c r="D16" s="180"/>
      <c r="E16" s="180"/>
      <c r="F16" s="180"/>
      <c r="I16" s="177"/>
      <c r="J16" s="178">
        <f>SUM(J3:J15)/F3</f>
        <v>8.36</v>
      </c>
      <c r="K16" s="173"/>
      <c r="L16" s="173"/>
      <c r="M16" s="178"/>
      <c r="P16" s="215"/>
      <c r="Q16" s="216">
        <f>SUM(Q3:Q15)/F3</f>
        <v>7.1624999999999996</v>
      </c>
      <c r="R16" s="213"/>
      <c r="S16" s="217"/>
      <c r="T16" s="216"/>
      <c r="U16" s="10"/>
      <c r="V16" s="10"/>
      <c r="W16" s="215"/>
      <c r="X16" s="216">
        <f>SUM(X3:X15)/F3</f>
        <v>11.609090909090908</v>
      </c>
      <c r="Y16" s="253"/>
      <c r="Z16" s="253"/>
      <c r="AA16" s="216"/>
      <c r="AD16" s="185"/>
      <c r="AE16" s="190">
        <f>SUM(AE3:AE15)/F3</f>
        <v>4</v>
      </c>
      <c r="AF16" s="226"/>
      <c r="AG16" s="226"/>
      <c r="AH16" s="190"/>
      <c r="AI16" s="10"/>
      <c r="AJ16" s="10"/>
      <c r="AK16" s="185" t="s">
        <v>18</v>
      </c>
      <c r="AL16" s="193">
        <v>4000</v>
      </c>
      <c r="AM16" s="226"/>
      <c r="AN16" s="226"/>
      <c r="AO16" s="190"/>
      <c r="AR16" s="199"/>
      <c r="AS16" s="202">
        <f>SUM(AS3:AS15)/F3</f>
        <v>8.5850000000000009</v>
      </c>
      <c r="AT16" s="228"/>
      <c r="AU16" s="228"/>
      <c r="AV16" s="202"/>
    </row>
    <row r="17" spans="2:55" ht="21" x14ac:dyDescent="0.35">
      <c r="B17" s="177"/>
      <c r="C17" s="179"/>
      <c r="D17" s="173"/>
      <c r="E17" s="173"/>
      <c r="F17" s="173"/>
      <c r="I17" s="177"/>
      <c r="J17" s="179"/>
      <c r="K17" s="173"/>
      <c r="L17" s="173"/>
      <c r="M17" s="178"/>
      <c r="P17" s="215"/>
      <c r="Q17" s="213"/>
      <c r="R17" s="213"/>
      <c r="S17" s="217"/>
      <c r="T17" s="216"/>
      <c r="U17" s="10"/>
      <c r="V17" s="10"/>
      <c r="W17" s="215"/>
      <c r="X17" s="220"/>
      <c r="Y17" s="253"/>
      <c r="Z17" s="253"/>
      <c r="AA17" s="216"/>
      <c r="AD17" s="185"/>
      <c r="AE17" s="192"/>
      <c r="AF17" s="226"/>
      <c r="AG17" s="226"/>
      <c r="AH17" s="190"/>
      <c r="AI17" s="10"/>
      <c r="AJ17" s="10"/>
      <c r="AK17" s="185"/>
      <c r="AL17" s="190">
        <f>SUM(AL3:AL16)/F3</f>
        <v>9.2846153846153854</v>
      </c>
      <c r="AM17" s="192"/>
      <c r="AN17" s="192"/>
      <c r="AO17" s="190"/>
      <c r="AR17" s="199"/>
      <c r="AS17" s="204"/>
      <c r="AT17" s="228"/>
      <c r="AU17" s="228"/>
      <c r="AV17" s="202"/>
    </row>
    <row r="18" spans="2:55" ht="21" x14ac:dyDescent="0.35">
      <c r="B18" s="10"/>
      <c r="C18" s="207"/>
      <c r="D18" s="208"/>
      <c r="E18" s="208"/>
      <c r="F18" s="208"/>
      <c r="G18" s="208"/>
      <c r="H18" s="208"/>
      <c r="I18" s="208"/>
      <c r="J18" s="208"/>
      <c r="K18" s="208"/>
      <c r="L18" s="208"/>
      <c r="M18" s="208"/>
      <c r="P18" s="10"/>
      <c r="Q18" s="210"/>
      <c r="R18" s="210"/>
      <c r="S18" s="210"/>
      <c r="T18" s="208"/>
      <c r="U18" s="10"/>
      <c r="V18" s="10"/>
      <c r="W18" s="10"/>
      <c r="X18" s="207"/>
      <c r="Y18" s="208"/>
      <c r="Z18" s="208"/>
      <c r="AA18" s="208"/>
      <c r="AB18" s="208"/>
      <c r="AC18" s="208"/>
      <c r="AD18" s="60"/>
    </row>
    <row r="19" spans="2:55" ht="18.75" x14ac:dyDescent="0.3">
      <c r="B19" s="10"/>
      <c r="C19" s="207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P19" s="10"/>
      <c r="Q19" s="207"/>
      <c r="R19" s="208"/>
      <c r="S19" s="208"/>
      <c r="T19" s="208"/>
      <c r="U19" s="10"/>
      <c r="V19" s="10"/>
      <c r="W19" s="10"/>
      <c r="X19" s="207"/>
      <c r="Y19" s="208"/>
      <c r="Z19" s="208"/>
      <c r="AA19" s="208"/>
      <c r="AB19" s="208"/>
      <c r="AC19" s="208"/>
      <c r="AD19" s="60"/>
    </row>
    <row r="20" spans="2:55" ht="33.75" x14ac:dyDescent="0.5">
      <c r="B20" s="968" t="s">
        <v>37</v>
      </c>
      <c r="C20" s="968"/>
      <c r="D20" s="174"/>
      <c r="E20" s="174" t="s">
        <v>167</v>
      </c>
      <c r="F20" s="174"/>
      <c r="G20" s="414"/>
      <c r="H20" s="414"/>
      <c r="I20" s="968" t="s">
        <v>37</v>
      </c>
      <c r="J20" s="968"/>
      <c r="K20" s="417" t="s">
        <v>149</v>
      </c>
      <c r="L20" s="174"/>
      <c r="M20" s="174"/>
      <c r="N20" s="230"/>
      <c r="O20" s="230"/>
      <c r="P20" s="211" t="s">
        <v>110</v>
      </c>
      <c r="Q20" s="212"/>
      <c r="R20" s="214" t="s">
        <v>114</v>
      </c>
      <c r="S20" s="213"/>
      <c r="T20" s="213"/>
      <c r="U20" s="10"/>
      <c r="V20" s="10"/>
      <c r="W20" s="418" t="s">
        <v>110</v>
      </c>
      <c r="X20" s="962" t="s">
        <v>194</v>
      </c>
      <c r="Y20" s="962"/>
      <c r="Z20" s="962"/>
      <c r="AA20" s="962"/>
      <c r="AD20" s="960" t="s">
        <v>38</v>
      </c>
      <c r="AE20" s="960"/>
      <c r="AF20" s="966" t="s">
        <v>261</v>
      </c>
      <c r="AG20" s="966"/>
      <c r="AH20" s="184"/>
      <c r="AK20" s="399" t="s">
        <v>38</v>
      </c>
      <c r="AL20" s="399"/>
      <c r="AM20" s="402" t="s">
        <v>149</v>
      </c>
      <c r="AN20" s="402"/>
      <c r="AO20" s="184"/>
      <c r="AY20" s="420"/>
      <c r="AZ20" s="420"/>
      <c r="BA20" s="421"/>
      <c r="BB20" s="421"/>
      <c r="BC20" s="207"/>
    </row>
    <row r="21" spans="2:55" ht="28.5" customHeight="1" x14ac:dyDescent="0.5">
      <c r="B21" s="175" t="s">
        <v>168</v>
      </c>
      <c r="C21" s="176"/>
      <c r="D21" s="173"/>
      <c r="E21" s="173"/>
      <c r="F21" s="173"/>
      <c r="I21" s="175" t="s">
        <v>168</v>
      </c>
      <c r="J21" s="176"/>
      <c r="K21" s="173"/>
      <c r="L21" s="173"/>
      <c r="M21" s="173"/>
      <c r="P21" s="223" t="s">
        <v>142</v>
      </c>
      <c r="Q21" s="224"/>
      <c r="R21" s="437"/>
      <c r="S21" s="437" t="s">
        <v>289</v>
      </c>
      <c r="T21" s="438"/>
      <c r="U21" s="10"/>
      <c r="V21" s="10"/>
      <c r="W21" s="249" t="s">
        <v>168</v>
      </c>
      <c r="X21" s="250"/>
      <c r="Y21" s="213"/>
      <c r="Z21" s="404"/>
      <c r="AA21" s="213"/>
      <c r="AD21" s="186" t="s">
        <v>168</v>
      </c>
      <c r="AE21" s="187"/>
      <c r="AF21" s="184"/>
      <c r="AG21" s="184"/>
      <c r="AH21" s="184"/>
      <c r="AK21" s="400" t="s">
        <v>168</v>
      </c>
      <c r="AL21" s="187"/>
      <c r="AM21" s="184"/>
      <c r="AN21" s="184"/>
      <c r="AO21" s="184"/>
      <c r="AY21" s="422"/>
      <c r="AZ21" s="423"/>
      <c r="BA21" s="207"/>
      <c r="BB21" s="207"/>
      <c r="BC21" s="207"/>
    </row>
    <row r="22" spans="2:55" ht="18.75" customHeight="1" x14ac:dyDescent="0.55000000000000004">
      <c r="B22" s="177" t="s">
        <v>9</v>
      </c>
      <c r="C22" s="178">
        <f>0.7*1.6*F22</f>
        <v>4256</v>
      </c>
      <c r="D22" s="173"/>
      <c r="E22" s="173"/>
      <c r="F22" s="179">
        <v>3800</v>
      </c>
      <c r="G22" s="210"/>
      <c r="H22" s="210"/>
      <c r="I22" s="177" t="s">
        <v>9</v>
      </c>
      <c r="J22" s="178">
        <f>0.8*1.2*F3</f>
        <v>3840</v>
      </c>
      <c r="K22" s="173"/>
      <c r="L22" s="173"/>
      <c r="M22" s="179"/>
      <c r="N22" s="231"/>
      <c r="O22" s="231"/>
      <c r="P22" s="215" t="s">
        <v>9</v>
      </c>
      <c r="Q22" s="216">
        <f>0.9*4*F3</f>
        <v>14400</v>
      </c>
      <c r="R22" s="225"/>
      <c r="S22" s="225"/>
      <c r="T22" s="213"/>
      <c r="U22" s="10"/>
      <c r="V22" s="10"/>
      <c r="W22" s="251" t="s">
        <v>9</v>
      </c>
      <c r="X22" s="252">
        <f>0.5*4*F3/1.5</f>
        <v>5333.333333333333</v>
      </c>
      <c r="Y22" s="213"/>
      <c r="Z22" s="213"/>
      <c r="AA22" s="213"/>
      <c r="AD22" s="188" t="s">
        <v>9</v>
      </c>
      <c r="AE22" s="189">
        <f>0.85*3*F22</f>
        <v>9690</v>
      </c>
      <c r="AF22" s="184"/>
      <c r="AG22" s="184"/>
      <c r="AH22" s="184"/>
      <c r="AK22" s="188" t="s">
        <v>9</v>
      </c>
      <c r="AL22" s="189">
        <f>0.7*2*F22</f>
        <v>5320</v>
      </c>
      <c r="AM22" s="184"/>
      <c r="AN22" s="184"/>
      <c r="AO22" s="184"/>
      <c r="AY22" s="424"/>
      <c r="AZ22" s="425"/>
      <c r="BA22" s="207"/>
      <c r="BB22" s="207"/>
      <c r="BC22" s="207"/>
    </row>
    <row r="23" spans="2:55" ht="26.25" x14ac:dyDescent="0.4">
      <c r="B23" s="177" t="s">
        <v>1</v>
      </c>
      <c r="C23" s="178">
        <v>500</v>
      </c>
      <c r="D23" s="173"/>
      <c r="E23" s="173"/>
      <c r="F23" s="173"/>
      <c r="I23" s="177" t="s">
        <v>1</v>
      </c>
      <c r="J23" s="178">
        <v>700</v>
      </c>
      <c r="K23" s="173"/>
      <c r="L23" s="173"/>
      <c r="M23" s="173"/>
      <c r="P23" s="215" t="s">
        <v>1</v>
      </c>
      <c r="Q23" s="216">
        <v>700</v>
      </c>
      <c r="R23" s="213"/>
      <c r="S23" s="413" t="s">
        <v>167</v>
      </c>
      <c r="T23" s="213"/>
      <c r="U23" s="10"/>
      <c r="V23" s="10"/>
      <c r="W23" s="215" t="s">
        <v>1</v>
      </c>
      <c r="X23" s="216">
        <v>700</v>
      </c>
      <c r="Y23" s="213"/>
      <c r="Z23" s="213"/>
      <c r="AA23" s="213"/>
      <c r="AD23" s="185" t="s">
        <v>1</v>
      </c>
      <c r="AE23" s="190">
        <v>700</v>
      </c>
      <c r="AF23" s="184"/>
      <c r="AG23" s="184"/>
      <c r="AH23" s="184"/>
      <c r="AK23" s="185" t="s">
        <v>1</v>
      </c>
      <c r="AL23" s="190">
        <v>700</v>
      </c>
      <c r="AM23" s="184"/>
      <c r="AN23" s="184"/>
      <c r="AO23" s="184"/>
      <c r="AY23" s="10"/>
      <c r="AZ23" s="208"/>
      <c r="BA23" s="207"/>
      <c r="BB23" s="207"/>
      <c r="BC23" s="207"/>
    </row>
    <row r="24" spans="2:55" ht="18.75" x14ac:dyDescent="0.3">
      <c r="B24" s="177" t="s">
        <v>10</v>
      </c>
      <c r="C24" s="178">
        <v>2000</v>
      </c>
      <c r="D24" s="173"/>
      <c r="E24" s="173"/>
      <c r="F24" s="173"/>
      <c r="I24" s="177" t="s">
        <v>10</v>
      </c>
      <c r="J24" s="178">
        <v>2500</v>
      </c>
      <c r="K24" s="173"/>
      <c r="L24" s="173"/>
      <c r="M24" s="173"/>
      <c r="P24" s="215" t="s">
        <v>10</v>
      </c>
      <c r="Q24" s="216">
        <v>2500</v>
      </c>
      <c r="R24" s="213"/>
      <c r="S24" s="213"/>
      <c r="T24" s="213"/>
      <c r="U24" s="10"/>
      <c r="V24" s="10"/>
      <c r="W24" s="215" t="s">
        <v>10</v>
      </c>
      <c r="X24" s="216">
        <v>2500</v>
      </c>
      <c r="Y24" s="213"/>
      <c r="Z24" s="213"/>
      <c r="AA24" s="213"/>
      <c r="AD24" s="185" t="s">
        <v>10</v>
      </c>
      <c r="AE24" s="190">
        <v>2500</v>
      </c>
      <c r="AF24" s="184"/>
      <c r="AG24" s="184"/>
      <c r="AH24" s="184"/>
      <c r="AK24" s="185" t="s">
        <v>10</v>
      </c>
      <c r="AL24" s="190">
        <v>2500</v>
      </c>
      <c r="AM24" s="184"/>
      <c r="AN24" s="184"/>
      <c r="AO24" s="184"/>
      <c r="AY24" s="10"/>
      <c r="AZ24" s="208"/>
      <c r="BA24" s="207"/>
      <c r="BB24" s="207"/>
      <c r="BC24" s="207"/>
    </row>
    <row r="25" spans="2:55" ht="18.75" x14ac:dyDescent="0.3">
      <c r="B25" s="177" t="s">
        <v>58</v>
      </c>
      <c r="C25" s="178">
        <v>500</v>
      </c>
      <c r="D25" s="180" t="s">
        <v>22</v>
      </c>
      <c r="E25" s="180" t="s">
        <v>23</v>
      </c>
      <c r="F25" s="180" t="s">
        <v>24</v>
      </c>
      <c r="G25" s="415"/>
      <c r="H25" s="415"/>
      <c r="I25" s="177" t="s">
        <v>94</v>
      </c>
      <c r="J25" s="178">
        <f>0.8*13000</f>
        <v>10400</v>
      </c>
      <c r="K25" s="180" t="s">
        <v>22</v>
      </c>
      <c r="L25" s="180" t="s">
        <v>23</v>
      </c>
      <c r="M25" s="180" t="s">
        <v>24</v>
      </c>
      <c r="P25" s="215" t="s">
        <v>58</v>
      </c>
      <c r="Q25" s="216">
        <v>2000</v>
      </c>
      <c r="R25" s="213"/>
      <c r="S25" s="256" t="s">
        <v>358</v>
      </c>
      <c r="T25" s="213"/>
      <c r="U25" s="10"/>
      <c r="V25" s="10"/>
      <c r="W25" s="215" t="s">
        <v>195</v>
      </c>
      <c r="X25" s="216">
        <f>0.5*10000</f>
        <v>5000</v>
      </c>
      <c r="Y25" s="213"/>
      <c r="Z25" s="213"/>
      <c r="AA25" s="213"/>
      <c r="AD25" s="185" t="s">
        <v>58</v>
      </c>
      <c r="AE25" s="190">
        <v>500</v>
      </c>
      <c r="AF25" s="184"/>
      <c r="AG25" s="184"/>
      <c r="AH25" s="184"/>
      <c r="AK25" s="185" t="s">
        <v>188</v>
      </c>
      <c r="AL25" s="190">
        <f>0.7*10000</f>
        <v>7000</v>
      </c>
      <c r="AM25" s="184"/>
      <c r="AN25" s="184"/>
      <c r="AO25" s="184"/>
      <c r="AY25" s="10"/>
      <c r="AZ25" s="208"/>
      <c r="BA25" s="207"/>
      <c r="BB25" s="207"/>
      <c r="BC25" s="207"/>
    </row>
    <row r="26" spans="2:55" ht="18.75" x14ac:dyDescent="0.3">
      <c r="B26" s="177" t="s">
        <v>11</v>
      </c>
      <c r="C26" s="178">
        <v>500</v>
      </c>
      <c r="D26" s="180">
        <f>D30</f>
        <v>4.0077999999999996</v>
      </c>
      <c r="E26" s="180">
        <f>E30</f>
        <v>4.8369999999999997</v>
      </c>
      <c r="F26" s="180">
        <f>F30</f>
        <v>5.5003599999999997</v>
      </c>
      <c r="G26" s="415"/>
      <c r="H26" s="415"/>
      <c r="I26" s="177" t="s">
        <v>11</v>
      </c>
      <c r="J26" s="178">
        <v>3000</v>
      </c>
      <c r="K26" s="180">
        <f>K30</f>
        <v>9.9288749999999997</v>
      </c>
      <c r="L26" s="180">
        <f>L30</f>
        <v>11.983125000000001</v>
      </c>
      <c r="M26" s="180">
        <f>M30</f>
        <v>13.626525000000001</v>
      </c>
      <c r="P26" s="215" t="s">
        <v>11</v>
      </c>
      <c r="Q26" s="216">
        <v>0</v>
      </c>
      <c r="R26" s="219" t="s">
        <v>22</v>
      </c>
      <c r="S26" s="219" t="s">
        <v>23</v>
      </c>
      <c r="T26" s="219" t="s">
        <v>24</v>
      </c>
      <c r="W26" s="215" t="s">
        <v>11</v>
      </c>
      <c r="X26" s="216">
        <v>2000</v>
      </c>
      <c r="Y26" s="219" t="s">
        <v>22</v>
      </c>
      <c r="Z26" s="219" t="s">
        <v>23</v>
      </c>
      <c r="AA26" s="219" t="s">
        <v>24</v>
      </c>
      <c r="AD26" s="185" t="s">
        <v>11</v>
      </c>
      <c r="AE26" s="190">
        <v>1000</v>
      </c>
      <c r="AF26" s="191" t="s">
        <v>22</v>
      </c>
      <c r="AG26" s="191" t="s">
        <v>23</v>
      </c>
      <c r="AH26" s="191" t="s">
        <v>24</v>
      </c>
      <c r="AK26" s="185" t="s">
        <v>11</v>
      </c>
      <c r="AL26" s="190">
        <v>1000</v>
      </c>
      <c r="AM26" s="191" t="s">
        <v>22</v>
      </c>
      <c r="AN26" s="191" t="s">
        <v>23</v>
      </c>
      <c r="AO26" s="191" t="s">
        <v>24</v>
      </c>
      <c r="AY26" s="10"/>
      <c r="AZ26" s="208"/>
      <c r="BA26" s="415"/>
      <c r="BB26" s="415"/>
      <c r="BC26" s="415"/>
    </row>
    <row r="27" spans="2:55" ht="21" x14ac:dyDescent="0.35">
      <c r="B27" s="177" t="s">
        <v>12</v>
      </c>
      <c r="C27" s="178">
        <v>0</v>
      </c>
      <c r="D27" s="179"/>
      <c r="E27" s="179"/>
      <c r="F27" s="179"/>
      <c r="G27" s="210"/>
      <c r="H27" s="210"/>
      <c r="I27" s="177" t="s">
        <v>12</v>
      </c>
      <c r="J27" s="178">
        <v>2000</v>
      </c>
      <c r="K27" s="179"/>
      <c r="L27" s="179"/>
      <c r="M27" s="179"/>
      <c r="P27" s="215" t="s">
        <v>12</v>
      </c>
      <c r="Q27" s="216">
        <v>1000</v>
      </c>
      <c r="R27" s="219">
        <f>R31</f>
        <v>9.3887499999999999</v>
      </c>
      <c r="S27" s="219">
        <f>S31</f>
        <v>11.007499999999999</v>
      </c>
      <c r="T27" s="219">
        <f>T31</f>
        <v>13.5975</v>
      </c>
      <c r="U27" s="10"/>
      <c r="V27" s="10"/>
      <c r="W27" s="215" t="s">
        <v>58</v>
      </c>
      <c r="X27" s="216">
        <v>0</v>
      </c>
      <c r="Y27" s="219">
        <f>Y32</f>
        <v>7.2802083333333325</v>
      </c>
      <c r="Z27" s="219">
        <f>Z32</f>
        <v>8.7864583333333321</v>
      </c>
      <c r="AA27" s="219">
        <f>AA32</f>
        <v>9.9914583333333322</v>
      </c>
      <c r="AD27" s="185" t="s">
        <v>12</v>
      </c>
      <c r="AE27" s="190">
        <v>0</v>
      </c>
      <c r="AF27" s="191">
        <f>AF32</f>
        <v>6.4126250000000002</v>
      </c>
      <c r="AG27" s="191">
        <f>AG32</f>
        <v>7.7393750000000008</v>
      </c>
      <c r="AH27" s="191">
        <f>AH32</f>
        <v>8.8007749999999998</v>
      </c>
      <c r="AK27" s="185" t="s">
        <v>12</v>
      </c>
      <c r="AL27" s="190">
        <v>1000</v>
      </c>
      <c r="AM27" s="191">
        <f>AM31</f>
        <v>8.1634999999999991</v>
      </c>
      <c r="AN27" s="191">
        <f>AN31</f>
        <v>9.0080000000000009</v>
      </c>
      <c r="AO27" s="191">
        <f>AO31</f>
        <v>11.2037</v>
      </c>
      <c r="AY27" s="10"/>
      <c r="AZ27" s="208"/>
      <c r="BA27" s="415"/>
      <c r="BB27" s="415"/>
      <c r="BC27" s="415"/>
    </row>
    <row r="28" spans="2:55" ht="21" x14ac:dyDescent="0.35">
      <c r="B28" s="177" t="s">
        <v>14</v>
      </c>
      <c r="C28" s="178">
        <v>200</v>
      </c>
      <c r="D28" s="173"/>
      <c r="E28" s="173"/>
      <c r="F28" s="173"/>
      <c r="I28" s="177" t="s">
        <v>14</v>
      </c>
      <c r="J28" s="178">
        <v>200</v>
      </c>
      <c r="K28" s="173"/>
      <c r="L28" s="173"/>
      <c r="M28" s="173"/>
      <c r="N28" s="209"/>
      <c r="O28" s="209"/>
      <c r="P28" s="215" t="s">
        <v>14</v>
      </c>
      <c r="Q28" s="216">
        <v>200</v>
      </c>
      <c r="R28" s="220"/>
      <c r="S28" s="220"/>
      <c r="T28" s="220"/>
      <c r="U28" s="10"/>
      <c r="V28" s="10"/>
      <c r="W28" s="215" t="s">
        <v>12</v>
      </c>
      <c r="X28" s="216">
        <v>0</v>
      </c>
      <c r="Y28" s="220"/>
      <c r="Z28" s="220"/>
      <c r="AA28" s="220"/>
      <c r="AD28" s="185" t="s">
        <v>14</v>
      </c>
      <c r="AE28" s="190">
        <f>C28</f>
        <v>200</v>
      </c>
      <c r="AF28" s="192"/>
      <c r="AG28" s="192"/>
      <c r="AH28" s="192"/>
      <c r="AK28" s="185" t="s">
        <v>14</v>
      </c>
      <c r="AL28" s="190">
        <v>0</v>
      </c>
      <c r="AM28" s="192"/>
      <c r="AN28" s="192"/>
      <c r="AO28" s="192"/>
      <c r="AY28" s="10"/>
      <c r="AZ28" s="208"/>
      <c r="BA28" s="210"/>
      <c r="BB28" s="210"/>
      <c r="BC28" s="210"/>
    </row>
    <row r="29" spans="2:55" ht="18.75" x14ac:dyDescent="0.3">
      <c r="B29" s="177" t="s">
        <v>15</v>
      </c>
      <c r="C29" s="178">
        <v>50</v>
      </c>
      <c r="D29" s="182">
        <v>0.4</v>
      </c>
      <c r="E29" s="182">
        <v>0.6</v>
      </c>
      <c r="F29" s="182">
        <v>0.9</v>
      </c>
      <c r="G29" s="416"/>
      <c r="H29" s="416"/>
      <c r="I29" s="177" t="s">
        <v>15</v>
      </c>
      <c r="J29" s="178">
        <v>200</v>
      </c>
      <c r="K29" s="182">
        <v>0.4</v>
      </c>
      <c r="L29" s="182">
        <v>0.6</v>
      </c>
      <c r="M29" s="182">
        <v>0.9</v>
      </c>
      <c r="N29" s="209"/>
      <c r="O29" s="209"/>
      <c r="P29" s="215" t="s">
        <v>15</v>
      </c>
      <c r="Q29" s="216">
        <v>200</v>
      </c>
      <c r="R29" s="213"/>
      <c r="S29" s="217"/>
      <c r="T29" s="217"/>
      <c r="U29" s="209"/>
      <c r="V29" s="209"/>
      <c r="W29" s="215" t="s">
        <v>14</v>
      </c>
      <c r="X29" s="216">
        <v>0</v>
      </c>
      <c r="Y29" s="213"/>
      <c r="Z29" s="213"/>
      <c r="AA29" s="213"/>
      <c r="AD29" s="185" t="s">
        <v>15</v>
      </c>
      <c r="AE29" s="190">
        <f>C29</f>
        <v>50</v>
      </c>
      <c r="AF29" s="184"/>
      <c r="AG29" s="184"/>
      <c r="AH29" s="184"/>
      <c r="AK29" s="185" t="s">
        <v>15</v>
      </c>
      <c r="AL29" s="190">
        <v>0</v>
      </c>
      <c r="AM29" s="184"/>
      <c r="AN29" s="184"/>
      <c r="AO29" s="184"/>
      <c r="AY29" s="10"/>
      <c r="AZ29" s="208"/>
      <c r="BA29" s="207"/>
      <c r="BB29" s="207"/>
      <c r="BC29" s="207"/>
    </row>
    <row r="30" spans="2:55" ht="18.75" x14ac:dyDescent="0.3">
      <c r="B30" s="177" t="s">
        <v>27</v>
      </c>
      <c r="C30" s="178">
        <v>200</v>
      </c>
      <c r="D30" s="178">
        <f>C35*1.45</f>
        <v>4.0077999999999996</v>
      </c>
      <c r="E30" s="178">
        <f>C35*1.75</f>
        <v>4.8369999999999997</v>
      </c>
      <c r="F30" s="178">
        <f>C35*1.99</f>
        <v>5.5003599999999997</v>
      </c>
      <c r="G30" s="208"/>
      <c r="H30" s="208"/>
      <c r="I30" s="177" t="s">
        <v>27</v>
      </c>
      <c r="J30" s="178">
        <v>200</v>
      </c>
      <c r="K30" s="178">
        <f>J35*1.45</f>
        <v>9.9288749999999997</v>
      </c>
      <c r="L30" s="178">
        <f>J35*1.75</f>
        <v>11.983125000000001</v>
      </c>
      <c r="M30" s="178">
        <f>J35*1.99</f>
        <v>13.626525000000001</v>
      </c>
      <c r="N30" s="209"/>
      <c r="O30" s="209"/>
      <c r="P30" s="215" t="s">
        <v>27</v>
      </c>
      <c r="Q30" s="216">
        <v>200</v>
      </c>
      <c r="R30" s="222">
        <v>0.4</v>
      </c>
      <c r="S30" s="222">
        <v>0.6</v>
      </c>
      <c r="T30" s="222">
        <v>0.9</v>
      </c>
      <c r="U30" s="209"/>
      <c r="V30" s="209"/>
      <c r="W30" s="215" t="s">
        <v>15</v>
      </c>
      <c r="X30" s="216">
        <v>0</v>
      </c>
      <c r="Y30" s="213"/>
      <c r="Z30" s="213"/>
      <c r="AA30" s="213"/>
      <c r="AD30" s="185" t="s">
        <v>27</v>
      </c>
      <c r="AE30" s="190">
        <v>200</v>
      </c>
      <c r="AF30" s="184"/>
      <c r="AG30" s="184"/>
      <c r="AH30" s="184"/>
      <c r="AK30" s="185" t="s">
        <v>27</v>
      </c>
      <c r="AL30" s="190">
        <v>200</v>
      </c>
      <c r="AM30" s="194">
        <v>0.4</v>
      </c>
      <c r="AN30" s="194">
        <v>0.6</v>
      </c>
      <c r="AO30" s="194">
        <v>0.9</v>
      </c>
      <c r="AY30" s="10"/>
      <c r="AZ30" s="208"/>
      <c r="BA30" s="416"/>
      <c r="BB30" s="416"/>
      <c r="BC30" s="416"/>
    </row>
    <row r="31" spans="2:55" ht="21" x14ac:dyDescent="0.35">
      <c r="B31" s="177" t="s">
        <v>28</v>
      </c>
      <c r="C31" s="178">
        <v>100</v>
      </c>
      <c r="D31" s="179"/>
      <c r="E31" s="179"/>
      <c r="F31" s="179"/>
      <c r="G31" s="210"/>
      <c r="H31" s="210"/>
      <c r="I31" s="177" t="s">
        <v>28</v>
      </c>
      <c r="J31" s="178">
        <v>100</v>
      </c>
      <c r="K31" s="179"/>
      <c r="L31" s="179"/>
      <c r="M31" s="179"/>
      <c r="P31" s="215" t="s">
        <v>28</v>
      </c>
      <c r="Q31" s="216">
        <v>100</v>
      </c>
      <c r="R31" s="216">
        <f>Q35*1.45</f>
        <v>9.3887499999999999</v>
      </c>
      <c r="S31" s="216">
        <f>Q35*1.7</f>
        <v>11.007499999999999</v>
      </c>
      <c r="T31" s="216">
        <f>Q35*2.1</f>
        <v>13.5975</v>
      </c>
      <c r="U31" s="209"/>
      <c r="V31" s="209"/>
      <c r="W31" s="215" t="s">
        <v>27</v>
      </c>
      <c r="X31" s="216">
        <v>200</v>
      </c>
      <c r="Y31" s="222">
        <v>0.4</v>
      </c>
      <c r="Z31" s="222">
        <v>0.6</v>
      </c>
      <c r="AA31" s="222">
        <v>0.9</v>
      </c>
      <c r="AD31" s="185" t="s">
        <v>28</v>
      </c>
      <c r="AE31" s="190">
        <v>100</v>
      </c>
      <c r="AF31" s="194">
        <v>0.4</v>
      </c>
      <c r="AG31" s="194">
        <v>0.6</v>
      </c>
      <c r="AH31" s="194">
        <v>0.9</v>
      </c>
      <c r="AK31" s="185" t="s">
        <v>28</v>
      </c>
      <c r="AL31" s="190">
        <v>100</v>
      </c>
      <c r="AM31" s="190">
        <f>AL35*1.45</f>
        <v>8.1634999999999991</v>
      </c>
      <c r="AN31" s="190">
        <f>AL35*1.6</f>
        <v>9.0080000000000009</v>
      </c>
      <c r="AO31" s="190">
        <f>AL35*1.99</f>
        <v>11.2037</v>
      </c>
      <c r="AY31" s="10"/>
      <c r="AZ31" s="208"/>
      <c r="BA31" s="208"/>
      <c r="BB31" s="208"/>
      <c r="BC31" s="208"/>
    </row>
    <row r="32" spans="2:55" ht="18.75" x14ac:dyDescent="0.3">
      <c r="B32" s="177" t="s">
        <v>16</v>
      </c>
      <c r="C32" s="178">
        <v>250</v>
      </c>
      <c r="D32" s="173"/>
      <c r="E32" s="173"/>
      <c r="F32" s="173"/>
      <c r="I32" s="177" t="s">
        <v>16</v>
      </c>
      <c r="J32" s="178">
        <v>250</v>
      </c>
      <c r="K32" s="173"/>
      <c r="L32" s="173"/>
      <c r="M32" s="173"/>
      <c r="P32" s="215" t="s">
        <v>16</v>
      </c>
      <c r="Q32" s="216">
        <v>100</v>
      </c>
      <c r="R32" s="213"/>
      <c r="S32" s="213"/>
      <c r="T32" s="213"/>
      <c r="U32" s="10"/>
      <c r="V32" s="10"/>
      <c r="W32" s="215" t="s">
        <v>28</v>
      </c>
      <c r="X32" s="216">
        <v>0</v>
      </c>
      <c r="Y32" s="216">
        <f>X36*1.45</f>
        <v>7.2802083333333325</v>
      </c>
      <c r="Z32" s="216">
        <f>X36*1.75</f>
        <v>8.7864583333333321</v>
      </c>
      <c r="AA32" s="216">
        <f>X36*1.99</f>
        <v>9.9914583333333322</v>
      </c>
      <c r="AD32" s="185" t="s">
        <v>16</v>
      </c>
      <c r="AE32" s="190">
        <f>C32</f>
        <v>250</v>
      </c>
      <c r="AF32" s="190">
        <f>AE35*1.45</f>
        <v>6.4126250000000002</v>
      </c>
      <c r="AG32" s="190">
        <f>AE35*1.75</f>
        <v>7.7393750000000008</v>
      </c>
      <c r="AH32" s="190">
        <f>AE35*1.99</f>
        <v>8.8007749999999998</v>
      </c>
      <c r="AK32" s="185" t="s">
        <v>16</v>
      </c>
      <c r="AL32" s="190">
        <v>250</v>
      </c>
      <c r="AM32" s="184"/>
      <c r="AN32" s="184"/>
      <c r="AO32" s="184"/>
      <c r="AY32" s="10"/>
      <c r="AZ32" s="208"/>
      <c r="BA32" s="207"/>
      <c r="BB32" s="207"/>
      <c r="BC32" s="207"/>
    </row>
    <row r="33" spans="2:55" ht="23.25" x14ac:dyDescent="0.35">
      <c r="B33" s="177" t="s">
        <v>17</v>
      </c>
      <c r="C33" s="178">
        <v>500</v>
      </c>
      <c r="D33" s="967"/>
      <c r="E33" s="967"/>
      <c r="F33" s="173"/>
      <c r="I33" s="177" t="s">
        <v>17</v>
      </c>
      <c r="J33" s="178">
        <v>0</v>
      </c>
      <c r="K33" s="967"/>
      <c r="L33" s="967"/>
      <c r="M33" s="173"/>
      <c r="P33" s="215" t="s">
        <v>17</v>
      </c>
      <c r="Q33" s="216">
        <v>500</v>
      </c>
      <c r="R33" s="213"/>
      <c r="S33" s="213"/>
      <c r="T33" s="213"/>
      <c r="U33" s="10"/>
      <c r="V33" s="10"/>
      <c r="W33" s="215" t="s">
        <v>16</v>
      </c>
      <c r="X33" s="216">
        <v>350</v>
      </c>
      <c r="Y33" s="213"/>
      <c r="Z33" s="213"/>
      <c r="AA33" s="213"/>
      <c r="AD33" s="185" t="s">
        <v>17</v>
      </c>
      <c r="AE33" s="190">
        <v>500</v>
      </c>
      <c r="AF33" s="184"/>
      <c r="AG33" s="184"/>
      <c r="AH33" s="184"/>
      <c r="AK33" s="185" t="s">
        <v>17</v>
      </c>
      <c r="AL33" s="190">
        <v>750</v>
      </c>
      <c r="AM33" s="184"/>
      <c r="AN33" s="184"/>
      <c r="AO33" s="184"/>
      <c r="AY33" s="10"/>
      <c r="AZ33" s="208"/>
      <c r="BA33" s="207"/>
      <c r="BB33" s="207"/>
      <c r="BC33" s="207"/>
    </row>
    <row r="34" spans="2:55" ht="19.5" thickBot="1" x14ac:dyDescent="0.35">
      <c r="B34" s="177" t="s">
        <v>18</v>
      </c>
      <c r="C34" s="181">
        <v>2000</v>
      </c>
      <c r="D34" s="173"/>
      <c r="E34" s="173"/>
      <c r="F34" s="178"/>
      <c r="G34" s="208"/>
      <c r="H34" s="208"/>
      <c r="I34" s="177" t="s">
        <v>18</v>
      </c>
      <c r="J34" s="181">
        <v>4000</v>
      </c>
      <c r="K34" s="173"/>
      <c r="L34" s="173"/>
      <c r="M34" s="178"/>
      <c r="P34" s="215" t="s">
        <v>18</v>
      </c>
      <c r="Q34" s="221">
        <v>4000</v>
      </c>
      <c r="R34" s="213"/>
      <c r="S34" s="213"/>
      <c r="T34" s="213"/>
      <c r="U34" s="10"/>
      <c r="V34" s="10"/>
      <c r="W34" s="215" t="s">
        <v>17</v>
      </c>
      <c r="X34" s="216">
        <v>0</v>
      </c>
      <c r="Y34" s="253"/>
      <c r="Z34" s="253"/>
      <c r="AA34" s="216"/>
      <c r="AD34" s="185" t="s">
        <v>18</v>
      </c>
      <c r="AE34" s="193">
        <f>C34</f>
        <v>2000</v>
      </c>
      <c r="AF34" s="227"/>
      <c r="AG34" s="227"/>
      <c r="AH34" s="190"/>
      <c r="AK34" s="185" t="s">
        <v>18</v>
      </c>
      <c r="AL34" s="193">
        <v>3700</v>
      </c>
      <c r="AM34" s="227"/>
      <c r="AN34" s="227"/>
      <c r="AO34" s="190"/>
      <c r="AY34" s="10"/>
      <c r="AZ34" s="208"/>
      <c r="BA34" s="207"/>
      <c r="BB34" s="207"/>
      <c r="BC34" s="208"/>
    </row>
    <row r="35" spans="2:55" ht="19.5" thickBot="1" x14ac:dyDescent="0.35">
      <c r="B35" s="177"/>
      <c r="C35" s="178">
        <f>SUM(C22:C34)/F3</f>
        <v>2.7639999999999998</v>
      </c>
      <c r="D35" s="173"/>
      <c r="E35" s="173"/>
      <c r="F35" s="178"/>
      <c r="G35" s="208"/>
      <c r="H35" s="208"/>
      <c r="I35" s="177"/>
      <c r="J35" s="178">
        <f>SUM(J22:J34)/F3</f>
        <v>6.8475000000000001</v>
      </c>
      <c r="K35" s="173"/>
      <c r="L35" s="173"/>
      <c r="M35" s="178"/>
      <c r="P35" s="215"/>
      <c r="Q35" s="216">
        <f>SUM(Q22:Q34)/F3</f>
        <v>6.4749999999999996</v>
      </c>
      <c r="R35" s="213"/>
      <c r="S35" s="217"/>
      <c r="T35" s="216"/>
      <c r="U35" s="10"/>
      <c r="V35" s="10"/>
      <c r="W35" s="215" t="s">
        <v>18</v>
      </c>
      <c r="X35" s="221">
        <v>4000</v>
      </c>
      <c r="Y35" s="253"/>
      <c r="Z35" s="253"/>
      <c r="AA35" s="216"/>
      <c r="AD35" s="185"/>
      <c r="AE35" s="190">
        <f>SUM(AE22:AE34)/F3</f>
        <v>4.4225000000000003</v>
      </c>
      <c r="AF35" s="227"/>
      <c r="AG35" s="227"/>
      <c r="AH35" s="190"/>
      <c r="AK35" s="185"/>
      <c r="AL35" s="190">
        <f>SUM(AL22:AL34)/F3</f>
        <v>5.63</v>
      </c>
      <c r="AM35" s="227"/>
      <c r="AN35" s="227"/>
      <c r="AO35" s="190"/>
      <c r="AY35" s="10"/>
      <c r="AZ35" s="208"/>
      <c r="BA35" s="207"/>
      <c r="BB35" s="207"/>
      <c r="BC35" s="208"/>
    </row>
    <row r="36" spans="2:55" ht="21" x14ac:dyDescent="0.35">
      <c r="B36" s="177"/>
      <c r="C36" s="179"/>
      <c r="D36" s="173"/>
      <c r="E36" s="173"/>
      <c r="F36" s="178"/>
      <c r="G36" s="208"/>
      <c r="H36" s="208"/>
      <c r="I36" s="177"/>
      <c r="J36" s="179"/>
      <c r="K36" s="173"/>
      <c r="L36" s="173"/>
      <c r="M36" s="178"/>
      <c r="P36" s="215"/>
      <c r="Q36" s="213"/>
      <c r="R36" s="213"/>
      <c r="S36" s="217"/>
      <c r="T36" s="216"/>
      <c r="U36" s="10"/>
      <c r="V36" s="10"/>
      <c r="W36" s="215"/>
      <c r="X36" s="216">
        <f>SUM(X22:X35)/F3</f>
        <v>5.020833333333333</v>
      </c>
      <c r="Y36" s="220"/>
      <c r="Z36" s="220"/>
      <c r="AA36" s="216"/>
      <c r="AB36" s="86"/>
      <c r="AC36" s="86"/>
      <c r="AD36" s="3"/>
      <c r="AE36" s="92"/>
      <c r="AF36" s="92"/>
      <c r="AG36" s="92"/>
      <c r="AH36" s="92"/>
      <c r="AI36" s="10"/>
      <c r="AJ36" s="10"/>
      <c r="AY36" s="10"/>
      <c r="AZ36" s="10"/>
      <c r="BA36" s="10"/>
      <c r="BB36" s="10"/>
      <c r="BC36" s="10"/>
    </row>
    <row r="37" spans="2:55" ht="21" x14ac:dyDescent="0.35">
      <c r="B37" s="10"/>
      <c r="C37" s="207"/>
      <c r="D37" s="208"/>
      <c r="E37" s="208"/>
      <c r="F37" s="208"/>
      <c r="G37" s="208"/>
      <c r="H37" s="208"/>
      <c r="I37" s="208"/>
      <c r="J37" s="208"/>
      <c r="K37" s="208"/>
      <c r="L37" s="208"/>
      <c r="M37" s="208"/>
      <c r="P37" s="10"/>
      <c r="Q37" s="210"/>
      <c r="R37" s="210"/>
      <c r="S37" s="210"/>
      <c r="T37" s="208"/>
      <c r="U37" s="10"/>
      <c r="V37" s="10"/>
      <c r="W37" s="60"/>
      <c r="AB37" s="86"/>
      <c r="AC37" s="86"/>
      <c r="AD37" s="10"/>
      <c r="AE37" s="83"/>
      <c r="AF37" s="86"/>
      <c r="AG37" s="86"/>
      <c r="AH37" s="86"/>
      <c r="AI37" s="10"/>
      <c r="AJ37" s="10"/>
      <c r="AK37" s="10"/>
      <c r="AL37" s="207"/>
      <c r="AM37" s="208"/>
      <c r="AN37" s="208"/>
      <c r="AO37" s="208"/>
      <c r="AP37" s="84"/>
      <c r="AQ37" s="84"/>
    </row>
    <row r="38" spans="2:55" ht="18.75" x14ac:dyDescent="0.3">
      <c r="B38" s="10"/>
      <c r="C38" s="207"/>
      <c r="D38" s="208"/>
      <c r="E38" s="208"/>
      <c r="F38" s="208"/>
      <c r="G38" s="208"/>
      <c r="H38" s="208"/>
      <c r="I38" s="208"/>
      <c r="J38" s="208"/>
      <c r="K38" s="208"/>
      <c r="L38" s="208"/>
      <c r="M38" s="208"/>
      <c r="P38" s="10"/>
      <c r="Q38" s="207"/>
      <c r="R38" s="208"/>
      <c r="S38" s="208"/>
      <c r="T38" s="208"/>
      <c r="U38" s="10"/>
      <c r="V38" s="10"/>
      <c r="W38" s="60"/>
      <c r="AB38" s="86"/>
      <c r="AC38" s="86"/>
      <c r="AD38" s="10"/>
      <c r="AE38" s="83"/>
      <c r="AF38" s="86"/>
      <c r="AG38" s="86"/>
      <c r="AH38" s="86"/>
      <c r="AI38" s="10"/>
      <c r="AJ38" s="10"/>
      <c r="AK38" s="10"/>
      <c r="AL38" s="207"/>
      <c r="AM38" s="208"/>
      <c r="AN38" s="208"/>
      <c r="AO38" s="208"/>
      <c r="AP38" s="84"/>
      <c r="AQ38" s="84"/>
    </row>
    <row r="39" spans="2:55" ht="33.75" customHeight="1" x14ac:dyDescent="0.55000000000000004">
      <c r="B39" s="969" t="s">
        <v>37</v>
      </c>
      <c r="C39" s="969"/>
      <c r="D39" s="173"/>
      <c r="E39" s="173"/>
      <c r="F39" s="173"/>
      <c r="I39" s="970" t="s">
        <v>37</v>
      </c>
      <c r="J39" s="970"/>
      <c r="K39" s="417" t="s">
        <v>149</v>
      </c>
      <c r="L39" s="173"/>
      <c r="M39" s="173"/>
      <c r="P39" s="958" t="s">
        <v>110</v>
      </c>
      <c r="Q39" s="958"/>
      <c r="R39" s="214" t="s">
        <v>114</v>
      </c>
      <c r="S39" s="213"/>
      <c r="T39" s="213"/>
      <c r="U39" s="10"/>
      <c r="V39" s="10"/>
      <c r="W39" s="243" t="s">
        <v>110</v>
      </c>
      <c r="X39" s="962" t="s">
        <v>194</v>
      </c>
      <c r="Y39" s="962"/>
      <c r="Z39" s="962"/>
      <c r="AA39" s="962"/>
      <c r="AD39" s="195" t="s">
        <v>20</v>
      </c>
      <c r="AE39" s="196"/>
      <c r="AF39" s="197" t="s">
        <v>167</v>
      </c>
      <c r="AG39" s="184"/>
      <c r="AH39" s="184"/>
      <c r="AK39" s="419" t="s">
        <v>38</v>
      </c>
      <c r="AL39" s="963" t="s">
        <v>149</v>
      </c>
      <c r="AM39" s="963"/>
      <c r="AN39" s="963"/>
      <c r="AO39" s="963"/>
      <c r="AR39" s="955" t="s">
        <v>41</v>
      </c>
      <c r="AS39" s="955"/>
      <c r="AT39" s="955"/>
      <c r="AU39" s="955"/>
      <c r="AV39" s="198"/>
      <c r="AY39" s="955" t="s">
        <v>41</v>
      </c>
      <c r="AZ39" s="955"/>
      <c r="BA39" s="955"/>
      <c r="BB39" s="198"/>
      <c r="BC39" s="198"/>
    </row>
    <row r="40" spans="2:55" ht="33.75" x14ac:dyDescent="0.5">
      <c r="B40" s="972" t="s">
        <v>47</v>
      </c>
      <c r="C40" s="972"/>
      <c r="D40" s="173"/>
      <c r="E40" s="174" t="s">
        <v>167</v>
      </c>
      <c r="F40" s="173"/>
      <c r="I40" s="406" t="s">
        <v>47</v>
      </c>
      <c r="J40" s="406"/>
      <c r="K40" s="173"/>
      <c r="L40" s="173"/>
      <c r="M40" s="173"/>
      <c r="P40" s="956" t="s">
        <v>111</v>
      </c>
      <c r="Q40" s="956"/>
      <c r="R40" s="965" t="s">
        <v>26</v>
      </c>
      <c r="S40" s="965"/>
      <c r="T40" s="213"/>
      <c r="U40" s="10"/>
      <c r="V40" s="10"/>
      <c r="W40" s="255" t="s">
        <v>47</v>
      </c>
      <c r="X40" s="254"/>
      <c r="Y40" s="213"/>
      <c r="Z40" s="213"/>
      <c r="AA40" s="213"/>
      <c r="AD40" s="410" t="s">
        <v>47</v>
      </c>
      <c r="AE40" s="410"/>
      <c r="AF40" s="410"/>
      <c r="AG40" s="410"/>
      <c r="AH40" s="410"/>
      <c r="AK40" s="405" t="s">
        <v>47</v>
      </c>
      <c r="AL40" s="187"/>
      <c r="AM40" s="403"/>
      <c r="AN40" s="403"/>
      <c r="AO40" s="184"/>
      <c r="AR40" s="407" t="s">
        <v>47</v>
      </c>
      <c r="AS40" s="407"/>
      <c r="AT40" s="401"/>
      <c r="AU40" s="198"/>
      <c r="AV40" s="198"/>
      <c r="AY40" s="408" t="s">
        <v>47</v>
      </c>
      <c r="AZ40" s="408"/>
      <c r="BA40" s="198"/>
      <c r="BB40" s="198"/>
      <c r="BC40" s="198"/>
    </row>
    <row r="41" spans="2:55" ht="18.75" customHeight="1" x14ac:dyDescent="0.3">
      <c r="B41" s="177" t="s">
        <v>9</v>
      </c>
      <c r="C41" s="178">
        <f>2*1.3*F3</f>
        <v>10400</v>
      </c>
      <c r="D41" s="173"/>
      <c r="E41" s="173"/>
      <c r="F41" s="173"/>
      <c r="I41" s="177" t="s">
        <v>9</v>
      </c>
      <c r="J41" s="178">
        <f>1.5*1.2*4000</f>
        <v>7199.9999999999991</v>
      </c>
      <c r="K41" s="173"/>
      <c r="L41" s="173"/>
      <c r="M41" s="173"/>
      <c r="P41" s="215" t="s">
        <v>9</v>
      </c>
      <c r="Q41" s="216">
        <f>1.5*1*F3</f>
        <v>6000</v>
      </c>
      <c r="R41" s="213"/>
      <c r="S41" s="213"/>
      <c r="T41" s="213"/>
      <c r="U41" s="10"/>
      <c r="V41" s="10"/>
      <c r="W41" s="215" t="s">
        <v>9</v>
      </c>
      <c r="X41" s="216">
        <f>2*6*F3</f>
        <v>48000</v>
      </c>
      <c r="Y41" s="213"/>
      <c r="Z41" s="213"/>
      <c r="AA41" s="213"/>
      <c r="AD41" s="185" t="s">
        <v>9</v>
      </c>
      <c r="AE41" s="190">
        <f>1.5*2*F3</f>
        <v>12000</v>
      </c>
      <c r="AF41" s="410"/>
      <c r="AG41" s="410"/>
      <c r="AH41" s="410"/>
      <c r="AK41" s="188" t="s">
        <v>9</v>
      </c>
      <c r="AL41" s="189">
        <f>1.5*2*F3</f>
        <v>12000</v>
      </c>
      <c r="AM41" s="184"/>
      <c r="AN41" s="184"/>
      <c r="AO41" s="184"/>
      <c r="AR41" s="199" t="s">
        <v>9</v>
      </c>
      <c r="AS41" s="202">
        <f>1.5*5.31*F3</f>
        <v>31860</v>
      </c>
      <c r="AT41" s="198"/>
      <c r="AU41" s="198"/>
      <c r="AV41" s="198"/>
      <c r="AY41" s="199" t="s">
        <v>9</v>
      </c>
      <c r="AZ41" s="202">
        <f>1.5*5.31*F3</f>
        <v>31860</v>
      </c>
      <c r="BA41" s="198"/>
      <c r="BB41" s="198"/>
      <c r="BC41" s="198"/>
    </row>
    <row r="42" spans="2:55" ht="18.75" customHeight="1" x14ac:dyDescent="0.4">
      <c r="B42" s="177" t="s">
        <v>1</v>
      </c>
      <c r="C42" s="178">
        <v>700</v>
      </c>
      <c r="D42" s="173"/>
      <c r="E42" s="173"/>
      <c r="F42" s="173"/>
      <c r="I42" s="177" t="s">
        <v>1</v>
      </c>
      <c r="J42" s="178">
        <v>1000</v>
      </c>
      <c r="K42" s="180" t="s">
        <v>22</v>
      </c>
      <c r="L42" s="180" t="s">
        <v>23</v>
      </c>
      <c r="M42" s="180" t="s">
        <v>24</v>
      </c>
      <c r="P42" s="215" t="s">
        <v>1</v>
      </c>
      <c r="Q42" s="216">
        <v>1400</v>
      </c>
      <c r="R42" s="213"/>
      <c r="S42" s="413" t="s">
        <v>167</v>
      </c>
      <c r="T42" s="213"/>
      <c r="U42" s="10"/>
      <c r="V42" s="10"/>
      <c r="W42" s="215" t="s">
        <v>1</v>
      </c>
      <c r="X42" s="216">
        <v>1500</v>
      </c>
      <c r="Y42" s="213"/>
      <c r="Z42" s="213"/>
      <c r="AA42" s="213"/>
      <c r="AD42" s="185" t="s">
        <v>1</v>
      </c>
      <c r="AE42" s="190">
        <v>700</v>
      </c>
      <c r="AF42" s="410"/>
      <c r="AG42" s="410"/>
      <c r="AH42" s="410"/>
      <c r="AK42" s="185" t="s">
        <v>1</v>
      </c>
      <c r="AL42" s="190">
        <v>700</v>
      </c>
      <c r="AM42" s="184"/>
      <c r="AN42" s="184"/>
      <c r="AO42" s="184"/>
      <c r="AR42" s="199" t="s">
        <v>1</v>
      </c>
      <c r="AS42" s="202">
        <v>700</v>
      </c>
      <c r="AT42" s="198"/>
      <c r="AU42" s="198"/>
      <c r="AV42" s="198"/>
      <c r="AY42" s="199" t="s">
        <v>1</v>
      </c>
      <c r="AZ42" s="202">
        <v>700</v>
      </c>
      <c r="BA42" s="198"/>
      <c r="BB42" s="198"/>
      <c r="BC42" s="198"/>
    </row>
    <row r="43" spans="2:55" ht="18.75" customHeight="1" x14ac:dyDescent="0.3">
      <c r="B43" s="177" t="s">
        <v>10</v>
      </c>
      <c r="C43" s="178">
        <v>3500</v>
      </c>
      <c r="D43" s="173"/>
      <c r="E43" s="173"/>
      <c r="F43" s="173"/>
      <c r="I43" s="177" t="s">
        <v>10</v>
      </c>
      <c r="J43" s="178">
        <v>4500</v>
      </c>
      <c r="K43" s="180">
        <f>K48</f>
        <v>13.256250000000001</v>
      </c>
      <c r="L43" s="180">
        <f>L48</f>
        <v>15.02375</v>
      </c>
      <c r="M43" s="180">
        <f>M48</f>
        <v>17.586625000000002</v>
      </c>
      <c r="P43" s="215" t="s">
        <v>10</v>
      </c>
      <c r="Q43" s="216">
        <v>4500</v>
      </c>
      <c r="R43" s="213"/>
      <c r="S43" s="213"/>
      <c r="T43" s="213"/>
      <c r="U43" s="10"/>
      <c r="V43" s="10"/>
      <c r="W43" s="215" t="s">
        <v>10</v>
      </c>
      <c r="X43" s="216">
        <v>8000</v>
      </c>
      <c r="Y43" s="213"/>
      <c r="Z43" s="213"/>
      <c r="AA43" s="213"/>
      <c r="AD43" s="185" t="s">
        <v>10</v>
      </c>
      <c r="AE43" s="190">
        <v>3500</v>
      </c>
      <c r="AF43" s="410"/>
      <c r="AG43" s="410"/>
      <c r="AH43" s="410"/>
      <c r="AK43" s="185" t="s">
        <v>10</v>
      </c>
      <c r="AL43" s="190">
        <v>3500</v>
      </c>
      <c r="AM43" s="184"/>
      <c r="AN43" s="184"/>
      <c r="AO43" s="184"/>
      <c r="AR43" s="199" t="s">
        <v>10</v>
      </c>
      <c r="AS43" s="202">
        <v>2500</v>
      </c>
      <c r="AT43" s="198"/>
      <c r="AU43" s="198"/>
      <c r="AV43" s="198"/>
      <c r="AY43" s="199" t="s">
        <v>10</v>
      </c>
      <c r="AZ43" s="202">
        <v>2500</v>
      </c>
      <c r="BA43" s="203" t="s">
        <v>22</v>
      </c>
      <c r="BB43" s="203" t="s">
        <v>23</v>
      </c>
      <c r="BC43" s="203" t="s">
        <v>24</v>
      </c>
    </row>
    <row r="44" spans="2:55" ht="21" customHeight="1" x14ac:dyDescent="0.35">
      <c r="B44" s="177" t="s">
        <v>58</v>
      </c>
      <c r="C44" s="178">
        <v>1500</v>
      </c>
      <c r="D44" s="180" t="s">
        <v>22</v>
      </c>
      <c r="E44" s="180" t="s">
        <v>23</v>
      </c>
      <c r="F44" s="180" t="s">
        <v>24</v>
      </c>
      <c r="G44" s="415"/>
      <c r="H44" s="415"/>
      <c r="I44" s="177" t="s">
        <v>11</v>
      </c>
      <c r="J44" s="178">
        <v>2000</v>
      </c>
      <c r="K44" s="179"/>
      <c r="L44" s="179"/>
      <c r="M44" s="179"/>
      <c r="P44" s="215" t="s">
        <v>58</v>
      </c>
      <c r="Q44" s="216">
        <v>4500</v>
      </c>
      <c r="R44" s="964"/>
      <c r="S44" s="964"/>
      <c r="T44" s="964"/>
      <c r="U44" s="10"/>
      <c r="V44" s="10"/>
      <c r="W44" s="215" t="s">
        <v>11</v>
      </c>
      <c r="X44" s="216">
        <v>5000</v>
      </c>
      <c r="Y44" s="213"/>
      <c r="Z44" s="213"/>
      <c r="AA44" s="213"/>
      <c r="AD44" s="185" t="s">
        <v>11</v>
      </c>
      <c r="AE44" s="190">
        <v>1000</v>
      </c>
      <c r="AF44" s="410"/>
      <c r="AG44" s="410"/>
      <c r="AH44" s="410"/>
      <c r="AK44" s="185" t="s">
        <v>195</v>
      </c>
      <c r="AL44" s="190">
        <f>1.5*11000</f>
        <v>16500</v>
      </c>
      <c r="AM44" s="184"/>
      <c r="AN44" s="184"/>
      <c r="AO44" s="184"/>
      <c r="AR44" s="199" t="s">
        <v>11</v>
      </c>
      <c r="AS44" s="202">
        <v>0</v>
      </c>
      <c r="AT44" s="198"/>
      <c r="AU44" s="198"/>
      <c r="AV44" s="198"/>
      <c r="AY44" s="199" t="s">
        <v>11</v>
      </c>
      <c r="AZ44" s="202">
        <v>1000</v>
      </c>
      <c r="BA44" s="203">
        <f>BA49</f>
        <v>16.080500000000001</v>
      </c>
      <c r="BB44" s="203">
        <f>BB49</f>
        <v>19.407499999999999</v>
      </c>
      <c r="BC44" s="203">
        <f>BC49</f>
        <v>22.069099999999999</v>
      </c>
    </row>
    <row r="45" spans="2:55" ht="21" x14ac:dyDescent="0.35">
      <c r="B45" s="177" t="s">
        <v>11</v>
      </c>
      <c r="C45" s="178">
        <v>1000</v>
      </c>
      <c r="D45" s="180">
        <f>D50</f>
        <v>7.588750000000001</v>
      </c>
      <c r="E45" s="180">
        <f>E50</f>
        <v>10.215625000000001</v>
      </c>
      <c r="F45" s="180">
        <f>F50</f>
        <v>11.616625000000001</v>
      </c>
      <c r="G45" s="415"/>
      <c r="H45" s="415"/>
      <c r="I45" s="177" t="s">
        <v>94</v>
      </c>
      <c r="J45" s="178">
        <f>1.5*9500</f>
        <v>14250</v>
      </c>
      <c r="K45" s="173"/>
      <c r="L45" s="173"/>
      <c r="M45" s="173"/>
      <c r="P45" s="215" t="s">
        <v>11</v>
      </c>
      <c r="Q45" s="216">
        <v>2000</v>
      </c>
      <c r="R45" s="219" t="s">
        <v>22</v>
      </c>
      <c r="S45" s="219" t="s">
        <v>23</v>
      </c>
      <c r="T45" s="219" t="s">
        <v>24</v>
      </c>
      <c r="W45" s="215" t="s">
        <v>12</v>
      </c>
      <c r="X45" s="216">
        <v>2000</v>
      </c>
      <c r="Y45" s="213"/>
      <c r="Z45" s="213"/>
      <c r="AA45" s="213"/>
      <c r="AD45" s="185" t="s">
        <v>58</v>
      </c>
      <c r="AE45" s="190">
        <v>3000</v>
      </c>
      <c r="AF45" s="191" t="s">
        <v>22</v>
      </c>
      <c r="AG45" s="191" t="s">
        <v>23</v>
      </c>
      <c r="AH45" s="191" t="s">
        <v>24</v>
      </c>
      <c r="AK45" s="185" t="s">
        <v>11</v>
      </c>
      <c r="AL45" s="190">
        <v>2000</v>
      </c>
      <c r="AM45" s="191" t="s">
        <v>22</v>
      </c>
      <c r="AN45" s="191" t="s">
        <v>23</v>
      </c>
      <c r="AO45" s="191" t="s">
        <v>24</v>
      </c>
      <c r="AR45" s="199" t="s">
        <v>12</v>
      </c>
      <c r="AS45" s="202">
        <v>0</v>
      </c>
      <c r="AT45" s="203" t="s">
        <v>22</v>
      </c>
      <c r="AU45" s="203" t="s">
        <v>23</v>
      </c>
      <c r="AV45" s="203" t="s">
        <v>24</v>
      </c>
      <c r="AY45" s="199" t="s">
        <v>13</v>
      </c>
      <c r="AZ45" s="202">
        <v>1500</v>
      </c>
      <c r="BA45" s="204"/>
      <c r="BB45" s="204"/>
      <c r="BC45" s="204"/>
    </row>
    <row r="46" spans="2:55" ht="21" x14ac:dyDescent="0.35">
      <c r="B46" s="177" t="s">
        <v>12</v>
      </c>
      <c r="C46" s="178">
        <v>2000</v>
      </c>
      <c r="D46" s="179"/>
      <c r="E46" s="179"/>
      <c r="F46" s="179"/>
      <c r="G46" s="210"/>
      <c r="H46" s="210"/>
      <c r="I46" s="177" t="s">
        <v>12</v>
      </c>
      <c r="J46" s="178">
        <v>2000</v>
      </c>
      <c r="K46" s="173"/>
      <c r="L46" s="173"/>
      <c r="M46" s="173"/>
      <c r="N46" s="209"/>
      <c r="O46" s="209"/>
      <c r="P46" s="215" t="s">
        <v>12</v>
      </c>
      <c r="Q46" s="216">
        <v>1000</v>
      </c>
      <c r="R46" s="219">
        <f>R51</f>
        <v>9.28125</v>
      </c>
      <c r="S46" s="219">
        <f>S51</f>
        <v>10.209375</v>
      </c>
      <c r="T46" s="219">
        <f>T51</f>
        <v>12.99375</v>
      </c>
      <c r="U46" s="10"/>
      <c r="V46" s="10"/>
      <c r="W46" s="215" t="s">
        <v>94</v>
      </c>
      <c r="X46" s="216">
        <v>13000</v>
      </c>
      <c r="Y46" s="219" t="s">
        <v>22</v>
      </c>
      <c r="Z46" s="219" t="s">
        <v>23</v>
      </c>
      <c r="AA46" s="219" t="s">
        <v>24</v>
      </c>
      <c r="AD46" s="185" t="s">
        <v>12</v>
      </c>
      <c r="AE46" s="190">
        <v>0</v>
      </c>
      <c r="AF46" s="191">
        <f>AF52</f>
        <v>8.9599999999999991</v>
      </c>
      <c r="AG46" s="191">
        <f>AG52</f>
        <v>11.200000000000001</v>
      </c>
      <c r="AH46" s="191">
        <f>AH52</f>
        <v>12.736000000000001</v>
      </c>
      <c r="AK46" s="185" t="s">
        <v>58</v>
      </c>
      <c r="AL46" s="190">
        <v>0</v>
      </c>
      <c r="AM46" s="191">
        <f>AM51</f>
        <v>14.862499999999999</v>
      </c>
      <c r="AN46" s="191">
        <f>AN51</f>
        <v>16.912499999999998</v>
      </c>
      <c r="AO46" s="191">
        <f>AO51</f>
        <v>19.474999999999998</v>
      </c>
      <c r="AR46" s="199" t="s">
        <v>14</v>
      </c>
      <c r="AS46" s="202">
        <v>0</v>
      </c>
      <c r="AT46" s="203">
        <f>AT50</f>
        <v>14.648624999999999</v>
      </c>
      <c r="AU46" s="203">
        <f>AU50</f>
        <v>17.679375</v>
      </c>
      <c r="AV46" s="203">
        <f>AV50</f>
        <v>20.103974999999998</v>
      </c>
      <c r="AY46" s="199" t="s">
        <v>12</v>
      </c>
      <c r="AZ46" s="202">
        <v>1000</v>
      </c>
      <c r="BA46" s="228"/>
      <c r="BB46" s="228"/>
      <c r="BC46" s="229"/>
    </row>
    <row r="47" spans="2:55" ht="21" x14ac:dyDescent="0.35">
      <c r="B47" s="177" t="s">
        <v>14</v>
      </c>
      <c r="C47" s="178">
        <v>100</v>
      </c>
      <c r="D47" s="173"/>
      <c r="E47" s="173"/>
      <c r="F47" s="173"/>
      <c r="I47" s="177" t="s">
        <v>14</v>
      </c>
      <c r="J47" s="178">
        <v>0</v>
      </c>
      <c r="K47" s="182">
        <v>0.4</v>
      </c>
      <c r="L47" s="182">
        <v>0.6</v>
      </c>
      <c r="M47" s="182">
        <v>0.9</v>
      </c>
      <c r="N47" s="209"/>
      <c r="O47" s="209"/>
      <c r="P47" s="215" t="s">
        <v>14</v>
      </c>
      <c r="Q47" s="216">
        <v>200</v>
      </c>
      <c r="R47" s="213"/>
      <c r="S47" s="217"/>
      <c r="T47" s="217"/>
      <c r="U47" s="10"/>
      <c r="V47" s="10"/>
      <c r="W47" s="215" t="s">
        <v>14</v>
      </c>
      <c r="X47" s="216">
        <v>0</v>
      </c>
      <c r="Y47" s="219">
        <f>Y52</f>
        <v>29.90625</v>
      </c>
      <c r="Z47" s="219">
        <f>Z52</f>
        <v>36.09375</v>
      </c>
      <c r="AA47" s="219">
        <f>AA52</f>
        <v>41.043750000000003</v>
      </c>
      <c r="AD47" s="185" t="s">
        <v>14</v>
      </c>
      <c r="AE47" s="190">
        <v>500</v>
      </c>
      <c r="AF47" s="409"/>
      <c r="AG47" s="409"/>
      <c r="AH47" s="409"/>
      <c r="AK47" s="185" t="s">
        <v>12</v>
      </c>
      <c r="AL47" s="190">
        <v>2000</v>
      </c>
      <c r="AM47" s="192"/>
      <c r="AN47" s="192"/>
      <c r="AO47" s="192"/>
      <c r="AR47" s="199" t="s">
        <v>15</v>
      </c>
      <c r="AS47" s="202">
        <v>0</v>
      </c>
      <c r="AT47" s="204"/>
      <c r="AU47" s="204"/>
      <c r="AV47" s="204"/>
      <c r="AY47" s="199" t="s">
        <v>14</v>
      </c>
      <c r="AZ47" s="202">
        <v>200</v>
      </c>
      <c r="BA47" s="198"/>
      <c r="BB47" s="198"/>
      <c r="BC47" s="198"/>
    </row>
    <row r="48" spans="2:55" ht="21" x14ac:dyDescent="0.35">
      <c r="B48" s="177" t="s">
        <v>15</v>
      </c>
      <c r="C48" s="178">
        <v>100</v>
      </c>
      <c r="D48" s="173"/>
      <c r="E48" s="173"/>
      <c r="F48" s="173"/>
      <c r="I48" s="177" t="s">
        <v>531</v>
      </c>
      <c r="J48" s="178">
        <v>0</v>
      </c>
      <c r="K48" s="178">
        <f>J54*1.5</f>
        <v>13.256250000000001</v>
      </c>
      <c r="L48" s="178">
        <f>J54*1.7</f>
        <v>15.02375</v>
      </c>
      <c r="M48" s="178">
        <f>J54*1.99</f>
        <v>17.586625000000002</v>
      </c>
      <c r="N48" s="209"/>
      <c r="O48" s="209"/>
      <c r="P48" s="215" t="s">
        <v>15</v>
      </c>
      <c r="Q48" s="216">
        <v>200</v>
      </c>
      <c r="R48" s="213"/>
      <c r="S48" s="217"/>
      <c r="T48" s="217"/>
      <c r="U48" s="209"/>
      <c r="V48" s="209"/>
      <c r="W48" s="215" t="s">
        <v>15</v>
      </c>
      <c r="X48" s="216">
        <v>0</v>
      </c>
      <c r="Y48" s="220"/>
      <c r="Z48" s="220"/>
      <c r="AA48" s="220"/>
      <c r="AD48" s="185" t="s">
        <v>15</v>
      </c>
      <c r="AE48" s="190">
        <v>50</v>
      </c>
      <c r="AF48" s="409"/>
      <c r="AG48" s="409"/>
      <c r="AH48" s="409"/>
      <c r="AK48" s="185" t="s">
        <v>14</v>
      </c>
      <c r="AL48" s="190">
        <v>0</v>
      </c>
      <c r="AM48" s="184"/>
      <c r="AN48" s="184"/>
      <c r="AO48" s="184"/>
      <c r="AR48" s="199" t="s">
        <v>27</v>
      </c>
      <c r="AS48" s="202">
        <v>200</v>
      </c>
      <c r="AT48" s="198"/>
      <c r="AU48" s="198"/>
      <c r="AV48" s="198"/>
      <c r="AY48" s="199" t="s">
        <v>15</v>
      </c>
      <c r="AZ48" s="202">
        <v>200</v>
      </c>
      <c r="BA48" s="206">
        <v>0.4</v>
      </c>
      <c r="BB48" s="206">
        <v>0.6</v>
      </c>
      <c r="BC48" s="206">
        <v>0.9</v>
      </c>
    </row>
    <row r="49" spans="2:61" ht="21" x14ac:dyDescent="0.35">
      <c r="B49" s="177" t="s">
        <v>27</v>
      </c>
      <c r="C49" s="178">
        <v>100</v>
      </c>
      <c r="D49" s="182">
        <v>0.4</v>
      </c>
      <c r="E49" s="182">
        <v>0.6</v>
      </c>
      <c r="F49" s="182">
        <v>0.9</v>
      </c>
      <c r="G49" s="416"/>
      <c r="H49" s="416"/>
      <c r="I49" s="177" t="s">
        <v>27</v>
      </c>
      <c r="J49" s="178">
        <v>100</v>
      </c>
      <c r="K49" s="179"/>
      <c r="L49" s="179"/>
      <c r="M49" s="179"/>
      <c r="P49" s="215" t="s">
        <v>27</v>
      </c>
      <c r="Q49" s="216">
        <v>300</v>
      </c>
      <c r="R49" s="220">
        <f>R46/F3</f>
        <v>2.3203124999999999E-3</v>
      </c>
      <c r="S49" s="220">
        <f>S46/F3</f>
        <v>2.5523437499999999E-3</v>
      </c>
      <c r="T49" s="220">
        <f>T46/F3</f>
        <v>3.2484375E-3</v>
      </c>
      <c r="U49" s="209"/>
      <c r="V49" s="209"/>
      <c r="W49" s="215" t="s">
        <v>27</v>
      </c>
      <c r="X49" s="216">
        <v>200</v>
      </c>
      <c r="Y49" s="213"/>
      <c r="Z49" s="213"/>
      <c r="AA49" s="213"/>
      <c r="AD49" s="185" t="s">
        <v>27</v>
      </c>
      <c r="AE49" s="190">
        <v>200</v>
      </c>
      <c r="AF49" s="409"/>
      <c r="AG49" s="409"/>
      <c r="AH49" s="409"/>
      <c r="AK49" s="185" t="s">
        <v>15</v>
      </c>
      <c r="AL49" s="190">
        <v>0</v>
      </c>
      <c r="AM49" s="184"/>
      <c r="AN49" s="184"/>
      <c r="AO49" s="184"/>
      <c r="AR49" s="199" t="s">
        <v>28</v>
      </c>
      <c r="AS49" s="202">
        <v>100</v>
      </c>
      <c r="AT49" s="206">
        <v>0.4</v>
      </c>
      <c r="AU49" s="206">
        <v>0.6</v>
      </c>
      <c r="AV49" s="206">
        <v>0.9</v>
      </c>
      <c r="AY49" s="199" t="s">
        <v>27</v>
      </c>
      <c r="AZ49" s="202">
        <v>200</v>
      </c>
      <c r="BA49" s="202">
        <f>AZ54*1.45</f>
        <v>16.080500000000001</v>
      </c>
      <c r="BB49" s="202">
        <f>AZ54*1.75</f>
        <v>19.407499999999999</v>
      </c>
      <c r="BC49" s="202">
        <f>AZ54*1.99</f>
        <v>22.069099999999999</v>
      </c>
    </row>
    <row r="50" spans="2:61" ht="21" x14ac:dyDescent="0.35">
      <c r="B50" s="177" t="s">
        <v>28</v>
      </c>
      <c r="C50" s="178">
        <v>100</v>
      </c>
      <c r="D50" s="178">
        <f>C54*1.3</f>
        <v>7.588750000000001</v>
      </c>
      <c r="E50" s="178">
        <f>C54*1.75</f>
        <v>10.215625000000001</v>
      </c>
      <c r="F50" s="178">
        <f>C54*1.99</f>
        <v>11.616625000000001</v>
      </c>
      <c r="G50" s="208"/>
      <c r="H50" s="208"/>
      <c r="I50" s="177" t="s">
        <v>28</v>
      </c>
      <c r="J50" s="178">
        <v>0</v>
      </c>
      <c r="K50" s="173"/>
      <c r="L50" s="173"/>
      <c r="M50" s="173"/>
      <c r="P50" s="215" t="s">
        <v>28</v>
      </c>
      <c r="Q50" s="216">
        <v>100</v>
      </c>
      <c r="R50" s="222">
        <v>0.4</v>
      </c>
      <c r="S50" s="222">
        <v>0.6</v>
      </c>
      <c r="T50" s="222">
        <v>0.9</v>
      </c>
      <c r="U50" s="209"/>
      <c r="V50" s="209"/>
      <c r="W50" s="215" t="s">
        <v>28</v>
      </c>
      <c r="X50" s="216">
        <v>100</v>
      </c>
      <c r="Y50" s="213"/>
      <c r="Z50" s="213"/>
      <c r="AA50" s="213"/>
      <c r="AD50" s="185" t="s">
        <v>28</v>
      </c>
      <c r="AE50" s="190">
        <v>100</v>
      </c>
      <c r="AF50" s="409"/>
      <c r="AG50" s="409"/>
      <c r="AH50" s="409"/>
      <c r="AK50" s="185" t="s">
        <v>27</v>
      </c>
      <c r="AL50" s="190">
        <v>200</v>
      </c>
      <c r="AM50" s="194">
        <v>0.4</v>
      </c>
      <c r="AN50" s="194">
        <v>0.6</v>
      </c>
      <c r="AO50" s="194">
        <v>0.9</v>
      </c>
      <c r="AR50" s="199" t="s">
        <v>16</v>
      </c>
      <c r="AS50" s="202">
        <v>300</v>
      </c>
      <c r="AT50" s="202">
        <f>AS53*1.45</f>
        <v>14.648624999999999</v>
      </c>
      <c r="AU50" s="202">
        <f>AS53*1.75</f>
        <v>17.679375</v>
      </c>
      <c r="AV50" s="202">
        <f>AS53*1.99</f>
        <v>20.103974999999998</v>
      </c>
      <c r="AY50" s="199" t="s">
        <v>28</v>
      </c>
      <c r="AZ50" s="202">
        <v>100</v>
      </c>
      <c r="BA50" s="204"/>
      <c r="BB50" s="204"/>
      <c r="BC50" s="204"/>
    </row>
    <row r="51" spans="2:61" ht="21" x14ac:dyDescent="0.35">
      <c r="B51" s="177" t="s">
        <v>16</v>
      </c>
      <c r="C51" s="178">
        <v>350</v>
      </c>
      <c r="D51" s="179"/>
      <c r="E51" s="179"/>
      <c r="F51" s="179"/>
      <c r="G51" s="210"/>
      <c r="H51" s="210"/>
      <c r="I51" s="177" t="s">
        <v>16</v>
      </c>
      <c r="J51" s="178">
        <v>250</v>
      </c>
      <c r="K51" s="173"/>
      <c r="L51" s="173"/>
      <c r="M51" s="173"/>
      <c r="P51" s="215" t="s">
        <v>16</v>
      </c>
      <c r="Q51" s="216">
        <v>350</v>
      </c>
      <c r="R51" s="216">
        <f>Q54*1.5</f>
        <v>9.28125</v>
      </c>
      <c r="S51" s="216">
        <f>Q54*1.65</f>
        <v>10.209375</v>
      </c>
      <c r="T51" s="216">
        <f>Q54*2.1</f>
        <v>12.99375</v>
      </c>
      <c r="U51" s="10"/>
      <c r="V51" s="10"/>
      <c r="W51" s="215" t="s">
        <v>16</v>
      </c>
      <c r="X51" s="216">
        <v>250</v>
      </c>
      <c r="Y51" s="222">
        <v>0.4</v>
      </c>
      <c r="Z51" s="222">
        <v>0.6</v>
      </c>
      <c r="AA51" s="222">
        <v>0.9</v>
      </c>
      <c r="AD51" s="185" t="s">
        <v>16</v>
      </c>
      <c r="AE51" s="190">
        <f>C51</f>
        <v>350</v>
      </c>
      <c r="AF51" s="194">
        <v>0.4</v>
      </c>
      <c r="AG51" s="194">
        <v>0.6</v>
      </c>
      <c r="AH51" s="194">
        <v>0.9</v>
      </c>
      <c r="AK51" s="185" t="s">
        <v>28</v>
      </c>
      <c r="AL51" s="190">
        <v>100</v>
      </c>
      <c r="AM51" s="190">
        <f>AL55*1.45</f>
        <v>14.862499999999999</v>
      </c>
      <c r="AN51" s="190">
        <f>AL55*1.65</f>
        <v>16.912499999999998</v>
      </c>
      <c r="AO51" s="190">
        <f>AL55*1.9</f>
        <v>19.474999999999998</v>
      </c>
      <c r="AR51" s="199" t="s">
        <v>17</v>
      </c>
      <c r="AS51" s="202">
        <v>750</v>
      </c>
      <c r="AT51" s="204"/>
      <c r="AU51" s="204"/>
      <c r="AV51" s="204"/>
      <c r="AY51" s="199" t="s">
        <v>16</v>
      </c>
      <c r="AZ51" s="202">
        <v>350</v>
      </c>
      <c r="BA51" s="228"/>
      <c r="BB51" s="228"/>
      <c r="BC51" s="229"/>
    </row>
    <row r="52" spans="2:61" ht="19.5" thickBot="1" x14ac:dyDescent="0.35">
      <c r="B52" s="177" t="s">
        <v>17</v>
      </c>
      <c r="C52" s="178">
        <v>0</v>
      </c>
      <c r="D52" s="173"/>
      <c r="E52" s="173"/>
      <c r="F52" s="173"/>
      <c r="I52" s="177" t="s">
        <v>17</v>
      </c>
      <c r="J52" s="178">
        <v>50</v>
      </c>
      <c r="K52" s="173"/>
      <c r="L52" s="173"/>
      <c r="M52" s="173"/>
      <c r="P52" s="215" t="s">
        <v>17</v>
      </c>
      <c r="Q52" s="216">
        <v>500</v>
      </c>
      <c r="R52" s="213"/>
      <c r="S52" s="213"/>
      <c r="T52" s="213"/>
      <c r="U52" s="10"/>
      <c r="V52" s="10"/>
      <c r="W52" s="215" t="s">
        <v>17</v>
      </c>
      <c r="X52" s="216">
        <v>750</v>
      </c>
      <c r="Y52" s="216">
        <f>X54*1.45</f>
        <v>29.90625</v>
      </c>
      <c r="Z52" s="216">
        <f>X54*1.75</f>
        <v>36.09375</v>
      </c>
      <c r="AA52" s="216">
        <f>X54*1.99</f>
        <v>41.043750000000003</v>
      </c>
      <c r="AD52" s="185" t="s">
        <v>17</v>
      </c>
      <c r="AE52" s="190">
        <v>500</v>
      </c>
      <c r="AF52" s="190">
        <f>AE54*1.4</f>
        <v>8.9599999999999991</v>
      </c>
      <c r="AG52" s="190">
        <f>AE54*1.75</f>
        <v>11.200000000000001</v>
      </c>
      <c r="AH52" s="190">
        <f>AE54*1.99</f>
        <v>12.736000000000001</v>
      </c>
      <c r="AK52" s="185" t="s">
        <v>16</v>
      </c>
      <c r="AL52" s="190">
        <v>250</v>
      </c>
      <c r="AM52" s="184"/>
      <c r="AN52" s="184"/>
      <c r="AO52" s="184"/>
      <c r="AR52" s="199" t="s">
        <v>18</v>
      </c>
      <c r="AS52" s="205">
        <v>4000</v>
      </c>
      <c r="AT52" s="228"/>
      <c r="AU52" s="228"/>
      <c r="AV52" s="202"/>
      <c r="AY52" s="199" t="s">
        <v>17</v>
      </c>
      <c r="AZ52" s="202">
        <v>750</v>
      </c>
      <c r="BA52" s="228"/>
      <c r="BB52" s="228"/>
      <c r="BC52" s="229"/>
    </row>
    <row r="53" spans="2:61" ht="21.75" thickBot="1" x14ac:dyDescent="0.4">
      <c r="B53" s="177" t="s">
        <v>18</v>
      </c>
      <c r="C53" s="181">
        <v>3500</v>
      </c>
      <c r="D53" s="173">
        <f>C54+1</f>
        <v>6.8375000000000004</v>
      </c>
      <c r="E53" s="173"/>
      <c r="F53" s="178"/>
      <c r="G53" s="208"/>
      <c r="H53" s="208"/>
      <c r="I53" s="177" t="s">
        <v>18</v>
      </c>
      <c r="J53" s="181">
        <v>4000</v>
      </c>
      <c r="K53" s="173"/>
      <c r="L53" s="173"/>
      <c r="M53" s="178"/>
      <c r="P53" s="215" t="s">
        <v>18</v>
      </c>
      <c r="Q53" s="221">
        <v>3700</v>
      </c>
      <c r="R53" s="213"/>
      <c r="S53" s="217"/>
      <c r="T53" s="216"/>
      <c r="U53" s="10"/>
      <c r="V53" s="10"/>
      <c r="W53" s="215" t="s">
        <v>18</v>
      </c>
      <c r="X53" s="221">
        <v>3700</v>
      </c>
      <c r="Y53" s="220"/>
      <c r="Z53" s="220"/>
      <c r="AA53" s="220"/>
      <c r="AD53" s="185" t="s">
        <v>18</v>
      </c>
      <c r="AE53" s="193">
        <v>3700</v>
      </c>
      <c r="AF53" s="192"/>
      <c r="AG53" s="192"/>
      <c r="AH53" s="192"/>
      <c r="AK53" s="185" t="s">
        <v>17</v>
      </c>
      <c r="AL53" s="190">
        <v>50</v>
      </c>
      <c r="AM53" s="226"/>
      <c r="AN53" s="226"/>
      <c r="AO53" s="190"/>
      <c r="AR53" s="199"/>
      <c r="AS53" s="202">
        <f>SUM(AS41:AS52)/F3</f>
        <v>10.102499999999999</v>
      </c>
      <c r="AT53" s="228"/>
      <c r="AU53" s="228"/>
      <c r="AV53" s="202"/>
      <c r="AY53" s="199" t="s">
        <v>18</v>
      </c>
      <c r="AZ53" s="205">
        <v>4000</v>
      </c>
      <c r="BA53" s="228"/>
      <c r="BB53" s="228"/>
      <c r="BC53" s="202"/>
    </row>
    <row r="54" spans="2:61" ht="21.75" thickBot="1" x14ac:dyDescent="0.4">
      <c r="B54" s="177"/>
      <c r="C54" s="178">
        <f>SUM(C41:C53)/F3</f>
        <v>5.8375000000000004</v>
      </c>
      <c r="D54" s="173"/>
      <c r="E54" s="173"/>
      <c r="F54" s="178"/>
      <c r="G54" s="208"/>
      <c r="H54" s="208"/>
      <c r="I54" s="177"/>
      <c r="J54" s="178">
        <f>SUM(J41:J53)/F3</f>
        <v>8.8375000000000004</v>
      </c>
      <c r="K54" s="173"/>
      <c r="L54" s="173"/>
      <c r="M54" s="178"/>
      <c r="P54" s="215"/>
      <c r="Q54" s="216">
        <f>SUM(Q41:Q53)/F3</f>
        <v>6.1875</v>
      </c>
      <c r="R54" s="213"/>
      <c r="S54" s="217"/>
      <c r="T54" s="216"/>
      <c r="U54" s="10"/>
      <c r="V54" s="10"/>
      <c r="W54" s="215"/>
      <c r="X54" s="216">
        <f>SUM(X41:X53)/F3</f>
        <v>20.625</v>
      </c>
      <c r="Y54" s="253"/>
      <c r="Z54" s="253"/>
      <c r="AA54" s="216"/>
      <c r="AD54" s="185"/>
      <c r="AE54" s="190">
        <f>SUM(AE41:AE53)/F3</f>
        <v>6.4</v>
      </c>
      <c r="AF54" s="227">
        <f>AF52-AE54</f>
        <v>2.5599999999999987</v>
      </c>
      <c r="AG54" s="227"/>
      <c r="AH54" s="190"/>
      <c r="AK54" s="185" t="s">
        <v>18</v>
      </c>
      <c r="AL54" s="193">
        <v>3700</v>
      </c>
      <c r="AM54" s="226"/>
      <c r="AN54" s="226"/>
      <c r="AO54" s="190"/>
      <c r="AR54" s="199"/>
      <c r="AS54" s="204"/>
      <c r="AT54" s="228"/>
      <c r="AU54" s="228"/>
      <c r="AV54" s="202"/>
      <c r="AY54" s="199"/>
      <c r="AZ54" s="202">
        <f>SUM(AZ41:AZ53)/F3</f>
        <v>11.09</v>
      </c>
      <c r="BA54" s="228"/>
      <c r="BB54" s="228"/>
      <c r="BC54" s="202"/>
    </row>
    <row r="55" spans="2:61" ht="21" x14ac:dyDescent="0.35">
      <c r="B55" s="177"/>
      <c r="C55" s="179"/>
      <c r="D55" s="173"/>
      <c r="E55" s="173"/>
      <c r="F55" s="178"/>
      <c r="G55" s="208"/>
      <c r="H55" s="208"/>
      <c r="I55" s="177"/>
      <c r="J55" s="179"/>
      <c r="K55" s="173"/>
      <c r="L55" s="173"/>
      <c r="M55" s="178"/>
      <c r="U55" s="10"/>
      <c r="V55" s="10"/>
      <c r="AD55" s="185"/>
      <c r="AE55" s="192"/>
      <c r="AF55" s="227"/>
      <c r="AG55" s="227"/>
      <c r="AH55" s="190"/>
      <c r="AK55" s="185"/>
      <c r="AL55" s="190">
        <f>SUM(AL41:AL54)/F3</f>
        <v>10.25</v>
      </c>
      <c r="AM55" s="192"/>
      <c r="AN55" s="192"/>
      <c r="AO55" s="190"/>
      <c r="BE55" s="10"/>
      <c r="BF55" s="210"/>
      <c r="BG55" s="207"/>
      <c r="BH55" s="207"/>
      <c r="BI55" s="208"/>
    </row>
    <row r="56" spans="2:61" ht="21" x14ac:dyDescent="0.35">
      <c r="B56" s="10"/>
      <c r="C56" s="207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U56" s="10"/>
      <c r="V56" s="10"/>
      <c r="W56" s="3"/>
      <c r="X56" s="92"/>
      <c r="Y56" s="92"/>
      <c r="Z56" s="92"/>
      <c r="AA56" s="92"/>
      <c r="AB56" s="86"/>
      <c r="AC56" s="86"/>
      <c r="AR56" s="3"/>
      <c r="AS56" s="83"/>
      <c r="AT56" s="83"/>
      <c r="AU56" s="83"/>
      <c r="AV56" s="83"/>
    </row>
    <row r="57" spans="2:61" ht="18.75" x14ac:dyDescent="0.3">
      <c r="B57" s="10"/>
      <c r="C57" s="207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U57" s="10"/>
      <c r="V57" s="10"/>
      <c r="W57" s="10"/>
      <c r="X57" s="83"/>
      <c r="Y57" s="86"/>
      <c r="Z57" s="86"/>
      <c r="AA57" s="86"/>
      <c r="AB57" s="86"/>
      <c r="AC57" s="86"/>
      <c r="AD57" s="3"/>
      <c r="AE57" s="8"/>
      <c r="AF57" s="5"/>
      <c r="AG57" s="5"/>
      <c r="AH57" s="4"/>
      <c r="AI57" s="10"/>
      <c r="AJ57" s="10"/>
    </row>
    <row r="58" spans="2:61" ht="18.75" x14ac:dyDescent="0.3">
      <c r="P58" s="10"/>
      <c r="Q58" s="207"/>
      <c r="R58" s="208"/>
      <c r="S58" s="208"/>
      <c r="T58" s="208"/>
      <c r="U58" s="10"/>
      <c r="V58" s="10"/>
      <c r="AI58" s="10"/>
      <c r="AJ58" s="10"/>
    </row>
    <row r="59" spans="2:61" x14ac:dyDescent="0.25">
      <c r="U59" s="10"/>
      <c r="V59" s="10"/>
      <c r="AI59" s="10"/>
      <c r="AJ59" s="10"/>
    </row>
    <row r="60" spans="2:61" x14ac:dyDescent="0.25">
      <c r="U60" s="10"/>
      <c r="V60" s="10"/>
      <c r="AI60" s="10"/>
      <c r="AJ60" s="10"/>
    </row>
    <row r="61" spans="2:61" ht="28.5" customHeight="1" x14ac:dyDescent="0.25">
      <c r="U61" s="10"/>
      <c r="V61" s="10"/>
      <c r="AI61" s="10"/>
      <c r="AJ61" s="10"/>
    </row>
    <row r="62" spans="2:61" ht="18.75" customHeight="1" x14ac:dyDescent="0.25">
      <c r="U62" s="10"/>
      <c r="V62" s="10"/>
      <c r="AI62" s="10"/>
      <c r="AJ62" s="10"/>
    </row>
    <row r="63" spans="2:61" x14ac:dyDescent="0.25">
      <c r="U63" s="10"/>
      <c r="V63" s="10"/>
      <c r="AI63" s="10"/>
      <c r="AJ63" s="10"/>
    </row>
    <row r="64" spans="2:61" x14ac:dyDescent="0.25">
      <c r="AI64" s="10"/>
      <c r="AJ64" s="10"/>
    </row>
    <row r="65" spans="2:36" ht="18.75" x14ac:dyDescent="0.3">
      <c r="N65" s="209"/>
      <c r="O65" s="209"/>
      <c r="U65" s="10"/>
      <c r="V65" s="10"/>
      <c r="AI65" s="209"/>
      <c r="AJ65" s="209"/>
    </row>
    <row r="66" spans="2:36" ht="21" x14ac:dyDescent="0.35">
      <c r="N66" s="209"/>
      <c r="O66" s="209"/>
      <c r="U66" s="232"/>
      <c r="V66" s="232"/>
      <c r="AI66" s="209"/>
      <c r="AJ66" s="209"/>
    </row>
    <row r="67" spans="2:36" ht="18.75" x14ac:dyDescent="0.3">
      <c r="N67" s="209"/>
      <c r="O67" s="209"/>
      <c r="U67" s="209"/>
      <c r="V67" s="209"/>
      <c r="AI67" s="209"/>
      <c r="AJ67" s="209"/>
    </row>
    <row r="68" spans="2:36" ht="18.75" x14ac:dyDescent="0.3">
      <c r="U68" s="209"/>
      <c r="V68" s="209"/>
      <c r="AI68" s="10"/>
      <c r="AJ68" s="10"/>
    </row>
    <row r="69" spans="2:36" ht="18.75" x14ac:dyDescent="0.3">
      <c r="U69" s="209"/>
      <c r="V69" s="209"/>
      <c r="AI69" s="10"/>
      <c r="AJ69" s="10"/>
    </row>
    <row r="70" spans="2:36" x14ac:dyDescent="0.25">
      <c r="U70" s="10"/>
      <c r="V70" s="10"/>
      <c r="AI70" s="10"/>
      <c r="AJ70" s="10"/>
    </row>
    <row r="71" spans="2:36" x14ac:dyDescent="0.25">
      <c r="U71" s="10"/>
      <c r="V71" s="10"/>
      <c r="AI71" s="10"/>
      <c r="AJ71" s="10"/>
    </row>
    <row r="72" spans="2:36" x14ac:dyDescent="0.25">
      <c r="U72" s="10"/>
      <c r="V72" s="10"/>
      <c r="AI72" s="10"/>
      <c r="AJ72" s="10"/>
    </row>
    <row r="73" spans="2:36" x14ac:dyDescent="0.25">
      <c r="U73" s="10"/>
      <c r="V73" s="10"/>
      <c r="AI73" s="10"/>
      <c r="AJ73" s="10"/>
    </row>
    <row r="74" spans="2:36" x14ac:dyDescent="0.25">
      <c r="U74" s="10"/>
      <c r="V74" s="10"/>
    </row>
    <row r="75" spans="2:36" ht="18.75" x14ac:dyDescent="0.3">
      <c r="B75" s="10"/>
      <c r="C75" s="207"/>
      <c r="D75" s="208"/>
      <c r="E75" s="208"/>
      <c r="F75" s="208"/>
      <c r="G75" s="208"/>
      <c r="H75" s="208"/>
      <c r="I75" s="208"/>
      <c r="J75" s="208"/>
      <c r="K75" s="208"/>
      <c r="L75" s="208"/>
      <c r="M75" s="208"/>
      <c r="U75" s="10"/>
      <c r="V75" s="10"/>
    </row>
    <row r="76" spans="2:36" ht="18.75" x14ac:dyDescent="0.3">
      <c r="B76" s="10"/>
      <c r="C76" s="207"/>
      <c r="D76" s="208"/>
      <c r="E76" s="208"/>
      <c r="F76" s="208"/>
      <c r="G76" s="208"/>
      <c r="H76" s="208"/>
      <c r="I76" s="208"/>
      <c r="J76" s="208"/>
      <c r="K76" s="208"/>
      <c r="L76" s="208"/>
      <c r="M76" s="208"/>
      <c r="AH76" s="208"/>
      <c r="AI76" s="10"/>
      <c r="AJ76" s="10"/>
    </row>
    <row r="77" spans="2:36" x14ac:dyDescent="0.25">
      <c r="U77" s="10"/>
      <c r="V77" s="10"/>
    </row>
    <row r="78" spans="2:36" x14ac:dyDescent="0.25">
      <c r="U78" s="10"/>
      <c r="V78" s="10"/>
    </row>
    <row r="79" spans="2:36" ht="39.75" customHeight="1" x14ac:dyDescent="0.25">
      <c r="U79" s="10"/>
      <c r="V79" s="10"/>
    </row>
    <row r="80" spans="2:36" ht="34.5" customHeight="1" x14ac:dyDescent="0.25">
      <c r="U80" s="10"/>
      <c r="V80" s="10"/>
    </row>
    <row r="81" spans="14:30" ht="24" customHeight="1" x14ac:dyDescent="0.25">
      <c r="U81" s="10"/>
      <c r="V81" s="10"/>
    </row>
    <row r="82" spans="14:30" ht="18.75" customHeight="1" x14ac:dyDescent="0.25">
      <c r="U82" s="10"/>
      <c r="V82" s="10"/>
    </row>
    <row r="84" spans="14:30" x14ac:dyDescent="0.25">
      <c r="U84" s="10"/>
      <c r="V84" s="10"/>
    </row>
    <row r="85" spans="14:30" ht="21" x14ac:dyDescent="0.35">
      <c r="N85" s="209"/>
      <c r="O85" s="209"/>
      <c r="U85" s="232"/>
      <c r="V85" s="232"/>
    </row>
    <row r="86" spans="14:30" ht="18.75" x14ac:dyDescent="0.3">
      <c r="N86" s="209"/>
      <c r="O86" s="209"/>
      <c r="U86" s="209"/>
      <c r="V86" s="209"/>
    </row>
    <row r="87" spans="14:30" ht="18.75" x14ac:dyDescent="0.3">
      <c r="N87" s="209"/>
      <c r="O87" s="209"/>
      <c r="U87" s="209"/>
      <c r="V87" s="209"/>
    </row>
    <row r="88" spans="14:30" ht="18.75" x14ac:dyDescent="0.3">
      <c r="U88" s="209"/>
      <c r="V88" s="209"/>
    </row>
    <row r="89" spans="14:30" x14ac:dyDescent="0.25">
      <c r="U89" s="10"/>
      <c r="V89" s="10"/>
    </row>
    <row r="90" spans="14:30" x14ac:dyDescent="0.25">
      <c r="U90" s="10"/>
      <c r="V90" s="10"/>
    </row>
    <row r="91" spans="14:30" x14ac:dyDescent="0.25">
      <c r="U91" s="10"/>
      <c r="V91" s="10"/>
    </row>
    <row r="92" spans="14:30" x14ac:dyDescent="0.25">
      <c r="U92" s="10"/>
      <c r="V92" s="10"/>
    </row>
    <row r="93" spans="14:30" x14ac:dyDescent="0.25">
      <c r="U93" s="10"/>
      <c r="V93" s="10"/>
    </row>
    <row r="94" spans="14:30" ht="21" x14ac:dyDescent="0.35">
      <c r="P94" s="10"/>
      <c r="Q94" s="210"/>
      <c r="R94" s="210"/>
      <c r="S94" s="210"/>
      <c r="T94" s="208"/>
      <c r="U94" s="10"/>
      <c r="V94" s="10"/>
    </row>
    <row r="95" spans="14:30" ht="18.75" x14ac:dyDescent="0.3">
      <c r="AB95" s="208"/>
      <c r="AC95" s="208"/>
      <c r="AD95" s="10"/>
    </row>
    <row r="96" spans="14:30" ht="18.75" x14ac:dyDescent="0.3">
      <c r="P96" s="10"/>
      <c r="Q96" s="207"/>
      <c r="R96" s="208"/>
      <c r="S96" s="208"/>
      <c r="T96" s="208"/>
      <c r="U96" s="10"/>
      <c r="V96" s="10"/>
      <c r="AB96" s="83"/>
      <c r="AC96" s="83"/>
      <c r="AD96" s="3"/>
    </row>
    <row r="97" spans="21:30" x14ac:dyDescent="0.25">
      <c r="AD97" s="10"/>
    </row>
    <row r="98" spans="21:30" x14ac:dyDescent="0.25">
      <c r="U98" s="10"/>
      <c r="V98" s="10"/>
      <c r="AD98" s="10"/>
    </row>
    <row r="99" spans="21:30" x14ac:dyDescent="0.25">
      <c r="U99" s="10"/>
      <c r="V99" s="10"/>
      <c r="AD99" s="10"/>
    </row>
    <row r="100" spans="21:30" x14ac:dyDescent="0.25">
      <c r="U100" s="10"/>
      <c r="V100" s="10"/>
      <c r="AD100" s="10"/>
    </row>
    <row r="101" spans="21:30" x14ac:dyDescent="0.25">
      <c r="U101" s="10"/>
      <c r="V101" s="10"/>
      <c r="AD101" s="10"/>
    </row>
    <row r="102" spans="21:30" x14ac:dyDescent="0.25">
      <c r="U102" s="10"/>
      <c r="V102" s="10"/>
      <c r="AD102" s="10"/>
    </row>
    <row r="103" spans="21:30" ht="18.75" x14ac:dyDescent="0.3">
      <c r="AD103" s="209"/>
    </row>
    <row r="104" spans="21:30" ht="18.75" x14ac:dyDescent="0.3">
      <c r="U104" s="10"/>
      <c r="V104" s="10"/>
      <c r="AD104" s="209"/>
    </row>
    <row r="105" spans="21:30" ht="21" x14ac:dyDescent="0.35">
      <c r="U105" s="232"/>
      <c r="V105" s="232"/>
      <c r="AD105" s="209"/>
    </row>
    <row r="106" spans="21:30" ht="18.75" x14ac:dyDescent="0.3">
      <c r="U106" s="209"/>
      <c r="V106" s="209"/>
      <c r="AD106" s="10"/>
    </row>
    <row r="107" spans="21:30" ht="18.75" x14ac:dyDescent="0.3">
      <c r="U107" s="209"/>
      <c r="V107" s="209"/>
      <c r="AD107" s="10"/>
    </row>
    <row r="108" spans="21:30" ht="18.75" x14ac:dyDescent="0.3">
      <c r="U108" s="209"/>
      <c r="V108" s="209"/>
      <c r="AD108" s="10"/>
    </row>
    <row r="109" spans="21:30" x14ac:dyDescent="0.25">
      <c r="U109" s="10"/>
      <c r="V109" s="10"/>
      <c r="AD109" s="10"/>
    </row>
    <row r="110" spans="21:30" x14ac:dyDescent="0.25">
      <c r="U110" s="10"/>
      <c r="V110" s="10"/>
      <c r="AD110" s="10"/>
    </row>
    <row r="111" spans="21:30" x14ac:dyDescent="0.25">
      <c r="U111" s="10"/>
      <c r="V111" s="10"/>
      <c r="AD111" s="10"/>
    </row>
    <row r="112" spans="21:30" x14ac:dyDescent="0.25">
      <c r="U112" s="10"/>
      <c r="V112" s="10"/>
      <c r="AD112" s="10"/>
    </row>
    <row r="113" spans="2:30" x14ac:dyDescent="0.25">
      <c r="U113" s="10"/>
      <c r="V113" s="10"/>
      <c r="AD113" s="10"/>
    </row>
    <row r="114" spans="2:30" ht="21" x14ac:dyDescent="0.35">
      <c r="P114" s="10"/>
      <c r="Q114" s="210"/>
      <c r="R114" s="210"/>
      <c r="S114" s="210"/>
      <c r="T114" s="208"/>
      <c r="U114" s="10"/>
      <c r="V114" s="10"/>
      <c r="AD114" s="60"/>
    </row>
    <row r="115" spans="2:30" ht="18.75" x14ac:dyDescent="0.3">
      <c r="B115" s="10"/>
      <c r="C115" s="207"/>
      <c r="D115" s="208"/>
      <c r="E115" s="208"/>
      <c r="F115" s="208"/>
      <c r="G115" s="208"/>
      <c r="H115" s="208"/>
      <c r="I115" s="208"/>
      <c r="J115" s="208"/>
      <c r="K115" s="208"/>
      <c r="L115" s="208"/>
      <c r="M115" s="208"/>
      <c r="P115" s="10"/>
      <c r="Q115" s="207"/>
      <c r="R115" s="208"/>
      <c r="S115" s="208"/>
      <c r="T115" s="208"/>
      <c r="U115" s="10"/>
      <c r="V115" s="10"/>
      <c r="W115" s="60"/>
      <c r="AD115" s="60"/>
    </row>
    <row r="116" spans="2:30" x14ac:dyDescent="0.25">
      <c r="AD116" s="10"/>
    </row>
    <row r="117" spans="2:30" x14ac:dyDescent="0.25">
      <c r="AD117" s="10"/>
    </row>
    <row r="118" spans="2:30" x14ac:dyDescent="0.25">
      <c r="AD118" s="10"/>
    </row>
    <row r="119" spans="2:30" x14ac:dyDescent="0.25">
      <c r="AD119" s="10"/>
    </row>
    <row r="120" spans="2:30" x14ac:dyDescent="0.25">
      <c r="AD120" s="10"/>
    </row>
    <row r="121" spans="2:30" x14ac:dyDescent="0.25">
      <c r="AD121" s="10"/>
    </row>
    <row r="122" spans="2:30" x14ac:dyDescent="0.25">
      <c r="AD122" s="10"/>
    </row>
    <row r="123" spans="2:30" ht="18.75" x14ac:dyDescent="0.3">
      <c r="AD123" s="209"/>
    </row>
    <row r="124" spans="2:30" ht="18.75" x14ac:dyDescent="0.3">
      <c r="AD124" s="209"/>
    </row>
    <row r="125" spans="2:30" ht="18.75" x14ac:dyDescent="0.3">
      <c r="AD125" s="209"/>
    </row>
    <row r="126" spans="2:30" x14ac:dyDescent="0.25">
      <c r="AD126" s="10"/>
    </row>
    <row r="127" spans="2:30" x14ac:dyDescent="0.25">
      <c r="AD127" s="10"/>
    </row>
    <row r="128" spans="2:30" x14ac:dyDescent="0.25">
      <c r="AD128" s="10"/>
    </row>
    <row r="129" spans="2:30" x14ac:dyDescent="0.25">
      <c r="AD129" s="10"/>
    </row>
    <row r="130" spans="2:30" x14ac:dyDescent="0.25">
      <c r="AD130" s="10"/>
    </row>
    <row r="131" spans="2:30" x14ac:dyDescent="0.25">
      <c r="AD131" s="10"/>
    </row>
    <row r="132" spans="2:30" x14ac:dyDescent="0.25">
      <c r="AD132" s="10"/>
    </row>
    <row r="133" spans="2:30" ht="18.75" x14ac:dyDescent="0.3">
      <c r="B133" s="10"/>
      <c r="C133" s="207"/>
      <c r="D133" s="208"/>
      <c r="E133" s="208"/>
      <c r="F133" s="208"/>
      <c r="G133" s="208"/>
      <c r="H133" s="208"/>
      <c r="I133" s="208"/>
      <c r="J133" s="208"/>
      <c r="K133" s="208"/>
      <c r="L133" s="208"/>
      <c r="M133" s="208"/>
      <c r="AD133" s="60"/>
    </row>
    <row r="134" spans="2:30" ht="18.75" x14ac:dyDescent="0.3">
      <c r="B134" s="10"/>
      <c r="C134" s="207"/>
      <c r="D134" s="208"/>
      <c r="E134" s="208"/>
      <c r="F134" s="208"/>
      <c r="G134" s="208"/>
      <c r="H134" s="208"/>
      <c r="I134" s="208"/>
      <c r="J134" s="208"/>
      <c r="K134" s="208"/>
      <c r="L134" s="208"/>
      <c r="M134" s="208"/>
      <c r="AD134" s="60"/>
    </row>
    <row r="152" spans="2:16" ht="18.75" x14ac:dyDescent="0.3">
      <c r="B152" s="10"/>
      <c r="C152" s="207"/>
      <c r="D152" s="208"/>
      <c r="E152" s="208"/>
      <c r="F152" s="208"/>
      <c r="G152" s="208"/>
      <c r="H152" s="208"/>
      <c r="I152" s="208"/>
      <c r="J152" s="208"/>
      <c r="K152" s="208"/>
      <c r="L152" s="208"/>
      <c r="M152" s="208"/>
      <c r="P152" s="10"/>
    </row>
    <row r="153" spans="2:16" ht="18.75" x14ac:dyDescent="0.3">
      <c r="B153" s="10"/>
      <c r="C153" s="207"/>
      <c r="D153" s="208"/>
      <c r="E153" s="208"/>
      <c r="F153" s="208"/>
      <c r="G153" s="208"/>
      <c r="H153" s="208"/>
      <c r="I153" s="208"/>
      <c r="J153" s="208"/>
      <c r="K153" s="208"/>
      <c r="L153" s="208"/>
      <c r="M153" s="208"/>
      <c r="P153" s="10"/>
    </row>
    <row r="154" spans="2:16" ht="18.75" x14ac:dyDescent="0.3">
      <c r="D154" s="86"/>
      <c r="E154" s="86"/>
      <c r="F154" s="86"/>
      <c r="G154" s="208"/>
      <c r="H154" s="208"/>
      <c r="I154" s="86"/>
      <c r="J154" s="86"/>
      <c r="K154" s="86"/>
      <c r="L154" s="86"/>
      <c r="M154" s="86"/>
    </row>
    <row r="165" spans="2:17" ht="23.25" x14ac:dyDescent="0.35">
      <c r="P165" s="9"/>
      <c r="Q165" s="78"/>
    </row>
    <row r="172" spans="2:17" ht="18.75" x14ac:dyDescent="0.3">
      <c r="B172" s="10"/>
      <c r="C172" s="207"/>
      <c r="D172" s="208"/>
      <c r="E172" s="208"/>
      <c r="F172" s="208"/>
      <c r="G172" s="208"/>
      <c r="H172" s="208"/>
      <c r="I172" s="208"/>
      <c r="J172" s="208"/>
      <c r="K172" s="208"/>
      <c r="L172" s="208"/>
      <c r="M172" s="208"/>
      <c r="P172" s="10"/>
    </row>
    <row r="173" spans="2:17" ht="18.75" x14ac:dyDescent="0.3">
      <c r="B173" s="10"/>
      <c r="C173" s="207"/>
      <c r="D173" s="208"/>
      <c r="E173" s="208"/>
      <c r="F173" s="208"/>
      <c r="G173" s="208"/>
      <c r="H173" s="208"/>
      <c r="I173" s="208"/>
      <c r="J173" s="208"/>
      <c r="K173" s="208"/>
      <c r="L173" s="208"/>
      <c r="M173" s="208"/>
      <c r="P173" s="10"/>
    </row>
    <row r="186" spans="2:17" ht="23.25" x14ac:dyDescent="0.35">
      <c r="P186" s="9"/>
      <c r="Q186" s="78"/>
    </row>
    <row r="192" spans="2:17" ht="18.75" x14ac:dyDescent="0.3">
      <c r="B192" s="10"/>
      <c r="C192" s="207"/>
      <c r="D192" s="208"/>
      <c r="E192" s="208"/>
      <c r="F192" s="208"/>
      <c r="G192" s="208"/>
      <c r="H192" s="208"/>
      <c r="I192" s="208"/>
      <c r="J192" s="208"/>
      <c r="K192" s="208"/>
      <c r="L192" s="208"/>
      <c r="M192" s="208"/>
      <c r="P192" s="10"/>
    </row>
    <row r="193" spans="2:17" ht="18.75" x14ac:dyDescent="0.3">
      <c r="B193" s="10"/>
      <c r="C193" s="207"/>
      <c r="D193" s="208"/>
      <c r="E193" s="208"/>
      <c r="F193" s="208"/>
      <c r="G193" s="208"/>
      <c r="H193" s="208"/>
      <c r="I193" s="208"/>
      <c r="J193" s="208"/>
      <c r="K193" s="208"/>
      <c r="L193" s="208"/>
      <c r="M193" s="208"/>
      <c r="P193" s="10"/>
    </row>
    <row r="203" spans="2:17" ht="23.25" x14ac:dyDescent="0.35">
      <c r="P203" s="9"/>
      <c r="Q203" s="78"/>
    </row>
    <row r="209" spans="2:17" ht="21" x14ac:dyDescent="0.35">
      <c r="P209" s="7"/>
      <c r="Q209" s="92"/>
    </row>
    <row r="211" spans="2:17" ht="18.75" x14ac:dyDescent="0.3">
      <c r="B211" s="10"/>
      <c r="C211" s="207"/>
      <c r="D211" s="208"/>
      <c r="E211" s="208"/>
      <c r="F211" s="208"/>
      <c r="G211" s="208"/>
      <c r="H211" s="208"/>
      <c r="I211" s="208"/>
      <c r="J211" s="208"/>
      <c r="K211" s="208"/>
      <c r="L211" s="208"/>
      <c r="M211" s="208"/>
      <c r="P211" s="10"/>
    </row>
    <row r="212" spans="2:17" ht="18.75" x14ac:dyDescent="0.3">
      <c r="B212" s="10"/>
      <c r="C212" s="207"/>
      <c r="D212" s="208"/>
      <c r="E212" s="208"/>
      <c r="F212" s="208"/>
      <c r="G212" s="208"/>
      <c r="H212" s="208"/>
      <c r="I212" s="208"/>
      <c r="J212" s="208"/>
      <c r="K212" s="208"/>
      <c r="L212" s="208"/>
      <c r="M212" s="208"/>
      <c r="P212" s="10"/>
    </row>
    <row r="213" spans="2:17" x14ac:dyDescent="0.25">
      <c r="B213" s="10"/>
      <c r="C213" s="207"/>
      <c r="D213" s="207"/>
      <c r="E213" s="207"/>
      <c r="F213" s="207"/>
      <c r="I213" s="207"/>
      <c r="J213" s="207"/>
      <c r="K213" s="207"/>
      <c r="L213" s="207"/>
      <c r="M213" s="207"/>
      <c r="P213" s="10"/>
    </row>
    <row r="214" spans="2:17" x14ac:dyDescent="0.25">
      <c r="B214" s="10"/>
      <c r="C214" s="207"/>
      <c r="D214" s="207"/>
      <c r="E214" s="207"/>
      <c r="F214" s="207"/>
      <c r="I214" s="207"/>
      <c r="J214" s="207"/>
      <c r="K214" s="207"/>
      <c r="L214" s="207"/>
      <c r="M214" s="207"/>
      <c r="P214" s="10"/>
    </row>
    <row r="215" spans="2:17" x14ac:dyDescent="0.25">
      <c r="B215" s="10"/>
      <c r="C215" s="207"/>
      <c r="D215" s="207"/>
      <c r="E215" s="207"/>
      <c r="F215" s="207"/>
      <c r="I215" s="207"/>
      <c r="J215" s="207"/>
      <c r="K215" s="207"/>
      <c r="L215" s="207"/>
      <c r="M215" s="207"/>
      <c r="P215" s="10"/>
    </row>
    <row r="225" spans="3:17" ht="23.25" x14ac:dyDescent="0.35">
      <c r="P225" s="9"/>
      <c r="Q225" s="78"/>
    </row>
    <row r="231" spans="3:17" ht="21" x14ac:dyDescent="0.35">
      <c r="C231" s="92"/>
      <c r="D231" s="92"/>
      <c r="E231" s="92"/>
      <c r="F231" s="86"/>
      <c r="G231" s="208"/>
      <c r="H231" s="208"/>
      <c r="I231" s="86"/>
      <c r="J231" s="86"/>
      <c r="K231" s="86"/>
      <c r="L231" s="86"/>
      <c r="M231" s="86"/>
      <c r="P231" s="7"/>
      <c r="Q231" s="92"/>
    </row>
    <row r="232" spans="3:17" ht="18.75" x14ac:dyDescent="0.3">
      <c r="D232" s="86"/>
      <c r="E232" s="86"/>
      <c r="F232" s="86"/>
      <c r="G232" s="208"/>
      <c r="H232" s="208"/>
      <c r="I232" s="86"/>
      <c r="J232" s="86"/>
      <c r="K232" s="86"/>
      <c r="L232" s="86"/>
      <c r="M232" s="86"/>
    </row>
    <row r="233" spans="3:17" ht="18.75" x14ac:dyDescent="0.3">
      <c r="D233" s="86"/>
      <c r="E233" s="86"/>
      <c r="F233" s="86"/>
      <c r="G233" s="208"/>
      <c r="H233" s="208"/>
      <c r="I233" s="86"/>
      <c r="J233" s="86"/>
      <c r="K233" s="86"/>
      <c r="L233" s="86"/>
      <c r="M233" s="86"/>
    </row>
  </sheetData>
  <mergeCells count="25">
    <mergeCell ref="R44:T44"/>
    <mergeCell ref="R40:S40"/>
    <mergeCell ref="AF20:AG20"/>
    <mergeCell ref="K33:L33"/>
    <mergeCell ref="B1:C1"/>
    <mergeCell ref="AD1:AE1"/>
    <mergeCell ref="B39:C39"/>
    <mergeCell ref="I39:J39"/>
    <mergeCell ref="I1:J1"/>
    <mergeCell ref="B40:C40"/>
    <mergeCell ref="B20:C20"/>
    <mergeCell ref="D33:E33"/>
    <mergeCell ref="I20:J20"/>
    <mergeCell ref="AY39:BA39"/>
    <mergeCell ref="P40:Q40"/>
    <mergeCell ref="AT1:AV1"/>
    <mergeCell ref="P39:Q39"/>
    <mergeCell ref="AR39:AU39"/>
    <mergeCell ref="AR1:AS1"/>
    <mergeCell ref="AD20:AE20"/>
    <mergeCell ref="P2:Q2"/>
    <mergeCell ref="X20:AA20"/>
    <mergeCell ref="X1:AA1"/>
    <mergeCell ref="X39:AA39"/>
    <mergeCell ref="AL39:AO39"/>
  </mergeCells>
  <pageMargins left="0.7" right="0.7" top="0.75" bottom="0.75" header="0.3" footer="0.3"/>
  <pageSetup scale="75" orientation="portrait" r:id="rId1"/>
  <rowBreaks count="4" manualBreakCount="4">
    <brk id="38" max="54" man="1"/>
    <brk id="115" max="54" man="1"/>
    <brk id="154" max="54" man="1"/>
    <brk id="193" max="54" man="1"/>
  </rowBreaks>
  <colBreaks count="6" manualBreakCount="6">
    <brk id="7" max="229" man="1"/>
    <brk id="14" max="229" man="1"/>
    <brk id="21" max="229" man="1"/>
    <brk id="28" max="229" man="1"/>
    <brk id="35" max="229" man="1"/>
    <brk id="49" max="229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E4976-E05E-4471-8753-D651A2A07464}">
  <dimension ref="A2:E18"/>
  <sheetViews>
    <sheetView workbookViewId="0">
      <selection activeCell="C24" sqref="C24"/>
    </sheetView>
  </sheetViews>
  <sheetFormatPr baseColWidth="10" defaultRowHeight="15" x14ac:dyDescent="0.25"/>
  <cols>
    <col min="1" max="1" width="32.5703125" customWidth="1"/>
    <col min="2" max="2" width="17.5703125" customWidth="1"/>
    <col min="3" max="3" width="16.5703125" customWidth="1"/>
    <col min="4" max="4" width="13.42578125" customWidth="1"/>
    <col min="5" max="5" width="14.85546875" customWidth="1"/>
  </cols>
  <sheetData>
    <row r="2" spans="1:5" ht="36" x14ac:dyDescent="0.55000000000000004">
      <c r="A2" s="195" t="s">
        <v>556</v>
      </c>
      <c r="B2" s="196"/>
      <c r="C2" s="197" t="s">
        <v>167</v>
      </c>
      <c r="D2" s="184"/>
      <c r="E2" s="184"/>
    </row>
    <row r="3" spans="1:5" ht="28.5" x14ac:dyDescent="0.25">
      <c r="A3" s="410" t="s">
        <v>557</v>
      </c>
      <c r="B3" s="410"/>
      <c r="C3" s="410"/>
      <c r="D3" s="410"/>
      <c r="E3" s="410"/>
    </row>
    <row r="4" spans="1:5" ht="28.5" x14ac:dyDescent="0.3">
      <c r="A4" s="185" t="s">
        <v>9</v>
      </c>
      <c r="B4" s="190">
        <f>1.5*5*4000</f>
        <v>30000</v>
      </c>
      <c r="C4" s="410"/>
      <c r="D4" s="410"/>
      <c r="E4" s="410"/>
    </row>
    <row r="5" spans="1:5" ht="28.5" x14ac:dyDescent="0.3">
      <c r="A5" s="185" t="s">
        <v>1</v>
      </c>
      <c r="B5" s="190">
        <v>700</v>
      </c>
      <c r="C5" s="410"/>
      <c r="D5" s="410"/>
      <c r="E5" s="410"/>
    </row>
    <row r="6" spans="1:5" ht="28.5" x14ac:dyDescent="0.3">
      <c r="A6" s="185" t="s">
        <v>10</v>
      </c>
      <c r="B6" s="190">
        <v>5000</v>
      </c>
      <c r="C6" s="410"/>
      <c r="D6" s="410"/>
      <c r="E6" s="410"/>
    </row>
    <row r="7" spans="1:5" ht="28.5" x14ac:dyDescent="0.3">
      <c r="A7" s="185" t="s">
        <v>11</v>
      </c>
      <c r="B7" s="190">
        <v>1000</v>
      </c>
      <c r="C7" s="410"/>
      <c r="D7" s="410"/>
      <c r="E7" s="410"/>
    </row>
    <row r="8" spans="1:5" ht="18.75" x14ac:dyDescent="0.3">
      <c r="A8" s="185" t="s">
        <v>58</v>
      </c>
      <c r="B8" s="190">
        <v>500</v>
      </c>
      <c r="C8" s="191" t="s">
        <v>22</v>
      </c>
      <c r="D8" s="191" t="s">
        <v>23</v>
      </c>
      <c r="E8" s="191" t="s">
        <v>24</v>
      </c>
    </row>
    <row r="9" spans="1:5" ht="18.75" x14ac:dyDescent="0.3">
      <c r="A9" s="185" t="s">
        <v>12</v>
      </c>
      <c r="B9" s="190">
        <v>500</v>
      </c>
      <c r="C9" s="191">
        <f>C15</f>
        <v>15.049999999999999</v>
      </c>
      <c r="D9" s="191">
        <f>D15</f>
        <v>18.8125</v>
      </c>
      <c r="E9" s="191">
        <f>E15</f>
        <v>20.425000000000001</v>
      </c>
    </row>
    <row r="10" spans="1:5" ht="18.75" x14ac:dyDescent="0.3">
      <c r="A10" s="185" t="s">
        <v>14</v>
      </c>
      <c r="B10" s="190">
        <v>500</v>
      </c>
      <c r="C10" s="409"/>
      <c r="D10" s="409"/>
      <c r="E10" s="409"/>
    </row>
    <row r="11" spans="1:5" ht="18.75" x14ac:dyDescent="0.3">
      <c r="A11" s="185" t="s">
        <v>15</v>
      </c>
      <c r="B11" s="190">
        <v>50</v>
      </c>
      <c r="C11" s="409"/>
      <c r="D11" s="409"/>
      <c r="E11" s="409"/>
    </row>
    <row r="12" spans="1:5" ht="18.75" x14ac:dyDescent="0.3">
      <c r="A12" s="185" t="s">
        <v>27</v>
      </c>
      <c r="B12" s="190">
        <v>200</v>
      </c>
      <c r="C12" s="409"/>
      <c r="D12" s="409"/>
      <c r="E12" s="409"/>
    </row>
    <row r="13" spans="1:5" ht="18.75" x14ac:dyDescent="0.3">
      <c r="A13" s="185" t="s">
        <v>28</v>
      </c>
      <c r="B13" s="190">
        <v>100</v>
      </c>
      <c r="C13" s="409"/>
      <c r="D13" s="409"/>
      <c r="E13" s="409"/>
    </row>
    <row r="14" spans="1:5" ht="18.75" x14ac:dyDescent="0.3">
      <c r="A14" s="185" t="s">
        <v>16</v>
      </c>
      <c r="B14" s="190">
        <f>250</f>
        <v>250</v>
      </c>
      <c r="C14" s="194">
        <v>0.4</v>
      </c>
      <c r="D14" s="194">
        <v>0.6</v>
      </c>
      <c r="E14" s="194">
        <v>0.9</v>
      </c>
    </row>
    <row r="15" spans="1:5" ht="18.75" x14ac:dyDescent="0.3">
      <c r="A15" s="185" t="s">
        <v>17</v>
      </c>
      <c r="B15" s="190">
        <v>500</v>
      </c>
      <c r="C15" s="190">
        <f>B17*1.4</f>
        <v>15.049999999999999</v>
      </c>
      <c r="D15" s="190">
        <f>B17*1.75</f>
        <v>18.8125</v>
      </c>
      <c r="E15" s="190">
        <f>B17*1.9</f>
        <v>20.425000000000001</v>
      </c>
    </row>
    <row r="16" spans="1:5" ht="21.75" thickBot="1" x14ac:dyDescent="0.4">
      <c r="A16" s="185" t="s">
        <v>18</v>
      </c>
      <c r="B16" s="193">
        <v>3700</v>
      </c>
      <c r="C16" s="192"/>
      <c r="D16" s="192"/>
      <c r="E16" s="192"/>
    </row>
    <row r="17" spans="1:5" ht="18.75" x14ac:dyDescent="0.3">
      <c r="A17" s="185"/>
      <c r="B17" s="190">
        <f>SUM(B4:B16)/4000</f>
        <v>10.75</v>
      </c>
      <c r="C17" s="227">
        <f>C15-B17</f>
        <v>4.2999999999999989</v>
      </c>
      <c r="D17" s="227"/>
      <c r="E17" s="190"/>
    </row>
    <row r="18" spans="1:5" ht="21" x14ac:dyDescent="0.35">
      <c r="A18" s="185"/>
      <c r="B18" s="192"/>
      <c r="C18" s="227"/>
      <c r="D18" s="227"/>
      <c r="E18" s="19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0C4C-942A-45D5-B649-5DC7E27C3AF4}">
  <dimension ref="A2:H18"/>
  <sheetViews>
    <sheetView workbookViewId="0">
      <selection activeCell="B5" sqref="B5"/>
    </sheetView>
  </sheetViews>
  <sheetFormatPr baseColWidth="10" defaultRowHeight="15" x14ac:dyDescent="0.25"/>
  <cols>
    <col min="1" max="1" width="34.140625" bestFit="1" customWidth="1"/>
    <col min="2" max="2" width="12" bestFit="1" customWidth="1"/>
    <col min="3" max="3" width="5.42578125" customWidth="1"/>
  </cols>
  <sheetData>
    <row r="2" spans="1:8" ht="36" x14ac:dyDescent="0.55000000000000004">
      <c r="A2" s="195" t="s">
        <v>558</v>
      </c>
      <c r="B2" s="196"/>
      <c r="C2" s="196"/>
      <c r="D2" s="197" t="s">
        <v>167</v>
      </c>
      <c r="E2" s="184"/>
      <c r="F2" s="184"/>
    </row>
    <row r="3" spans="1:8" ht="28.5" x14ac:dyDescent="0.25">
      <c r="A3" s="410" t="s">
        <v>559</v>
      </c>
      <c r="B3" s="410"/>
      <c r="C3" s="410"/>
      <c r="D3" s="410"/>
      <c r="E3" s="410"/>
      <c r="F3" s="410"/>
    </row>
    <row r="4" spans="1:8" ht="24.95" customHeight="1" x14ac:dyDescent="0.3">
      <c r="A4" s="185" t="s">
        <v>9</v>
      </c>
      <c r="B4" s="190">
        <f>0.6*5*4000</f>
        <v>12000</v>
      </c>
      <c r="C4" s="190"/>
      <c r="D4" s="410"/>
      <c r="E4" s="410"/>
      <c r="F4" s="410"/>
    </row>
    <row r="5" spans="1:8" ht="24.95" customHeight="1" x14ac:dyDescent="0.3">
      <c r="A5" s="185" t="s">
        <v>1</v>
      </c>
      <c r="B5" s="190">
        <v>700</v>
      </c>
      <c r="C5" s="190"/>
      <c r="D5" s="410"/>
      <c r="E5" s="410"/>
      <c r="F5" s="410"/>
    </row>
    <row r="6" spans="1:8" ht="24.95" customHeight="1" x14ac:dyDescent="0.3">
      <c r="A6" s="185" t="s">
        <v>10</v>
      </c>
      <c r="B6" s="190">
        <v>3500</v>
      </c>
      <c r="C6" s="190"/>
      <c r="D6" s="410"/>
      <c r="E6" s="410"/>
      <c r="F6" s="410"/>
    </row>
    <row r="7" spans="1:8" ht="24.95" customHeight="1" x14ac:dyDescent="0.3">
      <c r="A7" s="185" t="s">
        <v>11</v>
      </c>
      <c r="B7" s="190">
        <v>1000</v>
      </c>
      <c r="C7" s="190"/>
      <c r="D7" s="410"/>
      <c r="E7" s="410"/>
      <c r="F7" s="410"/>
    </row>
    <row r="8" spans="1:8" ht="24.95" customHeight="1" x14ac:dyDescent="0.3">
      <c r="A8" s="185" t="s">
        <v>58</v>
      </c>
      <c r="B8" s="190">
        <v>500</v>
      </c>
      <c r="C8" s="190"/>
      <c r="D8" s="191" t="s">
        <v>22</v>
      </c>
      <c r="E8" s="191" t="s">
        <v>23</v>
      </c>
      <c r="F8" s="191" t="s">
        <v>24</v>
      </c>
    </row>
    <row r="9" spans="1:8" ht="24.95" customHeight="1" x14ac:dyDescent="0.3">
      <c r="A9" s="185" t="s">
        <v>12</v>
      </c>
      <c r="B9" s="190">
        <v>1000</v>
      </c>
      <c r="C9" s="190"/>
      <c r="D9" s="191">
        <f>D15</f>
        <v>8.4699999999999989</v>
      </c>
      <c r="E9" s="191">
        <f>E15</f>
        <v>10.5875</v>
      </c>
      <c r="F9" s="191">
        <f>F15</f>
        <v>12.0395</v>
      </c>
      <c r="H9" t="s">
        <v>560</v>
      </c>
    </row>
    <row r="10" spans="1:8" ht="24.95" customHeight="1" x14ac:dyDescent="0.3">
      <c r="A10" s="185" t="s">
        <v>14</v>
      </c>
      <c r="B10" s="190">
        <v>500</v>
      </c>
      <c r="C10" s="190"/>
      <c r="D10" s="409"/>
      <c r="E10" s="409"/>
      <c r="F10" s="409"/>
    </row>
    <row r="11" spans="1:8" ht="24.95" customHeight="1" x14ac:dyDescent="0.3">
      <c r="A11" s="185" t="s">
        <v>15</v>
      </c>
      <c r="B11" s="190">
        <v>250</v>
      </c>
      <c r="C11" s="190"/>
      <c r="D11" s="409"/>
      <c r="E11" s="409"/>
      <c r="F11" s="409"/>
    </row>
    <row r="12" spans="1:8" ht="24.95" customHeight="1" x14ac:dyDescent="0.3">
      <c r="A12" s="185" t="s">
        <v>27</v>
      </c>
      <c r="B12" s="190">
        <v>200</v>
      </c>
      <c r="C12" s="190"/>
      <c r="D12" s="409"/>
      <c r="E12" s="409"/>
      <c r="F12" s="409"/>
    </row>
    <row r="13" spans="1:8" ht="24.95" customHeight="1" x14ac:dyDescent="0.3">
      <c r="A13" s="185" t="s">
        <v>28</v>
      </c>
      <c r="B13" s="190">
        <v>100</v>
      </c>
      <c r="C13" s="190"/>
      <c r="D13" s="409"/>
      <c r="E13" s="409"/>
      <c r="F13" s="409"/>
    </row>
    <row r="14" spans="1:8" ht="24.95" customHeight="1" x14ac:dyDescent="0.3">
      <c r="A14" s="185" t="s">
        <v>16</v>
      </c>
      <c r="B14" s="190">
        <f>250</f>
        <v>250</v>
      </c>
      <c r="C14" s="190"/>
      <c r="D14" s="194">
        <v>0.4</v>
      </c>
      <c r="E14" s="194">
        <v>0.6</v>
      </c>
      <c r="F14" s="194">
        <v>0.9</v>
      </c>
    </row>
    <row r="15" spans="1:8" ht="24.95" customHeight="1" x14ac:dyDescent="0.3">
      <c r="A15" s="185" t="s">
        <v>17</v>
      </c>
      <c r="B15" s="190">
        <v>500</v>
      </c>
      <c r="C15" s="190"/>
      <c r="D15" s="190">
        <f>B17*1.4</f>
        <v>8.4699999999999989</v>
      </c>
      <c r="E15" s="190">
        <f>B17*1.75</f>
        <v>10.5875</v>
      </c>
      <c r="F15" s="190">
        <f>B17*1.99</f>
        <v>12.0395</v>
      </c>
    </row>
    <row r="16" spans="1:8" ht="24.95" customHeight="1" thickBot="1" x14ac:dyDescent="0.4">
      <c r="A16" s="185" t="s">
        <v>18</v>
      </c>
      <c r="B16" s="193">
        <v>3700</v>
      </c>
      <c r="C16" s="190"/>
      <c r="D16" s="192"/>
      <c r="E16" s="192"/>
      <c r="F16" s="192"/>
    </row>
    <row r="17" spans="1:6" ht="18.75" x14ac:dyDescent="0.3">
      <c r="A17" s="185"/>
      <c r="B17" s="190">
        <f>SUM(B4:B16)/4000</f>
        <v>6.05</v>
      </c>
      <c r="C17" s="190"/>
      <c r="D17" s="227"/>
      <c r="E17" s="227"/>
      <c r="F17" s="190"/>
    </row>
    <row r="18" spans="1:6" ht="21" x14ac:dyDescent="0.35">
      <c r="A18" s="185"/>
      <c r="B18" s="192"/>
      <c r="C18" s="192"/>
      <c r="D18" s="227"/>
      <c r="E18" s="227"/>
      <c r="F18" s="19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4C4B6-1D5E-4242-8139-8FD387F7C906}">
  <dimension ref="A2:K20"/>
  <sheetViews>
    <sheetView zoomScale="80" zoomScaleNormal="80" workbookViewId="0">
      <selection activeCell="C24" sqref="C24"/>
    </sheetView>
  </sheetViews>
  <sheetFormatPr baseColWidth="10" defaultRowHeight="15" x14ac:dyDescent="0.25"/>
  <cols>
    <col min="1" max="1" width="21.42578125" style="60" customWidth="1"/>
    <col min="2" max="2" width="17.140625" style="60" customWidth="1"/>
    <col min="3" max="4" width="11.42578125" style="60"/>
    <col min="5" max="5" width="21.42578125" style="60" bestFit="1" customWidth="1"/>
    <col min="6" max="6" width="12" style="60" bestFit="1" customWidth="1"/>
    <col min="8" max="8" width="21.42578125" bestFit="1" customWidth="1"/>
    <col min="9" max="9" width="15.42578125" customWidth="1"/>
  </cols>
  <sheetData>
    <row r="2" spans="1:11" ht="36" x14ac:dyDescent="0.55000000000000004">
      <c r="A2" s="973" t="s">
        <v>564</v>
      </c>
      <c r="B2" s="973"/>
      <c r="C2" s="561"/>
      <c r="D2" s="414"/>
      <c r="E2" s="973" t="s">
        <v>564</v>
      </c>
      <c r="F2" s="973"/>
      <c r="H2" s="973" t="s">
        <v>564</v>
      </c>
      <c r="I2" s="973"/>
    </row>
    <row r="3" spans="1:11" ht="28.5" x14ac:dyDescent="0.25">
      <c r="A3" s="723" t="s">
        <v>565</v>
      </c>
      <c r="B3" s="723">
        <v>510</v>
      </c>
      <c r="C3" s="723"/>
      <c r="D3" s="723"/>
      <c r="E3" s="723" t="s">
        <v>566</v>
      </c>
      <c r="F3" s="723">
        <v>40</v>
      </c>
      <c r="H3" s="723" t="s">
        <v>567</v>
      </c>
      <c r="I3" s="723">
        <v>65</v>
      </c>
    </row>
    <row r="4" spans="1:11" ht="24.95" customHeight="1" x14ac:dyDescent="0.3">
      <c r="A4" s="10" t="s">
        <v>561</v>
      </c>
      <c r="B4" s="208">
        <f>27*2.3</f>
        <v>62.099999999999994</v>
      </c>
      <c r="C4" s="208"/>
      <c r="D4" s="723"/>
      <c r="E4" s="10" t="s">
        <v>561</v>
      </c>
      <c r="F4" s="208">
        <f>2.3*3</f>
        <v>6.8999999999999995</v>
      </c>
      <c r="H4" s="10" t="s">
        <v>561</v>
      </c>
      <c r="I4" s="208">
        <f>2.3*4.5</f>
        <v>10.35</v>
      </c>
    </row>
    <row r="5" spans="1:11" ht="24.95" customHeight="1" x14ac:dyDescent="0.3">
      <c r="A5" s="10" t="s">
        <v>562</v>
      </c>
      <c r="B5" s="208">
        <f>25*2.75</f>
        <v>68.75</v>
      </c>
      <c r="C5" s="208"/>
      <c r="D5" s="723"/>
      <c r="E5" s="10" t="s">
        <v>562</v>
      </c>
      <c r="F5" s="208">
        <f>2.75*3</f>
        <v>8.25</v>
      </c>
      <c r="H5" s="10" t="s">
        <v>562</v>
      </c>
      <c r="I5" s="208">
        <f>2.75*4</f>
        <v>11</v>
      </c>
    </row>
    <row r="6" spans="1:11" ht="24.95" customHeight="1" x14ac:dyDescent="0.3">
      <c r="A6" s="10" t="s">
        <v>10</v>
      </c>
      <c r="B6" s="208">
        <f>510*2000/4000</f>
        <v>255</v>
      </c>
      <c r="C6" s="208"/>
      <c r="E6" s="10" t="s">
        <v>10</v>
      </c>
      <c r="F6" s="208">
        <f>40*2000/4000</f>
        <v>20</v>
      </c>
      <c r="H6" s="10" t="s">
        <v>10</v>
      </c>
      <c r="I6" s="208">
        <f>65*2000/4000</f>
        <v>32.5</v>
      </c>
    </row>
    <row r="7" spans="1:11" ht="24.95" customHeight="1" x14ac:dyDescent="0.3">
      <c r="A7" s="10" t="s">
        <v>11</v>
      </c>
      <c r="B7" s="208">
        <v>25</v>
      </c>
      <c r="C7" s="208"/>
      <c r="E7" s="10" t="s">
        <v>11</v>
      </c>
      <c r="F7" s="208">
        <v>2</v>
      </c>
      <c r="H7" s="10" t="s">
        <v>11</v>
      </c>
      <c r="I7" s="208">
        <v>4</v>
      </c>
      <c r="J7" s="84"/>
    </row>
    <row r="8" spans="1:11" ht="24.95" customHeight="1" x14ac:dyDescent="0.3">
      <c r="A8" s="10" t="s">
        <v>1</v>
      </c>
      <c r="B8" s="208">
        <f>510*500/4000</f>
        <v>63.75</v>
      </c>
      <c r="C8" s="208"/>
      <c r="E8" s="10" t="s">
        <v>1</v>
      </c>
      <c r="F8" s="208">
        <f>40*500/4000</f>
        <v>5</v>
      </c>
      <c r="H8" s="10" t="s">
        <v>1</v>
      </c>
      <c r="I8" s="208">
        <f>65*500/4000</f>
        <v>8.125</v>
      </c>
    </row>
    <row r="9" spans="1:11" ht="24.95" customHeight="1" x14ac:dyDescent="0.3">
      <c r="A9" s="10" t="s">
        <v>16</v>
      </c>
      <c r="B9" s="208">
        <v>20</v>
      </c>
      <c r="C9" s="208"/>
      <c r="E9" s="10" t="s">
        <v>16</v>
      </c>
      <c r="F9" s="208">
        <v>5</v>
      </c>
      <c r="H9" s="10" t="s">
        <v>16</v>
      </c>
      <c r="I9" s="208">
        <v>5</v>
      </c>
    </row>
    <row r="10" spans="1:11" ht="24.95" customHeight="1" x14ac:dyDescent="0.3">
      <c r="A10" s="10" t="s">
        <v>563</v>
      </c>
      <c r="B10" s="208">
        <f>1500*286/4000</f>
        <v>107.25</v>
      </c>
      <c r="C10" s="208"/>
      <c r="E10" s="10" t="s">
        <v>563</v>
      </c>
      <c r="F10" s="208">
        <f>1500*28/4000</f>
        <v>10.5</v>
      </c>
      <c r="H10" s="10" t="s">
        <v>563</v>
      </c>
      <c r="I10" s="208">
        <f>1500*47/4000</f>
        <v>17.625</v>
      </c>
    </row>
    <row r="11" spans="1:11" ht="24.95" customHeight="1" x14ac:dyDescent="0.3">
      <c r="A11" s="10" t="s">
        <v>280</v>
      </c>
      <c r="B11" s="208">
        <f>27*10000/4000</f>
        <v>67.5</v>
      </c>
      <c r="C11" s="208"/>
      <c r="E11" s="10" t="s">
        <v>280</v>
      </c>
      <c r="F11" s="208">
        <f>3*10000/4000</f>
        <v>7.5</v>
      </c>
      <c r="H11" s="10" t="s">
        <v>280</v>
      </c>
      <c r="I11" s="208">
        <f>4*10000/4000</f>
        <v>10</v>
      </c>
    </row>
    <row r="12" spans="1:11" ht="24.95" customHeight="1" x14ac:dyDescent="0.3">
      <c r="A12" s="10" t="s">
        <v>18</v>
      </c>
      <c r="B12" s="725">
        <f>1700/4000*510</f>
        <v>216.75</v>
      </c>
      <c r="C12" s="208"/>
      <c r="E12" s="10" t="s">
        <v>18</v>
      </c>
      <c r="F12" s="725">
        <f>1700/4000*40</f>
        <v>17</v>
      </c>
      <c r="H12" s="10" t="s">
        <v>18</v>
      </c>
      <c r="I12" s="725">
        <f>1700/4000*65</f>
        <v>27.625</v>
      </c>
    </row>
    <row r="13" spans="1:11" ht="24.95" customHeight="1" x14ac:dyDescent="0.3">
      <c r="A13" s="10"/>
      <c r="B13" s="208">
        <f>SUM(B4:B12)</f>
        <v>886.1</v>
      </c>
      <c r="C13" s="208"/>
      <c r="D13" s="724"/>
      <c r="E13" s="10"/>
      <c r="F13" s="208">
        <f>SUM(F4:F12)</f>
        <v>82.15</v>
      </c>
      <c r="H13" s="10"/>
      <c r="I13" s="208">
        <f>SUM(I4:I12)</f>
        <v>126.22499999999999</v>
      </c>
    </row>
    <row r="14" spans="1:11" ht="24.95" customHeight="1" x14ac:dyDescent="0.35">
      <c r="A14" s="10"/>
      <c r="B14" s="210">
        <f>B13/510</f>
        <v>1.737450980392157</v>
      </c>
      <c r="C14" s="208"/>
      <c r="E14" s="10"/>
      <c r="F14" s="210">
        <f>F13/40</f>
        <v>2.05375</v>
      </c>
      <c r="H14" s="10"/>
      <c r="I14" s="210">
        <f>I13/65</f>
        <v>1.9419230769230769</v>
      </c>
    </row>
    <row r="16" spans="1:11" ht="18.75" x14ac:dyDescent="0.25">
      <c r="A16" s="415"/>
      <c r="B16" s="415"/>
      <c r="C16" s="415"/>
      <c r="E16" s="415"/>
      <c r="F16" s="415"/>
      <c r="G16" s="415"/>
      <c r="I16" s="415"/>
      <c r="J16" s="415"/>
      <c r="K16" s="415"/>
    </row>
    <row r="17" spans="1:11" ht="18.75" x14ac:dyDescent="0.25">
      <c r="A17" s="415"/>
      <c r="B17" s="415"/>
      <c r="C17" s="415"/>
      <c r="E17" s="415">
        <f>B13+F13+I13</f>
        <v>1094.4749999999999</v>
      </c>
      <c r="F17" s="415"/>
      <c r="G17" s="415"/>
      <c r="I17" s="415"/>
      <c r="J17" s="415"/>
      <c r="K17" s="415"/>
    </row>
    <row r="18" spans="1:11" x14ac:dyDescent="0.25">
      <c r="A18" s="724"/>
      <c r="B18" s="724"/>
      <c r="C18" s="724"/>
      <c r="E18" s="724">
        <f>1120/615</f>
        <v>1.8211382113821137</v>
      </c>
      <c r="F18" s="724">
        <f>E18*1.5</f>
        <v>2.7317073170731705</v>
      </c>
      <c r="G18" s="724"/>
      <c r="I18" s="724"/>
      <c r="J18" s="724"/>
      <c r="K18" s="724"/>
    </row>
    <row r="19" spans="1:11" ht="18.75" x14ac:dyDescent="0.3">
      <c r="A19" s="416"/>
      <c r="B19" s="416"/>
      <c r="C19" s="416"/>
      <c r="E19" s="416"/>
      <c r="F19" s="416"/>
      <c r="G19" s="416"/>
      <c r="I19" s="416"/>
      <c r="J19" s="416"/>
      <c r="K19" s="416"/>
    </row>
    <row r="20" spans="1:11" ht="18.75" x14ac:dyDescent="0.3">
      <c r="A20" s="208"/>
      <c r="B20" s="208"/>
      <c r="C20" s="208"/>
      <c r="E20" s="208"/>
      <c r="F20" s="208"/>
      <c r="G20" s="208"/>
      <c r="I20" s="208"/>
      <c r="J20" s="208"/>
      <c r="K20" s="208"/>
    </row>
  </sheetData>
  <mergeCells count="3">
    <mergeCell ref="E2:F2"/>
    <mergeCell ref="H2:I2"/>
    <mergeCell ref="A2:B2"/>
  </mergeCells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3B911-CE09-42DE-B8AD-C7CFC9AA8BD0}">
  <dimension ref="A2:F18"/>
  <sheetViews>
    <sheetView workbookViewId="0">
      <selection activeCell="C24" sqref="C24"/>
    </sheetView>
  </sheetViews>
  <sheetFormatPr baseColWidth="10" defaultRowHeight="15" x14ac:dyDescent="0.25"/>
  <cols>
    <col min="1" max="1" width="24.5703125" customWidth="1"/>
    <col min="2" max="2" width="17.28515625" customWidth="1"/>
  </cols>
  <sheetData>
    <row r="2" spans="1:6" ht="26.25" x14ac:dyDescent="0.25">
      <c r="A2" s="944" t="s">
        <v>42</v>
      </c>
      <c r="B2" s="944"/>
      <c r="C2" s="944"/>
    </row>
    <row r="3" spans="1:6" ht="28.5" x14ac:dyDescent="0.45">
      <c r="A3" s="937" t="s">
        <v>55</v>
      </c>
      <c r="B3" s="937"/>
      <c r="C3" s="83"/>
      <c r="F3">
        <v>3800</v>
      </c>
    </row>
    <row r="4" spans="1:6" ht="18.75" x14ac:dyDescent="0.3">
      <c r="A4" s="3" t="s">
        <v>9</v>
      </c>
      <c r="B4" s="5">
        <f>1.4*2*F3</f>
        <v>10640</v>
      </c>
      <c r="C4" s="83"/>
    </row>
    <row r="5" spans="1:6" ht="18.75" x14ac:dyDescent="0.3">
      <c r="A5" s="3" t="s">
        <v>1</v>
      </c>
      <c r="B5" s="5">
        <v>700</v>
      </c>
      <c r="C5" s="83"/>
    </row>
    <row r="6" spans="1:6" ht="18.75" x14ac:dyDescent="0.3">
      <c r="A6" s="3" t="s">
        <v>10</v>
      </c>
      <c r="B6" s="5">
        <v>3000</v>
      </c>
      <c r="C6" s="83"/>
    </row>
    <row r="7" spans="1:6" ht="18.75" x14ac:dyDescent="0.3">
      <c r="A7" s="10" t="s">
        <v>94</v>
      </c>
      <c r="B7" s="5">
        <f>15000*1.4</f>
        <v>21000</v>
      </c>
      <c r="C7" s="83"/>
    </row>
    <row r="8" spans="1:6" ht="18.75" x14ac:dyDescent="0.3">
      <c r="A8" s="10" t="s">
        <v>493</v>
      </c>
      <c r="B8" s="5">
        <v>8000</v>
      </c>
      <c r="C8" s="83"/>
      <c r="D8" s="2">
        <f>B18*1.75</f>
        <v>22.330921052631577</v>
      </c>
    </row>
    <row r="9" spans="1:6" ht="18.75" x14ac:dyDescent="0.3">
      <c r="A9" s="3"/>
      <c r="B9" s="5">
        <v>0</v>
      </c>
      <c r="C9" s="83"/>
    </row>
    <row r="10" spans="1:6" ht="18.75" x14ac:dyDescent="0.3">
      <c r="A10" s="3"/>
      <c r="B10" s="5">
        <v>0</v>
      </c>
      <c r="C10" s="83"/>
    </row>
    <row r="11" spans="1:6" ht="18.75" x14ac:dyDescent="0.3">
      <c r="A11" s="3"/>
      <c r="B11" s="5">
        <v>0</v>
      </c>
      <c r="C11" s="83"/>
    </row>
    <row r="12" spans="1:6" ht="18.75" x14ac:dyDescent="0.3">
      <c r="A12" s="3"/>
      <c r="B12" s="5">
        <v>0</v>
      </c>
      <c r="C12" s="83"/>
    </row>
    <row r="13" spans="1:6" ht="18.75" x14ac:dyDescent="0.3">
      <c r="A13" s="3" t="s">
        <v>27</v>
      </c>
      <c r="B13" s="5">
        <v>250</v>
      </c>
      <c r="C13" s="83"/>
    </row>
    <row r="14" spans="1:6" ht="18.75" x14ac:dyDescent="0.3">
      <c r="A14" s="3" t="s">
        <v>28</v>
      </c>
      <c r="B14" s="5">
        <v>100</v>
      </c>
      <c r="C14" s="83"/>
    </row>
    <row r="15" spans="1:6" ht="18.75" x14ac:dyDescent="0.3">
      <c r="A15" s="3" t="s">
        <v>16</v>
      </c>
      <c r="B15" s="5">
        <v>350</v>
      </c>
      <c r="C15" s="83"/>
    </row>
    <row r="16" spans="1:6" ht="18.75" x14ac:dyDescent="0.3">
      <c r="A16" s="3" t="s">
        <v>17</v>
      </c>
      <c r="B16" s="5">
        <v>750</v>
      </c>
      <c r="C16" s="83"/>
    </row>
    <row r="17" spans="1:3" ht="19.5" thickBot="1" x14ac:dyDescent="0.35">
      <c r="A17" s="3" t="s">
        <v>18</v>
      </c>
      <c r="B17" s="46">
        <v>3700</v>
      </c>
      <c r="C17" s="83"/>
    </row>
    <row r="18" spans="1:3" ht="18.75" x14ac:dyDescent="0.3">
      <c r="A18" s="3"/>
      <c r="B18" s="5">
        <f>SUM(B4:B17)/F3</f>
        <v>12.760526315789473</v>
      </c>
      <c r="C18" s="83"/>
    </row>
  </sheetData>
  <mergeCells count="2">
    <mergeCell ref="A2:C2"/>
    <mergeCell ref="A3:B3"/>
  </mergeCells>
  <pageMargins left="0.7" right="0.7" top="0.75" bottom="0.75" header="0.3" footer="0.3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/>
  <dimension ref="A1:M191"/>
  <sheetViews>
    <sheetView topLeftCell="A11" zoomScale="80" zoomScaleNormal="80" workbookViewId="0">
      <selection activeCell="C24" sqref="C24"/>
    </sheetView>
  </sheetViews>
  <sheetFormatPr baseColWidth="10" defaultRowHeight="15" x14ac:dyDescent="0.25"/>
  <cols>
    <col min="1" max="1" width="21.42578125" style="3" customWidth="1"/>
    <col min="2" max="2" width="12.7109375" style="93" bestFit="1" customWidth="1"/>
    <col min="3" max="5" width="12.7109375" style="83" bestFit="1" customWidth="1"/>
    <col min="6" max="6" width="16.28515625" style="83" customWidth="1"/>
    <col min="7" max="7" width="14.7109375" style="3" customWidth="1"/>
    <col min="8" max="8" width="12.7109375" style="3" bestFit="1" customWidth="1"/>
    <col min="9" max="9" width="13.140625" style="3" bestFit="1" customWidth="1"/>
    <col min="10" max="10" width="12.7109375" style="3" bestFit="1" customWidth="1"/>
    <col min="11" max="13" width="11.42578125" style="3"/>
  </cols>
  <sheetData>
    <row r="1" spans="1:11" ht="43.5" customHeight="1" x14ac:dyDescent="0.25">
      <c r="A1" s="944" t="s">
        <v>42</v>
      </c>
      <c r="B1" s="944"/>
      <c r="C1" s="944"/>
      <c r="D1" s="974" t="s">
        <v>36</v>
      </c>
      <c r="E1" s="974"/>
      <c r="F1" s="974"/>
      <c r="G1" s="19"/>
      <c r="H1" s="19"/>
      <c r="I1" s="19"/>
      <c r="J1" s="19"/>
      <c r="K1" s="19"/>
    </row>
    <row r="2" spans="1:11" ht="28.5" x14ac:dyDescent="0.45">
      <c r="A2" s="937" t="s">
        <v>55</v>
      </c>
      <c r="B2" s="937"/>
      <c r="F2" s="96">
        <v>3800</v>
      </c>
      <c r="G2" s="27" t="s">
        <v>19</v>
      </c>
    </row>
    <row r="3" spans="1:11" ht="18.75" x14ac:dyDescent="0.3">
      <c r="A3" s="3" t="s">
        <v>9</v>
      </c>
      <c r="B3" s="5">
        <f>0.55*1.8*F2</f>
        <v>3762.0000000000005</v>
      </c>
    </row>
    <row r="4" spans="1:11" ht="18.75" x14ac:dyDescent="0.3">
      <c r="A4" s="3" t="s">
        <v>1</v>
      </c>
      <c r="B4" s="5">
        <v>500</v>
      </c>
    </row>
    <row r="5" spans="1:11" ht="18.75" x14ac:dyDescent="0.3">
      <c r="A5" s="3" t="s">
        <v>10</v>
      </c>
      <c r="B5" s="5">
        <v>2000</v>
      </c>
    </row>
    <row r="6" spans="1:11" ht="18.75" x14ac:dyDescent="0.3">
      <c r="A6" s="10" t="s">
        <v>45</v>
      </c>
      <c r="B6" s="5">
        <v>800</v>
      </c>
    </row>
    <row r="7" spans="1:11" ht="18.75" x14ac:dyDescent="0.3">
      <c r="A7" s="10" t="s">
        <v>43</v>
      </c>
      <c r="B7" s="5">
        <v>800</v>
      </c>
    </row>
    <row r="8" spans="1:11" ht="18.75" x14ac:dyDescent="0.3">
      <c r="A8" s="3" t="s">
        <v>11</v>
      </c>
      <c r="B8" s="5">
        <v>0</v>
      </c>
      <c r="D8" s="90" t="s">
        <v>22</v>
      </c>
      <c r="E8" s="90" t="s">
        <v>23</v>
      </c>
      <c r="F8" s="90" t="s">
        <v>24</v>
      </c>
      <c r="G8" s="4"/>
    </row>
    <row r="9" spans="1:11" ht="18.75" x14ac:dyDescent="0.3">
      <c r="A9" s="3" t="s">
        <v>12</v>
      </c>
      <c r="B9" s="5">
        <v>0</v>
      </c>
      <c r="D9" s="90">
        <f>D12</f>
        <v>4.1675789473684208</v>
      </c>
      <c r="E9" s="90">
        <f>E12</f>
        <v>4.7629473684210524</v>
      </c>
      <c r="F9" s="90">
        <f>F12</f>
        <v>5.6559999999999997</v>
      </c>
      <c r="G9" s="4"/>
    </row>
    <row r="10" spans="1:11" ht="21" x14ac:dyDescent="0.35">
      <c r="A10" s="3" t="s">
        <v>14</v>
      </c>
      <c r="B10" s="5">
        <v>0</v>
      </c>
      <c r="D10" s="92"/>
      <c r="E10" s="92"/>
      <c r="F10" s="92"/>
      <c r="G10" s="4"/>
    </row>
    <row r="11" spans="1:11" ht="18.75" x14ac:dyDescent="0.3">
      <c r="A11" s="3" t="s">
        <v>15</v>
      </c>
      <c r="B11" s="5">
        <v>0</v>
      </c>
      <c r="D11" s="81">
        <v>0.4</v>
      </c>
      <c r="E11" s="81">
        <v>0.6</v>
      </c>
      <c r="F11" s="81">
        <v>0.9</v>
      </c>
    </row>
    <row r="12" spans="1:11" ht="18.75" x14ac:dyDescent="0.3">
      <c r="A12" s="3" t="s">
        <v>27</v>
      </c>
      <c r="B12" s="5">
        <v>250</v>
      </c>
      <c r="D12" s="86">
        <f>B17*1.4</f>
        <v>4.1675789473684208</v>
      </c>
      <c r="E12" s="86">
        <f>B17*1.6</f>
        <v>4.7629473684210524</v>
      </c>
      <c r="F12" s="86">
        <f>B17*1.9</f>
        <v>5.6559999999999997</v>
      </c>
    </row>
    <row r="13" spans="1:11" ht="18.75" x14ac:dyDescent="0.3">
      <c r="A13" s="3" t="s">
        <v>28</v>
      </c>
      <c r="B13" s="5">
        <v>100</v>
      </c>
    </row>
    <row r="14" spans="1:11" ht="18.75" x14ac:dyDescent="0.3">
      <c r="A14" s="3" t="s">
        <v>16</v>
      </c>
      <c r="B14" s="5">
        <v>350</v>
      </c>
    </row>
    <row r="15" spans="1:11" ht="23.25" x14ac:dyDescent="0.35">
      <c r="A15" s="3" t="s">
        <v>17</v>
      </c>
      <c r="B15" s="5">
        <v>750</v>
      </c>
      <c r="D15" s="80"/>
      <c r="E15" s="80"/>
      <c r="I15" s="909"/>
      <c r="J15" s="909"/>
    </row>
    <row r="16" spans="1:11" ht="19.5" thickBot="1" x14ac:dyDescent="0.35">
      <c r="A16" s="3" t="s">
        <v>18</v>
      </c>
      <c r="B16" s="46">
        <v>2000</v>
      </c>
      <c r="F16" s="86"/>
    </row>
    <row r="17" spans="1:7" ht="18.75" x14ac:dyDescent="0.3">
      <c r="B17" s="5">
        <f>SUM(B3:B16)/F2</f>
        <v>2.9768421052631577</v>
      </c>
      <c r="F17" s="86"/>
    </row>
    <row r="18" spans="1:7" ht="21" x14ac:dyDescent="0.35">
      <c r="B18" s="7"/>
      <c r="C18" s="92"/>
      <c r="D18" s="92"/>
      <c r="E18" s="92"/>
      <c r="F18" s="86"/>
    </row>
    <row r="19" spans="1:7" ht="18.75" x14ac:dyDescent="0.3">
      <c r="C19" s="86"/>
      <c r="D19" s="86"/>
      <c r="E19" s="86"/>
      <c r="F19" s="86"/>
    </row>
    <row r="20" spans="1:7" ht="18.75" x14ac:dyDescent="0.3">
      <c r="C20" s="86"/>
      <c r="D20" s="86"/>
      <c r="E20" s="86"/>
      <c r="F20" s="86"/>
    </row>
    <row r="21" spans="1:7" ht="28.5" x14ac:dyDescent="0.45">
      <c r="A21" s="937" t="s">
        <v>50</v>
      </c>
      <c r="B21" s="937"/>
      <c r="D21" s="975"/>
      <c r="E21" s="975"/>
      <c r="F21" s="975"/>
    </row>
    <row r="22" spans="1:7" ht="18.75" x14ac:dyDescent="0.3">
      <c r="A22" s="3" t="s">
        <v>9</v>
      </c>
      <c r="B22" s="5">
        <f>0.6*6/2*F2</f>
        <v>6839.9999999999991</v>
      </c>
    </row>
    <row r="23" spans="1:7" ht="18.75" x14ac:dyDescent="0.3">
      <c r="A23" s="3" t="s">
        <v>1</v>
      </c>
      <c r="B23" s="5">
        <v>700</v>
      </c>
    </row>
    <row r="24" spans="1:7" ht="18.75" x14ac:dyDescent="0.3">
      <c r="A24" s="3" t="s">
        <v>10</v>
      </c>
      <c r="B24" s="5">
        <v>2500</v>
      </c>
    </row>
    <row r="25" spans="1:7" ht="18.75" x14ac:dyDescent="0.3">
      <c r="A25" s="10" t="s">
        <v>45</v>
      </c>
      <c r="B25" s="5">
        <v>0</v>
      </c>
    </row>
    <row r="26" spans="1:7" ht="18.75" x14ac:dyDescent="0.3">
      <c r="A26" s="10" t="s">
        <v>43</v>
      </c>
      <c r="B26" s="5">
        <v>0</v>
      </c>
    </row>
    <row r="27" spans="1:7" ht="18.75" x14ac:dyDescent="0.3">
      <c r="A27" s="3" t="s">
        <v>11</v>
      </c>
      <c r="B27" s="5">
        <v>2000</v>
      </c>
      <c r="D27" s="90" t="s">
        <v>22</v>
      </c>
      <c r="E27" s="90" t="s">
        <v>23</v>
      </c>
      <c r="F27" s="90" t="s">
        <v>24</v>
      </c>
      <c r="G27" s="4"/>
    </row>
    <row r="28" spans="1:7" ht="18.75" x14ac:dyDescent="0.3">
      <c r="A28" s="3" t="s">
        <v>12</v>
      </c>
      <c r="B28" s="5">
        <v>7000</v>
      </c>
      <c r="D28" s="90">
        <f>D32</f>
        <v>8.3226315789473677</v>
      </c>
      <c r="E28" s="90">
        <f>E32</f>
        <v>10.106052631578947</v>
      </c>
      <c r="F28" s="90">
        <f>F32</f>
        <v>11.295</v>
      </c>
      <c r="G28" s="4"/>
    </row>
    <row r="29" spans="1:7" ht="21" x14ac:dyDescent="0.35">
      <c r="A29" s="3" t="s">
        <v>14</v>
      </c>
      <c r="B29" s="5">
        <v>0</v>
      </c>
      <c r="D29" s="92"/>
      <c r="E29" s="92"/>
      <c r="F29" s="92"/>
      <c r="G29" s="4"/>
    </row>
    <row r="30" spans="1:7" ht="18.75" x14ac:dyDescent="0.3">
      <c r="A30" s="3" t="s">
        <v>15</v>
      </c>
      <c r="B30" s="5">
        <v>0</v>
      </c>
    </row>
    <row r="31" spans="1:7" ht="18.75" x14ac:dyDescent="0.3">
      <c r="A31" s="3" t="s">
        <v>27</v>
      </c>
      <c r="B31" s="5">
        <v>50</v>
      </c>
      <c r="D31" s="81">
        <v>0.4</v>
      </c>
      <c r="E31" s="81">
        <v>0.6</v>
      </c>
      <c r="F31" s="81">
        <v>0.9</v>
      </c>
    </row>
    <row r="32" spans="1:7" ht="18.75" x14ac:dyDescent="0.3">
      <c r="A32" s="3" t="s">
        <v>28</v>
      </c>
      <c r="B32" s="5">
        <v>100</v>
      </c>
      <c r="D32" s="86">
        <f>B36*1.4</f>
        <v>8.3226315789473677</v>
      </c>
      <c r="E32" s="86">
        <f>B36*1.7</f>
        <v>10.106052631578947</v>
      </c>
      <c r="F32" s="86">
        <f>B36*1.9</f>
        <v>11.295</v>
      </c>
    </row>
    <row r="33" spans="1:11" ht="18.75" x14ac:dyDescent="0.3">
      <c r="A33" s="3" t="s">
        <v>16</v>
      </c>
      <c r="B33" s="5">
        <v>350</v>
      </c>
    </row>
    <row r="34" spans="1:11" ht="23.25" x14ac:dyDescent="0.35">
      <c r="A34" s="3" t="s">
        <v>17</v>
      </c>
      <c r="B34" s="5">
        <v>50</v>
      </c>
      <c r="D34" s="80"/>
      <c r="E34" s="80"/>
    </row>
    <row r="35" spans="1:11" ht="19.5" thickBot="1" x14ac:dyDescent="0.35">
      <c r="A35" s="3" t="s">
        <v>18</v>
      </c>
      <c r="B35" s="46">
        <v>3000</v>
      </c>
      <c r="F35" s="86"/>
    </row>
    <row r="36" spans="1:11" ht="23.25" x14ac:dyDescent="0.35">
      <c r="B36" s="5">
        <f>SUM(B22:B35)/F2</f>
        <v>5.9447368421052635</v>
      </c>
      <c r="F36" s="86"/>
      <c r="I36" s="909"/>
      <c r="J36" s="909"/>
    </row>
    <row r="37" spans="1:11" ht="21" x14ac:dyDescent="0.35">
      <c r="B37" s="7"/>
      <c r="C37" s="92"/>
      <c r="D37" s="92"/>
      <c r="E37" s="92"/>
      <c r="F37" s="86"/>
    </row>
    <row r="38" spans="1:11" ht="18.75" x14ac:dyDescent="0.3">
      <c r="C38" s="86"/>
      <c r="D38" s="86"/>
      <c r="E38" s="86"/>
      <c r="F38" s="86"/>
    </row>
    <row r="39" spans="1:11" ht="18.75" x14ac:dyDescent="0.3">
      <c r="C39" s="86"/>
      <c r="D39" s="86"/>
      <c r="E39" s="86"/>
      <c r="F39" s="86"/>
    </row>
    <row r="42" spans="1:11" ht="35.25" customHeight="1" x14ac:dyDescent="0.25">
      <c r="D42" s="95" t="s">
        <v>36</v>
      </c>
    </row>
    <row r="43" spans="1:11" ht="26.25" x14ac:dyDescent="0.25">
      <c r="A43" s="944" t="s">
        <v>42</v>
      </c>
      <c r="B43" s="944"/>
      <c r="C43" s="944"/>
    </row>
    <row r="44" spans="1:11" ht="36" x14ac:dyDescent="0.35">
      <c r="A44" s="938" t="s">
        <v>51</v>
      </c>
      <c r="B44" s="938"/>
      <c r="H44" s="18"/>
      <c r="I44" s="18"/>
      <c r="J44" s="18"/>
      <c r="K44" s="18"/>
    </row>
    <row r="45" spans="1:11" ht="18.75" x14ac:dyDescent="0.3">
      <c r="A45" s="3" t="s">
        <v>9</v>
      </c>
      <c r="B45" s="5">
        <f>0.8*1.8*F2</f>
        <v>5472.0000000000009</v>
      </c>
    </row>
    <row r="46" spans="1:11" ht="18.75" x14ac:dyDescent="0.3">
      <c r="A46" s="3" t="s">
        <v>1</v>
      </c>
      <c r="B46" s="5">
        <v>500</v>
      </c>
    </row>
    <row r="47" spans="1:11" ht="18.75" x14ac:dyDescent="0.3">
      <c r="A47" s="3" t="s">
        <v>10</v>
      </c>
      <c r="B47" s="5">
        <v>1500</v>
      </c>
    </row>
    <row r="48" spans="1:11" ht="18.75" x14ac:dyDescent="0.3">
      <c r="A48" s="10" t="s">
        <v>45</v>
      </c>
      <c r="B48" s="5">
        <v>0</v>
      </c>
      <c r="D48" s="90" t="s">
        <v>22</v>
      </c>
      <c r="E48" s="90" t="s">
        <v>23</v>
      </c>
      <c r="F48" s="90" t="s">
        <v>24</v>
      </c>
    </row>
    <row r="49" spans="1:10" ht="18.75" x14ac:dyDescent="0.3">
      <c r="A49" s="10" t="s">
        <v>44</v>
      </c>
      <c r="B49" s="5">
        <v>800</v>
      </c>
      <c r="D49" s="90">
        <f>D54</f>
        <v>5.503131578947368</v>
      </c>
      <c r="E49" s="90">
        <f>E54</f>
        <v>6.641710526315789</v>
      </c>
      <c r="F49" s="90">
        <f>F54</f>
        <v>7.5525736842105262</v>
      </c>
    </row>
    <row r="50" spans="1:10" ht="18.75" x14ac:dyDescent="0.3">
      <c r="A50" s="3" t="s">
        <v>11</v>
      </c>
      <c r="B50" s="5">
        <v>300</v>
      </c>
      <c r="G50" s="4"/>
    </row>
    <row r="51" spans="1:10" ht="18.75" x14ac:dyDescent="0.3">
      <c r="A51" s="3" t="s">
        <v>58</v>
      </c>
      <c r="B51" s="5">
        <v>500</v>
      </c>
      <c r="G51" s="4"/>
    </row>
    <row r="52" spans="1:10" ht="21" x14ac:dyDescent="0.35">
      <c r="A52" s="3" t="s">
        <v>14</v>
      </c>
      <c r="B52" s="5">
        <v>100</v>
      </c>
      <c r="D52" s="92"/>
      <c r="E52" s="92"/>
      <c r="F52" s="92"/>
      <c r="G52" s="4"/>
    </row>
    <row r="53" spans="1:10" ht="18.75" x14ac:dyDescent="0.3">
      <c r="A53" s="3" t="s">
        <v>15</v>
      </c>
      <c r="B53" s="5">
        <v>100</v>
      </c>
      <c r="D53" s="81">
        <v>0.4</v>
      </c>
      <c r="E53" s="81">
        <v>0.6</v>
      </c>
      <c r="F53" s="81">
        <v>0.9</v>
      </c>
    </row>
    <row r="54" spans="1:10" ht="18.75" x14ac:dyDescent="0.3">
      <c r="A54" s="3" t="s">
        <v>27</v>
      </c>
      <c r="B54" s="5">
        <v>200</v>
      </c>
      <c r="D54" s="86">
        <f>B59*1.45</f>
        <v>5.503131578947368</v>
      </c>
      <c r="E54" s="86">
        <f>B59*1.75</f>
        <v>6.641710526315789</v>
      </c>
      <c r="F54" s="86">
        <f>B59*1.99</f>
        <v>7.5525736842105262</v>
      </c>
    </row>
    <row r="55" spans="1:10" ht="18.75" x14ac:dyDescent="0.3">
      <c r="A55" s="3" t="s">
        <v>28</v>
      </c>
      <c r="B55" s="5">
        <v>100</v>
      </c>
    </row>
    <row r="56" spans="1:10" ht="18.75" x14ac:dyDescent="0.3">
      <c r="A56" s="3" t="s">
        <v>16</v>
      </c>
      <c r="B56" s="5">
        <v>350</v>
      </c>
    </row>
    <row r="57" spans="1:10" ht="23.25" x14ac:dyDescent="0.35">
      <c r="A57" s="3" t="s">
        <v>17</v>
      </c>
      <c r="B57" s="5">
        <v>500</v>
      </c>
      <c r="D57" s="80"/>
      <c r="E57" s="80"/>
    </row>
    <row r="58" spans="1:10" ht="19.5" thickBot="1" x14ac:dyDescent="0.35">
      <c r="A58" s="3" t="s">
        <v>18</v>
      </c>
      <c r="B58" s="46">
        <v>4000</v>
      </c>
      <c r="F58" s="86"/>
    </row>
    <row r="59" spans="1:10" ht="23.25" x14ac:dyDescent="0.35">
      <c r="B59" s="5">
        <f>SUM(B45:B58)/F2</f>
        <v>3.7952631578947367</v>
      </c>
      <c r="F59" s="86"/>
      <c r="I59" s="909"/>
      <c r="J59" s="909"/>
    </row>
    <row r="60" spans="1:10" ht="21" x14ac:dyDescent="0.35">
      <c r="B60" s="7"/>
      <c r="C60" s="92"/>
      <c r="D60" s="92"/>
      <c r="E60" s="92"/>
      <c r="F60" s="86"/>
    </row>
    <row r="61" spans="1:10" ht="18.75" x14ac:dyDescent="0.3">
      <c r="C61" s="86"/>
      <c r="D61" s="86"/>
      <c r="E61" s="86"/>
      <c r="F61" s="86"/>
    </row>
    <row r="62" spans="1:10" ht="18.75" x14ac:dyDescent="0.3">
      <c r="C62" s="86"/>
      <c r="D62" s="86"/>
      <c r="E62" s="86"/>
      <c r="F62" s="86"/>
    </row>
    <row r="63" spans="1:10" ht="36" x14ac:dyDescent="0.25">
      <c r="A63" s="944" t="s">
        <v>42</v>
      </c>
      <c r="B63" s="944"/>
      <c r="C63" s="944"/>
      <c r="D63" s="97" t="s">
        <v>143</v>
      </c>
      <c r="E63" s="97"/>
      <c r="F63" s="97"/>
      <c r="G63" s="18"/>
    </row>
    <row r="64" spans="1:10" ht="28.5" x14ac:dyDescent="0.45">
      <c r="A64" s="937" t="s">
        <v>56</v>
      </c>
      <c r="B64" s="937"/>
    </row>
    <row r="65" spans="1:7" ht="18.75" x14ac:dyDescent="0.3">
      <c r="A65" s="3" t="s">
        <v>9</v>
      </c>
      <c r="B65" s="5">
        <f>0.55*1.8*F2</f>
        <v>3762.0000000000005</v>
      </c>
    </row>
    <row r="66" spans="1:7" ht="18.75" x14ac:dyDescent="0.3">
      <c r="A66" s="3" t="s">
        <v>1</v>
      </c>
      <c r="B66" s="5">
        <v>1000</v>
      </c>
    </row>
    <row r="67" spans="1:7" ht="18.75" x14ac:dyDescent="0.3">
      <c r="A67" s="3" t="s">
        <v>10</v>
      </c>
      <c r="B67" s="5">
        <v>2500</v>
      </c>
      <c r="D67" s="90" t="s">
        <v>22</v>
      </c>
      <c r="E67" s="90" t="s">
        <v>23</v>
      </c>
      <c r="F67" s="90" t="s">
        <v>24</v>
      </c>
    </row>
    <row r="68" spans="1:7" ht="18.75" x14ac:dyDescent="0.3">
      <c r="A68" s="10" t="s">
        <v>45</v>
      </c>
      <c r="B68" s="5">
        <v>1000</v>
      </c>
      <c r="D68" s="90">
        <f>D73</f>
        <v>7.3728421052631576</v>
      </c>
      <c r="E68" s="90">
        <f>E73</f>
        <v>8.4261052631578952</v>
      </c>
      <c r="F68" s="90">
        <f>F73</f>
        <v>10.006</v>
      </c>
    </row>
    <row r="69" spans="1:7" ht="18.75" x14ac:dyDescent="0.3">
      <c r="A69" s="10" t="s">
        <v>43</v>
      </c>
      <c r="B69" s="5">
        <v>800</v>
      </c>
    </row>
    <row r="70" spans="1:7" ht="18.75" x14ac:dyDescent="0.3">
      <c r="A70" s="3" t="s">
        <v>11</v>
      </c>
      <c r="B70" s="5">
        <v>1000</v>
      </c>
    </row>
    <row r="71" spans="1:7" ht="18.75" x14ac:dyDescent="0.3">
      <c r="A71" s="3" t="s">
        <v>13</v>
      </c>
      <c r="B71" s="5">
        <v>3000</v>
      </c>
    </row>
    <row r="72" spans="1:7" ht="18.75" x14ac:dyDescent="0.3">
      <c r="A72" s="3" t="s">
        <v>12</v>
      </c>
      <c r="B72" s="5">
        <v>1000</v>
      </c>
      <c r="D72" s="81">
        <v>0.4</v>
      </c>
      <c r="E72" s="81">
        <v>0.6</v>
      </c>
      <c r="F72" s="81">
        <v>0.9</v>
      </c>
      <c r="G72" s="4"/>
    </row>
    <row r="73" spans="1:7" ht="18.75" x14ac:dyDescent="0.3">
      <c r="A73" s="3" t="s">
        <v>14</v>
      </c>
      <c r="B73" s="5">
        <v>300</v>
      </c>
      <c r="D73" s="86">
        <f>B80*1.4</f>
        <v>7.3728421052631576</v>
      </c>
      <c r="E73" s="86">
        <f>B80*1.6</f>
        <v>8.4261052631578952</v>
      </c>
      <c r="F73" s="86">
        <f>B80*1.9</f>
        <v>10.006</v>
      </c>
      <c r="G73" s="4"/>
    </row>
    <row r="74" spans="1:7" ht="21" x14ac:dyDescent="0.35">
      <c r="A74" s="3" t="s">
        <v>15</v>
      </c>
      <c r="B74" s="5">
        <v>200</v>
      </c>
      <c r="D74" s="92"/>
      <c r="E74" s="92"/>
      <c r="F74" s="92"/>
      <c r="G74" s="4"/>
    </row>
    <row r="75" spans="1:7" ht="18.75" x14ac:dyDescent="0.3">
      <c r="A75" s="3" t="s">
        <v>27</v>
      </c>
      <c r="B75" s="5">
        <v>250</v>
      </c>
    </row>
    <row r="76" spans="1:7" ht="18.75" x14ac:dyDescent="0.3">
      <c r="A76" s="3" t="s">
        <v>28</v>
      </c>
      <c r="B76" s="5">
        <v>100</v>
      </c>
    </row>
    <row r="77" spans="1:7" ht="18.75" x14ac:dyDescent="0.3">
      <c r="A77" s="3" t="s">
        <v>16</v>
      </c>
      <c r="B77" s="5">
        <v>350</v>
      </c>
    </row>
    <row r="78" spans="1:7" ht="23.25" x14ac:dyDescent="0.35">
      <c r="A78" s="3" t="s">
        <v>17</v>
      </c>
      <c r="B78" s="5">
        <v>750</v>
      </c>
      <c r="D78" s="80"/>
      <c r="E78" s="80"/>
    </row>
    <row r="79" spans="1:7" ht="19.5" thickBot="1" x14ac:dyDescent="0.35">
      <c r="A79" s="3" t="s">
        <v>18</v>
      </c>
      <c r="B79" s="46">
        <v>4000</v>
      </c>
      <c r="F79" s="86"/>
    </row>
    <row r="80" spans="1:7" ht="18.75" x14ac:dyDescent="0.3">
      <c r="B80" s="5">
        <f>SUM(B65:B79)/F2</f>
        <v>5.2663157894736843</v>
      </c>
      <c r="F80" s="86"/>
    </row>
    <row r="81" spans="1:10" ht="23.25" x14ac:dyDescent="0.35">
      <c r="B81" s="7"/>
      <c r="C81" s="92"/>
      <c r="D81" s="92"/>
      <c r="E81" s="92"/>
      <c r="F81" s="86"/>
      <c r="I81" s="909"/>
      <c r="J81" s="909"/>
    </row>
    <row r="82" spans="1:10" ht="18.75" x14ac:dyDescent="0.3">
      <c r="C82" s="86"/>
      <c r="D82" s="86"/>
      <c r="E82" s="86"/>
      <c r="F82" s="86"/>
    </row>
    <row r="83" spans="1:10" ht="18.75" x14ac:dyDescent="0.3">
      <c r="C83" s="86"/>
      <c r="D83" s="86"/>
      <c r="E83" s="86"/>
      <c r="F83" s="86"/>
    </row>
    <row r="84" spans="1:10" ht="36" x14ac:dyDescent="0.45">
      <c r="A84" s="937" t="s">
        <v>50</v>
      </c>
      <c r="B84" s="937"/>
      <c r="D84" s="97" t="s">
        <v>143</v>
      </c>
    </row>
    <row r="85" spans="1:10" ht="18.75" x14ac:dyDescent="0.3">
      <c r="A85" s="3" t="s">
        <v>9</v>
      </c>
      <c r="B85" s="5">
        <f>0.6*1.8*F2</f>
        <v>4104</v>
      </c>
    </row>
    <row r="86" spans="1:10" ht="18.75" x14ac:dyDescent="0.3">
      <c r="A86" s="3" t="s">
        <v>1</v>
      </c>
      <c r="B86" s="5">
        <v>1000</v>
      </c>
    </row>
    <row r="87" spans="1:10" ht="18.75" x14ac:dyDescent="0.3">
      <c r="A87" s="3" t="s">
        <v>10</v>
      </c>
      <c r="B87" s="5">
        <v>2500</v>
      </c>
    </row>
    <row r="88" spans="1:10" ht="18.75" x14ac:dyDescent="0.3">
      <c r="A88" s="10" t="s">
        <v>45</v>
      </c>
      <c r="B88" s="5">
        <v>1000</v>
      </c>
    </row>
    <row r="89" spans="1:10" ht="18.75" x14ac:dyDescent="0.3">
      <c r="A89" s="10" t="s">
        <v>43</v>
      </c>
      <c r="B89" s="5">
        <v>800</v>
      </c>
    </row>
    <row r="90" spans="1:10" ht="18.75" x14ac:dyDescent="0.3">
      <c r="A90" s="3" t="s">
        <v>11</v>
      </c>
      <c r="B90" s="5">
        <v>1000</v>
      </c>
    </row>
    <row r="91" spans="1:10" ht="18.75" x14ac:dyDescent="0.3">
      <c r="A91" s="3" t="s">
        <v>13</v>
      </c>
      <c r="B91" s="5">
        <v>3000</v>
      </c>
    </row>
    <row r="92" spans="1:10" ht="18.75" x14ac:dyDescent="0.3">
      <c r="A92" s="3" t="s">
        <v>12</v>
      </c>
      <c r="B92" s="5">
        <v>1000</v>
      </c>
      <c r="D92" s="90" t="s">
        <v>22</v>
      </c>
      <c r="E92" s="90" t="s">
        <v>23</v>
      </c>
      <c r="F92" s="90" t="s">
        <v>24</v>
      </c>
      <c r="G92" s="4"/>
    </row>
    <row r="93" spans="1:10" ht="18.75" x14ac:dyDescent="0.3">
      <c r="A93" s="3" t="s">
        <v>14</v>
      </c>
      <c r="B93" s="5">
        <v>200</v>
      </c>
      <c r="D93" s="90">
        <f>D96</f>
        <v>7.4619999999999997</v>
      </c>
      <c r="E93" s="90">
        <f>E96</f>
        <v>8.5280000000000005</v>
      </c>
      <c r="F93" s="90">
        <f>F96</f>
        <v>10.126999999999999</v>
      </c>
      <c r="G93" s="4"/>
    </row>
    <row r="94" spans="1:10" ht="21" x14ac:dyDescent="0.35">
      <c r="A94" s="3" t="s">
        <v>15</v>
      </c>
      <c r="B94" s="5">
        <v>200</v>
      </c>
      <c r="D94" s="92"/>
      <c r="E94" s="92"/>
      <c r="F94" s="92"/>
      <c r="G94" s="4"/>
    </row>
    <row r="95" spans="1:10" ht="18.75" x14ac:dyDescent="0.3">
      <c r="A95" s="3" t="s">
        <v>27</v>
      </c>
      <c r="B95" s="5">
        <v>250</v>
      </c>
      <c r="D95" s="81">
        <v>0.4</v>
      </c>
      <c r="E95" s="81">
        <v>0.6</v>
      </c>
      <c r="F95" s="81">
        <v>0.9</v>
      </c>
    </row>
    <row r="96" spans="1:10" ht="18.75" x14ac:dyDescent="0.3">
      <c r="A96" s="3" t="s">
        <v>28</v>
      </c>
      <c r="B96" s="5">
        <v>100</v>
      </c>
      <c r="D96" s="86">
        <f>B100*1.4</f>
        <v>7.4619999999999997</v>
      </c>
      <c r="E96" s="86">
        <f>B100*1.6</f>
        <v>8.5280000000000005</v>
      </c>
      <c r="F96" s="86">
        <f>B100*1.9</f>
        <v>10.126999999999999</v>
      </c>
    </row>
    <row r="97" spans="1:6" ht="18.75" x14ac:dyDescent="0.3">
      <c r="A97" s="3" t="s">
        <v>16</v>
      </c>
      <c r="B97" s="5">
        <v>350</v>
      </c>
    </row>
    <row r="98" spans="1:6" ht="23.25" x14ac:dyDescent="0.35">
      <c r="A98" s="3" t="s">
        <v>17</v>
      </c>
      <c r="B98" s="5">
        <v>750</v>
      </c>
      <c r="D98" s="80"/>
      <c r="E98" s="80"/>
    </row>
    <row r="99" spans="1:6" ht="19.5" thickBot="1" x14ac:dyDescent="0.35">
      <c r="A99" s="3" t="s">
        <v>18</v>
      </c>
      <c r="B99" s="46">
        <v>4000</v>
      </c>
      <c r="F99" s="86"/>
    </row>
    <row r="100" spans="1:6" ht="18.75" x14ac:dyDescent="0.3">
      <c r="B100" s="5">
        <f>SUM(B85:B99)/F2</f>
        <v>5.33</v>
      </c>
      <c r="F100" s="86"/>
    </row>
    <row r="101" spans="1:6" ht="21" x14ac:dyDescent="0.35">
      <c r="B101" s="7"/>
      <c r="C101" s="92"/>
      <c r="D101" s="92"/>
      <c r="E101" s="92"/>
      <c r="F101" s="86"/>
    </row>
    <row r="102" spans="1:6" ht="18.75" x14ac:dyDescent="0.3">
      <c r="C102" s="86"/>
      <c r="D102" s="86"/>
      <c r="E102" s="86"/>
      <c r="F102" s="86"/>
    </row>
    <row r="103" spans="1:6" ht="18.75" x14ac:dyDescent="0.3">
      <c r="C103" s="86"/>
      <c r="D103" s="86"/>
      <c r="E103" s="86"/>
      <c r="F103" s="86"/>
    </row>
    <row r="105" spans="1:6" ht="36" x14ac:dyDescent="0.25">
      <c r="A105" s="944" t="s">
        <v>42</v>
      </c>
      <c r="B105" s="944"/>
      <c r="C105" s="944"/>
      <c r="D105" s="97" t="s">
        <v>143</v>
      </c>
    </row>
    <row r="106" spans="1:6" ht="23.25" x14ac:dyDescent="0.35">
      <c r="A106" s="938" t="s">
        <v>51</v>
      </c>
      <c r="B106" s="938"/>
    </row>
    <row r="107" spans="1:6" ht="18.75" x14ac:dyDescent="0.3">
      <c r="A107" s="3" t="s">
        <v>9</v>
      </c>
      <c r="B107" s="5">
        <f>0.8*1.8*F2</f>
        <v>5472.0000000000009</v>
      </c>
    </row>
    <row r="108" spans="1:6" ht="18.75" x14ac:dyDescent="0.3">
      <c r="A108" s="3" t="s">
        <v>1</v>
      </c>
      <c r="B108" s="5">
        <v>1000</v>
      </c>
    </row>
    <row r="109" spans="1:6" ht="18.75" x14ac:dyDescent="0.3">
      <c r="A109" s="3" t="s">
        <v>10</v>
      </c>
      <c r="B109" s="5">
        <v>2500</v>
      </c>
    </row>
    <row r="110" spans="1:6" ht="18.75" x14ac:dyDescent="0.3">
      <c r="A110" s="10" t="s">
        <v>45</v>
      </c>
      <c r="B110" s="5">
        <v>0</v>
      </c>
      <c r="D110" s="90" t="s">
        <v>22</v>
      </c>
      <c r="E110" s="90" t="s">
        <v>23</v>
      </c>
      <c r="F110" s="90" t="s">
        <v>24</v>
      </c>
    </row>
    <row r="111" spans="1:6" ht="18.75" x14ac:dyDescent="0.3">
      <c r="A111" s="10" t="s">
        <v>44</v>
      </c>
      <c r="B111" s="5">
        <v>800</v>
      </c>
      <c r="D111" s="90">
        <f>D115</f>
        <v>5.9610263157894732</v>
      </c>
      <c r="E111" s="90">
        <f>E115</f>
        <v>6.9887894736842098</v>
      </c>
      <c r="F111" s="90">
        <f>F115</f>
        <v>8.1809947368421057</v>
      </c>
    </row>
    <row r="112" spans="1:6" ht="18.75" x14ac:dyDescent="0.3">
      <c r="A112" s="3" t="s">
        <v>11</v>
      </c>
      <c r="B112" s="5">
        <v>0</v>
      </c>
    </row>
    <row r="113" spans="1:7" ht="18.75" x14ac:dyDescent="0.3">
      <c r="A113" s="3" t="s">
        <v>13</v>
      </c>
      <c r="B113" s="5">
        <v>0</v>
      </c>
      <c r="G113" s="4"/>
    </row>
    <row r="114" spans="1:7" ht="18.75" x14ac:dyDescent="0.3">
      <c r="A114" s="3" t="s">
        <v>12</v>
      </c>
      <c r="B114" s="5">
        <v>1000</v>
      </c>
      <c r="D114" s="81">
        <v>0.4</v>
      </c>
      <c r="E114" s="81">
        <v>0.6</v>
      </c>
      <c r="F114" s="81">
        <v>0.9</v>
      </c>
      <c r="G114" s="4"/>
    </row>
    <row r="115" spans="1:7" ht="18.75" x14ac:dyDescent="0.3">
      <c r="A115" s="3" t="s">
        <v>14</v>
      </c>
      <c r="B115" s="5">
        <v>200</v>
      </c>
      <c r="D115" s="86">
        <f>B122*1.45</f>
        <v>5.9610263157894732</v>
      </c>
      <c r="E115" s="86">
        <f>B122*1.7</f>
        <v>6.9887894736842098</v>
      </c>
      <c r="F115" s="86">
        <f>B122*1.99</f>
        <v>8.1809947368421057</v>
      </c>
      <c r="G115" s="4"/>
    </row>
    <row r="116" spans="1:7" ht="18.75" x14ac:dyDescent="0.3">
      <c r="A116" s="3" t="s">
        <v>15</v>
      </c>
      <c r="B116" s="5">
        <v>200</v>
      </c>
    </row>
    <row r="117" spans="1:7" ht="18.75" x14ac:dyDescent="0.3">
      <c r="A117" s="3" t="s">
        <v>27</v>
      </c>
      <c r="B117" s="5">
        <v>250</v>
      </c>
    </row>
    <row r="118" spans="1:7" ht="18.75" x14ac:dyDescent="0.3">
      <c r="A118" s="3" t="s">
        <v>28</v>
      </c>
      <c r="B118" s="5">
        <v>100</v>
      </c>
    </row>
    <row r="119" spans="1:7" ht="18.75" x14ac:dyDescent="0.3">
      <c r="A119" s="3" t="s">
        <v>16</v>
      </c>
      <c r="B119" s="5">
        <v>350</v>
      </c>
    </row>
    <row r="120" spans="1:7" ht="23.25" x14ac:dyDescent="0.35">
      <c r="A120" s="3" t="s">
        <v>17</v>
      </c>
      <c r="B120" s="5">
        <v>50</v>
      </c>
      <c r="D120" s="80"/>
      <c r="E120" s="80"/>
    </row>
    <row r="121" spans="1:7" ht="19.5" thickBot="1" x14ac:dyDescent="0.35">
      <c r="A121" s="3" t="s">
        <v>18</v>
      </c>
      <c r="B121" s="46">
        <v>3700</v>
      </c>
      <c r="F121" s="86"/>
    </row>
    <row r="122" spans="1:7" ht="18.75" x14ac:dyDescent="0.3">
      <c r="B122" s="5">
        <f>SUM(B107:B121)/F2</f>
        <v>4.1110526315789473</v>
      </c>
      <c r="F122" s="86"/>
    </row>
    <row r="123" spans="1:7" ht="21" x14ac:dyDescent="0.35">
      <c r="B123" s="7"/>
      <c r="C123" s="92"/>
      <c r="D123" s="92"/>
      <c r="E123" s="92"/>
      <c r="F123" s="86"/>
    </row>
    <row r="124" spans="1:7" ht="18.75" x14ac:dyDescent="0.3">
      <c r="C124" s="86"/>
      <c r="D124" s="86"/>
      <c r="E124" s="86"/>
      <c r="F124" s="86"/>
    </row>
    <row r="125" spans="1:7" ht="18.75" x14ac:dyDescent="0.3">
      <c r="C125" s="86"/>
      <c r="D125" s="86"/>
      <c r="E125" s="86"/>
      <c r="F125" s="86"/>
    </row>
    <row r="126" spans="1:7" ht="36" x14ac:dyDescent="0.25">
      <c r="A126" s="944" t="s">
        <v>42</v>
      </c>
      <c r="B126" s="944"/>
      <c r="C126" s="944"/>
      <c r="D126" s="97" t="s">
        <v>57</v>
      </c>
      <c r="E126" s="97"/>
      <c r="F126" s="97"/>
      <c r="G126" s="18"/>
    </row>
    <row r="127" spans="1:7" ht="28.5" x14ac:dyDescent="0.45">
      <c r="A127" s="937" t="s">
        <v>56</v>
      </c>
      <c r="B127" s="937"/>
    </row>
    <row r="128" spans="1:7" ht="18.75" x14ac:dyDescent="0.3">
      <c r="A128" s="3" t="s">
        <v>9</v>
      </c>
      <c r="B128" s="5">
        <f>0.55*1.2*F2</f>
        <v>2508</v>
      </c>
    </row>
    <row r="129" spans="1:7" ht="18.75" x14ac:dyDescent="0.3">
      <c r="A129" s="3" t="s">
        <v>1</v>
      </c>
      <c r="B129" s="5">
        <v>700</v>
      </c>
    </row>
    <row r="130" spans="1:7" ht="18.75" x14ac:dyDescent="0.3">
      <c r="A130" s="3" t="s">
        <v>94</v>
      </c>
      <c r="B130" s="5">
        <f>0.5*11000</f>
        <v>5500</v>
      </c>
    </row>
    <row r="131" spans="1:7" ht="18.75" x14ac:dyDescent="0.3">
      <c r="A131" s="3" t="s">
        <v>10</v>
      </c>
      <c r="B131" s="5">
        <v>2000</v>
      </c>
      <c r="D131" s="90" t="s">
        <v>22</v>
      </c>
      <c r="E131" s="90" t="s">
        <v>23</v>
      </c>
      <c r="F131" s="90" t="s">
        <v>24</v>
      </c>
    </row>
    <row r="132" spans="1:7" ht="18.75" x14ac:dyDescent="0.3">
      <c r="A132" s="10" t="s">
        <v>45</v>
      </c>
      <c r="B132" s="5">
        <v>0</v>
      </c>
      <c r="D132" s="90">
        <f>D137</f>
        <v>6.8003157894736841</v>
      </c>
      <c r="E132" s="90">
        <f>E137</f>
        <v>7.7717894736842119</v>
      </c>
      <c r="F132" s="90">
        <f>F137</f>
        <v>9.229000000000001</v>
      </c>
    </row>
    <row r="133" spans="1:7" ht="18.75" x14ac:dyDescent="0.3">
      <c r="A133" s="10" t="s">
        <v>43</v>
      </c>
      <c r="B133" s="5">
        <v>800</v>
      </c>
    </row>
    <row r="134" spans="1:7" ht="18.75" x14ac:dyDescent="0.3">
      <c r="A134" s="3" t="s">
        <v>11</v>
      </c>
      <c r="B134" s="5">
        <v>1000</v>
      </c>
    </row>
    <row r="135" spans="1:7" ht="18.75" x14ac:dyDescent="0.3">
      <c r="A135" s="3" t="s">
        <v>13</v>
      </c>
      <c r="B135" s="5">
        <v>0</v>
      </c>
    </row>
    <row r="136" spans="1:7" ht="18.75" x14ac:dyDescent="0.3">
      <c r="A136" s="3" t="s">
        <v>12</v>
      </c>
      <c r="B136" s="5">
        <v>2000</v>
      </c>
      <c r="D136" s="81">
        <v>0.4</v>
      </c>
      <c r="E136" s="81">
        <v>0.6</v>
      </c>
      <c r="F136" s="81">
        <v>0.9</v>
      </c>
      <c r="G136" s="4"/>
    </row>
    <row r="137" spans="1:7" ht="18.75" x14ac:dyDescent="0.3">
      <c r="A137" s="3" t="s">
        <v>14</v>
      </c>
      <c r="B137" s="5">
        <v>0</v>
      </c>
      <c r="D137" s="86">
        <f>B144*1.4</f>
        <v>6.8003157894736841</v>
      </c>
      <c r="E137" s="86">
        <f>B144*1.6</f>
        <v>7.7717894736842119</v>
      </c>
      <c r="F137" s="86">
        <f>B144*1.9</f>
        <v>9.229000000000001</v>
      </c>
      <c r="G137" s="4"/>
    </row>
    <row r="138" spans="1:7" ht="18.75" x14ac:dyDescent="0.3">
      <c r="A138" s="3" t="s">
        <v>15</v>
      </c>
      <c r="B138" s="5">
        <v>0</v>
      </c>
      <c r="G138" s="4"/>
    </row>
    <row r="139" spans="1:7" ht="18.75" x14ac:dyDescent="0.3">
      <c r="A139" s="3" t="s">
        <v>27</v>
      </c>
      <c r="B139" s="5">
        <v>50</v>
      </c>
    </row>
    <row r="140" spans="1:7" ht="18.75" x14ac:dyDescent="0.3">
      <c r="A140" s="3" t="s">
        <v>28</v>
      </c>
      <c r="B140" s="5">
        <v>100</v>
      </c>
    </row>
    <row r="141" spans="1:7" ht="18.75" x14ac:dyDescent="0.3">
      <c r="A141" s="3" t="s">
        <v>16</v>
      </c>
      <c r="B141" s="5">
        <v>350</v>
      </c>
    </row>
    <row r="142" spans="1:7" ht="23.25" x14ac:dyDescent="0.35">
      <c r="A142" s="3" t="s">
        <v>17</v>
      </c>
      <c r="B142" s="5">
        <v>750</v>
      </c>
      <c r="D142" s="80"/>
      <c r="E142" s="80"/>
    </row>
    <row r="143" spans="1:7" ht="19.5" thickBot="1" x14ac:dyDescent="0.35">
      <c r="A143" s="3" t="s">
        <v>18</v>
      </c>
      <c r="B143" s="46">
        <v>2700</v>
      </c>
      <c r="F143" s="86"/>
    </row>
    <row r="144" spans="1:7" ht="18.75" x14ac:dyDescent="0.3">
      <c r="B144" s="5">
        <f>SUM(B128:B143)/F2</f>
        <v>4.857368421052632</v>
      </c>
      <c r="F144" s="86"/>
    </row>
    <row r="145" spans="1:7" ht="21" x14ac:dyDescent="0.35">
      <c r="B145" s="7"/>
      <c r="C145" s="92"/>
      <c r="D145" s="92"/>
      <c r="E145" s="92"/>
      <c r="F145" s="86"/>
    </row>
    <row r="146" spans="1:7" ht="18.75" x14ac:dyDescent="0.3">
      <c r="C146" s="86"/>
      <c r="D146" s="86"/>
      <c r="E146" s="86"/>
      <c r="F146" s="86"/>
    </row>
    <row r="147" spans="1:7" ht="18.75" x14ac:dyDescent="0.3">
      <c r="C147" s="86"/>
      <c r="D147" s="86"/>
      <c r="E147" s="86"/>
      <c r="F147" s="86"/>
    </row>
    <row r="148" spans="1:7" ht="31.5" x14ac:dyDescent="0.45">
      <c r="A148" s="937" t="s">
        <v>50</v>
      </c>
      <c r="B148" s="937"/>
      <c r="D148" s="233" t="s">
        <v>57</v>
      </c>
    </row>
    <row r="149" spans="1:7" ht="18.75" x14ac:dyDescent="0.3">
      <c r="A149" s="3" t="s">
        <v>9</v>
      </c>
      <c r="B149" s="5">
        <f>0.6*1.8*F2</f>
        <v>4104</v>
      </c>
    </row>
    <row r="150" spans="1:7" ht="18.75" x14ac:dyDescent="0.3">
      <c r="A150" s="3" t="s">
        <v>1</v>
      </c>
      <c r="B150" s="5">
        <v>1000</v>
      </c>
    </row>
    <row r="151" spans="1:7" ht="18.75" x14ac:dyDescent="0.3">
      <c r="A151" s="3" t="s">
        <v>94</v>
      </c>
      <c r="B151" s="5">
        <v>7000</v>
      </c>
    </row>
    <row r="152" spans="1:7" ht="18.75" x14ac:dyDescent="0.3">
      <c r="A152" s="3" t="s">
        <v>10</v>
      </c>
      <c r="B152" s="5">
        <v>2500</v>
      </c>
      <c r="D152" s="90" t="s">
        <v>22</v>
      </c>
      <c r="E152" s="90" t="s">
        <v>23</v>
      </c>
      <c r="F152" s="90" t="s">
        <v>24</v>
      </c>
    </row>
    <row r="153" spans="1:7" ht="18.75" x14ac:dyDescent="0.3">
      <c r="A153" s="10" t="s">
        <v>45</v>
      </c>
      <c r="B153" s="5">
        <v>1000</v>
      </c>
      <c r="D153" s="90">
        <f>D157</f>
        <v>10.225157894736842</v>
      </c>
      <c r="E153" s="90">
        <f>E157</f>
        <v>11.685894736842107</v>
      </c>
      <c r="F153" s="90">
        <f>F157</f>
        <v>13.876999999999999</v>
      </c>
    </row>
    <row r="154" spans="1:7" ht="18.75" x14ac:dyDescent="0.3">
      <c r="A154" s="10" t="s">
        <v>43</v>
      </c>
      <c r="B154" s="5">
        <v>800</v>
      </c>
    </row>
    <row r="155" spans="1:7" ht="18.75" x14ac:dyDescent="0.3">
      <c r="A155" s="3" t="s">
        <v>11</v>
      </c>
      <c r="B155" s="5">
        <v>2000</v>
      </c>
    </row>
    <row r="156" spans="1:7" ht="18.75" x14ac:dyDescent="0.3">
      <c r="A156" s="3" t="s">
        <v>13</v>
      </c>
      <c r="B156" s="5">
        <v>1500</v>
      </c>
      <c r="D156" s="81">
        <v>0.4</v>
      </c>
      <c r="E156" s="81">
        <v>0.6</v>
      </c>
      <c r="F156" s="81">
        <v>0.9</v>
      </c>
    </row>
    <row r="157" spans="1:7" ht="18.75" x14ac:dyDescent="0.3">
      <c r="A157" s="3" t="s">
        <v>12</v>
      </c>
      <c r="B157" s="5">
        <v>2000</v>
      </c>
      <c r="D157" s="86">
        <f>B165*1.4</f>
        <v>10.225157894736842</v>
      </c>
      <c r="E157" s="86">
        <f>B165*1.6</f>
        <v>11.685894736842107</v>
      </c>
      <c r="F157" s="86">
        <f>B165*1.9</f>
        <v>13.876999999999999</v>
      </c>
      <c r="G157" s="4"/>
    </row>
    <row r="158" spans="1:7" ht="18.75" x14ac:dyDescent="0.3">
      <c r="A158" s="3" t="s">
        <v>14</v>
      </c>
      <c r="B158" s="5">
        <v>200</v>
      </c>
      <c r="G158" s="4"/>
    </row>
    <row r="159" spans="1:7" ht="21" x14ac:dyDescent="0.35">
      <c r="A159" s="3" t="s">
        <v>15</v>
      </c>
      <c r="B159" s="5">
        <v>200</v>
      </c>
      <c r="D159" s="92"/>
      <c r="E159" s="92"/>
      <c r="F159" s="92"/>
      <c r="G159" s="4"/>
    </row>
    <row r="160" spans="1:7" ht="18.75" x14ac:dyDescent="0.3">
      <c r="A160" s="3" t="s">
        <v>27</v>
      </c>
      <c r="B160" s="5">
        <v>250</v>
      </c>
    </row>
    <row r="161" spans="1:6" ht="18.75" x14ac:dyDescent="0.3">
      <c r="A161" s="3" t="s">
        <v>28</v>
      </c>
      <c r="B161" s="5">
        <v>100</v>
      </c>
    </row>
    <row r="162" spans="1:6" ht="18.75" x14ac:dyDescent="0.3">
      <c r="A162" s="3" t="s">
        <v>16</v>
      </c>
      <c r="B162" s="5">
        <v>350</v>
      </c>
    </row>
    <row r="163" spans="1:6" ht="23.25" x14ac:dyDescent="0.35">
      <c r="A163" s="3" t="s">
        <v>17</v>
      </c>
      <c r="B163" s="5">
        <v>750</v>
      </c>
      <c r="D163" s="80"/>
      <c r="E163" s="80"/>
    </row>
    <row r="164" spans="1:6" ht="19.5" thickBot="1" x14ac:dyDescent="0.35">
      <c r="A164" s="3" t="s">
        <v>18</v>
      </c>
      <c r="B164" s="46">
        <v>4000</v>
      </c>
      <c r="F164" s="86"/>
    </row>
    <row r="165" spans="1:6" ht="18.75" x14ac:dyDescent="0.3">
      <c r="B165" s="5">
        <f>SUM(B149:B164)/F2</f>
        <v>7.303684210526316</v>
      </c>
      <c r="F165" s="86"/>
    </row>
    <row r="166" spans="1:6" ht="21" x14ac:dyDescent="0.35">
      <c r="B166" s="7"/>
      <c r="C166" s="92"/>
      <c r="D166" s="92"/>
      <c r="E166" s="92"/>
      <c r="F166" s="86"/>
    </row>
    <row r="167" spans="1:6" ht="18.75" x14ac:dyDescent="0.3">
      <c r="C167" s="86"/>
      <c r="D167" s="86"/>
      <c r="E167" s="86"/>
      <c r="F167" s="86"/>
    </row>
    <row r="168" spans="1:6" ht="18.75" x14ac:dyDescent="0.3">
      <c r="C168" s="86"/>
      <c r="D168" s="86"/>
      <c r="E168" s="86"/>
      <c r="F168" s="86"/>
    </row>
    <row r="170" spans="1:6" ht="36" x14ac:dyDescent="0.25">
      <c r="A170" s="944" t="s">
        <v>42</v>
      </c>
      <c r="B170" s="944"/>
      <c r="C170" s="944"/>
      <c r="D170" s="97" t="s">
        <v>57</v>
      </c>
    </row>
    <row r="171" spans="1:6" ht="23.25" x14ac:dyDescent="0.35">
      <c r="A171" s="938" t="s">
        <v>51</v>
      </c>
      <c r="B171" s="938"/>
    </row>
    <row r="172" spans="1:6" ht="18.75" x14ac:dyDescent="0.3">
      <c r="A172" s="3" t="s">
        <v>9</v>
      </c>
      <c r="B172" s="5">
        <f>0.8*1.8*F2</f>
        <v>5472.0000000000009</v>
      </c>
    </row>
    <row r="173" spans="1:6" ht="18.75" x14ac:dyDescent="0.3">
      <c r="A173" s="3" t="s">
        <v>1</v>
      </c>
      <c r="B173" s="5">
        <v>1400</v>
      </c>
    </row>
    <row r="174" spans="1:6" ht="18.75" x14ac:dyDescent="0.3">
      <c r="A174" s="3" t="s">
        <v>94</v>
      </c>
      <c r="B174" s="5">
        <v>8000</v>
      </c>
    </row>
    <row r="175" spans="1:6" ht="18.75" x14ac:dyDescent="0.3">
      <c r="A175" s="3" t="s">
        <v>10</v>
      </c>
      <c r="B175" s="5">
        <v>2500</v>
      </c>
      <c r="D175" s="90" t="s">
        <v>22</v>
      </c>
      <c r="E175" s="90" t="s">
        <v>23</v>
      </c>
      <c r="F175" s="90" t="s">
        <v>24</v>
      </c>
    </row>
    <row r="176" spans="1:6" ht="18.75" x14ac:dyDescent="0.3">
      <c r="A176" s="10" t="s">
        <v>45</v>
      </c>
      <c r="B176" s="5">
        <v>1000</v>
      </c>
      <c r="D176" s="90">
        <f>D181</f>
        <v>11.244947368421052</v>
      </c>
      <c r="E176" s="90">
        <f>E181</f>
        <v>12.851368421052634</v>
      </c>
      <c r="F176" s="90">
        <f>F181</f>
        <v>15.260999999999999</v>
      </c>
    </row>
    <row r="177" spans="1:7" ht="18.75" x14ac:dyDescent="0.3">
      <c r="A177" s="10" t="s">
        <v>44</v>
      </c>
      <c r="B177" s="5">
        <v>800</v>
      </c>
    </row>
    <row r="178" spans="1:7" ht="18.75" x14ac:dyDescent="0.3">
      <c r="A178" s="3" t="s">
        <v>11</v>
      </c>
      <c r="B178" s="5">
        <v>2000</v>
      </c>
    </row>
    <row r="179" spans="1:7" ht="18.75" x14ac:dyDescent="0.3">
      <c r="A179" s="3" t="s">
        <v>13</v>
      </c>
      <c r="B179" s="5">
        <v>1500</v>
      </c>
      <c r="G179" s="4"/>
    </row>
    <row r="180" spans="1:7" ht="18.75" x14ac:dyDescent="0.3">
      <c r="A180" s="3" t="s">
        <v>12</v>
      </c>
      <c r="B180" s="5">
        <v>2000</v>
      </c>
      <c r="D180" s="81">
        <v>0.4</v>
      </c>
      <c r="E180" s="81">
        <v>0.6</v>
      </c>
      <c r="F180" s="81">
        <v>0.9</v>
      </c>
      <c r="G180" s="4"/>
    </row>
    <row r="181" spans="1:7" ht="18.75" x14ac:dyDescent="0.3">
      <c r="A181" s="3" t="s">
        <v>14</v>
      </c>
      <c r="B181" s="5">
        <v>200</v>
      </c>
      <c r="D181" s="86">
        <f>B188*1.4</f>
        <v>11.244947368421052</v>
      </c>
      <c r="E181" s="86">
        <f>B188*1.6</f>
        <v>12.851368421052634</v>
      </c>
      <c r="F181" s="86">
        <f>B188*1.9</f>
        <v>15.260999999999999</v>
      </c>
      <c r="G181" s="4"/>
    </row>
    <row r="182" spans="1:7" ht="18.75" x14ac:dyDescent="0.3">
      <c r="A182" s="3" t="s">
        <v>15</v>
      </c>
      <c r="B182" s="5">
        <v>200</v>
      </c>
    </row>
    <row r="183" spans="1:7" ht="18.75" x14ac:dyDescent="0.3">
      <c r="A183" s="3" t="s">
        <v>27</v>
      </c>
      <c r="B183" s="5">
        <v>250</v>
      </c>
    </row>
    <row r="184" spans="1:7" ht="18.75" x14ac:dyDescent="0.3">
      <c r="A184" s="3" t="s">
        <v>28</v>
      </c>
      <c r="B184" s="5">
        <v>100</v>
      </c>
    </row>
    <row r="185" spans="1:7" ht="18.75" x14ac:dyDescent="0.3">
      <c r="A185" s="3" t="s">
        <v>16</v>
      </c>
      <c r="B185" s="5">
        <v>350</v>
      </c>
    </row>
    <row r="186" spans="1:7" ht="23.25" x14ac:dyDescent="0.35">
      <c r="A186" s="3" t="s">
        <v>17</v>
      </c>
      <c r="B186" s="5">
        <v>750</v>
      </c>
      <c r="D186" s="940"/>
      <c r="E186" s="940"/>
    </row>
    <row r="187" spans="1:7" ht="19.5" thickBot="1" x14ac:dyDescent="0.35">
      <c r="A187" s="3" t="s">
        <v>18</v>
      </c>
      <c r="B187" s="46">
        <v>4000</v>
      </c>
      <c r="F187" s="86"/>
    </row>
    <row r="188" spans="1:7" ht="18.75" x14ac:dyDescent="0.3">
      <c r="B188" s="5">
        <f>SUM(B172:B187)/F2</f>
        <v>8.0321052631578951</v>
      </c>
      <c r="F188" s="86"/>
    </row>
    <row r="189" spans="1:7" ht="21" x14ac:dyDescent="0.35">
      <c r="B189" s="7"/>
      <c r="C189" s="92"/>
      <c r="D189" s="92"/>
      <c r="E189" s="92"/>
      <c r="F189" s="86"/>
    </row>
    <row r="190" spans="1:7" ht="18.75" x14ac:dyDescent="0.3">
      <c r="C190" s="86"/>
      <c r="D190" s="86"/>
      <c r="E190" s="86"/>
      <c r="F190" s="86"/>
    </row>
    <row r="191" spans="1:7" ht="18.75" x14ac:dyDescent="0.3">
      <c r="C191" s="86"/>
      <c r="D191" s="86"/>
      <c r="E191" s="86"/>
      <c r="F191" s="86"/>
    </row>
  </sheetData>
  <mergeCells count="22">
    <mergeCell ref="I81:J81"/>
    <mergeCell ref="A1:C1"/>
    <mergeCell ref="A43:C43"/>
    <mergeCell ref="A63:C63"/>
    <mergeCell ref="A84:B84"/>
    <mergeCell ref="I59:J59"/>
    <mergeCell ref="A21:B21"/>
    <mergeCell ref="I15:J15"/>
    <mergeCell ref="A44:B44"/>
    <mergeCell ref="I36:J36"/>
    <mergeCell ref="A2:B2"/>
    <mergeCell ref="A64:B64"/>
    <mergeCell ref="D1:F1"/>
    <mergeCell ref="D21:F21"/>
    <mergeCell ref="A126:C126"/>
    <mergeCell ref="A105:C105"/>
    <mergeCell ref="A106:B106"/>
    <mergeCell ref="A171:B171"/>
    <mergeCell ref="D186:E186"/>
    <mergeCell ref="A127:B127"/>
    <mergeCell ref="A148:B148"/>
    <mergeCell ref="A170:C170"/>
  </mergeCells>
  <pageMargins left="0.23622047244094491" right="0.23622047244094491" top="0.15748031496062992" bottom="0.15748031496062992" header="0.31496062992125984" footer="0.31496062992125984"/>
  <pageSetup scale="89" orientation="portrait" horizontalDpi="0" verticalDpi="0" r:id="rId1"/>
  <rowBreaks count="3" manualBreakCount="3">
    <brk id="40" max="6" man="1"/>
    <brk id="83" max="6" man="1"/>
    <brk id="125" max="6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/>
  <dimension ref="A2:AD69"/>
  <sheetViews>
    <sheetView topLeftCell="A20" zoomScale="80" zoomScaleNormal="80" workbookViewId="0">
      <selection activeCell="E25" sqref="E25"/>
    </sheetView>
  </sheetViews>
  <sheetFormatPr baseColWidth="10" defaultRowHeight="18.75" x14ac:dyDescent="0.3"/>
  <cols>
    <col min="1" max="1" width="38.5703125" style="48" customWidth="1"/>
    <col min="2" max="2" width="13.7109375" style="98" customWidth="1"/>
    <col min="3" max="3" width="16.28515625" style="98" customWidth="1"/>
    <col min="4" max="4" width="15" style="98" customWidth="1"/>
    <col min="5" max="5" width="14.42578125" style="98" customWidth="1"/>
    <col min="6" max="6" width="15.42578125" style="98" customWidth="1"/>
    <col min="7" max="7" width="11.42578125" style="48"/>
    <col min="8" max="8" width="3.28515625" style="48" customWidth="1"/>
    <col min="9" max="9" width="40.5703125" customWidth="1"/>
    <col min="10" max="10" width="16" customWidth="1"/>
    <col min="12" max="12" width="12.5703125" style="33" customWidth="1"/>
    <col min="13" max="13" width="15.5703125" style="33" customWidth="1"/>
    <col min="14" max="14" width="14.7109375" style="33" customWidth="1"/>
    <col min="16" max="16" width="29.140625" customWidth="1"/>
    <col min="17" max="17" width="14" customWidth="1"/>
    <col min="24" max="24" width="26.140625" bestFit="1" customWidth="1"/>
    <col min="25" max="25" width="12.7109375" bestFit="1" customWidth="1"/>
  </cols>
  <sheetData>
    <row r="2" spans="1:30" ht="28.5" x14ac:dyDescent="0.45">
      <c r="F2" s="99" t="s">
        <v>170</v>
      </c>
      <c r="X2" s="48"/>
      <c r="Y2" s="98"/>
      <c r="Z2" s="98"/>
      <c r="AA2" s="98"/>
      <c r="AB2" s="98"/>
      <c r="AC2" s="99" t="s">
        <v>170</v>
      </c>
      <c r="AD2" s="48"/>
    </row>
    <row r="3" spans="1:30" s="51" customFormat="1" ht="38.25" customHeight="1" x14ac:dyDescent="0.4">
      <c r="A3" s="912" t="s">
        <v>144</v>
      </c>
      <c r="B3" s="912"/>
      <c r="C3" s="100"/>
      <c r="D3" s="101" t="s">
        <v>62</v>
      </c>
      <c r="E3" s="101"/>
      <c r="F3" s="101"/>
      <c r="G3" s="50"/>
      <c r="L3" s="57"/>
      <c r="M3" s="57"/>
      <c r="N3" s="57"/>
      <c r="X3" s="912" t="s">
        <v>144</v>
      </c>
      <c r="Y3" s="912"/>
      <c r="Z3" s="100"/>
      <c r="AA3" s="101" t="s">
        <v>188</v>
      </c>
      <c r="AB3" s="101"/>
      <c r="AC3" s="101"/>
      <c r="AD3" s="50"/>
    </row>
    <row r="4" spans="1:30" ht="20.100000000000001" customHeight="1" x14ac:dyDescent="0.3">
      <c r="A4" s="11" t="s">
        <v>69</v>
      </c>
      <c r="B4" s="5">
        <f>1.5*5*F4</f>
        <v>28500</v>
      </c>
      <c r="C4" s="102"/>
      <c r="D4" s="102"/>
      <c r="E4" s="102"/>
      <c r="F4" s="5">
        <v>3800</v>
      </c>
      <c r="G4" s="4" t="s">
        <v>19</v>
      </c>
      <c r="X4" s="11" t="s">
        <v>69</v>
      </c>
      <c r="Y4" s="5">
        <f>1.5*3*AC4</f>
        <v>17550</v>
      </c>
      <c r="Z4" s="102"/>
      <c r="AA4" s="102"/>
      <c r="AB4" s="102"/>
      <c r="AC4" s="5">
        <v>3900</v>
      </c>
      <c r="AD4" s="4" t="s">
        <v>19</v>
      </c>
    </row>
    <row r="5" spans="1:30" ht="20.100000000000001" customHeight="1" x14ac:dyDescent="0.3">
      <c r="A5" s="11" t="s">
        <v>1</v>
      </c>
      <c r="B5" s="5">
        <v>700</v>
      </c>
      <c r="C5" s="102"/>
      <c r="D5" s="102"/>
      <c r="E5" s="102"/>
      <c r="F5" s="102"/>
      <c r="G5" s="11"/>
      <c r="K5" s="32" t="s">
        <v>71</v>
      </c>
      <c r="L5" s="34" t="s">
        <v>78</v>
      </c>
      <c r="X5" s="11" t="s">
        <v>1</v>
      </c>
      <c r="Y5" s="5">
        <v>700</v>
      </c>
      <c r="Z5" s="102"/>
      <c r="AA5" s="102"/>
      <c r="AB5" s="102"/>
      <c r="AC5" s="102"/>
      <c r="AD5" s="11"/>
    </row>
    <row r="6" spans="1:30" ht="20.100000000000001" customHeight="1" x14ac:dyDescent="0.3">
      <c r="A6" s="11" t="s">
        <v>10</v>
      </c>
      <c r="B6" s="5">
        <v>9000</v>
      </c>
      <c r="C6" s="102"/>
      <c r="D6" s="102"/>
      <c r="E6" s="102"/>
      <c r="F6" s="102"/>
      <c r="G6" s="11"/>
      <c r="I6" t="s">
        <v>70</v>
      </c>
      <c r="J6" s="31" t="s">
        <v>74</v>
      </c>
      <c r="K6">
        <f>36*1.6</f>
        <v>57.6</v>
      </c>
      <c r="X6" s="11" t="s">
        <v>10</v>
      </c>
      <c r="Y6" s="5">
        <v>4500</v>
      </c>
      <c r="Z6" s="102"/>
      <c r="AA6" s="102"/>
      <c r="AB6" s="102"/>
      <c r="AC6" s="102"/>
      <c r="AD6" s="11"/>
    </row>
    <row r="7" spans="1:30" ht="20.100000000000001" customHeight="1" x14ac:dyDescent="0.3">
      <c r="A7" s="49" t="s">
        <v>65</v>
      </c>
      <c r="B7" s="5">
        <v>4000</v>
      </c>
      <c r="C7" s="102"/>
      <c r="D7" s="102"/>
      <c r="E7" s="102"/>
      <c r="F7" s="102"/>
      <c r="G7" s="11"/>
      <c r="I7" t="s">
        <v>72</v>
      </c>
      <c r="J7" s="31" t="s">
        <v>75</v>
      </c>
      <c r="K7">
        <f>6*12*1.9</f>
        <v>136.79999999999998</v>
      </c>
      <c r="X7" s="49" t="s">
        <v>65</v>
      </c>
      <c r="Y7" s="5">
        <v>3000</v>
      </c>
      <c r="Z7" s="102"/>
      <c r="AA7" s="102"/>
      <c r="AB7" s="102"/>
      <c r="AC7" s="102"/>
      <c r="AD7" s="11"/>
    </row>
    <row r="8" spans="1:30" ht="20.100000000000001" customHeight="1" thickBot="1" x14ac:dyDescent="0.35">
      <c r="A8" s="11" t="s">
        <v>11</v>
      </c>
      <c r="B8" s="5">
        <v>500</v>
      </c>
      <c r="C8" s="102"/>
      <c r="D8" s="5" t="s">
        <v>66</v>
      </c>
      <c r="E8" s="102"/>
      <c r="F8" s="102"/>
      <c r="G8" s="11"/>
      <c r="I8" t="s">
        <v>73</v>
      </c>
      <c r="J8" s="31" t="s">
        <v>76</v>
      </c>
      <c r="K8" s="30">
        <f>12*2.2</f>
        <v>26.400000000000002</v>
      </c>
      <c r="X8" s="11" t="s">
        <v>11</v>
      </c>
      <c r="Y8" s="5">
        <v>500</v>
      </c>
      <c r="Z8" s="102"/>
      <c r="AA8" s="5" t="s">
        <v>66</v>
      </c>
      <c r="AB8" s="102"/>
      <c r="AC8" s="102"/>
      <c r="AD8" s="11"/>
    </row>
    <row r="9" spans="1:30" ht="20.100000000000001" customHeight="1" x14ac:dyDescent="0.3">
      <c r="A9" s="11" t="s">
        <v>13</v>
      </c>
      <c r="B9" s="5">
        <v>5500</v>
      </c>
      <c r="C9" s="102"/>
      <c r="D9" s="102"/>
      <c r="E9" s="102"/>
      <c r="F9" s="102"/>
      <c r="G9" s="11"/>
      <c r="K9" s="29">
        <f>SUM(K6:K8)</f>
        <v>220.79999999999998</v>
      </c>
      <c r="L9" s="33">
        <f>K9*3</f>
        <v>662.4</v>
      </c>
      <c r="O9">
        <f>120*13</f>
        <v>1560</v>
      </c>
      <c r="X9" s="11" t="s">
        <v>188</v>
      </c>
      <c r="Y9" s="5">
        <v>15000</v>
      </c>
      <c r="Z9" s="102"/>
      <c r="AA9" s="102"/>
      <c r="AB9" s="102"/>
      <c r="AC9" s="102"/>
      <c r="AD9" s="11"/>
    </row>
    <row r="10" spans="1:30" ht="20.100000000000001" customHeight="1" x14ac:dyDescent="0.3">
      <c r="A10" s="11" t="s">
        <v>12</v>
      </c>
      <c r="B10" s="5">
        <v>1000</v>
      </c>
      <c r="C10" s="102"/>
      <c r="D10" s="103" t="s">
        <v>22</v>
      </c>
      <c r="E10" s="103" t="s">
        <v>23</v>
      </c>
      <c r="F10" s="103" t="s">
        <v>24</v>
      </c>
      <c r="G10" s="4"/>
      <c r="X10" s="11" t="s">
        <v>12</v>
      </c>
      <c r="Y10" s="5">
        <v>2000</v>
      </c>
      <c r="Z10" s="102"/>
      <c r="AA10" s="103" t="s">
        <v>22</v>
      </c>
      <c r="AB10" s="103" t="s">
        <v>23</v>
      </c>
      <c r="AC10" s="103" t="s">
        <v>24</v>
      </c>
      <c r="AD10" s="4"/>
    </row>
    <row r="11" spans="1:30" ht="20.100000000000001" customHeight="1" x14ac:dyDescent="0.3">
      <c r="A11" s="11" t="s">
        <v>14</v>
      </c>
      <c r="B11" s="5">
        <v>500</v>
      </c>
      <c r="C11" s="102"/>
      <c r="D11" s="6">
        <f>D15</f>
        <v>21.005921052631578</v>
      </c>
      <c r="E11" s="6">
        <f>E15</f>
        <v>25.351973684210527</v>
      </c>
      <c r="F11" s="6">
        <f>F15</f>
        <v>28.828815789473683</v>
      </c>
      <c r="G11" s="4"/>
      <c r="I11" t="s">
        <v>77</v>
      </c>
      <c r="J11">
        <v>120</v>
      </c>
      <c r="K11">
        <f>2500/4000</f>
        <v>0.625</v>
      </c>
      <c r="L11" s="33">
        <f>K11*J11</f>
        <v>75</v>
      </c>
      <c r="X11" s="11" t="s">
        <v>27</v>
      </c>
      <c r="Y11" s="5">
        <v>0</v>
      </c>
      <c r="Z11" s="102"/>
      <c r="AA11" s="6">
        <f>AA15</f>
        <v>17.883333333333333</v>
      </c>
      <c r="AB11" s="6">
        <f>AB15</f>
        <v>21.583333333333336</v>
      </c>
      <c r="AC11" s="6">
        <f>AC15</f>
        <v>24.543333333333333</v>
      </c>
      <c r="AD11" s="4"/>
    </row>
    <row r="12" spans="1:30" ht="20.100000000000001" customHeight="1" x14ac:dyDescent="0.3">
      <c r="A12" s="11" t="s">
        <v>15</v>
      </c>
      <c r="B12" s="5">
        <v>500</v>
      </c>
      <c r="C12" s="102"/>
      <c r="D12" s="5"/>
      <c r="E12" s="5"/>
      <c r="F12" s="5"/>
      <c r="G12" s="4"/>
      <c r="I12" t="s">
        <v>79</v>
      </c>
      <c r="J12">
        <v>120</v>
      </c>
      <c r="K12">
        <f>2000/4000</f>
        <v>0.5</v>
      </c>
      <c r="L12" s="33">
        <f>K12*J12</f>
        <v>60</v>
      </c>
      <c r="X12" s="11" t="s">
        <v>28</v>
      </c>
      <c r="Y12" s="5">
        <v>0</v>
      </c>
      <c r="Z12" s="102"/>
      <c r="AA12" s="5"/>
      <c r="AB12" s="5"/>
      <c r="AC12" s="5"/>
      <c r="AD12" s="4"/>
    </row>
    <row r="13" spans="1:30" ht="20.100000000000001" customHeight="1" x14ac:dyDescent="0.3">
      <c r="A13" s="11" t="s">
        <v>27</v>
      </c>
      <c r="B13" s="5">
        <v>0</v>
      </c>
      <c r="C13" s="102"/>
      <c r="D13" s="102"/>
      <c r="E13" s="102"/>
      <c r="F13" s="102"/>
      <c r="G13" s="11"/>
      <c r="I13" t="s">
        <v>80</v>
      </c>
      <c r="J13">
        <f>120</f>
        <v>120</v>
      </c>
      <c r="K13">
        <v>1</v>
      </c>
      <c r="L13" s="33">
        <f>J13*K13</f>
        <v>120</v>
      </c>
      <c r="X13" s="11" t="s">
        <v>16</v>
      </c>
      <c r="Y13" s="5">
        <v>350</v>
      </c>
      <c r="Z13" s="102"/>
      <c r="AA13" s="102"/>
      <c r="AB13" s="102"/>
      <c r="AC13" s="102"/>
      <c r="AD13" s="11"/>
    </row>
    <row r="14" spans="1:30" ht="20.100000000000001" customHeight="1" x14ac:dyDescent="0.3">
      <c r="A14" s="11" t="s">
        <v>28</v>
      </c>
      <c r="B14" s="5">
        <v>0</v>
      </c>
      <c r="C14" s="102"/>
      <c r="D14" s="104">
        <v>0.35</v>
      </c>
      <c r="E14" s="104">
        <v>0.5</v>
      </c>
      <c r="F14" s="104">
        <v>0.8</v>
      </c>
      <c r="G14" s="11"/>
      <c r="I14" t="s">
        <v>81</v>
      </c>
      <c r="J14">
        <v>120</v>
      </c>
      <c r="K14">
        <f>440/4000</f>
        <v>0.11</v>
      </c>
      <c r="L14" s="33">
        <f t="shared" ref="L14:L19" si="0">J14*K14</f>
        <v>13.2</v>
      </c>
      <c r="N14" s="33">
        <f>0.11*4000</f>
        <v>440</v>
      </c>
      <c r="X14" s="11" t="s">
        <v>17</v>
      </c>
      <c r="Y14" s="5">
        <v>500</v>
      </c>
      <c r="Z14" s="102"/>
      <c r="AA14" s="559">
        <v>0.45</v>
      </c>
      <c r="AB14" s="559">
        <v>0.75</v>
      </c>
      <c r="AC14" s="559">
        <v>0.99</v>
      </c>
      <c r="AD14" s="11"/>
    </row>
    <row r="15" spans="1:30" ht="20.100000000000001" customHeight="1" thickBot="1" x14ac:dyDescent="0.35">
      <c r="A15" s="11" t="s">
        <v>16</v>
      </c>
      <c r="B15" s="5">
        <v>350</v>
      </c>
      <c r="C15" s="102"/>
      <c r="D15" s="5">
        <f>B18*1.45</f>
        <v>21.005921052631578</v>
      </c>
      <c r="E15" s="5">
        <f>B18*1.75</f>
        <v>25.351973684210527</v>
      </c>
      <c r="F15" s="5">
        <f>B18*1.99</f>
        <v>28.828815789473683</v>
      </c>
      <c r="G15" s="11"/>
      <c r="I15" t="s">
        <v>82</v>
      </c>
      <c r="J15">
        <v>120</v>
      </c>
      <c r="K15">
        <f>200/4000</f>
        <v>0.05</v>
      </c>
      <c r="L15" s="33">
        <f t="shared" si="0"/>
        <v>6</v>
      </c>
      <c r="X15" s="11" t="s">
        <v>18</v>
      </c>
      <c r="Y15" s="46">
        <v>4000</v>
      </c>
      <c r="Z15" s="102"/>
      <c r="AA15" s="5">
        <f>Y16*1.45</f>
        <v>17.883333333333333</v>
      </c>
      <c r="AB15" s="5">
        <f>Y16*1.75</f>
        <v>21.583333333333336</v>
      </c>
      <c r="AC15" s="5">
        <f>Y16*1.99</f>
        <v>24.543333333333333</v>
      </c>
      <c r="AD15" s="11"/>
    </row>
    <row r="16" spans="1:30" ht="20.100000000000001" customHeight="1" x14ac:dyDescent="0.3">
      <c r="A16" s="11" t="s">
        <v>17</v>
      </c>
      <c r="B16" s="5">
        <v>500</v>
      </c>
      <c r="C16" s="102"/>
      <c r="D16" s="911"/>
      <c r="E16" s="911"/>
      <c r="F16" s="102"/>
      <c r="G16" s="11"/>
      <c r="I16" t="s">
        <v>83</v>
      </c>
      <c r="J16">
        <v>120</v>
      </c>
      <c r="K16">
        <f>300/4000</f>
        <v>7.4999999999999997E-2</v>
      </c>
      <c r="L16" s="33">
        <f t="shared" si="0"/>
        <v>9</v>
      </c>
      <c r="X16" s="11"/>
      <c r="Y16" s="5">
        <f>SUM(Y4:Y15)/AC4</f>
        <v>12.333333333333334</v>
      </c>
      <c r="Z16" s="102"/>
      <c r="AA16" s="911"/>
      <c r="AB16" s="911"/>
      <c r="AC16" s="102"/>
      <c r="AD16" s="11"/>
    </row>
    <row r="17" spans="1:30" ht="20.100000000000001" customHeight="1" thickBot="1" x14ac:dyDescent="0.35">
      <c r="A17" s="11" t="s">
        <v>18</v>
      </c>
      <c r="B17" s="46">
        <v>4000</v>
      </c>
      <c r="F17" s="5"/>
      <c r="G17" s="11"/>
      <c r="I17" t="s">
        <v>84</v>
      </c>
      <c r="J17">
        <v>120</v>
      </c>
      <c r="K17">
        <f>1000/4000</f>
        <v>0.25</v>
      </c>
      <c r="L17" s="33">
        <f t="shared" si="0"/>
        <v>30</v>
      </c>
      <c r="Z17" s="98"/>
      <c r="AA17" s="98"/>
      <c r="AB17" s="98"/>
      <c r="AC17" s="5"/>
      <c r="AD17" s="11"/>
    </row>
    <row r="18" spans="1:30" ht="20.100000000000001" customHeight="1" x14ac:dyDescent="0.3">
      <c r="A18" s="11"/>
      <c r="B18" s="5">
        <f>SUM(B4:B17)/F4</f>
        <v>14.486842105263158</v>
      </c>
      <c r="F18" s="5"/>
      <c r="G18" s="11"/>
      <c r="I18" t="s">
        <v>85</v>
      </c>
      <c r="J18">
        <v>120</v>
      </c>
      <c r="K18">
        <f>500/4000</f>
        <v>0.125</v>
      </c>
      <c r="L18" s="33">
        <f t="shared" si="0"/>
        <v>15</v>
      </c>
      <c r="Z18" s="98"/>
      <c r="AA18" s="98"/>
      <c r="AB18" s="98"/>
      <c r="AC18" s="5"/>
      <c r="AD18" s="11"/>
    </row>
    <row r="19" spans="1:30" ht="20.100000000000001" customHeight="1" thickBot="1" x14ac:dyDescent="0.35">
      <c r="A19" s="11"/>
      <c r="B19" s="5"/>
      <c r="C19" s="5"/>
      <c r="D19" s="5"/>
      <c r="E19" s="5"/>
      <c r="F19" s="5"/>
      <c r="G19" s="11"/>
      <c r="I19" t="s">
        <v>86</v>
      </c>
      <c r="J19">
        <v>120</v>
      </c>
      <c r="K19">
        <f>1400/4000</f>
        <v>0.35</v>
      </c>
      <c r="L19" s="35">
        <f t="shared" si="0"/>
        <v>42</v>
      </c>
      <c r="X19" s="11"/>
      <c r="Y19" s="5"/>
      <c r="Z19" s="5"/>
      <c r="AA19" s="5"/>
      <c r="AB19" s="5"/>
      <c r="AC19" s="5"/>
      <c r="AD19" s="11"/>
    </row>
    <row r="20" spans="1:30" ht="20.100000000000001" customHeight="1" x14ac:dyDescent="0.3">
      <c r="A20" s="11"/>
      <c r="B20" s="102"/>
      <c r="C20" s="5"/>
      <c r="D20" s="5"/>
      <c r="E20" s="5"/>
      <c r="F20" s="5"/>
      <c r="G20" s="11"/>
      <c r="L20" s="37">
        <f>SUM(L9:L19)</f>
        <v>1032.5999999999999</v>
      </c>
      <c r="X20" s="11"/>
      <c r="Y20" s="102"/>
      <c r="Z20" s="5"/>
      <c r="AA20" s="5"/>
      <c r="AB20" s="5"/>
      <c r="AC20" s="5"/>
      <c r="AD20" s="11"/>
    </row>
    <row r="21" spans="1:30" ht="20.100000000000001" customHeight="1" x14ac:dyDescent="0.3">
      <c r="A21" s="11"/>
      <c r="B21" s="102"/>
      <c r="C21" s="5"/>
      <c r="D21" s="5"/>
      <c r="E21" s="5"/>
      <c r="F21" s="5"/>
      <c r="G21" s="11"/>
      <c r="L21" s="36">
        <f>L20*1.55</f>
        <v>1600.53</v>
      </c>
      <c r="M21" s="36">
        <f>L21/120</f>
        <v>13.33775</v>
      </c>
      <c r="N21" s="36">
        <f>M21*4000</f>
        <v>53351</v>
      </c>
      <c r="X21" s="11"/>
      <c r="Y21" s="102"/>
      <c r="Z21" s="5"/>
      <c r="AA21" s="5"/>
      <c r="AB21" s="5"/>
      <c r="AC21" s="5"/>
      <c r="AD21" s="11"/>
    </row>
    <row r="22" spans="1:30" ht="20.100000000000001" customHeight="1" x14ac:dyDescent="0.3">
      <c r="A22" s="11"/>
      <c r="B22" s="102"/>
      <c r="C22" s="102"/>
      <c r="D22" s="102"/>
      <c r="E22" s="102"/>
      <c r="F22" s="102"/>
      <c r="G22" s="11"/>
      <c r="L22" s="36">
        <f>L21-L20</f>
        <v>567.93000000000006</v>
      </c>
      <c r="M22" s="38" t="s">
        <v>87</v>
      </c>
      <c r="N22" s="36"/>
      <c r="X22" s="11"/>
      <c r="Y22" s="102"/>
      <c r="Z22" s="102"/>
      <c r="AA22" s="102"/>
      <c r="AB22" s="102"/>
      <c r="AC22" s="102"/>
      <c r="AD22" s="11"/>
    </row>
    <row r="23" spans="1:30" x14ac:dyDescent="0.3">
      <c r="A23" s="11"/>
      <c r="B23" s="102"/>
      <c r="C23" s="102"/>
      <c r="D23" s="102"/>
      <c r="E23" s="102"/>
      <c r="F23" s="102"/>
      <c r="G23" s="11"/>
      <c r="X23" s="11"/>
      <c r="Y23" s="102"/>
      <c r="Z23" s="102"/>
      <c r="AA23" s="102"/>
      <c r="AB23" s="102"/>
      <c r="AC23" s="102"/>
      <c r="AD23" s="11"/>
    </row>
    <row r="24" spans="1:30" s="52" customFormat="1" ht="53.25" customHeight="1" x14ac:dyDescent="0.45">
      <c r="A24" s="978" t="s">
        <v>145</v>
      </c>
      <c r="B24" s="979"/>
      <c r="C24" s="105"/>
      <c r="D24" s="106" t="s">
        <v>62</v>
      </c>
      <c r="E24" s="105"/>
      <c r="F24" s="105"/>
      <c r="G24" s="43"/>
      <c r="I24" s="978" t="s">
        <v>145</v>
      </c>
      <c r="J24" s="979"/>
      <c r="K24" s="105"/>
      <c r="L24" s="106" t="s">
        <v>62</v>
      </c>
      <c r="M24" s="105"/>
      <c r="N24" s="105"/>
      <c r="O24" s="43"/>
      <c r="P24" s="978" t="s">
        <v>262</v>
      </c>
      <c r="Q24" s="979"/>
      <c r="R24" s="105"/>
      <c r="S24" s="106" t="s">
        <v>62</v>
      </c>
      <c r="T24" s="105"/>
      <c r="U24" s="105"/>
      <c r="X24" s="976" t="s">
        <v>145</v>
      </c>
      <c r="Y24" s="977"/>
      <c r="Z24" s="105"/>
      <c r="AA24" s="980" t="s">
        <v>188</v>
      </c>
      <c r="AB24" s="980"/>
      <c r="AC24" s="980"/>
      <c r="AD24" s="43"/>
    </row>
    <row r="25" spans="1:30" ht="20.100000000000001" customHeight="1" x14ac:dyDescent="0.3">
      <c r="A25" s="11" t="s">
        <v>69</v>
      </c>
      <c r="B25" s="5">
        <f>2.2*2.5*F4</f>
        <v>20900</v>
      </c>
      <c r="C25" s="102"/>
      <c r="D25" s="102"/>
      <c r="E25" s="102"/>
      <c r="F25" s="102"/>
      <c r="G25" s="11"/>
      <c r="I25" s="11" t="s">
        <v>69</v>
      </c>
      <c r="J25" s="5">
        <f>1.8*3*F4</f>
        <v>20520</v>
      </c>
      <c r="K25" s="102"/>
      <c r="L25" s="102"/>
      <c r="M25" s="102"/>
      <c r="N25" s="102"/>
      <c r="O25" s="11"/>
      <c r="P25" s="11" t="s">
        <v>69</v>
      </c>
      <c r="Q25" s="5">
        <f>1.1*3*F4</f>
        <v>12540.000000000002</v>
      </c>
      <c r="R25" s="102"/>
      <c r="S25" s="102"/>
      <c r="T25" s="102"/>
      <c r="U25" s="102"/>
      <c r="X25" s="11" t="s">
        <v>69</v>
      </c>
      <c r="Y25" s="5">
        <f>2.5*3*AC4</f>
        <v>29250</v>
      </c>
      <c r="Z25" s="102"/>
      <c r="AA25" s="102"/>
      <c r="AB25" s="102"/>
      <c r="AC25" s="102"/>
      <c r="AD25" s="11"/>
    </row>
    <row r="26" spans="1:30" ht="20.100000000000001" customHeight="1" x14ac:dyDescent="0.3">
      <c r="A26" s="11" t="s">
        <v>1</v>
      </c>
      <c r="B26" s="5">
        <v>700</v>
      </c>
      <c r="C26" s="102"/>
      <c r="D26" s="102"/>
      <c r="E26" s="102"/>
      <c r="F26" s="102"/>
      <c r="G26" s="11"/>
      <c r="I26" s="11" t="s">
        <v>1</v>
      </c>
      <c r="J26" s="5">
        <v>700</v>
      </c>
      <c r="K26" s="102"/>
      <c r="L26" s="102"/>
      <c r="M26" s="102"/>
      <c r="N26" s="102"/>
      <c r="O26" s="11"/>
      <c r="P26" s="11" t="s">
        <v>1</v>
      </c>
      <c r="Q26" s="5">
        <f>J26</f>
        <v>700</v>
      </c>
      <c r="R26" s="102"/>
      <c r="S26" s="102"/>
      <c r="T26" s="102"/>
      <c r="U26" s="102"/>
      <c r="X26" s="11" t="s">
        <v>1</v>
      </c>
      <c r="Y26" s="5">
        <v>1500</v>
      </c>
      <c r="Z26" s="102"/>
      <c r="AA26" s="102"/>
      <c r="AB26" s="102"/>
      <c r="AC26" s="102"/>
      <c r="AD26" s="11"/>
    </row>
    <row r="27" spans="1:30" ht="20.100000000000001" customHeight="1" x14ac:dyDescent="0.3">
      <c r="A27" s="11" t="s">
        <v>10</v>
      </c>
      <c r="B27" s="5">
        <v>5000</v>
      </c>
      <c r="C27" s="102"/>
      <c r="D27" s="102"/>
      <c r="E27" s="102"/>
      <c r="F27" s="102"/>
      <c r="G27" s="11"/>
      <c r="I27" s="11" t="s">
        <v>10</v>
      </c>
      <c r="J27" s="5">
        <v>3500</v>
      </c>
      <c r="K27" s="102"/>
      <c r="L27" s="102"/>
      <c r="M27" s="102"/>
      <c r="N27" s="102"/>
      <c r="O27" s="11"/>
      <c r="P27" s="11" t="s">
        <v>10</v>
      </c>
      <c r="Q27" s="5">
        <v>2500</v>
      </c>
      <c r="R27" s="102"/>
      <c r="S27" s="102"/>
      <c r="T27" s="102"/>
      <c r="U27" s="102"/>
      <c r="X27" s="11" t="s">
        <v>10</v>
      </c>
      <c r="Y27" s="5">
        <v>24000</v>
      </c>
      <c r="Z27" s="102"/>
      <c r="AA27" s="102"/>
      <c r="AB27" s="102"/>
      <c r="AC27" s="102"/>
      <c r="AD27" s="11"/>
    </row>
    <row r="28" spans="1:30" ht="20.100000000000001" customHeight="1" x14ac:dyDescent="0.3">
      <c r="A28" s="49" t="s">
        <v>65</v>
      </c>
      <c r="B28" s="5">
        <v>1500</v>
      </c>
      <c r="C28" s="102"/>
      <c r="D28" s="5" t="s">
        <v>67</v>
      </c>
      <c r="E28" s="102"/>
      <c r="F28" s="102"/>
      <c r="G28" s="11"/>
      <c r="I28" s="49" t="s">
        <v>65</v>
      </c>
      <c r="J28" s="5">
        <v>3500</v>
      </c>
      <c r="K28" s="102"/>
      <c r="L28" s="5" t="s">
        <v>67</v>
      </c>
      <c r="M28" s="102"/>
      <c r="N28" s="102"/>
      <c r="O28" s="11"/>
      <c r="P28" s="49" t="s">
        <v>65</v>
      </c>
      <c r="Q28" s="5">
        <v>0</v>
      </c>
      <c r="R28" s="102"/>
      <c r="S28" s="5" t="s">
        <v>67</v>
      </c>
      <c r="T28" s="102"/>
      <c r="U28" s="102"/>
      <c r="X28" s="49" t="s">
        <v>438</v>
      </c>
      <c r="Y28" s="5">
        <f>2.5*1.3*3700</f>
        <v>12025</v>
      </c>
      <c r="Z28" s="102"/>
      <c r="AA28" s="5" t="s">
        <v>67</v>
      </c>
      <c r="AB28" s="102"/>
      <c r="AC28" s="102"/>
      <c r="AD28" s="11"/>
    </row>
    <row r="29" spans="1:30" ht="20.100000000000001" customHeight="1" x14ac:dyDescent="0.3">
      <c r="A29" s="11" t="s">
        <v>11</v>
      </c>
      <c r="B29" s="5">
        <v>1400</v>
      </c>
      <c r="C29" s="102"/>
      <c r="D29" s="102"/>
      <c r="E29" s="102"/>
      <c r="F29" s="102"/>
      <c r="G29" s="11"/>
      <c r="I29" s="11" t="s">
        <v>11</v>
      </c>
      <c r="J29" s="5">
        <v>2000</v>
      </c>
      <c r="K29" s="102"/>
      <c r="L29" s="102"/>
      <c r="M29" s="102"/>
      <c r="N29" s="102"/>
      <c r="O29" s="11"/>
      <c r="P29" s="11" t="s">
        <v>11</v>
      </c>
      <c r="Q29" s="5">
        <v>0</v>
      </c>
      <c r="R29" s="102"/>
      <c r="S29" s="102"/>
      <c r="T29" s="102"/>
      <c r="U29" s="102"/>
      <c r="X29" s="49" t="s">
        <v>65</v>
      </c>
      <c r="Y29" s="5">
        <v>1800</v>
      </c>
      <c r="Z29" s="102"/>
      <c r="AA29" s="102"/>
      <c r="AB29" s="102"/>
      <c r="AC29" s="102"/>
      <c r="AD29" s="11"/>
    </row>
    <row r="30" spans="1:30" ht="20.100000000000001" customHeight="1" x14ac:dyDescent="0.3">
      <c r="A30" s="11" t="s">
        <v>13</v>
      </c>
      <c r="B30" s="5">
        <v>4500</v>
      </c>
      <c r="C30" s="102"/>
      <c r="D30" s="103" t="s">
        <v>22</v>
      </c>
      <c r="E30" s="103" t="s">
        <v>23</v>
      </c>
      <c r="F30" s="103" t="s">
        <v>24</v>
      </c>
      <c r="G30" s="4"/>
      <c r="I30" s="11" t="s">
        <v>188</v>
      </c>
      <c r="J30" s="5">
        <v>0</v>
      </c>
      <c r="K30" s="102"/>
      <c r="L30" s="103" t="s">
        <v>22</v>
      </c>
      <c r="M30" s="103" t="s">
        <v>23</v>
      </c>
      <c r="N30" s="103" t="s">
        <v>24</v>
      </c>
      <c r="O30" s="4"/>
      <c r="P30" s="11" t="s">
        <v>188</v>
      </c>
      <c r="Q30" s="5">
        <v>0</v>
      </c>
      <c r="R30" s="102"/>
      <c r="S30" s="103" t="s">
        <v>22</v>
      </c>
      <c r="T30" s="103" t="s">
        <v>23</v>
      </c>
      <c r="U30" s="103" t="s">
        <v>24</v>
      </c>
      <c r="X30" s="11" t="s">
        <v>11</v>
      </c>
      <c r="Y30" s="5">
        <v>4000</v>
      </c>
      <c r="Z30" s="102"/>
      <c r="AA30" s="103" t="s">
        <v>22</v>
      </c>
      <c r="AB30" s="103" t="s">
        <v>23</v>
      </c>
      <c r="AC30" s="103" t="s">
        <v>24</v>
      </c>
      <c r="AD30" s="4"/>
    </row>
    <row r="31" spans="1:30" ht="20.100000000000001" customHeight="1" x14ac:dyDescent="0.3">
      <c r="A31" s="11" t="s">
        <v>12</v>
      </c>
      <c r="B31" s="5">
        <v>1500</v>
      </c>
      <c r="C31" s="102"/>
      <c r="D31" s="6">
        <f>D36</f>
        <v>15.36315789473684</v>
      </c>
      <c r="E31" s="6">
        <f>E36</f>
        <v>18.106578947368419</v>
      </c>
      <c r="F31" s="6">
        <f>F36</f>
        <v>21.837631578947367</v>
      </c>
      <c r="G31" s="4"/>
      <c r="I31" s="11" t="s">
        <v>12</v>
      </c>
      <c r="J31" s="5">
        <v>1000</v>
      </c>
      <c r="K31" s="102"/>
      <c r="L31" s="6">
        <f>L36</f>
        <v>12.493684210526315</v>
      </c>
      <c r="M31" s="6">
        <f>M36</f>
        <v>16.818421052631578</v>
      </c>
      <c r="N31" s="6">
        <f>N36</f>
        <v>19.124947368421051</v>
      </c>
      <c r="O31" s="4"/>
      <c r="P31" s="11" t="s">
        <v>12</v>
      </c>
      <c r="Q31" s="5">
        <v>0</v>
      </c>
      <c r="R31" s="102"/>
      <c r="S31" s="6">
        <f>S36</f>
        <v>6.445263157894737</v>
      </c>
      <c r="T31" s="6">
        <f>T36</f>
        <v>8.6763157894736835</v>
      </c>
      <c r="U31" s="6">
        <f>U36</f>
        <v>9.8662105263157898</v>
      </c>
      <c r="X31" s="11" t="s">
        <v>416</v>
      </c>
      <c r="Y31" s="5">
        <f>1.8*13000</f>
        <v>23400</v>
      </c>
      <c r="Z31" s="102"/>
      <c r="AA31" s="6">
        <f>AA34</f>
        <v>38.452884615384619</v>
      </c>
      <c r="AB31" s="6">
        <f>AB34</f>
        <v>46.408653846153847</v>
      </c>
      <c r="AC31" s="6">
        <f>AC34</f>
        <v>52.77326923076923</v>
      </c>
      <c r="AD31" s="4"/>
    </row>
    <row r="32" spans="1:30" ht="20.100000000000001" customHeight="1" x14ac:dyDescent="0.3">
      <c r="A32" s="11" t="s">
        <v>14</v>
      </c>
      <c r="B32" s="5">
        <v>500</v>
      </c>
      <c r="C32" s="102"/>
      <c r="D32" s="5"/>
      <c r="E32" s="5"/>
      <c r="F32" s="5"/>
      <c r="G32" s="4"/>
      <c r="I32" s="11" t="s">
        <v>14</v>
      </c>
      <c r="J32" s="5">
        <v>200</v>
      </c>
      <c r="K32" s="102"/>
      <c r="L32" s="5"/>
      <c r="M32" s="5"/>
      <c r="N32" s="5"/>
      <c r="O32" s="4"/>
      <c r="P32" s="11" t="s">
        <v>14</v>
      </c>
      <c r="Q32" s="5">
        <v>0</v>
      </c>
      <c r="R32" s="102"/>
      <c r="S32" s="5"/>
      <c r="T32" s="5"/>
      <c r="U32" s="5"/>
      <c r="X32" s="11" t="s">
        <v>12</v>
      </c>
      <c r="Y32" s="5">
        <v>2000</v>
      </c>
      <c r="Z32" s="102"/>
      <c r="AA32" s="5"/>
      <c r="AB32" s="5"/>
      <c r="AC32" s="5"/>
      <c r="AD32" s="4"/>
    </row>
    <row r="33" spans="1:30" ht="20.100000000000001" customHeight="1" x14ac:dyDescent="0.3">
      <c r="A33" s="11" t="s">
        <v>15</v>
      </c>
      <c r="B33" s="5">
        <v>500</v>
      </c>
      <c r="C33" s="102"/>
      <c r="D33" s="102"/>
      <c r="E33" s="102"/>
      <c r="F33" s="102"/>
      <c r="G33" s="11"/>
      <c r="I33" s="11" t="s">
        <v>15</v>
      </c>
      <c r="J33" s="5">
        <v>200</v>
      </c>
      <c r="K33" s="102"/>
      <c r="L33" s="102"/>
      <c r="M33" s="102"/>
      <c r="N33" s="102"/>
      <c r="O33" s="11"/>
      <c r="P33" s="11" t="s">
        <v>15</v>
      </c>
      <c r="Q33" s="5">
        <v>0</v>
      </c>
      <c r="R33" s="102"/>
      <c r="S33" s="102"/>
      <c r="T33" s="102"/>
      <c r="U33" s="102"/>
      <c r="X33" s="11" t="s">
        <v>27</v>
      </c>
      <c r="Y33" s="5">
        <v>200</v>
      </c>
      <c r="Z33" s="102"/>
      <c r="AA33" s="673">
        <v>0.45</v>
      </c>
      <c r="AB33" s="673">
        <v>0.75</v>
      </c>
      <c r="AC33" s="673">
        <v>0.99</v>
      </c>
      <c r="AD33" s="11"/>
    </row>
    <row r="34" spans="1:30" ht="20.100000000000001" customHeight="1" x14ac:dyDescent="0.3">
      <c r="A34" s="11" t="s">
        <v>27</v>
      </c>
      <c r="B34" s="5">
        <v>250</v>
      </c>
      <c r="C34" s="102"/>
      <c r="D34" s="102"/>
      <c r="E34" s="102"/>
      <c r="F34" s="102"/>
      <c r="G34" s="11"/>
      <c r="I34" s="11" t="s">
        <v>27</v>
      </c>
      <c r="J34" s="5">
        <v>50</v>
      </c>
      <c r="K34" s="102"/>
      <c r="L34" s="102"/>
      <c r="M34" s="102"/>
      <c r="N34" s="102"/>
      <c r="O34" s="11"/>
      <c r="P34" s="11" t="s">
        <v>27</v>
      </c>
      <c r="Q34" s="5">
        <v>0</v>
      </c>
      <c r="R34" s="102"/>
      <c r="S34" s="102"/>
      <c r="T34" s="102"/>
      <c r="U34" s="102"/>
      <c r="X34" s="11" t="s">
        <v>338</v>
      </c>
      <c r="Y34" s="5">
        <v>700</v>
      </c>
      <c r="Z34" s="102"/>
      <c r="AA34" s="673">
        <f>Y38*1.45</f>
        <v>38.452884615384619</v>
      </c>
      <c r="AB34" s="673">
        <f>Y38*1.75</f>
        <v>46.408653846153847</v>
      </c>
      <c r="AC34" s="673">
        <f>Y38*1.99</f>
        <v>52.77326923076923</v>
      </c>
      <c r="AD34" s="11"/>
    </row>
    <row r="35" spans="1:30" ht="20.100000000000001" customHeight="1" x14ac:dyDescent="0.3">
      <c r="A35" s="11" t="s">
        <v>28</v>
      </c>
      <c r="B35" s="5">
        <v>100</v>
      </c>
      <c r="C35" s="102"/>
      <c r="D35" s="104">
        <v>0.45</v>
      </c>
      <c r="E35" s="104">
        <v>0.75</v>
      </c>
      <c r="F35" s="104">
        <v>0.99</v>
      </c>
      <c r="G35" s="11"/>
      <c r="I35" s="11" t="s">
        <v>28</v>
      </c>
      <c r="J35" s="5">
        <v>150</v>
      </c>
      <c r="K35" s="102"/>
      <c r="L35" s="439">
        <v>0.4</v>
      </c>
      <c r="M35" s="439">
        <v>0.65</v>
      </c>
      <c r="N35" s="439">
        <v>0.9</v>
      </c>
      <c r="O35" s="11"/>
      <c r="P35" s="11" t="s">
        <v>28</v>
      </c>
      <c r="Q35" s="5">
        <v>150</v>
      </c>
      <c r="R35" s="102"/>
      <c r="S35" s="673">
        <v>0.4</v>
      </c>
      <c r="T35" s="673">
        <v>0.65</v>
      </c>
      <c r="U35" s="673">
        <v>0.9</v>
      </c>
      <c r="X35" s="11" t="s">
        <v>16</v>
      </c>
      <c r="Y35" s="5">
        <f>Y13</f>
        <v>350</v>
      </c>
      <c r="Z35" s="102"/>
      <c r="AD35" s="11"/>
    </row>
    <row r="36" spans="1:30" ht="20.100000000000001" customHeight="1" x14ac:dyDescent="0.3">
      <c r="A36" s="11" t="s">
        <v>16</v>
      </c>
      <c r="B36" s="5">
        <f t="shared" ref="B36" si="1">B15</f>
        <v>350</v>
      </c>
      <c r="C36" s="102"/>
      <c r="D36" s="5">
        <f>B39*1.4</f>
        <v>15.36315789473684</v>
      </c>
      <c r="E36" s="5">
        <f>B39*1.65</f>
        <v>18.106578947368419</v>
      </c>
      <c r="F36" s="5">
        <f>B39*1.99</f>
        <v>21.837631578947367</v>
      </c>
      <c r="G36" s="11"/>
      <c r="I36" s="11" t="s">
        <v>16</v>
      </c>
      <c r="J36" s="5">
        <v>200</v>
      </c>
      <c r="K36" s="102"/>
      <c r="L36" s="5">
        <f>J39*1.3</f>
        <v>12.493684210526315</v>
      </c>
      <c r="M36" s="5">
        <f>J39*1.75</f>
        <v>16.818421052631578</v>
      </c>
      <c r="N36" s="5">
        <f>J39*1.99</f>
        <v>19.124947368421051</v>
      </c>
      <c r="O36" s="11"/>
      <c r="P36" s="11" t="s">
        <v>16</v>
      </c>
      <c r="Q36" s="5">
        <v>200</v>
      </c>
      <c r="R36" s="102"/>
      <c r="S36" s="673">
        <f>Q39*1.3</f>
        <v>6.445263157894737</v>
      </c>
      <c r="T36" s="673">
        <f>Q39*1.75</f>
        <v>8.6763157894736835</v>
      </c>
      <c r="U36" s="673">
        <f>Q39*1.99</f>
        <v>9.8662105263157898</v>
      </c>
      <c r="X36" s="11" t="s">
        <v>17</v>
      </c>
      <c r="Y36" s="5">
        <v>200</v>
      </c>
      <c r="Z36" s="102"/>
      <c r="AD36" s="11"/>
    </row>
    <row r="37" spans="1:30" ht="20.100000000000001" customHeight="1" thickBot="1" x14ac:dyDescent="0.35">
      <c r="A37" s="11" t="s">
        <v>17</v>
      </c>
      <c r="B37" s="5">
        <v>500</v>
      </c>
      <c r="C37" s="102"/>
      <c r="D37" s="911"/>
      <c r="E37" s="911"/>
      <c r="F37" s="102"/>
      <c r="G37" s="11"/>
      <c r="I37" s="11" t="s">
        <v>17</v>
      </c>
      <c r="J37" s="5">
        <v>500</v>
      </c>
      <c r="K37" s="102"/>
      <c r="L37" s="911"/>
      <c r="M37" s="911"/>
      <c r="N37" s="102"/>
      <c r="O37" s="11"/>
      <c r="P37" s="11" t="s">
        <v>17</v>
      </c>
      <c r="Q37" s="5">
        <v>750</v>
      </c>
      <c r="R37" s="102"/>
      <c r="S37" s="911"/>
      <c r="T37" s="911"/>
      <c r="U37" s="102"/>
      <c r="X37" s="11" t="s">
        <v>18</v>
      </c>
      <c r="Y37" s="46">
        <v>4000</v>
      </c>
      <c r="Z37" s="102"/>
      <c r="AA37" s="911"/>
      <c r="AB37" s="911"/>
      <c r="AC37" s="102"/>
      <c r="AD37" s="11"/>
    </row>
    <row r="38" spans="1:30" ht="20.100000000000001" customHeight="1" thickBot="1" x14ac:dyDescent="0.35">
      <c r="A38" s="11" t="s">
        <v>18</v>
      </c>
      <c r="B38" s="46">
        <v>4000</v>
      </c>
      <c r="F38" s="5"/>
      <c r="G38" s="11"/>
      <c r="I38" s="11" t="s">
        <v>18</v>
      </c>
      <c r="J38" s="46">
        <v>4000</v>
      </c>
      <c r="K38" s="98"/>
      <c r="L38" s="98"/>
      <c r="M38" s="98"/>
      <c r="N38" s="5"/>
      <c r="O38" s="11"/>
      <c r="P38" s="11" t="s">
        <v>18</v>
      </c>
      <c r="Q38" s="46">
        <v>2000</v>
      </c>
      <c r="R38" s="98"/>
      <c r="S38" s="98"/>
      <c r="T38" s="98"/>
      <c r="U38" s="5"/>
      <c r="X38" s="11"/>
      <c r="Y38" s="5">
        <f>SUM(Y25:Y37)/AC4</f>
        <v>26.51923076923077</v>
      </c>
      <c r="Z38" s="98"/>
      <c r="AA38" s="98"/>
      <c r="AB38" s="98"/>
      <c r="AC38" s="5"/>
      <c r="AD38" s="11"/>
    </row>
    <row r="39" spans="1:30" ht="20.100000000000001" customHeight="1" x14ac:dyDescent="0.3">
      <c r="A39" s="11"/>
      <c r="B39" s="5">
        <f>SUM(B25:B38)/F4</f>
        <v>10.973684210526315</v>
      </c>
      <c r="F39" s="5"/>
      <c r="G39" s="11"/>
      <c r="I39" s="11"/>
      <c r="J39" s="5">
        <f>SUM(J25:J38)/F4</f>
        <v>9.6105263157894729</v>
      </c>
      <c r="K39" s="98"/>
      <c r="L39" s="98"/>
      <c r="M39" s="98"/>
      <c r="N39" s="5"/>
      <c r="O39" s="11"/>
      <c r="P39" s="11"/>
      <c r="Q39" s="5">
        <f>SUM(Q25:Q38)/F4</f>
        <v>4.9578947368421051</v>
      </c>
      <c r="R39" s="98"/>
      <c r="S39" s="98"/>
      <c r="T39" s="98"/>
      <c r="U39" s="5"/>
      <c r="Y39" s="29"/>
      <c r="Z39" s="41"/>
      <c r="AA39" s="41"/>
      <c r="AB39" s="98"/>
      <c r="AC39" s="5"/>
      <c r="AD39" s="11"/>
    </row>
    <row r="40" spans="1:30" ht="20.100000000000001" customHeight="1" x14ac:dyDescent="0.4">
      <c r="A40" s="11"/>
      <c r="B40" s="5"/>
      <c r="C40" s="5"/>
      <c r="D40" s="5"/>
      <c r="E40" s="5"/>
      <c r="F40" s="5"/>
      <c r="G40" s="11"/>
      <c r="X40" s="659"/>
      <c r="Y40" s="269"/>
      <c r="Z40" s="269"/>
      <c r="AA40" s="269"/>
      <c r="AB40" s="2"/>
      <c r="AC40" s="2"/>
    </row>
    <row r="41" spans="1:30" ht="20.100000000000001" customHeight="1" x14ac:dyDescent="0.3">
      <c r="A41" s="11"/>
      <c r="B41" s="102"/>
      <c r="C41" s="5"/>
      <c r="D41" s="5"/>
      <c r="E41" s="5"/>
      <c r="F41" s="5"/>
      <c r="G41" s="11"/>
      <c r="L41" s="34"/>
      <c r="Y41" s="2"/>
      <c r="Z41" s="2"/>
      <c r="AA41" s="2"/>
      <c r="AB41" s="2"/>
      <c r="AC41" s="2"/>
    </row>
    <row r="42" spans="1:30" ht="20.100000000000001" customHeight="1" x14ac:dyDescent="0.35">
      <c r="A42" s="11"/>
      <c r="B42" s="102"/>
      <c r="C42" s="5"/>
      <c r="D42" s="5"/>
      <c r="E42" s="5"/>
      <c r="F42" s="5"/>
      <c r="G42" s="11"/>
      <c r="L42" s="442">
        <f>L36-J39</f>
        <v>2.8831578947368417</v>
      </c>
      <c r="P42" s="2">
        <f>L36+S36</f>
        <v>18.938947368421051</v>
      </c>
      <c r="Y42" s="2"/>
      <c r="Z42" s="2"/>
      <c r="AA42" s="2"/>
      <c r="AB42" s="2"/>
      <c r="AC42" s="2"/>
    </row>
    <row r="43" spans="1:30" ht="23.25" x14ac:dyDescent="0.35">
      <c r="L43" s="443">
        <f>S36-Q39</f>
        <v>1.4873684210526319</v>
      </c>
      <c r="Y43" s="2"/>
      <c r="Z43" s="2"/>
      <c r="AA43" s="2"/>
      <c r="AB43" s="2"/>
      <c r="AC43" s="2"/>
    </row>
    <row r="44" spans="1:30" ht="24" thickBot="1" x14ac:dyDescent="0.4">
      <c r="L44" s="442">
        <f>SUM(L42:L43)-1.05</f>
        <v>3.3205263157894738</v>
      </c>
      <c r="M44" s="441">
        <f>L44*200</f>
        <v>664.1052631578948</v>
      </c>
    </row>
    <row r="45" spans="1:30" ht="19.5" thickBot="1" x14ac:dyDescent="0.35">
      <c r="A45" s="40" t="s">
        <v>88</v>
      </c>
      <c r="B45" s="107" t="s">
        <v>89</v>
      </c>
      <c r="C45" s="108" t="s">
        <v>90</v>
      </c>
      <c r="D45" s="107" t="s">
        <v>91</v>
      </c>
    </row>
    <row r="46" spans="1:30" ht="93.75" x14ac:dyDescent="0.3">
      <c r="A46" s="53" t="s">
        <v>96</v>
      </c>
      <c r="B46" s="6">
        <v>10.5</v>
      </c>
      <c r="C46" s="6">
        <v>500</v>
      </c>
      <c r="D46" s="109">
        <f>C46*B46</f>
        <v>5250</v>
      </c>
      <c r="F46" s="41"/>
    </row>
    <row r="47" spans="1:30" x14ac:dyDescent="0.3">
      <c r="A47" s="54"/>
      <c r="B47" s="102"/>
      <c r="C47" s="102"/>
      <c r="D47" s="110"/>
      <c r="F47" s="41"/>
    </row>
    <row r="48" spans="1:30" x14ac:dyDescent="0.3">
      <c r="A48" s="39" t="s">
        <v>8</v>
      </c>
      <c r="B48" s="5">
        <f>B46*4000</f>
        <v>42000</v>
      </c>
      <c r="C48" s="102"/>
      <c r="D48" s="110"/>
      <c r="F48" s="41"/>
    </row>
    <row r="49" spans="1:7" ht="19.5" thickBot="1" x14ac:dyDescent="0.35">
      <c r="A49" s="55" t="s">
        <v>100</v>
      </c>
      <c r="B49" s="111"/>
      <c r="C49" s="111"/>
      <c r="D49" s="112"/>
      <c r="F49" s="41"/>
    </row>
    <row r="50" spans="1:7" x14ac:dyDescent="0.3">
      <c r="F50" s="41"/>
    </row>
    <row r="51" spans="1:7" ht="19.5" thickBot="1" x14ac:dyDescent="0.35">
      <c r="F51" s="41"/>
    </row>
    <row r="52" spans="1:7" ht="19.5" thickBot="1" x14ac:dyDescent="0.35">
      <c r="A52" s="40" t="s">
        <v>88</v>
      </c>
      <c r="B52" s="107" t="s">
        <v>89</v>
      </c>
      <c r="C52" s="108" t="s">
        <v>90</v>
      </c>
      <c r="D52" s="107" t="s">
        <v>91</v>
      </c>
      <c r="F52" s="41"/>
    </row>
    <row r="53" spans="1:7" ht="93.75" x14ac:dyDescent="0.3">
      <c r="A53" s="53" t="s">
        <v>97</v>
      </c>
      <c r="B53" s="6">
        <v>13</v>
      </c>
      <c r="C53" s="6">
        <v>500</v>
      </c>
      <c r="D53" s="109">
        <f>C53*B53</f>
        <v>6500</v>
      </c>
      <c r="F53" s="41"/>
    </row>
    <row r="54" spans="1:7" x14ac:dyDescent="0.3">
      <c r="A54" s="54"/>
      <c r="B54" s="102"/>
      <c r="C54" s="102"/>
      <c r="D54" s="110"/>
      <c r="E54" s="113"/>
      <c r="F54" s="41"/>
      <c r="G54" s="56"/>
    </row>
    <row r="55" spans="1:7" x14ac:dyDescent="0.3">
      <c r="A55" s="39" t="s">
        <v>8</v>
      </c>
      <c r="B55" s="5">
        <f>B53*4000</f>
        <v>52000</v>
      </c>
      <c r="C55" s="102"/>
      <c r="D55" s="110"/>
      <c r="F55" s="41"/>
    </row>
    <row r="56" spans="1:7" ht="19.5" thickBot="1" x14ac:dyDescent="0.35">
      <c r="A56" s="55" t="s">
        <v>100</v>
      </c>
      <c r="B56" s="111"/>
      <c r="C56" s="111"/>
      <c r="D56" s="112"/>
      <c r="F56" s="41"/>
    </row>
    <row r="57" spans="1:7" x14ac:dyDescent="0.3">
      <c r="F57" s="41"/>
    </row>
    <row r="58" spans="1:7" ht="19.5" thickBot="1" x14ac:dyDescent="0.35">
      <c r="F58" s="41"/>
    </row>
    <row r="59" spans="1:7" ht="19.5" thickBot="1" x14ac:dyDescent="0.35">
      <c r="A59" s="40" t="s">
        <v>88</v>
      </c>
      <c r="B59" s="107" t="s">
        <v>89</v>
      </c>
      <c r="C59" s="108" t="s">
        <v>90</v>
      </c>
      <c r="D59" s="107" t="s">
        <v>91</v>
      </c>
      <c r="F59" s="41"/>
    </row>
    <row r="60" spans="1:7" ht="93.75" x14ac:dyDescent="0.3">
      <c r="A60" s="53" t="s">
        <v>98</v>
      </c>
      <c r="B60" s="6">
        <v>9</v>
      </c>
      <c r="C60" s="6">
        <v>500</v>
      </c>
      <c r="D60" s="109">
        <f>C60*B60</f>
        <v>4500</v>
      </c>
      <c r="F60" s="41"/>
    </row>
    <row r="61" spans="1:7" x14ac:dyDescent="0.3">
      <c r="A61" s="54"/>
      <c r="B61" s="102"/>
      <c r="C61" s="102"/>
      <c r="D61" s="110"/>
      <c r="F61" s="41"/>
    </row>
    <row r="62" spans="1:7" x14ac:dyDescent="0.3">
      <c r="A62" s="39" t="s">
        <v>92</v>
      </c>
      <c r="B62" s="5">
        <f>B60*4000</f>
        <v>36000</v>
      </c>
      <c r="C62" s="102"/>
      <c r="D62" s="110"/>
    </row>
    <row r="63" spans="1:7" ht="19.5" thickBot="1" x14ac:dyDescent="0.35">
      <c r="A63" s="55" t="s">
        <v>100</v>
      </c>
      <c r="B63" s="111"/>
      <c r="C63" s="111"/>
      <c r="D63" s="112"/>
    </row>
    <row r="64" spans="1:7" ht="19.5" thickBot="1" x14ac:dyDescent="0.35"/>
    <row r="65" spans="1:4" ht="19.5" thickBot="1" x14ac:dyDescent="0.35">
      <c r="A65" s="40" t="s">
        <v>88</v>
      </c>
      <c r="B65" s="107" t="s">
        <v>89</v>
      </c>
      <c r="C65" s="108" t="s">
        <v>90</v>
      </c>
      <c r="D65" s="107" t="s">
        <v>91</v>
      </c>
    </row>
    <row r="66" spans="1:4" ht="112.5" x14ac:dyDescent="0.3">
      <c r="A66" s="53" t="s">
        <v>99</v>
      </c>
      <c r="B66" s="6">
        <v>12</v>
      </c>
      <c r="C66" s="6">
        <v>500</v>
      </c>
      <c r="D66" s="109">
        <f>C66*B66</f>
        <v>6000</v>
      </c>
    </row>
    <row r="67" spans="1:4" x14ac:dyDescent="0.3">
      <c r="A67" s="54"/>
      <c r="B67" s="102"/>
      <c r="C67" s="102"/>
      <c r="D67" s="110"/>
    </row>
    <row r="68" spans="1:4" x14ac:dyDescent="0.3">
      <c r="A68" s="39" t="s">
        <v>8</v>
      </c>
      <c r="B68" s="5">
        <f>B66*4000</f>
        <v>48000</v>
      </c>
      <c r="C68" s="102"/>
      <c r="D68" s="110"/>
    </row>
    <row r="69" spans="1:4" ht="19.5" thickBot="1" x14ac:dyDescent="0.35">
      <c r="A69" s="55" t="s">
        <v>100</v>
      </c>
      <c r="B69" s="111"/>
      <c r="C69" s="111"/>
      <c r="D69" s="112"/>
    </row>
  </sheetData>
  <mergeCells count="13">
    <mergeCell ref="X3:Y3"/>
    <mergeCell ref="AA16:AB16"/>
    <mergeCell ref="X24:Y24"/>
    <mergeCell ref="AA37:AB37"/>
    <mergeCell ref="A3:B3"/>
    <mergeCell ref="L37:M37"/>
    <mergeCell ref="P24:Q24"/>
    <mergeCell ref="S37:T37"/>
    <mergeCell ref="D16:E16"/>
    <mergeCell ref="A24:B24"/>
    <mergeCell ref="D37:E37"/>
    <mergeCell ref="I24:J24"/>
    <mergeCell ref="AA24:AC24"/>
  </mergeCells>
  <pageMargins left="0.7" right="0.7" top="0.75" bottom="0.75" header="0.3" footer="0.3"/>
  <pageSetup scale="64" orientation="portrait" horizontalDpi="0" verticalDpi="0" r:id="rId1"/>
  <rowBreaks count="1" manualBreakCount="1">
    <brk id="42" max="16383" man="1"/>
  </rowBreaks>
  <colBreaks count="1" manualBreakCount="1">
    <brk id="8" max="68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357D0-A67F-40E9-8F42-AE5AC06A6503}">
  <dimension ref="A2:F16"/>
  <sheetViews>
    <sheetView workbookViewId="0">
      <selection activeCell="C24" sqref="C24"/>
    </sheetView>
  </sheetViews>
  <sheetFormatPr baseColWidth="10" defaultRowHeight="15" x14ac:dyDescent="0.25"/>
  <cols>
    <col min="1" max="1" width="29" customWidth="1"/>
    <col min="2" max="2" width="12.7109375" bestFit="1" customWidth="1"/>
    <col min="6" max="6" width="14.5703125" customWidth="1"/>
  </cols>
  <sheetData>
    <row r="2" spans="1:6" ht="31.5" x14ac:dyDescent="0.5">
      <c r="A2" s="17" t="s">
        <v>428</v>
      </c>
      <c r="B2" s="17"/>
      <c r="C2" s="665"/>
      <c r="D2" s="665"/>
      <c r="E2" s="665"/>
      <c r="F2" s="93"/>
    </row>
    <row r="3" spans="1:6" ht="28.5" x14ac:dyDescent="0.45">
      <c r="A3" s="15" t="s">
        <v>427</v>
      </c>
      <c r="B3" s="85"/>
      <c r="C3" s="83"/>
      <c r="D3" s="83"/>
      <c r="E3" s="83"/>
      <c r="F3" s="7">
        <v>3800</v>
      </c>
    </row>
    <row r="4" spans="1:6" ht="18.75" x14ac:dyDescent="0.25">
      <c r="A4" s="47" t="s">
        <v>427</v>
      </c>
      <c r="B4" s="143">
        <v>10000</v>
      </c>
      <c r="C4" s="83"/>
      <c r="D4" s="83"/>
      <c r="E4" s="83"/>
      <c r="F4" s="93"/>
    </row>
    <row r="5" spans="1:6" ht="18.75" x14ac:dyDescent="0.3">
      <c r="A5" s="3" t="s">
        <v>94</v>
      </c>
      <c r="B5" s="5">
        <f>1000</f>
        <v>1000</v>
      </c>
      <c r="C5" s="83"/>
      <c r="D5" s="666">
        <v>45</v>
      </c>
      <c r="E5" s="666">
        <v>70</v>
      </c>
      <c r="F5" s="666">
        <v>99</v>
      </c>
    </row>
    <row r="6" spans="1:6" ht="18.75" x14ac:dyDescent="0.3">
      <c r="A6" s="3" t="s">
        <v>11</v>
      </c>
      <c r="B6" s="5">
        <v>1000</v>
      </c>
      <c r="C6" s="83"/>
      <c r="D6" s="660">
        <f>B9*1.45</f>
        <v>5.9907894736842104</v>
      </c>
      <c r="E6" s="660">
        <f>B9*1.7</f>
        <v>7.0236842105263158</v>
      </c>
      <c r="F6" s="660">
        <f>B9*1.99</f>
        <v>8.2218421052631587</v>
      </c>
    </row>
    <row r="7" spans="1:6" ht="18.75" x14ac:dyDescent="0.3">
      <c r="A7" s="3" t="s">
        <v>12</v>
      </c>
      <c r="B7" s="5">
        <v>1000</v>
      </c>
      <c r="C7" s="83"/>
      <c r="D7" s="83"/>
      <c r="E7" s="83"/>
      <c r="F7" s="93"/>
    </row>
    <row r="8" spans="1:6" ht="19.5" thickBot="1" x14ac:dyDescent="0.35">
      <c r="A8" s="3" t="s">
        <v>18</v>
      </c>
      <c r="B8" s="46">
        <v>2700</v>
      </c>
      <c r="C8" s="83"/>
      <c r="D8" s="90"/>
      <c r="E8" s="90"/>
      <c r="F8" s="6"/>
    </row>
    <row r="9" spans="1:6" ht="18.75" x14ac:dyDescent="0.3">
      <c r="A9" s="3"/>
      <c r="B9" s="86">
        <f>SUM(B4:B8)/F3</f>
        <v>4.1315789473684212</v>
      </c>
      <c r="C9" s="83"/>
      <c r="D9" s="90"/>
      <c r="E9" s="90"/>
      <c r="F9" s="6"/>
    </row>
    <row r="10" spans="1:6" ht="21" x14ac:dyDescent="0.35">
      <c r="C10" s="83"/>
      <c r="D10" s="92"/>
      <c r="E10" s="92"/>
      <c r="F10" s="7"/>
    </row>
    <row r="11" spans="1:6" x14ac:dyDescent="0.25">
      <c r="C11" s="83"/>
    </row>
    <row r="12" spans="1:6" x14ac:dyDescent="0.25">
      <c r="C12" s="83"/>
    </row>
    <row r="13" spans="1:6" ht="18.75" x14ac:dyDescent="0.3">
      <c r="A13" s="3"/>
      <c r="B13" s="5"/>
      <c r="C13" s="83"/>
    </row>
    <row r="14" spans="1:6" ht="18.75" x14ac:dyDescent="0.3">
      <c r="A14" s="3"/>
      <c r="B14" s="5"/>
      <c r="C14" s="83"/>
    </row>
    <row r="15" spans="1:6" ht="18.75" x14ac:dyDescent="0.3">
      <c r="F15" s="5"/>
    </row>
    <row r="16" spans="1:6" ht="18.75" x14ac:dyDescent="0.3">
      <c r="F16" s="5"/>
    </row>
  </sheetData>
  <pageMargins left="0.7" right="0.7" top="0.75" bottom="0.75" header="0.3" footer="0.3"/>
  <pageSetup paperSize="9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C9FE-EC78-492D-85A1-8BF10996CB3D}">
  <dimension ref="A2:F23"/>
  <sheetViews>
    <sheetView workbookViewId="0">
      <selection activeCell="C24" sqref="C24"/>
    </sheetView>
  </sheetViews>
  <sheetFormatPr baseColWidth="10" defaultRowHeight="15" x14ac:dyDescent="0.25"/>
  <cols>
    <col min="1" max="1" width="20.140625" customWidth="1"/>
    <col min="2" max="2" width="13" customWidth="1"/>
    <col min="6" max="6" width="14.28515625" customWidth="1"/>
  </cols>
  <sheetData>
    <row r="2" spans="1:6" ht="33.75" x14ac:dyDescent="0.5">
      <c r="A2" s="861" t="s">
        <v>326</v>
      </c>
      <c r="B2" s="861"/>
      <c r="C2" s="83"/>
      <c r="D2" s="83"/>
      <c r="E2" s="83"/>
      <c r="F2" s="93"/>
    </row>
    <row r="3" spans="1:6" ht="28.5" x14ac:dyDescent="0.45">
      <c r="A3" s="15" t="s">
        <v>327</v>
      </c>
      <c r="B3" s="85"/>
      <c r="C3" s="83"/>
      <c r="D3" s="83"/>
      <c r="E3" s="83"/>
      <c r="F3" s="7">
        <v>3800</v>
      </c>
    </row>
    <row r="4" spans="1:6" ht="18.75" x14ac:dyDescent="0.25">
      <c r="A4" s="47" t="s">
        <v>9</v>
      </c>
      <c r="B4" s="143">
        <f>0.7*3</f>
        <v>2.0999999999999996</v>
      </c>
      <c r="C4" s="83"/>
      <c r="D4" s="83"/>
      <c r="E4" s="83"/>
      <c r="F4" s="93"/>
    </row>
    <row r="5" spans="1:6" ht="18.75" x14ac:dyDescent="0.3">
      <c r="A5" s="3" t="s">
        <v>1</v>
      </c>
      <c r="B5" s="5">
        <f>700/F3</f>
        <v>0.18421052631578946</v>
      </c>
      <c r="C5" s="83"/>
      <c r="D5" s="90" t="s">
        <v>22</v>
      </c>
      <c r="E5" s="90" t="s">
        <v>23</v>
      </c>
      <c r="F5" s="6" t="s">
        <v>24</v>
      </c>
    </row>
    <row r="6" spans="1:6" ht="18.75" x14ac:dyDescent="0.3">
      <c r="A6" s="3" t="s">
        <v>10</v>
      </c>
      <c r="B6" s="5">
        <f>3000/F3</f>
        <v>0.78947368421052633</v>
      </c>
      <c r="C6" s="83"/>
      <c r="D6" s="90">
        <f>D9</f>
        <v>10.345263157894736</v>
      </c>
      <c r="E6" s="90">
        <f>E9</f>
        <v>11.08421052631579</v>
      </c>
      <c r="F6" s="6">
        <f>F9</f>
        <v>14.705052631578948</v>
      </c>
    </row>
    <row r="7" spans="1:6" ht="18.75" x14ac:dyDescent="0.3">
      <c r="A7" s="3" t="s">
        <v>94</v>
      </c>
      <c r="B7" s="5">
        <f>13000*0.7/2/F3</f>
        <v>1.1973684210526316</v>
      </c>
      <c r="C7" s="83"/>
    </row>
    <row r="8" spans="1:6" ht="18.75" x14ac:dyDescent="0.3">
      <c r="A8" s="3" t="s">
        <v>11</v>
      </c>
      <c r="B8" s="5">
        <f>500/F3</f>
        <v>0.13157894736842105</v>
      </c>
      <c r="C8" s="83"/>
      <c r="D8" s="667">
        <v>45</v>
      </c>
      <c r="E8" s="667">
        <v>75</v>
      </c>
      <c r="F8" s="667">
        <v>99</v>
      </c>
    </row>
    <row r="9" spans="1:6" ht="18.75" x14ac:dyDescent="0.3">
      <c r="A9" s="3" t="s">
        <v>12</v>
      </c>
      <c r="B9" s="5">
        <f>1500/F3</f>
        <v>0.39473684210526316</v>
      </c>
      <c r="C9" s="83"/>
      <c r="D9" s="86">
        <f>B14*1.4</f>
        <v>10.345263157894736</v>
      </c>
      <c r="E9" s="86">
        <f>B14*1.5</f>
        <v>11.08421052631579</v>
      </c>
      <c r="F9" s="86">
        <f>B14*1.99</f>
        <v>14.705052631578948</v>
      </c>
    </row>
    <row r="10" spans="1:6" ht="18.75" x14ac:dyDescent="0.3">
      <c r="A10" s="3" t="s">
        <v>14</v>
      </c>
      <c r="B10" s="5">
        <f>500/F3</f>
        <v>0.13157894736842105</v>
      </c>
      <c r="C10" s="83"/>
    </row>
    <row r="11" spans="1:6" ht="18.75" x14ac:dyDescent="0.3">
      <c r="A11" s="10" t="s">
        <v>363</v>
      </c>
      <c r="B11" s="5">
        <f>5000/F3</f>
        <v>1.3157894736842106</v>
      </c>
      <c r="C11" s="83"/>
    </row>
    <row r="12" spans="1:6" ht="18.75" x14ac:dyDescent="0.3">
      <c r="A12" s="3" t="s">
        <v>16</v>
      </c>
      <c r="B12" s="5">
        <f>350/F3</f>
        <v>9.2105263157894732E-2</v>
      </c>
      <c r="C12" s="83"/>
    </row>
    <row r="13" spans="1:6" ht="19.5" thickBot="1" x14ac:dyDescent="0.35">
      <c r="A13" s="3" t="s">
        <v>18</v>
      </c>
      <c r="B13" s="46">
        <f>4000/F3</f>
        <v>1.0526315789473684</v>
      </c>
      <c r="C13" s="83"/>
    </row>
    <row r="14" spans="1:6" ht="18.75" x14ac:dyDescent="0.3">
      <c r="A14" s="3"/>
      <c r="B14" s="86">
        <f>SUM(B4:B13)</f>
        <v>7.3894736842105262</v>
      </c>
      <c r="C14" s="83"/>
    </row>
    <row r="17" spans="1:4" x14ac:dyDescent="0.25">
      <c r="A17" s="981" t="s">
        <v>527</v>
      </c>
      <c r="B17" s="981"/>
    </row>
    <row r="18" spans="1:4" x14ac:dyDescent="0.25">
      <c r="A18" t="s">
        <v>528</v>
      </c>
      <c r="B18" s="84">
        <f>1.3*3/8*4400</f>
        <v>2145</v>
      </c>
    </row>
    <row r="19" spans="1:4" x14ac:dyDescent="0.25">
      <c r="A19" t="s">
        <v>332</v>
      </c>
      <c r="B19" s="84">
        <f>1.3*11000/8</f>
        <v>1787.5</v>
      </c>
    </row>
    <row r="20" spans="1:4" x14ac:dyDescent="0.25">
      <c r="A20" t="s">
        <v>529</v>
      </c>
      <c r="B20" s="84">
        <v>500</v>
      </c>
    </row>
    <row r="21" spans="1:4" x14ac:dyDescent="0.25">
      <c r="A21" t="s">
        <v>530</v>
      </c>
      <c r="B21" s="84">
        <v>1000</v>
      </c>
      <c r="D21" s="84">
        <f>B23*1.45</f>
        <v>8602.125</v>
      </c>
    </row>
    <row r="22" spans="1:4" x14ac:dyDescent="0.25">
      <c r="A22" t="s">
        <v>84</v>
      </c>
      <c r="B22" s="84">
        <v>500</v>
      </c>
    </row>
    <row r="23" spans="1:4" ht="15.75" x14ac:dyDescent="0.25">
      <c r="B23" s="705">
        <f>SUM(B18:B22)</f>
        <v>5932.5</v>
      </c>
    </row>
  </sheetData>
  <mergeCells count="2">
    <mergeCell ref="A2:B2"/>
    <mergeCell ref="A17:B17"/>
  </mergeCells>
  <pageMargins left="0.7" right="0.7" top="0.75" bottom="0.75" header="0.3" footer="0.3"/>
  <pageSetup paperSize="9"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A3C7-A536-47A8-9F8B-8629ABD6CAFE}">
  <dimension ref="A1:K21"/>
  <sheetViews>
    <sheetView workbookViewId="0">
      <selection activeCell="C24" sqref="C24"/>
    </sheetView>
  </sheetViews>
  <sheetFormatPr baseColWidth="10" defaultRowHeight="15" x14ac:dyDescent="0.25"/>
  <cols>
    <col min="1" max="2" width="12.7109375" customWidth="1"/>
    <col min="3" max="3" width="12.7109375" style="31" customWidth="1"/>
    <col min="4" max="11" width="12.7109375" customWidth="1"/>
  </cols>
  <sheetData>
    <row r="1" spans="1:11" s="664" customFormat="1" ht="24.75" customHeight="1" x14ac:dyDescent="0.25">
      <c r="A1" s="663" t="s">
        <v>417</v>
      </c>
      <c r="B1" s="663" t="s">
        <v>423</v>
      </c>
      <c r="C1" s="663" t="s">
        <v>418</v>
      </c>
      <c r="D1" s="663" t="s">
        <v>419</v>
      </c>
      <c r="E1" s="663" t="s">
        <v>422</v>
      </c>
      <c r="F1" s="663" t="s">
        <v>425</v>
      </c>
      <c r="G1" s="663"/>
      <c r="H1" s="663"/>
      <c r="I1" s="663"/>
      <c r="J1" s="663"/>
      <c r="K1" s="663"/>
    </row>
    <row r="2" spans="1:11" x14ac:dyDescent="0.25">
      <c r="A2" s="661" t="s">
        <v>368</v>
      </c>
      <c r="B2" s="661" t="s">
        <v>45</v>
      </c>
      <c r="C2" s="662">
        <v>1</v>
      </c>
      <c r="D2" s="661"/>
      <c r="E2" s="661"/>
      <c r="F2" s="661"/>
      <c r="G2" s="661"/>
      <c r="H2" s="661"/>
      <c r="I2" s="661"/>
      <c r="J2" s="661"/>
      <c r="K2" s="661"/>
    </row>
    <row r="3" spans="1:11" x14ac:dyDescent="0.25">
      <c r="A3" s="661"/>
      <c r="B3" s="661" t="s">
        <v>45</v>
      </c>
      <c r="C3" s="662" t="s">
        <v>420</v>
      </c>
      <c r="D3" s="661"/>
      <c r="E3" s="661"/>
      <c r="F3" s="661"/>
      <c r="G3" s="661"/>
      <c r="H3" s="661"/>
      <c r="I3" s="661"/>
      <c r="J3" s="661"/>
      <c r="K3" s="661"/>
    </row>
    <row r="4" spans="1:11" x14ac:dyDescent="0.25">
      <c r="A4" s="661"/>
      <c r="B4" s="661" t="s">
        <v>45</v>
      </c>
      <c r="C4" s="662" t="s">
        <v>421</v>
      </c>
      <c r="D4" s="661"/>
      <c r="E4" s="661"/>
      <c r="F4" s="661"/>
      <c r="G4" s="661"/>
      <c r="H4" s="661"/>
      <c r="I4" s="661"/>
      <c r="J4" s="661"/>
      <c r="K4" s="661"/>
    </row>
    <row r="5" spans="1:11" x14ac:dyDescent="0.25">
      <c r="A5" s="661" t="s">
        <v>368</v>
      </c>
      <c r="B5" s="661" t="s">
        <v>424</v>
      </c>
      <c r="C5" s="662">
        <v>1</v>
      </c>
      <c r="D5" s="661"/>
      <c r="E5" s="661"/>
      <c r="F5" s="661"/>
      <c r="G5" s="661"/>
      <c r="H5" s="661"/>
      <c r="I5" s="661"/>
      <c r="J5" s="661"/>
      <c r="K5" s="661"/>
    </row>
    <row r="6" spans="1:11" x14ac:dyDescent="0.25">
      <c r="A6" s="661"/>
      <c r="B6" s="661" t="s">
        <v>424</v>
      </c>
      <c r="C6" s="662" t="s">
        <v>420</v>
      </c>
      <c r="D6" s="661"/>
      <c r="E6" s="661"/>
      <c r="F6" s="661"/>
      <c r="G6" s="661"/>
      <c r="H6" s="661"/>
      <c r="I6" s="661"/>
      <c r="J6" s="661"/>
      <c r="K6" s="661"/>
    </row>
    <row r="7" spans="1:11" x14ac:dyDescent="0.25">
      <c r="A7" s="661"/>
      <c r="B7" s="661" t="s">
        <v>424</v>
      </c>
      <c r="C7" s="662" t="s">
        <v>421</v>
      </c>
      <c r="D7" s="661"/>
      <c r="E7" s="661"/>
      <c r="F7" s="661"/>
      <c r="G7" s="661"/>
      <c r="H7" s="661"/>
      <c r="I7" s="661"/>
      <c r="J7" s="661"/>
      <c r="K7" s="661"/>
    </row>
    <row r="8" spans="1:11" x14ac:dyDescent="0.25">
      <c r="A8" s="661" t="s">
        <v>368</v>
      </c>
      <c r="B8" s="661" t="s">
        <v>424</v>
      </c>
      <c r="C8" s="662">
        <v>1</v>
      </c>
      <c r="D8" s="661"/>
      <c r="E8" s="661"/>
      <c r="F8" s="661"/>
      <c r="G8" s="661"/>
      <c r="H8" s="661"/>
      <c r="I8" s="661"/>
      <c r="J8" s="661"/>
      <c r="K8" s="661"/>
    </row>
    <row r="9" spans="1:11" x14ac:dyDescent="0.25">
      <c r="A9" s="661"/>
      <c r="B9" s="661" t="s">
        <v>424</v>
      </c>
      <c r="C9" s="662" t="s">
        <v>420</v>
      </c>
      <c r="D9" s="661"/>
      <c r="E9" s="661"/>
      <c r="F9" s="661"/>
      <c r="G9" s="661"/>
      <c r="H9" s="661"/>
      <c r="I9" s="661"/>
      <c r="J9" s="661"/>
      <c r="K9" s="661"/>
    </row>
    <row r="10" spans="1:11" x14ac:dyDescent="0.25">
      <c r="A10" s="661"/>
      <c r="B10" s="661" t="s">
        <v>424</v>
      </c>
      <c r="C10" s="662" t="s">
        <v>421</v>
      </c>
      <c r="D10" s="661"/>
      <c r="E10" s="661"/>
      <c r="F10" s="661"/>
      <c r="G10" s="661"/>
      <c r="H10" s="661"/>
      <c r="I10" s="661"/>
      <c r="J10" s="661"/>
      <c r="K10" s="661"/>
    </row>
    <row r="11" spans="1:11" x14ac:dyDescent="0.25">
      <c r="A11" s="661"/>
      <c r="B11" s="661"/>
      <c r="C11" s="662"/>
      <c r="D11" s="661"/>
      <c r="E11" s="661"/>
      <c r="F11" s="661"/>
      <c r="G11" s="661"/>
      <c r="H11" s="661"/>
      <c r="I11" s="661"/>
      <c r="J11" s="661"/>
      <c r="K11" s="661"/>
    </row>
    <row r="12" spans="1:11" ht="23.25" customHeight="1" x14ac:dyDescent="0.25">
      <c r="A12" s="663" t="s">
        <v>417</v>
      </c>
      <c r="B12" s="663" t="s">
        <v>423</v>
      </c>
      <c r="C12" s="663" t="s">
        <v>418</v>
      </c>
      <c r="D12" s="663" t="s">
        <v>419</v>
      </c>
      <c r="E12" s="663" t="s">
        <v>422</v>
      </c>
      <c r="F12" s="663" t="s">
        <v>425</v>
      </c>
      <c r="G12" s="661"/>
      <c r="H12" s="661"/>
      <c r="I12" s="661"/>
      <c r="J12" s="661"/>
      <c r="K12" s="661"/>
    </row>
    <row r="13" spans="1:11" x14ac:dyDescent="0.25">
      <c r="A13" s="661" t="s">
        <v>426</v>
      </c>
      <c r="B13" s="661" t="s">
        <v>20</v>
      </c>
      <c r="C13" s="662">
        <v>1</v>
      </c>
      <c r="D13" s="661"/>
      <c r="E13" s="661"/>
      <c r="F13" s="661"/>
      <c r="G13" s="661"/>
      <c r="H13" s="661"/>
      <c r="I13" s="661"/>
      <c r="J13" s="661"/>
      <c r="K13" s="661"/>
    </row>
    <row r="14" spans="1:11" x14ac:dyDescent="0.25">
      <c r="A14" s="661"/>
      <c r="B14" s="661" t="s">
        <v>20</v>
      </c>
      <c r="C14" s="662" t="s">
        <v>420</v>
      </c>
      <c r="D14" s="661"/>
      <c r="E14" s="661"/>
      <c r="F14" s="661"/>
      <c r="G14" s="661"/>
      <c r="H14" s="661"/>
      <c r="I14" s="661"/>
      <c r="J14" s="661"/>
      <c r="K14" s="661"/>
    </row>
    <row r="15" spans="1:11" x14ac:dyDescent="0.25">
      <c r="A15" s="661"/>
      <c r="B15" s="661" t="s">
        <v>20</v>
      </c>
      <c r="C15" s="662" t="s">
        <v>421</v>
      </c>
      <c r="D15" s="661"/>
      <c r="E15" s="661"/>
      <c r="F15" s="661"/>
      <c r="G15" s="661"/>
      <c r="H15" s="661"/>
      <c r="I15" s="661"/>
      <c r="J15" s="661"/>
      <c r="K15" s="661"/>
    </row>
    <row r="16" spans="1:11" x14ac:dyDescent="0.25">
      <c r="A16" s="661" t="s">
        <v>2</v>
      </c>
      <c r="B16" s="661" t="s">
        <v>21</v>
      </c>
      <c r="C16" s="662">
        <v>1</v>
      </c>
      <c r="D16" s="661"/>
      <c r="E16" s="661"/>
      <c r="F16" s="661"/>
      <c r="G16" s="661"/>
      <c r="H16" s="661"/>
      <c r="I16" s="661"/>
      <c r="J16" s="661"/>
      <c r="K16" s="661"/>
    </row>
    <row r="17" spans="1:11" x14ac:dyDescent="0.25">
      <c r="A17" s="661"/>
      <c r="B17" s="661" t="s">
        <v>21</v>
      </c>
      <c r="C17" s="662" t="s">
        <v>420</v>
      </c>
      <c r="D17" s="661"/>
      <c r="E17" s="661"/>
      <c r="F17" s="661"/>
      <c r="G17" s="661"/>
      <c r="H17" s="661"/>
      <c r="I17" s="661"/>
      <c r="J17" s="661"/>
      <c r="K17" s="661"/>
    </row>
    <row r="18" spans="1:11" x14ac:dyDescent="0.25">
      <c r="A18" s="661"/>
      <c r="B18" s="661" t="s">
        <v>21</v>
      </c>
      <c r="C18" s="662" t="s">
        <v>421</v>
      </c>
      <c r="D18" s="661"/>
      <c r="E18" s="661"/>
      <c r="F18" s="661"/>
      <c r="G18" s="661"/>
      <c r="H18" s="661"/>
      <c r="I18" s="661"/>
      <c r="J18" s="661"/>
      <c r="K18" s="661"/>
    </row>
    <row r="19" spans="1:11" x14ac:dyDescent="0.25">
      <c r="A19" s="661"/>
      <c r="B19" s="661"/>
      <c r="C19" s="662"/>
      <c r="D19" s="661"/>
      <c r="E19" s="661"/>
      <c r="F19" s="661"/>
      <c r="G19" s="661"/>
      <c r="H19" s="661"/>
      <c r="I19" s="661"/>
      <c r="J19" s="661"/>
      <c r="K19" s="661"/>
    </row>
    <row r="20" spans="1:11" x14ac:dyDescent="0.25">
      <c r="A20" s="661"/>
      <c r="B20" s="661"/>
      <c r="C20" s="662"/>
      <c r="D20" s="661"/>
      <c r="E20" s="661"/>
      <c r="F20" s="661"/>
      <c r="G20" s="661"/>
      <c r="H20" s="661"/>
      <c r="I20" s="661"/>
      <c r="J20" s="661"/>
      <c r="K20" s="661"/>
    </row>
    <row r="21" spans="1:11" x14ac:dyDescent="0.25">
      <c r="A21" s="661"/>
      <c r="B21" s="661"/>
      <c r="C21" s="662"/>
      <c r="D21" s="661"/>
      <c r="E21" s="661"/>
      <c r="F21" s="661"/>
      <c r="G21" s="661"/>
      <c r="H21" s="661"/>
      <c r="I21" s="661"/>
      <c r="J21" s="661"/>
      <c r="K21" s="66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/>
  <dimension ref="A2:O88"/>
  <sheetViews>
    <sheetView topLeftCell="A18" zoomScale="80" zoomScaleNormal="80" workbookViewId="0">
      <selection activeCell="F31" sqref="F31"/>
    </sheetView>
  </sheetViews>
  <sheetFormatPr baseColWidth="10" defaultRowHeight="18.75" x14ac:dyDescent="0.3"/>
  <cols>
    <col min="1" max="1" width="27.140625" style="48" customWidth="1"/>
    <col min="2" max="2" width="13" style="98" bestFit="1" customWidth="1"/>
    <col min="3" max="3" width="14.140625" style="98" customWidth="1"/>
    <col min="4" max="4" width="18" style="98" customWidth="1"/>
    <col min="5" max="5" width="17.140625" style="98" customWidth="1"/>
    <col min="6" max="6" width="18.28515625" style="98" customWidth="1"/>
    <col min="7" max="8" width="11.42578125" style="48"/>
    <col min="9" max="9" width="31.42578125" customWidth="1"/>
    <col min="10" max="10" width="18.85546875" customWidth="1"/>
    <col min="11" max="11" width="14.7109375" customWidth="1"/>
    <col min="12" max="12" width="16.85546875" customWidth="1"/>
    <col min="13" max="13" width="14.5703125" customWidth="1"/>
    <col min="14" max="14" width="13.5703125" customWidth="1"/>
  </cols>
  <sheetData>
    <row r="2" spans="1:14" s="52" customFormat="1" ht="58.5" customHeight="1" x14ac:dyDescent="0.45">
      <c r="A2" s="978" t="s">
        <v>64</v>
      </c>
      <c r="B2" s="979"/>
      <c r="C2" s="105"/>
      <c r="D2" s="106" t="s">
        <v>62</v>
      </c>
      <c r="E2" s="106"/>
      <c r="F2" s="106"/>
      <c r="G2" s="15"/>
      <c r="I2" s="978" t="s">
        <v>526</v>
      </c>
      <c r="J2" s="979"/>
      <c r="K2" s="105"/>
      <c r="L2" s="106" t="s">
        <v>190</v>
      </c>
      <c r="M2" s="106"/>
      <c r="N2" s="106"/>
    </row>
    <row r="3" spans="1:14" ht="21.95" customHeight="1" x14ac:dyDescent="0.3">
      <c r="A3" s="11" t="s">
        <v>68</v>
      </c>
      <c r="B3" s="5">
        <f>1.8*2*F3</f>
        <v>13680</v>
      </c>
      <c r="C3" s="102"/>
      <c r="D3" s="102"/>
      <c r="E3" s="102"/>
      <c r="F3" s="5">
        <v>3800</v>
      </c>
      <c r="G3" s="4" t="s">
        <v>61</v>
      </c>
      <c r="I3" s="11" t="s">
        <v>68</v>
      </c>
      <c r="J3" s="5">
        <f>1.5*2*N3</f>
        <v>11400</v>
      </c>
      <c r="K3" s="102"/>
      <c r="L3" s="102"/>
      <c r="M3" s="102"/>
      <c r="N3" s="5">
        <v>3800</v>
      </c>
    </row>
    <row r="4" spans="1:14" ht="21.95" customHeight="1" x14ac:dyDescent="0.3">
      <c r="A4" s="11" t="s">
        <v>1</v>
      </c>
      <c r="B4" s="5">
        <v>700</v>
      </c>
      <c r="C4" s="102"/>
      <c r="D4" s="102"/>
      <c r="E4" s="102"/>
      <c r="F4" s="102"/>
      <c r="G4" s="11"/>
      <c r="I4" s="11" t="s">
        <v>1</v>
      </c>
      <c r="J4" s="5">
        <v>700</v>
      </c>
      <c r="K4" s="102"/>
      <c r="L4" s="102"/>
      <c r="M4" s="102"/>
      <c r="N4" s="102"/>
    </row>
    <row r="5" spans="1:14" ht="21.95" customHeight="1" x14ac:dyDescent="0.3">
      <c r="A5" s="11" t="s">
        <v>10</v>
      </c>
      <c r="B5" s="5">
        <v>3500</v>
      </c>
      <c r="C5" s="102"/>
      <c r="D5" s="102"/>
      <c r="E5" s="102"/>
      <c r="F5" s="102"/>
      <c r="G5" s="11"/>
      <c r="I5" s="11" t="s">
        <v>10</v>
      </c>
      <c r="J5" s="5">
        <v>4500</v>
      </c>
      <c r="K5" s="102"/>
      <c r="L5" s="102"/>
      <c r="M5" s="102"/>
      <c r="N5" s="102"/>
    </row>
    <row r="6" spans="1:14" ht="21.95" customHeight="1" x14ac:dyDescent="0.3">
      <c r="A6" s="49" t="s">
        <v>65</v>
      </c>
      <c r="B6" s="5">
        <v>3000</v>
      </c>
      <c r="C6" s="102"/>
      <c r="D6" s="102"/>
      <c r="E6" s="102"/>
      <c r="F6" s="102"/>
      <c r="G6" s="11"/>
      <c r="I6" s="49" t="s">
        <v>65</v>
      </c>
      <c r="J6" s="5">
        <v>3000</v>
      </c>
      <c r="K6" s="102"/>
      <c r="L6" s="102"/>
      <c r="M6" s="102"/>
      <c r="N6" s="102"/>
    </row>
    <row r="7" spans="1:14" ht="21.95" customHeight="1" x14ac:dyDescent="0.3">
      <c r="A7" s="11" t="s">
        <v>11</v>
      </c>
      <c r="B7" s="5">
        <v>1000</v>
      </c>
      <c r="C7" s="102"/>
      <c r="D7" s="5" t="s">
        <v>66</v>
      </c>
      <c r="E7" s="102"/>
      <c r="F7" s="102"/>
      <c r="G7" s="11"/>
      <c r="I7" s="11" t="s">
        <v>11</v>
      </c>
      <c r="J7" s="5">
        <v>3000</v>
      </c>
      <c r="K7" s="102"/>
      <c r="L7" s="5" t="s">
        <v>66</v>
      </c>
      <c r="M7" s="102"/>
      <c r="N7" s="102"/>
    </row>
    <row r="8" spans="1:14" ht="21.95" customHeight="1" x14ac:dyDescent="0.3">
      <c r="A8" s="11" t="s">
        <v>13</v>
      </c>
      <c r="B8" s="5">
        <v>1000</v>
      </c>
      <c r="C8" s="102"/>
      <c r="D8" s="102"/>
      <c r="E8" s="102"/>
      <c r="F8" s="102"/>
      <c r="G8" s="11"/>
      <c r="I8" s="11" t="s">
        <v>188</v>
      </c>
      <c r="J8" s="5">
        <v>13000</v>
      </c>
      <c r="K8" s="102"/>
      <c r="L8" s="102"/>
      <c r="M8" s="102"/>
      <c r="N8" s="102"/>
    </row>
    <row r="9" spans="1:14" ht="21.95" customHeight="1" x14ac:dyDescent="0.3">
      <c r="A9" s="11" t="s">
        <v>12</v>
      </c>
      <c r="B9" s="5">
        <v>0</v>
      </c>
      <c r="C9" s="102"/>
      <c r="D9" s="103" t="s">
        <v>22</v>
      </c>
      <c r="E9" s="103" t="s">
        <v>23</v>
      </c>
      <c r="F9" s="103" t="s">
        <v>24</v>
      </c>
      <c r="G9" s="4"/>
      <c r="I9" s="11" t="s">
        <v>12</v>
      </c>
      <c r="J9" s="5">
        <v>2000</v>
      </c>
      <c r="K9" s="102"/>
      <c r="L9" s="103" t="s">
        <v>22</v>
      </c>
      <c r="M9" s="103" t="s">
        <v>23</v>
      </c>
      <c r="N9" s="103" t="s">
        <v>24</v>
      </c>
    </row>
    <row r="10" spans="1:14" ht="21.95" customHeight="1" x14ac:dyDescent="0.3">
      <c r="A10" s="11" t="s">
        <v>14</v>
      </c>
      <c r="B10" s="5">
        <v>200</v>
      </c>
      <c r="C10" s="102"/>
      <c r="D10" s="6">
        <f>D14</f>
        <v>10.867368421052632</v>
      </c>
      <c r="E10" s="6">
        <f>E14</f>
        <v>13.115789473684211</v>
      </c>
      <c r="F10" s="6">
        <f>F14</f>
        <v>14.914526315789473</v>
      </c>
      <c r="G10" s="4"/>
      <c r="I10" s="11" t="s">
        <v>14</v>
      </c>
      <c r="J10" s="5">
        <v>0</v>
      </c>
      <c r="K10" s="102"/>
      <c r="L10" s="6">
        <f>L14</f>
        <v>16.331578947368421</v>
      </c>
      <c r="M10" s="6">
        <f>M14</f>
        <v>19.710526315789473</v>
      </c>
      <c r="N10" s="6">
        <f>N14</f>
        <v>22.413684210526316</v>
      </c>
    </row>
    <row r="11" spans="1:14" ht="21.95" customHeight="1" x14ac:dyDescent="0.3">
      <c r="A11" s="11" t="s">
        <v>15</v>
      </c>
      <c r="B11" s="5">
        <v>200</v>
      </c>
      <c r="C11" s="102"/>
      <c r="D11" s="5"/>
      <c r="E11" s="5"/>
      <c r="F11" s="5"/>
      <c r="G11" s="4"/>
      <c r="I11" s="11" t="s">
        <v>15</v>
      </c>
      <c r="J11" s="5">
        <v>0</v>
      </c>
      <c r="K11" s="102"/>
      <c r="L11" s="5"/>
      <c r="M11" s="5"/>
      <c r="N11" s="5"/>
    </row>
    <row r="12" spans="1:14" ht="21.95" customHeight="1" x14ac:dyDescent="0.3">
      <c r="A12" s="11" t="s">
        <v>27</v>
      </c>
      <c r="B12" s="5">
        <v>250</v>
      </c>
      <c r="C12" s="102"/>
      <c r="D12" s="102"/>
      <c r="E12" s="102"/>
      <c r="F12" s="102"/>
      <c r="G12" s="11"/>
      <c r="I12" s="11" t="s">
        <v>27</v>
      </c>
      <c r="J12" s="5">
        <v>250</v>
      </c>
      <c r="K12" s="102"/>
      <c r="L12" s="102"/>
      <c r="M12" s="102"/>
      <c r="N12" s="102"/>
    </row>
    <row r="13" spans="1:14" ht="21.95" customHeight="1" x14ac:dyDescent="0.3">
      <c r="A13" s="11" t="s">
        <v>28</v>
      </c>
      <c r="B13" s="5">
        <v>100</v>
      </c>
      <c r="C13" s="102"/>
      <c r="D13" s="104">
        <v>0.35</v>
      </c>
      <c r="E13" s="104">
        <v>0.5</v>
      </c>
      <c r="F13" s="104">
        <v>0.8</v>
      </c>
      <c r="G13" s="11"/>
      <c r="I13" s="11" t="s">
        <v>28</v>
      </c>
      <c r="J13" s="5">
        <v>100</v>
      </c>
      <c r="K13" s="102"/>
      <c r="L13" s="245">
        <v>0.35</v>
      </c>
      <c r="M13" s="245">
        <v>0.5</v>
      </c>
      <c r="N13" s="245">
        <v>0.8</v>
      </c>
    </row>
    <row r="14" spans="1:14" ht="21.95" customHeight="1" x14ac:dyDescent="0.3">
      <c r="A14" s="11" t="s">
        <v>16</v>
      </c>
      <c r="B14" s="5">
        <v>350</v>
      </c>
      <c r="C14" s="102"/>
      <c r="D14" s="5">
        <f>B17*1.45</f>
        <v>10.867368421052632</v>
      </c>
      <c r="E14" s="5">
        <f>B17*1.75</f>
        <v>13.115789473684211</v>
      </c>
      <c r="F14" s="5">
        <f>B17*1.99</f>
        <v>14.914526315789473</v>
      </c>
      <c r="G14" s="11"/>
      <c r="I14" s="11" t="s">
        <v>16</v>
      </c>
      <c r="J14" s="5">
        <v>350</v>
      </c>
      <c r="K14" s="102"/>
      <c r="L14" s="5">
        <f>J17*1.45</f>
        <v>16.331578947368421</v>
      </c>
      <c r="M14" s="5">
        <f>J17*1.75</f>
        <v>19.710526315789473</v>
      </c>
      <c r="N14" s="5">
        <f>J17*1.99</f>
        <v>22.413684210526316</v>
      </c>
    </row>
    <row r="15" spans="1:14" ht="21.95" customHeight="1" x14ac:dyDescent="0.3">
      <c r="A15" s="11" t="s">
        <v>17</v>
      </c>
      <c r="B15" s="5">
        <v>500</v>
      </c>
      <c r="C15" s="102"/>
      <c r="D15" s="911"/>
      <c r="E15" s="911"/>
      <c r="F15" s="102"/>
      <c r="G15" s="11"/>
      <c r="I15" s="11" t="s">
        <v>17</v>
      </c>
      <c r="J15" s="5">
        <v>500</v>
      </c>
      <c r="K15" s="102"/>
      <c r="L15" s="911"/>
      <c r="M15" s="911"/>
      <c r="N15" s="102"/>
    </row>
    <row r="16" spans="1:14" ht="21.95" customHeight="1" thickBot="1" x14ac:dyDescent="0.35">
      <c r="A16" s="11" t="s">
        <v>18</v>
      </c>
      <c r="B16" s="46">
        <v>4000</v>
      </c>
      <c r="F16" s="5"/>
      <c r="G16" s="11"/>
      <c r="I16" s="11" t="s">
        <v>18</v>
      </c>
      <c r="J16" s="46">
        <v>4000</v>
      </c>
      <c r="K16" s="98"/>
      <c r="L16" s="98"/>
      <c r="M16" s="98"/>
      <c r="N16" s="5"/>
    </row>
    <row r="17" spans="1:15" ht="21.95" customHeight="1" x14ac:dyDescent="0.3">
      <c r="A17" s="11"/>
      <c r="B17" s="5">
        <f>SUM(B3:B16)/F3</f>
        <v>7.4947368421052634</v>
      </c>
      <c r="F17" s="5"/>
      <c r="G17" s="11"/>
      <c r="I17" s="11"/>
      <c r="J17" s="5">
        <f>SUM(J3:J16)/N3</f>
        <v>11.263157894736842</v>
      </c>
      <c r="K17" s="98"/>
      <c r="L17" s="98"/>
      <c r="M17" s="98"/>
      <c r="N17" s="5"/>
    </row>
    <row r="18" spans="1:15" ht="21.95" customHeight="1" x14ac:dyDescent="0.3">
      <c r="A18" s="11"/>
      <c r="B18" s="5"/>
      <c r="C18" s="5"/>
      <c r="D18" s="5"/>
      <c r="E18" s="5"/>
      <c r="F18" s="5"/>
      <c r="G18" s="11"/>
      <c r="I18" s="11"/>
      <c r="J18" s="5"/>
      <c r="K18" s="5"/>
      <c r="L18" s="5"/>
      <c r="M18" s="5"/>
      <c r="N18" s="5"/>
      <c r="O18" s="11"/>
    </row>
    <row r="19" spans="1:15" ht="51.75" customHeight="1" x14ac:dyDescent="0.45">
      <c r="A19" s="978" t="s">
        <v>189</v>
      </c>
      <c r="B19" s="979"/>
      <c r="C19" s="105"/>
      <c r="D19" s="106" t="s">
        <v>62</v>
      </c>
      <c r="E19" s="106"/>
      <c r="F19" s="106"/>
      <c r="G19" s="15"/>
      <c r="I19" s="246" t="s">
        <v>189</v>
      </c>
      <c r="J19" s="247"/>
      <c r="K19" s="105"/>
      <c r="L19" s="106" t="s">
        <v>190</v>
      </c>
      <c r="M19" s="106"/>
      <c r="N19" s="106"/>
      <c r="O19" s="15"/>
    </row>
    <row r="20" spans="1:15" ht="21.95" customHeight="1" x14ac:dyDescent="0.3">
      <c r="A20" s="11" t="s">
        <v>68</v>
      </c>
      <c r="B20" s="5">
        <f>1.8*1.2*F20</f>
        <v>8640</v>
      </c>
      <c r="C20" s="102"/>
      <c r="D20" s="102"/>
      <c r="E20" s="102"/>
      <c r="F20" s="5">
        <v>4000</v>
      </c>
      <c r="G20" s="4" t="s">
        <v>61</v>
      </c>
      <c r="I20" s="11" t="s">
        <v>68</v>
      </c>
      <c r="J20" s="5">
        <f>1*4*N20</f>
        <v>15200</v>
      </c>
      <c r="K20" s="102"/>
      <c r="L20" s="102"/>
      <c r="M20" s="102"/>
      <c r="N20" s="5">
        <v>3800</v>
      </c>
      <c r="O20" s="4" t="s">
        <v>61</v>
      </c>
    </row>
    <row r="21" spans="1:15" ht="21.75" customHeight="1" x14ac:dyDescent="0.3">
      <c r="A21" s="11" t="s">
        <v>1</v>
      </c>
      <c r="B21" s="5">
        <v>500</v>
      </c>
      <c r="C21" s="102"/>
      <c r="D21" s="102"/>
      <c r="E21" s="102"/>
      <c r="F21" s="102"/>
      <c r="G21" s="11"/>
      <c r="I21" s="11" t="s">
        <v>1</v>
      </c>
      <c r="J21" s="5">
        <v>700</v>
      </c>
      <c r="K21" s="102"/>
      <c r="L21" s="102"/>
      <c r="M21" s="102"/>
      <c r="N21" s="102"/>
      <c r="O21" s="11"/>
    </row>
    <row r="22" spans="1:15" s="51" customFormat="1" ht="24.75" customHeight="1" x14ac:dyDescent="0.4">
      <c r="A22" s="11" t="s">
        <v>10</v>
      </c>
      <c r="B22" s="5">
        <v>3500</v>
      </c>
      <c r="C22" s="102"/>
      <c r="D22" s="102"/>
      <c r="E22" s="102"/>
      <c r="F22" s="102"/>
      <c r="G22" s="11"/>
      <c r="I22" s="11" t="s">
        <v>10</v>
      </c>
      <c r="J22" s="5">
        <v>3500</v>
      </c>
      <c r="K22" s="102"/>
      <c r="L22" s="102"/>
      <c r="M22" s="102"/>
      <c r="N22" s="102"/>
      <c r="O22" s="11"/>
    </row>
    <row r="23" spans="1:15" ht="21.95" customHeight="1" x14ac:dyDescent="0.3">
      <c r="A23" s="49" t="s">
        <v>65</v>
      </c>
      <c r="B23" s="5">
        <v>1200</v>
      </c>
      <c r="C23" s="102"/>
      <c r="D23" s="102"/>
      <c r="E23" s="102"/>
      <c r="F23" s="102"/>
      <c r="G23" s="11"/>
      <c r="I23" s="49" t="s">
        <v>65</v>
      </c>
      <c r="J23" s="5">
        <v>1300</v>
      </c>
      <c r="K23" s="102"/>
      <c r="L23" s="102"/>
      <c r="M23" s="102"/>
      <c r="N23" s="102"/>
      <c r="O23" s="11"/>
    </row>
    <row r="24" spans="1:15" ht="21.95" customHeight="1" x14ac:dyDescent="0.3">
      <c r="A24" s="11" t="s">
        <v>11</v>
      </c>
      <c r="B24" s="5">
        <f>1.6*3500</f>
        <v>5600</v>
      </c>
      <c r="C24" s="102"/>
      <c r="D24" s="5" t="s">
        <v>66</v>
      </c>
      <c r="E24" s="102"/>
      <c r="F24" s="102"/>
      <c r="G24" s="11"/>
      <c r="I24" s="11" t="s">
        <v>11</v>
      </c>
      <c r="J24" s="5">
        <v>3000</v>
      </c>
      <c r="K24" s="102"/>
      <c r="L24" s="5" t="s">
        <v>66</v>
      </c>
      <c r="M24" s="102"/>
      <c r="N24" s="102"/>
      <c r="O24" s="11"/>
    </row>
    <row r="25" spans="1:15" ht="21.95" customHeight="1" x14ac:dyDescent="0.3">
      <c r="A25" s="11" t="s">
        <v>94</v>
      </c>
      <c r="B25" s="5">
        <f>1.8*6000</f>
        <v>10800</v>
      </c>
      <c r="C25" s="102"/>
      <c r="D25" s="102"/>
      <c r="E25" s="102"/>
      <c r="F25" s="102"/>
      <c r="G25" s="11"/>
      <c r="I25" s="11" t="s">
        <v>188</v>
      </c>
      <c r="J25" s="5">
        <v>13000</v>
      </c>
      <c r="K25" s="102"/>
      <c r="L25" s="102"/>
      <c r="M25" s="102"/>
      <c r="N25" s="102"/>
      <c r="O25" s="11"/>
    </row>
    <row r="26" spans="1:15" ht="21.95" customHeight="1" x14ac:dyDescent="0.3">
      <c r="A26" s="11" t="s">
        <v>12</v>
      </c>
      <c r="B26" s="5">
        <v>300</v>
      </c>
      <c r="C26" s="102"/>
      <c r="D26" s="103" t="s">
        <v>22</v>
      </c>
      <c r="E26" s="103" t="s">
        <v>23</v>
      </c>
      <c r="F26" s="103" t="s">
        <v>24</v>
      </c>
      <c r="G26" s="4"/>
      <c r="I26" s="11" t="s">
        <v>12</v>
      </c>
      <c r="J26" s="5">
        <v>1000</v>
      </c>
      <c r="K26" s="102"/>
      <c r="L26" s="103" t="s">
        <v>22</v>
      </c>
      <c r="M26" s="103" t="s">
        <v>23</v>
      </c>
      <c r="N26" s="103" t="s">
        <v>24</v>
      </c>
      <c r="O26" s="4"/>
    </row>
    <row r="27" spans="1:15" ht="21.95" customHeight="1" x14ac:dyDescent="0.3">
      <c r="A27" s="11" t="s">
        <v>338</v>
      </c>
      <c r="B27" s="5">
        <v>700</v>
      </c>
      <c r="C27" s="102"/>
      <c r="D27" s="6">
        <f>D31</f>
        <v>12.575124999999998</v>
      </c>
      <c r="E27" s="6">
        <f>E31</f>
        <v>15.176874999999999</v>
      </c>
      <c r="F27" s="6">
        <f>F31</f>
        <v>17.258274999999998</v>
      </c>
      <c r="G27" s="4"/>
      <c r="I27" s="11" t="s">
        <v>14</v>
      </c>
      <c r="J27" s="5">
        <v>0</v>
      </c>
      <c r="K27" s="102"/>
      <c r="L27" s="6">
        <f>L31</f>
        <v>15.71315789473684</v>
      </c>
      <c r="M27" s="6">
        <f>M31</f>
        <v>19.641447368421051</v>
      </c>
      <c r="N27" s="6">
        <f>N31</f>
        <v>22.335131578947365</v>
      </c>
      <c r="O27" s="4"/>
    </row>
    <row r="28" spans="1:15" ht="21.95" customHeight="1" x14ac:dyDescent="0.3">
      <c r="A28" s="11" t="s">
        <v>44</v>
      </c>
      <c r="B28" s="5">
        <v>500</v>
      </c>
      <c r="C28" s="102"/>
      <c r="D28" s="5"/>
      <c r="E28" s="5"/>
      <c r="F28" s="5"/>
      <c r="G28" s="4"/>
      <c r="I28" s="11" t="s">
        <v>15</v>
      </c>
      <c r="J28" s="5">
        <v>0</v>
      </c>
      <c r="K28" s="102"/>
      <c r="L28" s="5"/>
      <c r="M28" s="5"/>
      <c r="N28" s="5"/>
      <c r="O28" s="4"/>
    </row>
    <row r="29" spans="1:15" ht="21.95" customHeight="1" x14ac:dyDescent="0.3">
      <c r="A29" s="11" t="s">
        <v>27</v>
      </c>
      <c r="B29" s="5">
        <v>250</v>
      </c>
      <c r="C29" s="102"/>
      <c r="D29" s="102"/>
      <c r="E29" s="102"/>
      <c r="F29" s="102"/>
      <c r="G29" s="11"/>
      <c r="I29" s="11" t="s">
        <v>27</v>
      </c>
      <c r="J29" s="5">
        <v>0</v>
      </c>
      <c r="K29" s="102"/>
      <c r="L29" s="102"/>
      <c r="M29" s="102"/>
      <c r="N29" s="102"/>
      <c r="O29" s="11"/>
    </row>
    <row r="30" spans="1:15" ht="21.95" customHeight="1" x14ac:dyDescent="0.3">
      <c r="A30" s="11" t="s">
        <v>28</v>
      </c>
      <c r="B30" s="5">
        <v>100</v>
      </c>
      <c r="C30" s="102"/>
      <c r="D30" s="150">
        <v>0.35</v>
      </c>
      <c r="E30" s="150">
        <v>0.5</v>
      </c>
      <c r="F30" s="150">
        <v>0.8</v>
      </c>
      <c r="G30" s="11"/>
      <c r="I30" s="11" t="s">
        <v>28</v>
      </c>
      <c r="J30" s="5">
        <v>100</v>
      </c>
      <c r="K30" s="102"/>
      <c r="L30" s="245">
        <v>0.35</v>
      </c>
      <c r="M30" s="245">
        <v>0.5</v>
      </c>
      <c r="N30" s="245">
        <v>0.8</v>
      </c>
      <c r="O30" s="11"/>
    </row>
    <row r="31" spans="1:15" ht="21.95" customHeight="1" x14ac:dyDescent="0.3">
      <c r="A31" s="11" t="s">
        <v>16</v>
      </c>
      <c r="B31" s="5">
        <v>500</v>
      </c>
      <c r="C31" s="102"/>
      <c r="D31" s="5">
        <f>B34*1.45</f>
        <v>12.575124999999998</v>
      </c>
      <c r="E31" s="5">
        <f>B34*1.75</f>
        <v>15.176874999999999</v>
      </c>
      <c r="F31" s="5">
        <f>B34*1.99</f>
        <v>17.258274999999998</v>
      </c>
      <c r="G31" s="11"/>
      <c r="I31" s="11" t="s">
        <v>16</v>
      </c>
      <c r="J31" s="5">
        <v>350</v>
      </c>
      <c r="K31" s="102"/>
      <c r="L31" s="5">
        <f>J34*1.4</f>
        <v>15.71315789473684</v>
      </c>
      <c r="M31" s="5">
        <f>J34*1.75</f>
        <v>19.641447368421051</v>
      </c>
      <c r="N31" s="5">
        <f>J34*1.99</f>
        <v>22.335131578947365</v>
      </c>
      <c r="O31" s="11"/>
    </row>
    <row r="32" spans="1:15" ht="21.95" customHeight="1" x14ac:dyDescent="0.3">
      <c r="A32" s="11" t="s">
        <v>17</v>
      </c>
      <c r="B32" s="5">
        <v>100</v>
      </c>
      <c r="C32" s="102"/>
      <c r="D32" s="911"/>
      <c r="E32" s="911"/>
      <c r="F32" s="102"/>
      <c r="G32" s="11"/>
      <c r="I32" s="11" t="s">
        <v>17</v>
      </c>
      <c r="J32" s="5">
        <v>500</v>
      </c>
      <c r="K32" s="102"/>
      <c r="L32" s="911"/>
      <c r="M32" s="911"/>
      <c r="N32" s="102"/>
      <c r="O32" s="11"/>
    </row>
    <row r="33" spans="1:15" ht="21.95" customHeight="1" thickBot="1" x14ac:dyDescent="0.35">
      <c r="A33" s="11" t="s">
        <v>18</v>
      </c>
      <c r="B33" s="46">
        <v>2000</v>
      </c>
      <c r="C33"/>
      <c r="D33"/>
      <c r="E33"/>
      <c r="F33" s="5"/>
      <c r="G33" s="11"/>
      <c r="I33" s="11" t="s">
        <v>18</v>
      </c>
      <c r="J33" s="46">
        <v>4000</v>
      </c>
      <c r="N33" s="5"/>
      <c r="O33" s="11"/>
    </row>
    <row r="34" spans="1:15" ht="21.95" customHeight="1" x14ac:dyDescent="0.3">
      <c r="A34" s="11"/>
      <c r="B34" s="5">
        <f>SUM(B20:B33)/F20</f>
        <v>8.6724999999999994</v>
      </c>
      <c r="C34"/>
      <c r="D34"/>
      <c r="E34"/>
      <c r="F34" s="5"/>
      <c r="G34" s="11"/>
      <c r="I34" s="11"/>
      <c r="J34" s="5">
        <f>SUM(J20:J33)/N20</f>
        <v>11.223684210526315</v>
      </c>
      <c r="N34" s="5"/>
      <c r="O34" s="11"/>
    </row>
    <row r="35" spans="1:15" ht="21.95" customHeight="1" x14ac:dyDescent="0.3">
      <c r="G35" s="11"/>
    </row>
    <row r="36" spans="1:15" ht="57" customHeight="1" x14ac:dyDescent="0.4">
      <c r="A36" s="983" t="s">
        <v>568</v>
      </c>
      <c r="B36" s="983"/>
      <c r="C36" s="983"/>
      <c r="D36" s="101" t="s">
        <v>188</v>
      </c>
      <c r="E36" s="100"/>
      <c r="F36" s="100"/>
      <c r="G36" s="11"/>
      <c r="I36" s="983" t="s">
        <v>63</v>
      </c>
      <c r="J36" s="984"/>
      <c r="K36" s="982" t="s">
        <v>444</v>
      </c>
      <c r="L36" s="982"/>
      <c r="M36" s="982"/>
      <c r="N36" s="982"/>
      <c r="O36" s="982"/>
    </row>
    <row r="37" spans="1:15" x14ac:dyDescent="0.3">
      <c r="A37" s="11" t="s">
        <v>68</v>
      </c>
      <c r="B37" s="5">
        <f>2*1.7*F3</f>
        <v>12920</v>
      </c>
      <c r="C37" s="102"/>
      <c r="D37" s="102"/>
      <c r="E37" s="102"/>
      <c r="F37" s="102"/>
      <c r="I37" s="11" t="s">
        <v>68</v>
      </c>
      <c r="J37" s="5">
        <f>2*2*N3</f>
        <v>15200</v>
      </c>
      <c r="K37" s="102"/>
      <c r="L37" s="102"/>
      <c r="M37" s="102"/>
      <c r="N37" s="102"/>
    </row>
    <row r="38" spans="1:15" x14ac:dyDescent="0.3">
      <c r="A38" s="11" t="s">
        <v>94</v>
      </c>
      <c r="B38" s="5">
        <f>2*11000</f>
        <v>22000</v>
      </c>
      <c r="C38" s="102"/>
      <c r="D38" s="102"/>
      <c r="E38" s="102"/>
      <c r="F38" s="102"/>
      <c r="I38" s="11" t="s">
        <v>94</v>
      </c>
      <c r="J38" s="5">
        <v>0</v>
      </c>
      <c r="K38" s="102"/>
      <c r="L38" s="102"/>
      <c r="M38" s="102"/>
      <c r="N38" s="102"/>
    </row>
    <row r="39" spans="1:15" x14ac:dyDescent="0.3">
      <c r="A39" s="11" t="s">
        <v>1</v>
      </c>
      <c r="B39" s="5">
        <v>700</v>
      </c>
      <c r="C39" s="102"/>
      <c r="D39" s="102"/>
      <c r="E39" s="102"/>
      <c r="F39" s="102"/>
      <c r="I39" s="11" t="s">
        <v>1</v>
      </c>
      <c r="J39" s="5">
        <v>700</v>
      </c>
      <c r="K39" s="102"/>
      <c r="L39" s="102"/>
      <c r="M39" s="102"/>
      <c r="N39" s="102"/>
    </row>
    <row r="40" spans="1:15" x14ac:dyDescent="0.3">
      <c r="A40" s="11" t="s">
        <v>10</v>
      </c>
      <c r="B40" s="5">
        <v>4500</v>
      </c>
      <c r="C40" s="102"/>
      <c r="D40" s="102"/>
      <c r="E40" s="102"/>
      <c r="F40" s="102"/>
      <c r="I40" s="11" t="s">
        <v>10</v>
      </c>
      <c r="J40" s="5">
        <v>4500</v>
      </c>
      <c r="K40" s="102"/>
      <c r="L40" s="102"/>
      <c r="M40" s="102"/>
      <c r="N40" s="102"/>
    </row>
    <row r="41" spans="1:15" x14ac:dyDescent="0.3">
      <c r="A41" s="49" t="s">
        <v>65</v>
      </c>
      <c r="B41" s="5">
        <v>1500</v>
      </c>
      <c r="C41" s="102"/>
      <c r="D41" s="5" t="s">
        <v>67</v>
      </c>
      <c r="E41" s="102"/>
      <c r="F41" s="102"/>
      <c r="I41" s="49" t="s">
        <v>65</v>
      </c>
      <c r="J41" s="5">
        <v>1300</v>
      </c>
      <c r="K41" s="102"/>
      <c r="L41" s="5" t="s">
        <v>67</v>
      </c>
      <c r="M41" s="102"/>
      <c r="N41" s="102"/>
    </row>
    <row r="42" spans="1:15" x14ac:dyDescent="0.3">
      <c r="A42" s="11" t="s">
        <v>191</v>
      </c>
      <c r="B42" s="5">
        <f>2*500</f>
        <v>1000</v>
      </c>
      <c r="C42" s="102"/>
      <c r="D42" s="102"/>
      <c r="E42" s="102"/>
      <c r="F42" s="102"/>
      <c r="I42" s="11" t="s">
        <v>11</v>
      </c>
      <c r="J42" s="5">
        <v>1000</v>
      </c>
      <c r="K42" s="102"/>
      <c r="L42" s="102"/>
      <c r="M42" s="102"/>
      <c r="N42" s="102"/>
    </row>
    <row r="43" spans="1:15" x14ac:dyDescent="0.3">
      <c r="A43" s="11" t="s">
        <v>58</v>
      </c>
      <c r="B43" s="5">
        <v>0</v>
      </c>
      <c r="C43" s="102"/>
      <c r="D43" s="103" t="s">
        <v>22</v>
      </c>
      <c r="E43" s="103" t="s">
        <v>23</v>
      </c>
      <c r="F43" s="103" t="s">
        <v>24</v>
      </c>
      <c r="I43" s="11" t="s">
        <v>191</v>
      </c>
      <c r="J43" s="5">
        <f>1000</f>
        <v>1000</v>
      </c>
      <c r="K43" s="102"/>
      <c r="L43" s="103" t="s">
        <v>22</v>
      </c>
      <c r="M43" s="103" t="s">
        <v>23</v>
      </c>
      <c r="N43" s="103" t="s">
        <v>24</v>
      </c>
    </row>
    <row r="44" spans="1:15" x14ac:dyDescent="0.3">
      <c r="A44" s="11" t="s">
        <v>12</v>
      </c>
      <c r="B44" s="5">
        <v>2000</v>
      </c>
      <c r="C44" s="102"/>
      <c r="D44" s="6">
        <f>D49</f>
        <v>17.772631578947365</v>
      </c>
      <c r="E44" s="6">
        <f>E49</f>
        <v>20.311578947368421</v>
      </c>
      <c r="F44" s="6">
        <f>F49</f>
        <v>22.850526315789473</v>
      </c>
      <c r="I44" s="11" t="s">
        <v>12</v>
      </c>
      <c r="J44" s="5">
        <v>2500</v>
      </c>
      <c r="K44" s="102"/>
      <c r="L44" s="6">
        <f>L49</f>
        <v>11.638157894736842</v>
      </c>
      <c r="M44" s="6">
        <f>M49</f>
        <v>13.243421052631579</v>
      </c>
      <c r="N44" s="6">
        <f>N49</f>
        <v>15.972368421052632</v>
      </c>
    </row>
    <row r="45" spans="1:15" x14ac:dyDescent="0.3">
      <c r="A45" s="11" t="s">
        <v>438</v>
      </c>
      <c r="B45" s="5">
        <v>0</v>
      </c>
      <c r="C45" s="102"/>
      <c r="D45" s="5"/>
      <c r="E45" s="5"/>
      <c r="F45" s="5"/>
      <c r="I45" s="11" t="s">
        <v>437</v>
      </c>
      <c r="J45" s="5">
        <v>500</v>
      </c>
      <c r="K45" s="102"/>
      <c r="L45" s="5"/>
      <c r="M45" s="5"/>
      <c r="N45" s="5"/>
    </row>
    <row r="46" spans="1:15" x14ac:dyDescent="0.3">
      <c r="A46" s="11" t="s">
        <v>225</v>
      </c>
      <c r="B46" s="5">
        <v>100</v>
      </c>
      <c r="C46" s="102"/>
      <c r="D46" s="102"/>
      <c r="E46" s="102"/>
      <c r="F46" s="102"/>
      <c r="I46" s="11" t="s">
        <v>443</v>
      </c>
      <c r="J46" s="5">
        <f>100*2</f>
        <v>200</v>
      </c>
      <c r="K46" s="102"/>
      <c r="L46" s="102"/>
      <c r="M46" s="102"/>
      <c r="N46" s="102"/>
    </row>
    <row r="47" spans="1:15" x14ac:dyDescent="0.3">
      <c r="A47" s="11" t="s">
        <v>483</v>
      </c>
      <c r="B47" s="5">
        <f>6*20</f>
        <v>120</v>
      </c>
      <c r="C47" s="102"/>
      <c r="D47" s="266" t="s">
        <v>536</v>
      </c>
      <c r="E47" s="266" t="s">
        <v>535</v>
      </c>
      <c r="F47" s="266" t="s">
        <v>534</v>
      </c>
      <c r="I47" s="11" t="s">
        <v>27</v>
      </c>
      <c r="J47" s="5">
        <f t="shared" ref="J47:J49" si="0">J12</f>
        <v>250</v>
      </c>
      <c r="K47" s="102"/>
      <c r="L47" s="102"/>
      <c r="M47" s="102"/>
      <c r="N47" s="102"/>
    </row>
    <row r="48" spans="1:15" x14ac:dyDescent="0.3">
      <c r="A48" s="11" t="s">
        <v>484</v>
      </c>
      <c r="B48" s="5">
        <v>0</v>
      </c>
      <c r="C48" s="102"/>
      <c r="D48" s="707">
        <v>0.35</v>
      </c>
      <c r="E48" s="707">
        <v>0.5</v>
      </c>
      <c r="F48" s="707">
        <v>0.8</v>
      </c>
      <c r="I48" s="11" t="s">
        <v>28</v>
      </c>
      <c r="J48" s="5">
        <v>0</v>
      </c>
      <c r="K48" s="102"/>
      <c r="L48" s="245">
        <v>0.35</v>
      </c>
      <c r="M48" s="245">
        <v>0.5</v>
      </c>
      <c r="N48" s="245">
        <v>0.8</v>
      </c>
    </row>
    <row r="49" spans="1:14" x14ac:dyDescent="0.3">
      <c r="A49" s="11" t="s">
        <v>16</v>
      </c>
      <c r="B49" s="5">
        <f t="shared" ref="B49" si="1">B14</f>
        <v>350</v>
      </c>
      <c r="C49" s="102"/>
      <c r="D49" s="707">
        <f>B52*1.4</f>
        <v>17.772631578947365</v>
      </c>
      <c r="E49" s="707">
        <f>B52*1.6</f>
        <v>20.311578947368421</v>
      </c>
      <c r="F49" s="707">
        <f>B52*1.8</f>
        <v>22.850526315789473</v>
      </c>
      <c r="I49" s="11" t="s">
        <v>16</v>
      </c>
      <c r="J49" s="5">
        <f t="shared" si="0"/>
        <v>350</v>
      </c>
      <c r="K49" s="102"/>
      <c r="L49" s="5">
        <f>J52*1.45</f>
        <v>11.638157894736842</v>
      </c>
      <c r="M49" s="5">
        <f>J52*1.65</f>
        <v>13.243421052631579</v>
      </c>
      <c r="N49" s="5">
        <f>J52*1.99</f>
        <v>15.972368421052632</v>
      </c>
    </row>
    <row r="50" spans="1:14" x14ac:dyDescent="0.3">
      <c r="A50" s="11" t="s">
        <v>17</v>
      </c>
      <c r="B50" s="5">
        <v>50</v>
      </c>
      <c r="C50" s="102"/>
      <c r="D50" s="911"/>
      <c r="E50" s="911"/>
      <c r="F50" s="102"/>
      <c r="I50" s="11" t="s">
        <v>17</v>
      </c>
      <c r="J50" s="5">
        <v>0</v>
      </c>
      <c r="K50" s="102"/>
      <c r="L50" s="911"/>
      <c r="M50" s="911"/>
      <c r="N50" s="102"/>
    </row>
    <row r="51" spans="1:14" ht="19.5" thickBot="1" x14ac:dyDescent="0.35">
      <c r="A51" s="11" t="s">
        <v>18</v>
      </c>
      <c r="B51" s="46">
        <v>3000</v>
      </c>
      <c r="F51" s="5"/>
      <c r="I51" s="11" t="s">
        <v>18</v>
      </c>
      <c r="J51" s="46">
        <v>3000</v>
      </c>
      <c r="K51" s="98"/>
      <c r="L51" s="98"/>
      <c r="M51" s="98"/>
      <c r="N51" s="5"/>
    </row>
    <row r="52" spans="1:14" x14ac:dyDescent="0.3">
      <c r="A52" s="11"/>
      <c r="B52" s="5">
        <f>SUM(B37:B51)/F3</f>
        <v>12.694736842105263</v>
      </c>
      <c r="D52" s="98">
        <f>D49-B52</f>
        <v>5.0778947368421026</v>
      </c>
      <c r="E52" s="98">
        <f>D52*36</f>
        <v>182.8042105263157</v>
      </c>
      <c r="F52" s="5"/>
      <c r="I52" s="11"/>
      <c r="J52" s="5">
        <f>SUM(J37:J51)/N3</f>
        <v>8.026315789473685</v>
      </c>
      <c r="K52" s="98"/>
      <c r="L52" s="98"/>
      <c r="M52" s="98"/>
      <c r="N52" s="5"/>
    </row>
    <row r="54" spans="1:14" ht="26.25" x14ac:dyDescent="0.4">
      <c r="A54" s="983" t="s">
        <v>63</v>
      </c>
      <c r="B54" s="984"/>
      <c r="C54" s="100"/>
      <c r="D54" s="101" t="s">
        <v>167</v>
      </c>
      <c r="E54" s="100"/>
      <c r="F54" s="100"/>
      <c r="G54" s="11"/>
      <c r="I54" s="983" t="s">
        <v>63</v>
      </c>
      <c r="J54" s="984"/>
      <c r="K54" s="100"/>
      <c r="L54" s="101" t="s">
        <v>167</v>
      </c>
      <c r="M54" s="100"/>
      <c r="N54" s="100"/>
    </row>
    <row r="55" spans="1:14" x14ac:dyDescent="0.3">
      <c r="A55" s="11" t="s">
        <v>68</v>
      </c>
      <c r="B55" s="5">
        <f>2*2*F3</f>
        <v>15200</v>
      </c>
      <c r="C55" s="102"/>
      <c r="D55" s="102"/>
      <c r="E55" s="102"/>
      <c r="F55" s="102"/>
      <c r="I55" s="11" t="s">
        <v>68</v>
      </c>
      <c r="J55" s="5">
        <f>2*1.7*F3</f>
        <v>12920</v>
      </c>
      <c r="K55" s="102"/>
      <c r="L55" s="102"/>
      <c r="M55" s="102"/>
      <c r="N55" s="102"/>
    </row>
    <row r="56" spans="1:14" x14ac:dyDescent="0.3">
      <c r="A56" s="11" t="s">
        <v>1</v>
      </c>
      <c r="B56" s="5">
        <v>700</v>
      </c>
      <c r="C56" s="102"/>
      <c r="D56" s="102"/>
      <c r="E56" s="102"/>
      <c r="F56" s="102"/>
      <c r="I56" s="11" t="s">
        <v>1</v>
      </c>
      <c r="J56" s="5">
        <v>1000</v>
      </c>
      <c r="K56" s="102"/>
      <c r="L56" s="102"/>
      <c r="M56" s="102"/>
      <c r="N56" s="102"/>
    </row>
    <row r="57" spans="1:14" x14ac:dyDescent="0.3">
      <c r="A57" s="11" t="s">
        <v>10</v>
      </c>
      <c r="B57" s="5">
        <f>B23</f>
        <v>1200</v>
      </c>
      <c r="C57" s="102"/>
      <c r="D57" s="102"/>
      <c r="E57" s="102"/>
      <c r="F57" s="102"/>
      <c r="I57" s="11" t="s">
        <v>10</v>
      </c>
      <c r="J57" s="5">
        <v>4500</v>
      </c>
      <c r="K57" s="102"/>
      <c r="L57" s="102"/>
      <c r="M57" s="102"/>
      <c r="N57" s="102"/>
    </row>
    <row r="58" spans="1:14" x14ac:dyDescent="0.3">
      <c r="A58" s="49" t="s">
        <v>65</v>
      </c>
      <c r="B58" s="5">
        <v>3000</v>
      </c>
      <c r="C58" s="102"/>
      <c r="D58" s="5" t="s">
        <v>67</v>
      </c>
      <c r="E58" s="102"/>
      <c r="F58" s="102"/>
      <c r="I58" s="49" t="s">
        <v>65</v>
      </c>
      <c r="J58" s="5">
        <v>2000</v>
      </c>
      <c r="K58" s="102"/>
      <c r="L58" s="5" t="s">
        <v>67</v>
      </c>
      <c r="M58" s="102"/>
      <c r="N58" s="102"/>
    </row>
    <row r="59" spans="1:14" x14ac:dyDescent="0.3">
      <c r="A59" s="11" t="s">
        <v>11</v>
      </c>
      <c r="B59" s="5">
        <v>500</v>
      </c>
      <c r="C59" s="102"/>
      <c r="D59" s="102"/>
      <c r="E59" s="102"/>
      <c r="F59" s="102"/>
      <c r="I59" s="11" t="s">
        <v>11</v>
      </c>
      <c r="J59" s="5">
        <f>500*4</f>
        <v>2000</v>
      </c>
      <c r="K59" s="102"/>
      <c r="L59" s="102"/>
      <c r="M59" s="102"/>
      <c r="N59" s="102"/>
    </row>
    <row r="60" spans="1:14" x14ac:dyDescent="0.3">
      <c r="A60" s="11" t="s">
        <v>13</v>
      </c>
      <c r="B60" s="5">
        <f t="shared" ref="B60:B66" si="2">B26</f>
        <v>300</v>
      </c>
      <c r="C60" s="102"/>
      <c r="D60" s="103" t="s">
        <v>22</v>
      </c>
      <c r="E60" s="103" t="s">
        <v>23</v>
      </c>
      <c r="F60" s="103" t="s">
        <v>24</v>
      </c>
      <c r="I60" s="11" t="s">
        <v>188</v>
      </c>
      <c r="J60" s="5">
        <f>2*11000</f>
        <v>22000</v>
      </c>
      <c r="K60" s="102"/>
      <c r="L60" s="103" t="s">
        <v>22</v>
      </c>
      <c r="M60" s="103" t="s">
        <v>23</v>
      </c>
      <c r="N60" s="103" t="s">
        <v>24</v>
      </c>
    </row>
    <row r="61" spans="1:14" x14ac:dyDescent="0.3">
      <c r="A61" s="11" t="s">
        <v>12</v>
      </c>
      <c r="B61" s="5">
        <f t="shared" si="2"/>
        <v>700</v>
      </c>
      <c r="C61" s="102"/>
      <c r="D61" s="6">
        <f>D66</f>
        <v>10.512499999999999</v>
      </c>
      <c r="E61" s="6">
        <f>E66</f>
        <v>12.6875</v>
      </c>
      <c r="F61" s="6">
        <f>F66</f>
        <v>14.4275</v>
      </c>
      <c r="I61" s="11" t="s">
        <v>12</v>
      </c>
      <c r="J61" s="5">
        <v>0</v>
      </c>
      <c r="K61" s="102"/>
      <c r="L61" s="6">
        <f>L66</f>
        <v>20.661052631578951</v>
      </c>
      <c r="M61" s="6">
        <f>M66</f>
        <v>22.598026315789475</v>
      </c>
      <c r="N61" s="6">
        <f>N66</f>
        <v>25.180657894736843</v>
      </c>
    </row>
    <row r="62" spans="1:14" x14ac:dyDescent="0.3">
      <c r="A62" s="11" t="s">
        <v>14</v>
      </c>
      <c r="B62" s="5">
        <f t="shared" si="2"/>
        <v>500</v>
      </c>
      <c r="C62" s="102"/>
      <c r="D62" s="5"/>
      <c r="E62" s="5"/>
      <c r="F62" s="5"/>
      <c r="I62" s="11" t="s">
        <v>14</v>
      </c>
      <c r="J62" s="5">
        <v>0</v>
      </c>
      <c r="K62" s="102"/>
      <c r="L62" s="5"/>
      <c r="M62" s="5"/>
      <c r="N62" s="5"/>
    </row>
    <row r="63" spans="1:14" x14ac:dyDescent="0.3">
      <c r="A63" s="11" t="s">
        <v>15</v>
      </c>
      <c r="B63" s="5">
        <f t="shared" si="2"/>
        <v>250</v>
      </c>
      <c r="C63" s="102"/>
      <c r="D63" s="102"/>
      <c r="E63" s="102"/>
      <c r="F63" s="102"/>
      <c r="I63" s="11" t="s">
        <v>15</v>
      </c>
      <c r="J63" s="5">
        <v>0</v>
      </c>
      <c r="K63" s="102"/>
      <c r="L63" s="102"/>
      <c r="M63" s="102"/>
      <c r="N63" s="102"/>
    </row>
    <row r="64" spans="1:14" x14ac:dyDescent="0.3">
      <c r="A64" s="11" t="s">
        <v>27</v>
      </c>
      <c r="B64" s="5">
        <f t="shared" si="2"/>
        <v>100</v>
      </c>
      <c r="C64" s="102"/>
      <c r="D64" s="102"/>
      <c r="E64" s="102"/>
      <c r="F64" s="102"/>
      <c r="I64" s="11" t="s">
        <v>27</v>
      </c>
      <c r="J64" s="5">
        <f t="shared" ref="J64" si="3">J30</f>
        <v>100</v>
      </c>
      <c r="K64" s="102"/>
      <c r="L64" s="102"/>
      <c r="M64" s="102"/>
      <c r="N64" s="102"/>
    </row>
    <row r="65" spans="1:15" x14ac:dyDescent="0.3">
      <c r="A65" s="11" t="s">
        <v>28</v>
      </c>
      <c r="B65" s="5">
        <f t="shared" si="2"/>
        <v>500</v>
      </c>
      <c r="C65" s="102"/>
      <c r="D65" s="444">
        <v>0.35</v>
      </c>
      <c r="E65" s="444">
        <v>0.5</v>
      </c>
      <c r="F65" s="444">
        <v>0.8</v>
      </c>
      <c r="I65" s="11" t="s">
        <v>28</v>
      </c>
      <c r="J65" s="5">
        <v>100</v>
      </c>
      <c r="K65" s="102"/>
      <c r="L65" s="444">
        <v>0.35</v>
      </c>
      <c r="M65" s="444">
        <v>0.5</v>
      </c>
      <c r="N65" s="444">
        <v>0.8</v>
      </c>
    </row>
    <row r="66" spans="1:15" x14ac:dyDescent="0.3">
      <c r="A66" s="11" t="s">
        <v>16</v>
      </c>
      <c r="B66" s="5">
        <f t="shared" si="2"/>
        <v>100</v>
      </c>
      <c r="C66" s="102"/>
      <c r="D66" s="5">
        <f>B69*1.45</f>
        <v>10.512499999999999</v>
      </c>
      <c r="E66" s="5">
        <f>B69*1.75</f>
        <v>12.6875</v>
      </c>
      <c r="F66" s="5">
        <f>B69*1.99</f>
        <v>14.4275</v>
      </c>
      <c r="I66" s="11" t="s">
        <v>16</v>
      </c>
      <c r="J66" s="5">
        <v>250</v>
      </c>
      <c r="K66" s="102"/>
      <c r="L66" s="5">
        <f>J69*1.6</f>
        <v>20.661052631578951</v>
      </c>
      <c r="M66" s="5">
        <f>J69*1.75</f>
        <v>22.598026315789475</v>
      </c>
      <c r="N66" s="5">
        <f>J69*1.95</f>
        <v>25.180657894736843</v>
      </c>
    </row>
    <row r="67" spans="1:15" x14ac:dyDescent="0.3">
      <c r="A67" s="11" t="s">
        <v>17</v>
      </c>
      <c r="B67" s="5">
        <v>500</v>
      </c>
      <c r="C67" s="102"/>
      <c r="D67" s="911"/>
      <c r="E67" s="911"/>
      <c r="F67" s="102"/>
      <c r="I67" s="11" t="s">
        <v>17</v>
      </c>
      <c r="J67" s="5">
        <v>500</v>
      </c>
      <c r="K67" s="102"/>
      <c r="L67" s="911"/>
      <c r="M67" s="911"/>
      <c r="N67" s="102"/>
    </row>
    <row r="68" spans="1:15" ht="19.5" thickBot="1" x14ac:dyDescent="0.35">
      <c r="A68" s="11" t="s">
        <v>18</v>
      </c>
      <c r="B68" s="46">
        <v>4000</v>
      </c>
      <c r="F68" s="5"/>
      <c r="I68" s="11" t="s">
        <v>18</v>
      </c>
      <c r="J68" s="46">
        <v>3700</v>
      </c>
      <c r="K68" s="98"/>
      <c r="L68" s="98"/>
      <c r="M68" s="98"/>
      <c r="N68" s="5"/>
    </row>
    <row r="69" spans="1:15" x14ac:dyDescent="0.3">
      <c r="A69" s="11"/>
      <c r="B69" s="5">
        <f>SUM(B55:B68)/F3</f>
        <v>7.25</v>
      </c>
      <c r="F69" s="5"/>
      <c r="I69" s="11"/>
      <c r="J69" s="5">
        <f>SUM(J55:J68)/F3</f>
        <v>12.913157894736843</v>
      </c>
      <c r="K69" s="98"/>
      <c r="L69" s="98"/>
      <c r="M69" s="98"/>
      <c r="N69" s="5"/>
    </row>
    <row r="71" spans="1:15" ht="60.75" customHeight="1" x14ac:dyDescent="0.4">
      <c r="A71" s="983" t="s">
        <v>569</v>
      </c>
      <c r="B71" s="983"/>
      <c r="C71" s="983"/>
      <c r="D71" s="101" t="s">
        <v>188</v>
      </c>
      <c r="E71" s="100"/>
      <c r="F71" s="100"/>
      <c r="I71" s="983" t="s">
        <v>574</v>
      </c>
      <c r="J71" s="983"/>
      <c r="K71" s="983"/>
      <c r="L71" s="101" t="s">
        <v>188</v>
      </c>
      <c r="M71" s="100"/>
      <c r="N71" s="100"/>
      <c r="O71" s="48"/>
    </row>
    <row r="72" spans="1:15" x14ac:dyDescent="0.3">
      <c r="A72" s="11" t="s">
        <v>68</v>
      </c>
      <c r="B72" s="5">
        <f>1.2*1.3*4000</f>
        <v>6240</v>
      </c>
      <c r="C72" s="102"/>
      <c r="D72" s="102"/>
      <c r="E72" s="102"/>
      <c r="F72" s="102"/>
      <c r="I72" s="11" t="s">
        <v>68</v>
      </c>
      <c r="J72" s="5">
        <f>2.2*1.7*4000</f>
        <v>14960</v>
      </c>
      <c r="K72" s="102"/>
      <c r="L72" s="102"/>
      <c r="M72" s="102"/>
      <c r="N72" s="102"/>
      <c r="O72" s="48"/>
    </row>
    <row r="73" spans="1:15" x14ac:dyDescent="0.3">
      <c r="A73" s="11" t="s">
        <v>94</v>
      </c>
      <c r="B73" s="5">
        <f>1.2*8500</f>
        <v>10200</v>
      </c>
      <c r="C73" s="102"/>
      <c r="D73" s="102"/>
      <c r="E73" s="102"/>
      <c r="F73" s="102"/>
      <c r="I73" s="11" t="s">
        <v>94</v>
      </c>
      <c r="J73" s="5">
        <f>2.2*10000</f>
        <v>22000</v>
      </c>
      <c r="K73" s="102"/>
      <c r="L73" s="102"/>
      <c r="M73" s="102"/>
      <c r="N73" s="102"/>
      <c r="O73" s="48"/>
    </row>
    <row r="74" spans="1:15" x14ac:dyDescent="0.3">
      <c r="A74" s="11" t="s">
        <v>1</v>
      </c>
      <c r="B74" s="5">
        <v>700</v>
      </c>
      <c r="C74" s="102"/>
      <c r="D74" s="102"/>
      <c r="E74" s="102"/>
      <c r="F74" s="102"/>
      <c r="I74" s="11" t="s">
        <v>1</v>
      </c>
      <c r="J74" s="5">
        <v>1500</v>
      </c>
      <c r="K74" s="102"/>
      <c r="L74" s="102"/>
      <c r="M74" s="102"/>
      <c r="N74" s="102"/>
      <c r="O74" s="48"/>
    </row>
    <row r="75" spans="1:15" x14ac:dyDescent="0.3">
      <c r="A75" s="11" t="s">
        <v>573</v>
      </c>
      <c r="B75" s="5">
        <f>3*500</f>
        <v>1500</v>
      </c>
      <c r="C75" s="102"/>
      <c r="D75" s="102"/>
      <c r="E75" s="102"/>
      <c r="F75" s="102"/>
      <c r="I75" s="11" t="s">
        <v>573</v>
      </c>
      <c r="J75" s="5">
        <v>3000</v>
      </c>
      <c r="K75" s="102"/>
      <c r="L75" s="102"/>
      <c r="M75" s="102"/>
      <c r="N75" s="102"/>
      <c r="O75" s="48"/>
    </row>
    <row r="76" spans="1:15" x14ac:dyDescent="0.3">
      <c r="A76" s="11" t="s">
        <v>10</v>
      </c>
      <c r="B76" s="5">
        <v>4500</v>
      </c>
      <c r="C76" s="102"/>
      <c r="D76" s="102"/>
      <c r="E76" s="102"/>
      <c r="F76" s="102"/>
      <c r="I76" s="11" t="s">
        <v>10</v>
      </c>
      <c r="J76" s="5">
        <v>6000</v>
      </c>
      <c r="K76" s="102"/>
      <c r="L76" s="102"/>
      <c r="M76" s="102"/>
      <c r="N76" s="102"/>
      <c r="O76" s="48"/>
    </row>
    <row r="77" spans="1:15" x14ac:dyDescent="0.3">
      <c r="A77" s="49" t="s">
        <v>65</v>
      </c>
      <c r="B77" s="5">
        <v>2000</v>
      </c>
      <c r="C77" s="102"/>
      <c r="D77" s="5" t="s">
        <v>67</v>
      </c>
      <c r="E77" s="102"/>
      <c r="F77" s="102"/>
      <c r="I77" s="49" t="s">
        <v>65</v>
      </c>
      <c r="J77" s="5">
        <v>1800</v>
      </c>
      <c r="K77" s="102"/>
      <c r="L77" s="5" t="s">
        <v>67</v>
      </c>
      <c r="M77" s="102"/>
      <c r="N77" s="102"/>
      <c r="O77" s="48"/>
    </row>
    <row r="78" spans="1:15" x14ac:dyDescent="0.3">
      <c r="A78" s="11" t="s">
        <v>43</v>
      </c>
      <c r="B78" s="5">
        <f>1*500</f>
        <v>500</v>
      </c>
      <c r="C78" s="102"/>
      <c r="D78" s="102"/>
      <c r="E78" s="102"/>
      <c r="F78" s="102"/>
      <c r="I78" s="11" t="s">
        <v>43</v>
      </c>
      <c r="J78" s="5">
        <f>1*500</f>
        <v>500</v>
      </c>
      <c r="K78" s="102"/>
      <c r="L78" s="102"/>
      <c r="M78" s="102"/>
      <c r="N78" s="102"/>
      <c r="O78" s="48"/>
    </row>
    <row r="79" spans="1:15" x14ac:dyDescent="0.3">
      <c r="A79" s="11" t="s">
        <v>12</v>
      </c>
      <c r="B79" s="5">
        <v>800</v>
      </c>
      <c r="C79" s="102"/>
      <c r="D79" s="103" t="s">
        <v>22</v>
      </c>
      <c r="E79" s="103" t="s">
        <v>23</v>
      </c>
      <c r="F79" s="103" t="s">
        <v>24</v>
      </c>
      <c r="I79" s="11" t="s">
        <v>12</v>
      </c>
      <c r="J79" s="5">
        <v>1500</v>
      </c>
      <c r="K79" s="102"/>
      <c r="L79" s="103" t="s">
        <v>22</v>
      </c>
      <c r="M79" s="103" t="s">
        <v>23</v>
      </c>
      <c r="N79" s="103" t="s">
        <v>24</v>
      </c>
      <c r="O79" s="48"/>
    </row>
    <row r="80" spans="1:15" x14ac:dyDescent="0.3">
      <c r="A80" s="11" t="s">
        <v>16</v>
      </c>
      <c r="B80" s="5">
        <v>200</v>
      </c>
      <c r="C80" s="102"/>
      <c r="D80" s="6">
        <f>D85</f>
        <v>10.68375</v>
      </c>
      <c r="E80" s="6">
        <f>E85</f>
        <v>11.396000000000001</v>
      </c>
      <c r="F80" s="6">
        <f>F85</f>
        <v>15.669500000000001</v>
      </c>
      <c r="I80" s="49" t="s">
        <v>575</v>
      </c>
      <c r="J80" s="726">
        <v>1500</v>
      </c>
      <c r="K80" s="102"/>
      <c r="L80" s="6">
        <f>M84</f>
        <v>21.228749999999998</v>
      </c>
      <c r="M80" s="6">
        <f>N84</f>
        <v>24.059249999999999</v>
      </c>
      <c r="N80" s="6">
        <f>O84</f>
        <v>28.305</v>
      </c>
      <c r="O80" s="48"/>
    </row>
    <row r="81" spans="1:15" x14ac:dyDescent="0.3">
      <c r="A81" s="11" t="s">
        <v>17</v>
      </c>
      <c r="B81" s="5">
        <v>50</v>
      </c>
      <c r="C81" s="102"/>
      <c r="D81" s="5"/>
      <c r="E81" s="5"/>
      <c r="F81" s="5"/>
      <c r="I81" s="49" t="s">
        <v>576</v>
      </c>
      <c r="J81" s="726">
        <v>300</v>
      </c>
      <c r="K81" s="102"/>
      <c r="L81" s="5"/>
      <c r="M81" s="5"/>
      <c r="N81" s="5"/>
      <c r="O81" s="48"/>
    </row>
    <row r="82" spans="1:15" ht="19.5" thickBot="1" x14ac:dyDescent="0.35">
      <c r="A82" s="11" t="s">
        <v>18</v>
      </c>
      <c r="B82" s="46">
        <v>1800</v>
      </c>
      <c r="C82" s="102"/>
      <c r="D82" s="102"/>
      <c r="E82" s="102"/>
      <c r="F82" s="102"/>
      <c r="I82" s="49" t="s">
        <v>549</v>
      </c>
      <c r="J82" s="726">
        <v>300</v>
      </c>
      <c r="K82" s="102"/>
      <c r="L82" s="985" t="s">
        <v>586</v>
      </c>
      <c r="M82" s="985"/>
      <c r="N82" s="985"/>
      <c r="O82" s="985"/>
    </row>
    <row r="83" spans="1:15" x14ac:dyDescent="0.3">
      <c r="A83" s="11"/>
      <c r="B83" s="5">
        <f>SUM(B72:B82)/4000</f>
        <v>7.1224999999999996</v>
      </c>
      <c r="C83" s="102"/>
      <c r="D83" s="266" t="s">
        <v>572</v>
      </c>
      <c r="E83" s="266" t="s">
        <v>571</v>
      </c>
      <c r="F83" s="266" t="s">
        <v>570</v>
      </c>
      <c r="I83" s="49" t="s">
        <v>577</v>
      </c>
      <c r="J83" s="726">
        <v>300</v>
      </c>
      <c r="K83" s="102"/>
      <c r="L83" s="730" t="s">
        <v>584</v>
      </c>
      <c r="M83" s="731" t="s">
        <v>583</v>
      </c>
      <c r="N83" s="731" t="s">
        <v>420</v>
      </c>
      <c r="O83" s="731" t="s">
        <v>570</v>
      </c>
    </row>
    <row r="84" spans="1:15" x14ac:dyDescent="0.3">
      <c r="A84" s="11"/>
      <c r="B84" s="5"/>
      <c r="C84" s="102"/>
      <c r="D84" s="722">
        <v>0.35</v>
      </c>
      <c r="E84" s="722">
        <v>0.6</v>
      </c>
      <c r="F84" s="722">
        <v>0.9</v>
      </c>
      <c r="I84" s="11" t="s">
        <v>16</v>
      </c>
      <c r="J84" s="5">
        <v>200</v>
      </c>
      <c r="K84" s="102"/>
      <c r="L84" s="732">
        <f>J87*1.35</f>
        <v>19.105875000000001</v>
      </c>
      <c r="M84" s="732">
        <f>J87*1.5</f>
        <v>21.228749999999998</v>
      </c>
      <c r="N84" s="732">
        <f>J87*1.7</f>
        <v>24.059249999999999</v>
      </c>
      <c r="O84" s="732">
        <f>J87*2</f>
        <v>28.305</v>
      </c>
    </row>
    <row r="85" spans="1:15" x14ac:dyDescent="0.3">
      <c r="C85" s="102"/>
      <c r="D85" s="722">
        <f>B83*1.5</f>
        <v>10.68375</v>
      </c>
      <c r="E85" s="722">
        <f>B83*1.6</f>
        <v>11.396000000000001</v>
      </c>
      <c r="F85" s="722">
        <f>B83*2.2</f>
        <v>15.669500000000001</v>
      </c>
      <c r="I85" s="11" t="s">
        <v>17</v>
      </c>
      <c r="J85" s="5">
        <v>50</v>
      </c>
      <c r="K85" s="102"/>
    </row>
    <row r="86" spans="1:15" ht="19.5" thickBot="1" x14ac:dyDescent="0.35">
      <c r="C86" s="102"/>
      <c r="D86" s="286"/>
      <c r="E86" s="286"/>
      <c r="F86" s="102"/>
      <c r="I86" s="11" t="s">
        <v>18</v>
      </c>
      <c r="J86" s="46">
        <v>2700</v>
      </c>
      <c r="L86" s="986" t="s">
        <v>585</v>
      </c>
      <c r="M86" s="987"/>
      <c r="N86" s="987"/>
      <c r="O86" s="987"/>
    </row>
    <row r="87" spans="1:15" x14ac:dyDescent="0.3">
      <c r="F87" s="5"/>
      <c r="I87" s="11"/>
      <c r="J87" s="5">
        <f>SUM(J72:J86)/4000</f>
        <v>14.1525</v>
      </c>
      <c r="L87" s="987"/>
      <c r="M87" s="987"/>
      <c r="N87" s="987"/>
      <c r="O87" s="987"/>
    </row>
    <row r="88" spans="1:15" x14ac:dyDescent="0.3">
      <c r="F88" s="5"/>
    </row>
  </sheetData>
  <mergeCells count="20">
    <mergeCell ref="L82:O82"/>
    <mergeCell ref="L86:O87"/>
    <mergeCell ref="L67:M67"/>
    <mergeCell ref="D50:E50"/>
    <mergeCell ref="A19:B19"/>
    <mergeCell ref="A2:B2"/>
    <mergeCell ref="D15:E15"/>
    <mergeCell ref="K36:O36"/>
    <mergeCell ref="A36:C36"/>
    <mergeCell ref="A71:C71"/>
    <mergeCell ref="I71:K71"/>
    <mergeCell ref="A54:B54"/>
    <mergeCell ref="I54:J54"/>
    <mergeCell ref="D67:E67"/>
    <mergeCell ref="I2:J2"/>
    <mergeCell ref="L15:M15"/>
    <mergeCell ref="I36:J36"/>
    <mergeCell ref="L50:M50"/>
    <mergeCell ref="D32:E32"/>
    <mergeCell ref="L32:M32"/>
  </mergeCells>
  <pageMargins left="1" right="1" top="1" bottom="1" header="0.5" footer="0.5"/>
  <pageSetup scale="55" orientation="portrait" horizontalDpi="0" verticalDpi="0" r:id="rId1"/>
  <rowBreaks count="1" manualBreakCount="1">
    <brk id="54" max="15" man="1"/>
  </rowBreaks>
  <colBreaks count="1" manualBreakCount="1">
    <brk id="7" max="78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33894-1674-4BF3-BD4A-FAA5B0BA6CF2}">
  <dimension ref="A2:F34"/>
  <sheetViews>
    <sheetView workbookViewId="0">
      <selection activeCell="H7" sqref="H7"/>
    </sheetView>
  </sheetViews>
  <sheetFormatPr baseColWidth="10" defaultRowHeight="15" x14ac:dyDescent="0.25"/>
  <cols>
    <col min="1" max="1" width="29.85546875" customWidth="1"/>
    <col min="2" max="2" width="14" customWidth="1"/>
    <col min="4" max="5" width="13.28515625" customWidth="1"/>
    <col min="6" max="6" width="12.85546875" customWidth="1"/>
  </cols>
  <sheetData>
    <row r="2" spans="1:6" ht="26.25" x14ac:dyDescent="0.4">
      <c r="A2" s="983" t="s">
        <v>587</v>
      </c>
      <c r="B2" s="984"/>
      <c r="C2" s="100"/>
      <c r="D2" s="101"/>
      <c r="E2" s="100"/>
      <c r="F2" s="7">
        <v>4000</v>
      </c>
    </row>
    <row r="3" spans="1:6" ht="18.75" x14ac:dyDescent="0.3">
      <c r="A3" s="11" t="s">
        <v>441</v>
      </c>
      <c r="B3" s="5">
        <f>0.5*1.2*F2</f>
        <v>2400</v>
      </c>
      <c r="C3" s="102"/>
      <c r="D3" s="102"/>
      <c r="E3" s="102"/>
      <c r="F3" s="102"/>
    </row>
    <row r="4" spans="1:6" ht="18.75" x14ac:dyDescent="0.3">
      <c r="A4" s="11" t="s">
        <v>1</v>
      </c>
      <c r="B4" s="5">
        <v>700</v>
      </c>
      <c r="C4" s="102"/>
      <c r="D4" s="102"/>
      <c r="E4" s="102"/>
      <c r="F4" s="102"/>
    </row>
    <row r="5" spans="1:6" ht="18.75" x14ac:dyDescent="0.3">
      <c r="A5" s="11" t="s">
        <v>10</v>
      </c>
      <c r="B5" s="5">
        <v>2500</v>
      </c>
      <c r="C5" s="102"/>
      <c r="D5" s="102"/>
      <c r="E5" s="102"/>
      <c r="F5" s="102"/>
    </row>
    <row r="6" spans="1:6" ht="18.75" x14ac:dyDescent="0.3">
      <c r="A6" s="49" t="s">
        <v>94</v>
      </c>
      <c r="B6" s="5">
        <v>2500</v>
      </c>
      <c r="C6" s="102"/>
      <c r="D6" s="5" t="s">
        <v>439</v>
      </c>
      <c r="E6" s="102"/>
      <c r="F6" s="102"/>
    </row>
    <row r="7" spans="1:6" ht="18.75" x14ac:dyDescent="0.3">
      <c r="A7" s="11" t="s">
        <v>11</v>
      </c>
      <c r="B7" s="5">
        <v>500</v>
      </c>
      <c r="C7" s="102"/>
      <c r="D7" s="102"/>
      <c r="E7" s="102"/>
      <c r="F7" s="102"/>
    </row>
    <row r="8" spans="1:6" ht="18.75" x14ac:dyDescent="0.3">
      <c r="A8" s="11" t="s">
        <v>440</v>
      </c>
      <c r="B8" s="5">
        <f>1000</f>
        <v>1000</v>
      </c>
      <c r="C8" s="102"/>
      <c r="D8" s="103" t="s">
        <v>22</v>
      </c>
      <c r="E8" s="103" t="s">
        <v>23</v>
      </c>
      <c r="F8" s="103" t="s">
        <v>24</v>
      </c>
    </row>
    <row r="9" spans="1:6" ht="18.75" x14ac:dyDescent="0.3">
      <c r="A9" s="11" t="s">
        <v>12</v>
      </c>
      <c r="B9" s="5">
        <v>1000</v>
      </c>
      <c r="C9" s="102"/>
      <c r="D9" s="6">
        <f>D14</f>
        <v>4.6150000000000002</v>
      </c>
      <c r="E9" s="6">
        <f>E14</f>
        <v>5.68</v>
      </c>
      <c r="F9" s="6">
        <f>F14</f>
        <v>7.0644999999999998</v>
      </c>
    </row>
    <row r="10" spans="1:6" ht="18.75" x14ac:dyDescent="0.3">
      <c r="A10" s="11" t="s">
        <v>14</v>
      </c>
      <c r="B10" s="5">
        <v>0</v>
      </c>
      <c r="C10" s="102"/>
      <c r="D10" s="5"/>
      <c r="E10" s="5"/>
      <c r="F10" s="5"/>
    </row>
    <row r="11" spans="1:6" ht="18.75" x14ac:dyDescent="0.3">
      <c r="A11" s="11" t="s">
        <v>43</v>
      </c>
      <c r="B11" s="5">
        <v>500</v>
      </c>
      <c r="C11" s="102"/>
      <c r="D11" s="102"/>
      <c r="E11" s="102"/>
      <c r="F11" s="102"/>
    </row>
    <row r="12" spans="1:6" ht="18.75" x14ac:dyDescent="0.3">
      <c r="A12" s="11" t="s">
        <v>27</v>
      </c>
      <c r="B12" s="5">
        <v>50</v>
      </c>
      <c r="C12" s="102"/>
      <c r="D12" s="102"/>
      <c r="E12" s="102"/>
      <c r="F12" s="102"/>
    </row>
    <row r="13" spans="1:6" ht="18.75" x14ac:dyDescent="0.3">
      <c r="A13" s="11" t="s">
        <v>28</v>
      </c>
      <c r="B13" s="5">
        <v>100</v>
      </c>
      <c r="C13" s="102"/>
      <c r="D13" s="676">
        <v>0.35</v>
      </c>
      <c r="E13" s="676">
        <v>0.5</v>
      </c>
      <c r="F13" s="676">
        <v>0.8</v>
      </c>
    </row>
    <row r="14" spans="1:6" ht="18.75" x14ac:dyDescent="0.3">
      <c r="A14" s="11" t="s">
        <v>16</v>
      </c>
      <c r="B14" s="5">
        <v>250</v>
      </c>
      <c r="C14" s="102"/>
      <c r="D14" s="5">
        <f>B17*1.3</f>
        <v>4.6150000000000002</v>
      </c>
      <c r="E14" s="5">
        <f>B17*1.6</f>
        <v>5.68</v>
      </c>
      <c r="F14" s="5">
        <f>B17*1.99</f>
        <v>7.0644999999999998</v>
      </c>
    </row>
    <row r="15" spans="1:6" ht="18.75" x14ac:dyDescent="0.3">
      <c r="A15" s="11" t="s">
        <v>17</v>
      </c>
      <c r="B15" s="5">
        <v>0</v>
      </c>
      <c r="C15" s="102"/>
      <c r="D15" s="286">
        <f>6.5*3800</f>
        <v>24700</v>
      </c>
      <c r="E15" s="286"/>
      <c r="F15" s="102"/>
    </row>
    <row r="16" spans="1:6" ht="19.5" thickBot="1" x14ac:dyDescent="0.35">
      <c r="A16" s="11" t="s">
        <v>18</v>
      </c>
      <c r="B16" s="46">
        <v>2700</v>
      </c>
      <c r="C16" s="98"/>
      <c r="D16" s="98"/>
      <c r="E16" s="98"/>
      <c r="F16" s="5"/>
    </row>
    <row r="17" spans="1:6" ht="18.75" x14ac:dyDescent="0.3">
      <c r="A17" s="11"/>
      <c r="B17" s="5">
        <f>SUM(B3:B16)/F2</f>
        <v>3.55</v>
      </c>
      <c r="C17" s="98"/>
      <c r="D17" s="98"/>
      <c r="E17" s="98"/>
      <c r="F17" s="5"/>
    </row>
    <row r="19" spans="1:6" ht="26.25" customHeight="1" x14ac:dyDescent="0.4">
      <c r="A19" s="983" t="s">
        <v>588</v>
      </c>
      <c r="B19" s="983"/>
      <c r="C19" s="983"/>
      <c r="D19" s="983"/>
      <c r="E19" s="100"/>
      <c r="F19" s="7">
        <v>4000</v>
      </c>
    </row>
    <row r="20" spans="1:6" ht="18.75" x14ac:dyDescent="0.3">
      <c r="A20" s="11" t="s">
        <v>441</v>
      </c>
      <c r="B20" s="5">
        <f>0.6*1.2*F19</f>
        <v>2880</v>
      </c>
      <c r="C20" s="102"/>
      <c r="D20" s="102"/>
      <c r="E20" s="102"/>
      <c r="F20" s="102"/>
    </row>
    <row r="21" spans="1:6" ht="18.75" x14ac:dyDescent="0.3">
      <c r="A21" s="11" t="s">
        <v>1</v>
      </c>
      <c r="B21" s="5">
        <v>700</v>
      </c>
      <c r="C21" s="102"/>
      <c r="D21" s="102"/>
      <c r="E21" s="102"/>
      <c r="F21" s="102"/>
    </row>
    <row r="22" spans="1:6" ht="18.75" x14ac:dyDescent="0.3">
      <c r="A22" s="11" t="s">
        <v>10</v>
      </c>
      <c r="B22" s="5">
        <v>2500</v>
      </c>
      <c r="C22" s="102"/>
      <c r="D22" s="102"/>
      <c r="E22" s="102"/>
      <c r="F22" s="102"/>
    </row>
    <row r="23" spans="1:6" ht="18.75" x14ac:dyDescent="0.3">
      <c r="A23" s="49" t="s">
        <v>94</v>
      </c>
      <c r="B23" s="5">
        <f>0.5*8500</f>
        <v>4250</v>
      </c>
      <c r="C23" s="102"/>
      <c r="D23" s="5" t="s">
        <v>439</v>
      </c>
      <c r="E23" s="102"/>
      <c r="F23" s="102"/>
    </row>
    <row r="24" spans="1:6" ht="18.75" x14ac:dyDescent="0.3">
      <c r="A24" s="11" t="s">
        <v>11</v>
      </c>
      <c r="B24" s="5">
        <v>1500</v>
      </c>
      <c r="C24" s="102"/>
      <c r="D24" s="102"/>
      <c r="E24" s="102"/>
      <c r="F24" s="102"/>
    </row>
    <row r="25" spans="1:6" ht="18.75" x14ac:dyDescent="0.3">
      <c r="A25" s="11" t="s">
        <v>440</v>
      </c>
      <c r="B25" s="5">
        <f>1000</f>
        <v>1000</v>
      </c>
      <c r="C25" s="102"/>
      <c r="D25" s="103" t="s">
        <v>22</v>
      </c>
      <c r="E25" s="103" t="s">
        <v>23</v>
      </c>
      <c r="F25" s="103" t="s">
        <v>24</v>
      </c>
    </row>
    <row r="26" spans="1:6" ht="18.75" x14ac:dyDescent="0.3">
      <c r="A26" s="11" t="s">
        <v>12</v>
      </c>
      <c r="B26" s="5">
        <v>1000</v>
      </c>
      <c r="C26" s="102"/>
      <c r="D26" s="6">
        <f>D31</f>
        <v>5.6647499999999997</v>
      </c>
      <c r="E26" s="6">
        <f>E31</f>
        <v>6.9720000000000004</v>
      </c>
      <c r="F26" s="6">
        <f>F31</f>
        <v>8.6714249999999993</v>
      </c>
    </row>
    <row r="27" spans="1:6" ht="18.75" x14ac:dyDescent="0.3">
      <c r="A27" s="11" t="s">
        <v>14</v>
      </c>
      <c r="B27" s="5">
        <v>0</v>
      </c>
      <c r="C27" s="102"/>
      <c r="D27" s="5"/>
      <c r="E27" s="5"/>
      <c r="F27" s="5"/>
    </row>
    <row r="28" spans="1:6" ht="18.75" x14ac:dyDescent="0.3">
      <c r="A28" s="11" t="s">
        <v>43</v>
      </c>
      <c r="B28" s="5">
        <v>500</v>
      </c>
      <c r="C28" s="102"/>
      <c r="D28" s="102"/>
      <c r="E28" s="102"/>
      <c r="F28" s="102"/>
    </row>
    <row r="29" spans="1:6" ht="18.75" x14ac:dyDescent="0.3">
      <c r="A29" s="11" t="s">
        <v>27</v>
      </c>
      <c r="B29" s="5">
        <v>50</v>
      </c>
      <c r="C29" s="102"/>
      <c r="D29" s="102"/>
      <c r="E29" s="102"/>
      <c r="F29" s="102"/>
    </row>
    <row r="30" spans="1:6" ht="18.75" x14ac:dyDescent="0.3">
      <c r="A30" s="11" t="s">
        <v>28</v>
      </c>
      <c r="B30" s="5">
        <v>100</v>
      </c>
      <c r="C30" s="102"/>
      <c r="D30" s="733">
        <v>0.35</v>
      </c>
      <c r="E30" s="733">
        <v>0.5</v>
      </c>
      <c r="F30" s="733">
        <v>0.8</v>
      </c>
    </row>
    <row r="31" spans="1:6" ht="18.75" x14ac:dyDescent="0.3">
      <c r="A31" s="11" t="s">
        <v>16</v>
      </c>
      <c r="B31" s="5">
        <v>250</v>
      </c>
      <c r="C31" s="102"/>
      <c r="D31" s="5">
        <f>B34*1.3</f>
        <v>5.6647499999999997</v>
      </c>
      <c r="E31" s="5">
        <f>B34*1.6</f>
        <v>6.9720000000000004</v>
      </c>
      <c r="F31" s="5">
        <f>B34*1.99</f>
        <v>8.6714249999999993</v>
      </c>
    </row>
    <row r="32" spans="1:6" ht="18.75" x14ac:dyDescent="0.3">
      <c r="A32" s="11" t="s">
        <v>17</v>
      </c>
      <c r="B32" s="5">
        <v>0</v>
      </c>
      <c r="C32" s="102"/>
      <c r="D32" s="286">
        <f>6.5*3800</f>
        <v>24700</v>
      </c>
      <c r="E32" s="286"/>
      <c r="F32" s="102"/>
    </row>
    <row r="33" spans="1:6" ht="19.5" thickBot="1" x14ac:dyDescent="0.35">
      <c r="A33" s="11" t="s">
        <v>18</v>
      </c>
      <c r="B33" s="46">
        <v>2700</v>
      </c>
      <c r="C33" s="98"/>
      <c r="D33" s="98"/>
      <c r="E33" s="98"/>
      <c r="F33" s="5"/>
    </row>
    <row r="34" spans="1:6" ht="18.75" x14ac:dyDescent="0.3">
      <c r="A34" s="11"/>
      <c r="B34" s="5">
        <f>SUM(B20:B33)/F19</f>
        <v>4.3574999999999999</v>
      </c>
      <c r="C34" s="98"/>
      <c r="D34" s="98"/>
      <c r="E34" s="98"/>
      <c r="F34" s="5"/>
    </row>
  </sheetData>
  <mergeCells count="2">
    <mergeCell ref="A2:B2"/>
    <mergeCell ref="A19:D19"/>
  </mergeCells>
  <pageMargins left="0.7" right="0.7" top="0.75" bottom="0.75" header="0.3" footer="0.3"/>
  <pageSetup paperSize="9"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42"/>
  <sheetViews>
    <sheetView view="pageBreakPreview" topLeftCell="A16" zoomScale="60" zoomScaleNormal="100" workbookViewId="0">
      <selection activeCell="C24" sqref="C24"/>
    </sheetView>
  </sheetViews>
  <sheetFormatPr baseColWidth="10" defaultRowHeight="15" x14ac:dyDescent="0.25"/>
  <cols>
    <col min="1" max="1" width="32.42578125" customWidth="1"/>
    <col min="2" max="2" width="15.7109375" style="2" customWidth="1"/>
    <col min="3" max="3" width="18.42578125" style="2" customWidth="1"/>
    <col min="4" max="4" width="20.140625" style="2" customWidth="1"/>
    <col min="5" max="5" width="17.140625" style="2" customWidth="1"/>
    <col min="6" max="6" width="16.7109375" style="2" customWidth="1"/>
    <col min="7" max="7" width="17.42578125" customWidth="1"/>
    <col min="8" max="8" width="7.85546875" customWidth="1"/>
    <col min="9" max="9" width="32.5703125" bestFit="1" customWidth="1"/>
    <col min="10" max="10" width="17" style="2" customWidth="1"/>
    <col min="11" max="11" width="15.140625" style="2" bestFit="1" customWidth="1"/>
    <col min="12" max="12" width="17" style="2" bestFit="1" customWidth="1"/>
    <col min="13" max="13" width="16" style="2" bestFit="1" customWidth="1"/>
    <col min="14" max="14" width="20" style="2" customWidth="1"/>
  </cols>
  <sheetData>
    <row r="1" spans="1:16" ht="37.5" customHeight="1" x14ac:dyDescent="0.25"/>
    <row r="2" spans="1:16" ht="33.75" x14ac:dyDescent="0.5">
      <c r="A2" s="979" t="s">
        <v>20</v>
      </c>
      <c r="B2" s="979"/>
      <c r="C2" s="861" t="s">
        <v>107</v>
      </c>
      <c r="D2" s="861"/>
      <c r="E2" s="861"/>
      <c r="F2" s="861"/>
      <c r="G2" s="861"/>
      <c r="H2" s="861"/>
      <c r="I2" s="979" t="s">
        <v>166</v>
      </c>
      <c r="J2" s="979"/>
      <c r="K2" s="861" t="s">
        <v>107</v>
      </c>
      <c r="L2" s="861"/>
      <c r="M2" s="861"/>
      <c r="N2" s="861"/>
      <c r="O2" s="861"/>
      <c r="P2" s="861"/>
    </row>
    <row r="3" spans="1:16" ht="23.25" x14ac:dyDescent="0.35">
      <c r="A3" s="952" t="s">
        <v>26</v>
      </c>
      <c r="B3" s="952"/>
      <c r="C3" s="114"/>
      <c r="D3" s="115" t="s">
        <v>52</v>
      </c>
      <c r="E3" s="114"/>
      <c r="F3" s="114"/>
      <c r="G3" s="20"/>
      <c r="H3" s="20"/>
      <c r="I3" s="952" t="s">
        <v>26</v>
      </c>
      <c r="J3" s="952"/>
      <c r="K3" s="114"/>
      <c r="L3" s="115" t="s">
        <v>52</v>
      </c>
      <c r="M3" s="114"/>
      <c r="N3" s="114"/>
      <c r="O3" s="20"/>
      <c r="P3" s="20"/>
    </row>
    <row r="4" spans="1:16" ht="23.25" x14ac:dyDescent="0.35">
      <c r="A4" s="20" t="s">
        <v>9</v>
      </c>
      <c r="B4" s="23">
        <f>1*3*F4</f>
        <v>11400</v>
      </c>
      <c r="C4" s="114"/>
      <c r="D4" s="114"/>
      <c r="E4" s="114"/>
      <c r="F4" s="114">
        <v>3800</v>
      </c>
      <c r="G4" s="20"/>
      <c r="H4" s="20"/>
      <c r="I4" s="20" t="s">
        <v>9</v>
      </c>
      <c r="J4" s="23">
        <f>1*1.8*N4</f>
        <v>6840</v>
      </c>
      <c r="K4" s="114"/>
      <c r="L4" s="114"/>
      <c r="M4" s="114"/>
      <c r="N4" s="114">
        <v>3800</v>
      </c>
      <c r="O4" s="20"/>
      <c r="P4" s="20"/>
    </row>
    <row r="5" spans="1:16" ht="23.25" x14ac:dyDescent="0.35">
      <c r="A5" s="20" t="s">
        <v>1</v>
      </c>
      <c r="B5" s="23">
        <v>1000</v>
      </c>
      <c r="C5" s="114"/>
      <c r="D5" s="114"/>
      <c r="E5" s="114"/>
      <c r="F5" s="114"/>
      <c r="G5" s="20"/>
      <c r="H5" s="20"/>
      <c r="I5" s="20" t="s">
        <v>1</v>
      </c>
      <c r="J5" s="23">
        <v>1000</v>
      </c>
      <c r="K5" s="114"/>
      <c r="L5" s="114"/>
      <c r="M5" s="114"/>
      <c r="N5" s="114"/>
      <c r="O5" s="20"/>
      <c r="P5" s="20"/>
    </row>
    <row r="6" spans="1:16" ht="23.25" x14ac:dyDescent="0.35">
      <c r="A6" s="20" t="s">
        <v>10</v>
      </c>
      <c r="B6" s="23">
        <v>2500</v>
      </c>
      <c r="C6" s="114"/>
      <c r="D6" s="949" t="s">
        <v>109</v>
      </c>
      <c r="E6" s="949"/>
      <c r="F6" s="949"/>
      <c r="G6" s="949"/>
      <c r="H6" s="20"/>
      <c r="I6" s="20" t="s">
        <v>10</v>
      </c>
      <c r="J6" s="23">
        <v>2500</v>
      </c>
      <c r="K6" s="114"/>
      <c r="L6" s="949" t="s">
        <v>109</v>
      </c>
      <c r="M6" s="949"/>
      <c r="N6" s="949"/>
      <c r="O6" s="949"/>
      <c r="P6" s="20"/>
    </row>
    <row r="7" spans="1:16" ht="23.25" x14ac:dyDescent="0.35">
      <c r="A7" s="20" t="s">
        <v>101</v>
      </c>
      <c r="B7" s="23">
        <f>15000/3</f>
        <v>5000</v>
      </c>
      <c r="C7" s="114"/>
      <c r="D7" s="22" t="s">
        <v>22</v>
      </c>
      <c r="E7" s="22" t="s">
        <v>23</v>
      </c>
      <c r="F7" s="22" t="s">
        <v>24</v>
      </c>
      <c r="G7" s="21"/>
      <c r="H7" s="20"/>
      <c r="I7" s="20" t="s">
        <v>101</v>
      </c>
      <c r="J7" s="23">
        <f>15000/3</f>
        <v>5000</v>
      </c>
      <c r="K7" s="114"/>
      <c r="L7" s="22" t="s">
        <v>22</v>
      </c>
      <c r="M7" s="22" t="s">
        <v>23</v>
      </c>
      <c r="N7" s="22" t="s">
        <v>24</v>
      </c>
      <c r="O7" s="21"/>
      <c r="P7" s="20"/>
    </row>
    <row r="8" spans="1:16" ht="23.25" x14ac:dyDescent="0.35">
      <c r="A8" s="20" t="s">
        <v>58</v>
      </c>
      <c r="B8" s="23">
        <v>1000</v>
      </c>
      <c r="C8" s="114"/>
      <c r="D8" s="22">
        <f>D12</f>
        <v>10.894078947368421</v>
      </c>
      <c r="E8" s="22">
        <f>E12</f>
        <v>13.148026315789474</v>
      </c>
      <c r="F8" s="22">
        <f>F12</f>
        <v>14.951184210526316</v>
      </c>
      <c r="G8" s="21"/>
      <c r="H8" s="20"/>
      <c r="I8" s="20" t="s">
        <v>58</v>
      </c>
      <c r="J8" s="23">
        <v>1000</v>
      </c>
      <c r="K8" s="114"/>
      <c r="L8" s="22">
        <f>L13</f>
        <v>9.5928947368421049</v>
      </c>
      <c r="M8" s="22">
        <f>M13</f>
        <v>11.577631578947368</v>
      </c>
      <c r="N8" s="22">
        <f>N13</f>
        <v>13.165421052631579</v>
      </c>
      <c r="O8" s="21"/>
      <c r="P8" s="20"/>
    </row>
    <row r="9" spans="1:16" ht="23.25" x14ac:dyDescent="0.35">
      <c r="A9" s="20" t="s">
        <v>11</v>
      </c>
      <c r="B9" s="23">
        <v>1000</v>
      </c>
      <c r="C9" s="114"/>
      <c r="D9" s="23"/>
      <c r="E9" s="23"/>
      <c r="F9" s="23"/>
      <c r="G9" s="21"/>
      <c r="H9" s="20"/>
      <c r="I9" s="20" t="s">
        <v>11</v>
      </c>
      <c r="J9" s="23">
        <v>1000</v>
      </c>
      <c r="K9" s="114"/>
      <c r="L9" s="23"/>
      <c r="M9" s="23"/>
      <c r="N9" s="23"/>
      <c r="O9" s="21"/>
      <c r="P9" s="20"/>
    </row>
    <row r="10" spans="1:16" ht="23.25" x14ac:dyDescent="0.35">
      <c r="A10" s="20" t="s">
        <v>12</v>
      </c>
      <c r="B10" s="23">
        <v>2000</v>
      </c>
      <c r="C10" s="114"/>
      <c r="H10" s="20"/>
      <c r="I10" s="20" t="s">
        <v>12</v>
      </c>
      <c r="J10" s="23">
        <v>2000</v>
      </c>
      <c r="K10" s="114"/>
      <c r="P10" s="20"/>
    </row>
    <row r="11" spans="1:16" ht="23.25" x14ac:dyDescent="0.35">
      <c r="A11" s="20" t="s">
        <v>14</v>
      </c>
      <c r="B11" s="23">
        <f>'FRA MUSE MICR'!G73</f>
        <v>0</v>
      </c>
      <c r="C11" s="114"/>
      <c r="D11" s="115">
        <v>0.4</v>
      </c>
      <c r="E11" s="115">
        <v>0.55000000000000004</v>
      </c>
      <c r="F11" s="115">
        <v>0.85</v>
      </c>
      <c r="H11" s="20"/>
      <c r="I11" s="20" t="s">
        <v>14</v>
      </c>
      <c r="J11" s="23">
        <v>200</v>
      </c>
      <c r="K11" s="114"/>
      <c r="P11" s="20"/>
    </row>
    <row r="12" spans="1:16" ht="23.25" x14ac:dyDescent="0.35">
      <c r="A12" s="20" t="s">
        <v>15</v>
      </c>
      <c r="B12" s="23">
        <v>200</v>
      </c>
      <c r="C12" s="114"/>
      <c r="D12" s="23">
        <f>B18*1.45</f>
        <v>10.894078947368421</v>
      </c>
      <c r="E12" s="23">
        <f>B18*1.75</f>
        <v>13.148026315789474</v>
      </c>
      <c r="F12" s="23">
        <f>B18*1.99</f>
        <v>14.951184210526316</v>
      </c>
      <c r="H12" s="20"/>
      <c r="I12" s="20" t="s">
        <v>15</v>
      </c>
      <c r="J12" s="23">
        <v>200</v>
      </c>
      <c r="K12" s="114"/>
      <c r="L12" s="115">
        <v>0.4</v>
      </c>
      <c r="M12" s="115">
        <v>0.55000000000000004</v>
      </c>
      <c r="N12" s="115">
        <v>0.85</v>
      </c>
      <c r="P12" s="20"/>
    </row>
    <row r="13" spans="1:16" ht="23.25" x14ac:dyDescent="0.35">
      <c r="A13" s="20" t="s">
        <v>27</v>
      </c>
      <c r="B13" s="23">
        <v>200</v>
      </c>
      <c r="C13" s="114"/>
      <c r="H13" s="20"/>
      <c r="I13" s="20" t="s">
        <v>27</v>
      </c>
      <c r="J13" s="23">
        <v>200</v>
      </c>
      <c r="L13" s="23">
        <f>J18*1.45</f>
        <v>9.5928947368421049</v>
      </c>
      <c r="M13" s="23">
        <f>J18*1.75</f>
        <v>11.577631578947368</v>
      </c>
      <c r="N13" s="23">
        <f>J18*1.99</f>
        <v>13.165421052631579</v>
      </c>
      <c r="O13" s="20"/>
      <c r="P13" s="20"/>
    </row>
    <row r="14" spans="1:16" ht="23.25" x14ac:dyDescent="0.35">
      <c r="A14" s="20" t="s">
        <v>28</v>
      </c>
      <c r="B14" s="23">
        <v>100</v>
      </c>
      <c r="F14" s="23"/>
      <c r="G14" s="20"/>
      <c r="H14" s="20"/>
      <c r="I14" s="20" t="s">
        <v>28</v>
      </c>
      <c r="J14" s="23">
        <v>100</v>
      </c>
      <c r="N14" s="23"/>
      <c r="O14" s="20"/>
      <c r="P14" s="20"/>
    </row>
    <row r="15" spans="1:16" ht="23.25" x14ac:dyDescent="0.35">
      <c r="A15" s="20" t="s">
        <v>16</v>
      </c>
      <c r="B15" s="23">
        <v>350</v>
      </c>
      <c r="F15" s="23"/>
      <c r="G15" s="20"/>
      <c r="H15" s="20"/>
      <c r="I15" s="20" t="s">
        <v>16</v>
      </c>
      <c r="J15" s="23">
        <v>350</v>
      </c>
      <c r="K15" s="23"/>
      <c r="L15" s="23"/>
      <c r="M15" s="23"/>
      <c r="N15" s="23"/>
      <c r="O15" s="20"/>
      <c r="P15" s="20"/>
    </row>
    <row r="16" spans="1:16" ht="23.25" x14ac:dyDescent="0.35">
      <c r="A16" s="20" t="s">
        <v>17</v>
      </c>
      <c r="B16" s="23">
        <f>'FRA MUSE MICR'!G78</f>
        <v>100</v>
      </c>
      <c r="C16" s="23"/>
      <c r="D16" s="23"/>
      <c r="E16" s="23"/>
      <c r="F16" s="23"/>
      <c r="G16" s="20"/>
      <c r="H16" s="20"/>
      <c r="I16" s="20" t="s">
        <v>17</v>
      </c>
      <c r="J16" s="23">
        <v>750</v>
      </c>
      <c r="K16" s="23"/>
      <c r="L16" s="23"/>
      <c r="M16" s="23"/>
      <c r="N16" s="23"/>
      <c r="O16" s="20"/>
      <c r="P16" s="20"/>
    </row>
    <row r="17" spans="1:16" ht="24" thickBot="1" x14ac:dyDescent="0.4">
      <c r="A17" s="20" t="s">
        <v>18</v>
      </c>
      <c r="B17" s="116">
        <f>'FRA MUSE MICR'!G79</f>
        <v>3700</v>
      </c>
      <c r="C17" s="23"/>
      <c r="D17" s="23"/>
      <c r="E17" s="23"/>
      <c r="F17" s="23"/>
      <c r="G17" s="20"/>
      <c r="H17" s="20"/>
      <c r="I17" s="20" t="s">
        <v>18</v>
      </c>
      <c r="J17" s="116">
        <v>4000</v>
      </c>
    </row>
    <row r="18" spans="1:16" ht="23.25" x14ac:dyDescent="0.35">
      <c r="A18" s="20"/>
      <c r="B18" s="23">
        <f>SUM(B4:B17)/F4</f>
        <v>7.5131578947368425</v>
      </c>
      <c r="C18" s="23"/>
      <c r="D18" s="23"/>
      <c r="E18" s="23"/>
      <c r="F18" s="23"/>
      <c r="G18" s="20"/>
      <c r="H18" s="20"/>
      <c r="I18" s="20"/>
      <c r="J18" s="23">
        <f>SUM(J4:J17)/F4</f>
        <v>6.6157894736842104</v>
      </c>
    </row>
    <row r="19" spans="1:16" ht="23.25" x14ac:dyDescent="0.35">
      <c r="A19" s="20"/>
      <c r="B19" s="23"/>
      <c r="H19" s="20"/>
      <c r="I19" s="20"/>
      <c r="J19" s="23"/>
    </row>
    <row r="20" spans="1:16" ht="23.25" x14ac:dyDescent="0.35">
      <c r="A20" s="20"/>
      <c r="B20" s="114"/>
      <c r="H20" s="20"/>
      <c r="I20" s="20"/>
      <c r="J20" s="114"/>
    </row>
    <row r="21" spans="1:16" ht="23.25" x14ac:dyDescent="0.35">
      <c r="A21" s="20"/>
      <c r="B21" s="114"/>
      <c r="H21" s="20"/>
      <c r="I21" s="20"/>
      <c r="J21" s="114"/>
      <c r="K21" s="23"/>
      <c r="L21" s="23"/>
      <c r="M21" s="23"/>
      <c r="N21" s="23"/>
      <c r="O21" s="20"/>
      <c r="P21" s="20"/>
    </row>
    <row r="22" spans="1:16" ht="49.5" customHeight="1" x14ac:dyDescent="0.35">
      <c r="A22" s="20"/>
      <c r="B22" s="114"/>
      <c r="C22" s="114"/>
      <c r="D22" s="114"/>
      <c r="E22" s="114"/>
      <c r="F22" s="114"/>
      <c r="G22" s="20"/>
      <c r="H22" s="20"/>
      <c r="I22" s="20"/>
      <c r="J22" s="114"/>
      <c r="K22" s="114"/>
      <c r="L22" s="114"/>
      <c r="M22" s="114"/>
      <c r="N22" s="114"/>
      <c r="O22" s="20"/>
      <c r="P22" s="20"/>
    </row>
    <row r="23" spans="1:16" ht="33.75" x14ac:dyDescent="0.5">
      <c r="A23" s="979" t="s">
        <v>20</v>
      </c>
      <c r="B23" s="979"/>
      <c r="C23" s="861" t="s">
        <v>107</v>
      </c>
      <c r="D23" s="861"/>
      <c r="E23" s="861"/>
      <c r="F23" s="861"/>
      <c r="G23" s="861"/>
      <c r="H23" s="861"/>
      <c r="I23" s="979" t="s">
        <v>166</v>
      </c>
      <c r="J23" s="979"/>
      <c r="K23" s="861" t="s">
        <v>107</v>
      </c>
      <c r="L23" s="861"/>
      <c r="M23" s="861"/>
      <c r="N23" s="861"/>
      <c r="O23" s="861"/>
      <c r="P23" s="861"/>
    </row>
    <row r="24" spans="1:16" ht="23.25" x14ac:dyDescent="0.35">
      <c r="A24" s="952" t="s">
        <v>108</v>
      </c>
      <c r="B24" s="952"/>
      <c r="C24" s="114"/>
      <c r="D24" s="115" t="s">
        <v>52</v>
      </c>
      <c r="E24" s="114"/>
      <c r="F24" s="114"/>
      <c r="G24" s="20"/>
      <c r="H24" s="20"/>
      <c r="I24" s="952" t="s">
        <v>108</v>
      </c>
      <c r="J24" s="952"/>
      <c r="K24" s="114"/>
      <c r="L24" s="115" t="s">
        <v>52</v>
      </c>
      <c r="M24" s="114"/>
      <c r="N24" s="114"/>
      <c r="O24" s="20"/>
      <c r="P24" s="20"/>
    </row>
    <row r="25" spans="1:16" ht="23.25" x14ac:dyDescent="0.35">
      <c r="A25" s="20" t="s">
        <v>9</v>
      </c>
      <c r="B25" s="23">
        <f>0.7*3*F4</f>
        <v>7979.9999999999991</v>
      </c>
      <c r="C25" s="114"/>
      <c r="D25" s="114"/>
      <c r="E25" s="114"/>
      <c r="F25" s="114"/>
      <c r="G25" s="20"/>
      <c r="H25" s="20"/>
      <c r="I25" s="20" t="s">
        <v>9</v>
      </c>
      <c r="J25" s="23">
        <f>0.7*1.8*N4</f>
        <v>4788</v>
      </c>
      <c r="K25" s="114"/>
      <c r="L25" s="114"/>
      <c r="M25" s="114"/>
      <c r="N25" s="114"/>
      <c r="O25" s="20"/>
      <c r="P25" s="20"/>
    </row>
    <row r="26" spans="1:16" ht="23.25" x14ac:dyDescent="0.35">
      <c r="A26" s="20" t="s">
        <v>1</v>
      </c>
      <c r="B26" s="23">
        <v>1000</v>
      </c>
      <c r="C26" s="114"/>
      <c r="D26" s="114"/>
      <c r="E26" s="114"/>
      <c r="F26" s="114"/>
      <c r="G26" s="20"/>
      <c r="H26" s="20"/>
      <c r="I26" s="20" t="s">
        <v>1</v>
      </c>
      <c r="J26" s="23">
        <v>1000</v>
      </c>
      <c r="K26" s="114"/>
      <c r="L26" s="114"/>
      <c r="M26" s="114"/>
      <c r="N26" s="114"/>
      <c r="O26" s="20"/>
      <c r="P26" s="20"/>
    </row>
    <row r="27" spans="1:16" ht="23.25" x14ac:dyDescent="0.35">
      <c r="A27" s="20" t="s">
        <v>10</v>
      </c>
      <c r="B27" s="23">
        <v>2500</v>
      </c>
      <c r="C27" s="114"/>
      <c r="D27" s="911" t="s">
        <v>109</v>
      </c>
      <c r="E27" s="911"/>
      <c r="F27" s="911"/>
      <c r="G27" s="25"/>
      <c r="H27" s="20"/>
      <c r="I27" s="20" t="s">
        <v>10</v>
      </c>
      <c r="J27" s="23">
        <v>2500</v>
      </c>
      <c r="K27" s="114"/>
      <c r="L27" s="911" t="s">
        <v>109</v>
      </c>
      <c r="M27" s="911"/>
      <c r="N27" s="911"/>
      <c r="O27" s="25"/>
      <c r="P27" s="20"/>
    </row>
    <row r="28" spans="1:16" ht="23.25" x14ac:dyDescent="0.35">
      <c r="A28" s="20" t="s">
        <v>101</v>
      </c>
      <c r="B28" s="23">
        <f>15000/3</f>
        <v>5000</v>
      </c>
      <c r="C28" s="114"/>
      <c r="D28" s="22" t="s">
        <v>22</v>
      </c>
      <c r="E28" s="22" t="s">
        <v>23</v>
      </c>
      <c r="F28" s="22" t="s">
        <v>24</v>
      </c>
      <c r="G28" s="21"/>
      <c r="H28" s="20"/>
      <c r="I28" s="20" t="s">
        <v>101</v>
      </c>
      <c r="J28" s="23">
        <f>15000/3</f>
        <v>5000</v>
      </c>
      <c r="K28" s="114"/>
      <c r="L28" s="22" t="s">
        <v>22</v>
      </c>
      <c r="M28" s="22" t="s">
        <v>23</v>
      </c>
      <c r="N28" s="22" t="s">
        <v>24</v>
      </c>
      <c r="O28" s="21"/>
      <c r="P28" s="20"/>
    </row>
    <row r="29" spans="1:16" ht="23.25" x14ac:dyDescent="0.35">
      <c r="A29" s="20" t="s">
        <v>58</v>
      </c>
      <c r="B29" s="23">
        <v>1000</v>
      </c>
      <c r="C29" s="114"/>
      <c r="D29" s="22">
        <f>D33</f>
        <v>9.5890789473684208</v>
      </c>
      <c r="E29" s="22">
        <f>E33</f>
        <v>11.573026315789473</v>
      </c>
      <c r="F29" s="22">
        <f>F33</f>
        <v>13.160184210526316</v>
      </c>
      <c r="G29" s="21"/>
      <c r="H29" s="20"/>
      <c r="I29" s="20" t="s">
        <v>58</v>
      </c>
      <c r="J29" s="23">
        <v>1000</v>
      </c>
      <c r="K29" s="114"/>
      <c r="L29" s="22">
        <f>L32</f>
        <v>8.8098947368421054</v>
      </c>
      <c r="M29" s="22">
        <f>M32</f>
        <v>10.632631578947368</v>
      </c>
      <c r="N29" s="22">
        <f>N32</f>
        <v>12.090821052631579</v>
      </c>
      <c r="O29" s="21"/>
      <c r="P29" s="20"/>
    </row>
    <row r="30" spans="1:16" ht="23.25" x14ac:dyDescent="0.35">
      <c r="A30" s="20" t="s">
        <v>11</v>
      </c>
      <c r="B30" s="23">
        <v>1000</v>
      </c>
      <c r="C30" s="114"/>
      <c r="D30" s="23"/>
      <c r="E30" s="23"/>
      <c r="F30" s="23"/>
      <c r="G30" s="21"/>
      <c r="H30" s="20"/>
      <c r="I30" s="20" t="s">
        <v>11</v>
      </c>
      <c r="J30" s="23">
        <v>1000</v>
      </c>
      <c r="K30" s="114"/>
      <c r="L30" s="23"/>
      <c r="M30" s="23"/>
      <c r="N30" s="23"/>
      <c r="O30" s="21"/>
      <c r="P30" s="20"/>
    </row>
    <row r="31" spans="1:16" ht="23.25" x14ac:dyDescent="0.35">
      <c r="A31" s="20" t="s">
        <v>12</v>
      </c>
      <c r="B31" s="23">
        <v>2000</v>
      </c>
      <c r="C31" s="114"/>
      <c r="H31" s="25"/>
      <c r="I31" s="20" t="s">
        <v>12</v>
      </c>
      <c r="J31" s="23">
        <v>2000</v>
      </c>
      <c r="K31" s="114"/>
      <c r="L31" s="115">
        <v>0.4</v>
      </c>
      <c r="M31" s="115">
        <v>0.55000000000000004</v>
      </c>
      <c r="N31" s="115">
        <v>0.85</v>
      </c>
      <c r="P31" s="25"/>
    </row>
    <row r="32" spans="1:16" ht="23.25" x14ac:dyDescent="0.35">
      <c r="A32" s="20" t="s">
        <v>14</v>
      </c>
      <c r="B32" s="23">
        <f>B11</f>
        <v>0</v>
      </c>
      <c r="C32" s="114"/>
      <c r="D32" s="115">
        <v>0.4</v>
      </c>
      <c r="E32" s="115">
        <v>0.55000000000000004</v>
      </c>
      <c r="F32" s="115">
        <v>0.85</v>
      </c>
      <c r="H32" s="20"/>
      <c r="I32" s="20" t="s">
        <v>14</v>
      </c>
      <c r="J32" s="23">
        <v>200</v>
      </c>
      <c r="K32" s="114"/>
      <c r="L32" s="23">
        <f>J39*1.45</f>
        <v>8.8098947368421054</v>
      </c>
      <c r="M32" s="23">
        <f>J39*1.75</f>
        <v>10.632631578947368</v>
      </c>
      <c r="N32" s="23">
        <f>J39*1.99</f>
        <v>12.090821052631579</v>
      </c>
      <c r="P32" s="20"/>
    </row>
    <row r="33" spans="1:16" ht="23.25" x14ac:dyDescent="0.35">
      <c r="A33" s="20" t="s">
        <v>15</v>
      </c>
      <c r="B33" s="23">
        <v>200</v>
      </c>
      <c r="C33" s="114"/>
      <c r="D33" s="23">
        <f>B39*1.45</f>
        <v>9.5890789473684208</v>
      </c>
      <c r="E33" s="23">
        <f>B39*1.75</f>
        <v>11.573026315789473</v>
      </c>
      <c r="F33" s="23">
        <f>B39*1.99</f>
        <v>13.160184210526316</v>
      </c>
      <c r="H33" s="20"/>
      <c r="I33" s="20" t="s">
        <v>15</v>
      </c>
      <c r="J33" s="23">
        <v>200</v>
      </c>
      <c r="K33" s="114"/>
      <c r="P33" s="20"/>
    </row>
    <row r="34" spans="1:16" ht="23.25" x14ac:dyDescent="0.35">
      <c r="A34" s="20" t="s">
        <v>27</v>
      </c>
      <c r="B34" s="23">
        <v>200</v>
      </c>
      <c r="F34" s="23"/>
      <c r="G34" s="20"/>
      <c r="H34" s="20"/>
      <c r="I34" s="20" t="s">
        <v>27</v>
      </c>
      <c r="J34" s="23">
        <v>200</v>
      </c>
      <c r="N34" s="23"/>
      <c r="O34" s="20"/>
      <c r="P34" s="20"/>
    </row>
    <row r="35" spans="1:16" ht="23.25" x14ac:dyDescent="0.35">
      <c r="A35" s="20" t="s">
        <v>28</v>
      </c>
      <c r="B35" s="23">
        <v>100</v>
      </c>
      <c r="F35" s="23"/>
      <c r="G35" s="20"/>
      <c r="H35" s="20"/>
      <c r="I35" s="20" t="s">
        <v>28</v>
      </c>
      <c r="J35" s="23">
        <v>100</v>
      </c>
      <c r="N35" s="23"/>
      <c r="O35" s="20"/>
      <c r="P35" s="20"/>
    </row>
    <row r="36" spans="1:16" ht="23.25" x14ac:dyDescent="0.35">
      <c r="A36" s="20" t="s">
        <v>16</v>
      </c>
      <c r="B36" s="23">
        <f>B15</f>
        <v>350</v>
      </c>
      <c r="C36" s="23"/>
      <c r="D36" s="23"/>
      <c r="E36" s="23"/>
      <c r="F36" s="23"/>
      <c r="G36" s="20"/>
      <c r="H36" s="20"/>
      <c r="I36" s="20" t="s">
        <v>16</v>
      </c>
      <c r="J36" s="23">
        <f>J15</f>
        <v>350</v>
      </c>
      <c r="K36" s="23"/>
      <c r="L36" s="23"/>
      <c r="M36" s="23"/>
      <c r="N36" s="23"/>
      <c r="O36" s="20"/>
      <c r="P36" s="20"/>
    </row>
    <row r="37" spans="1:16" ht="23.25" x14ac:dyDescent="0.35">
      <c r="A37" s="20" t="s">
        <v>17</v>
      </c>
      <c r="B37" s="23">
        <f>B16</f>
        <v>100</v>
      </c>
      <c r="C37" s="23"/>
      <c r="D37" s="23"/>
      <c r="E37" s="23"/>
      <c r="F37" s="23"/>
      <c r="G37" s="20"/>
      <c r="H37" s="20"/>
      <c r="I37" s="20" t="s">
        <v>17</v>
      </c>
      <c r="J37" s="23">
        <f>J16</f>
        <v>750</v>
      </c>
      <c r="K37" s="23"/>
      <c r="L37" s="23"/>
      <c r="M37" s="23"/>
      <c r="N37" s="23"/>
      <c r="O37" s="20"/>
      <c r="P37" s="20"/>
    </row>
    <row r="38" spans="1:16" ht="24" thickBot="1" x14ac:dyDescent="0.4">
      <c r="A38" s="20" t="s">
        <v>18</v>
      </c>
      <c r="B38" s="116">
        <f>B17</f>
        <v>3700</v>
      </c>
      <c r="C38" s="23"/>
      <c r="D38" s="23"/>
      <c r="E38" s="23"/>
      <c r="F38" s="23"/>
      <c r="G38" s="20"/>
      <c r="H38" s="20"/>
      <c r="I38" s="20" t="s">
        <v>18</v>
      </c>
      <c r="J38" s="116">
        <f>J17</f>
        <v>4000</v>
      </c>
      <c r="K38" s="23"/>
      <c r="L38" s="23"/>
      <c r="M38" s="23"/>
      <c r="N38" s="23"/>
      <c r="O38" s="20"/>
      <c r="P38" s="20"/>
    </row>
    <row r="39" spans="1:16" ht="23.25" x14ac:dyDescent="0.35">
      <c r="A39" s="20"/>
      <c r="B39" s="23">
        <f>SUM(B25:B38)/F4</f>
        <v>6.6131578947368421</v>
      </c>
      <c r="H39" s="20"/>
      <c r="I39" s="20"/>
      <c r="J39" s="23">
        <f>SUM(J25:J38)/F4</f>
        <v>6.0757894736842104</v>
      </c>
      <c r="P39" s="20"/>
    </row>
    <row r="40" spans="1:16" ht="23.25" x14ac:dyDescent="0.35">
      <c r="A40" s="20"/>
      <c r="B40" s="23"/>
      <c r="H40" s="20"/>
      <c r="I40" s="20"/>
      <c r="J40" s="23"/>
      <c r="P40" s="20"/>
    </row>
    <row r="41" spans="1:16" ht="23.25" x14ac:dyDescent="0.35">
      <c r="A41" s="20"/>
      <c r="B41" s="114"/>
      <c r="H41" s="20"/>
      <c r="I41" s="20"/>
      <c r="J41" s="114"/>
      <c r="P41" s="20"/>
    </row>
    <row r="42" spans="1:16" ht="23.25" x14ac:dyDescent="0.35">
      <c r="A42" s="20"/>
      <c r="B42" s="114"/>
      <c r="H42" s="20"/>
      <c r="I42" s="20"/>
      <c r="J42" s="114"/>
      <c r="P42" s="20"/>
    </row>
  </sheetData>
  <mergeCells count="16">
    <mergeCell ref="D27:F27"/>
    <mergeCell ref="D6:G6"/>
    <mergeCell ref="A2:B2"/>
    <mergeCell ref="A3:B3"/>
    <mergeCell ref="C2:H2"/>
    <mergeCell ref="A23:B23"/>
    <mergeCell ref="C23:H23"/>
    <mergeCell ref="A24:B24"/>
    <mergeCell ref="I24:J24"/>
    <mergeCell ref="L27:N27"/>
    <mergeCell ref="I2:J2"/>
    <mergeCell ref="K2:P2"/>
    <mergeCell ref="I3:J3"/>
    <mergeCell ref="L6:O6"/>
    <mergeCell ref="I23:J23"/>
    <mergeCell ref="K23:P23"/>
  </mergeCells>
  <pageMargins left="0.7" right="0.7" top="0.75" bottom="0.75" header="0.3" footer="0.3"/>
  <pageSetup scale="62" orientation="portrait" r:id="rId1"/>
  <colBreaks count="1" manualBreakCount="1">
    <brk id="7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1"/>
  <dimension ref="A1:T160"/>
  <sheetViews>
    <sheetView view="pageBreakPreview" topLeftCell="A121" zoomScale="60" zoomScaleNormal="90" workbookViewId="0">
      <selection activeCell="F139" sqref="F139"/>
    </sheetView>
  </sheetViews>
  <sheetFormatPr baseColWidth="10" defaultRowHeight="15" x14ac:dyDescent="0.25"/>
  <cols>
    <col min="1" max="1" width="32.5703125" style="60" bestFit="1" customWidth="1"/>
    <col min="2" max="2" width="16.85546875" style="69" customWidth="1"/>
    <col min="3" max="3" width="6.85546875" style="440" customWidth="1"/>
    <col min="4" max="4" width="12" style="69" customWidth="1"/>
    <col min="5" max="5" width="20.42578125" style="69" customWidth="1"/>
    <col min="6" max="6" width="16" style="69" bestFit="1" customWidth="1"/>
    <col min="7" max="7" width="16.28515625" style="60" customWidth="1"/>
    <col min="8" max="8" width="11.42578125" style="60"/>
    <col min="9" max="9" width="35.42578125" style="60" customWidth="1"/>
    <col min="10" max="10" width="20.42578125" style="69" customWidth="1"/>
    <col min="11" max="11" width="11.42578125" style="2"/>
    <col min="12" max="12" width="17.5703125" style="2" customWidth="1"/>
    <col min="13" max="13" width="20.42578125" style="2" customWidth="1"/>
    <col min="14" max="14" width="16" style="2" customWidth="1"/>
  </cols>
  <sheetData>
    <row r="1" spans="1:16" ht="45.75" customHeight="1" x14ac:dyDescent="0.25">
      <c r="A1" s="990" t="s">
        <v>220</v>
      </c>
      <c r="B1" s="990"/>
      <c r="C1" s="990"/>
      <c r="D1" s="990"/>
      <c r="E1" s="990"/>
      <c r="F1" s="990"/>
      <c r="G1" s="990"/>
      <c r="H1" s="990"/>
      <c r="I1" s="994" t="s">
        <v>171</v>
      </c>
      <c r="J1" s="994"/>
      <c r="K1" s="994"/>
      <c r="L1" s="994"/>
      <c r="M1" s="994"/>
      <c r="N1" s="994"/>
      <c r="O1" s="994"/>
      <c r="P1" s="994"/>
    </row>
    <row r="2" spans="1:16" ht="45.75" customHeight="1" x14ac:dyDescent="0.25">
      <c r="A2" s="926" t="s">
        <v>37</v>
      </c>
      <c r="B2" s="926"/>
      <c r="C2" s="989" t="s">
        <v>150</v>
      </c>
      <c r="D2" s="989"/>
      <c r="E2" s="989"/>
      <c r="F2" s="989"/>
      <c r="G2" s="989"/>
      <c r="H2" s="989"/>
      <c r="I2" s="926" t="s">
        <v>37</v>
      </c>
      <c r="J2" s="926"/>
      <c r="K2" s="989" t="s">
        <v>150</v>
      </c>
      <c r="L2" s="989"/>
      <c r="M2" s="989"/>
      <c r="N2" s="989"/>
      <c r="O2" s="989"/>
      <c r="P2" s="989"/>
    </row>
    <row r="3" spans="1:16" ht="37.5" customHeight="1" x14ac:dyDescent="0.7">
      <c r="A3" s="991"/>
      <c r="B3" s="991"/>
      <c r="C3" s="61"/>
      <c r="D3" s="68"/>
      <c r="E3" s="119" t="s">
        <v>52</v>
      </c>
      <c r="F3" s="120"/>
      <c r="G3" s="62"/>
      <c r="H3" s="62"/>
      <c r="I3" s="991"/>
      <c r="J3" s="991"/>
      <c r="K3" s="61"/>
      <c r="L3" s="68"/>
      <c r="M3" s="119" t="s">
        <v>52</v>
      </c>
      <c r="N3" s="120"/>
      <c r="O3" s="62"/>
      <c r="P3" s="62"/>
    </row>
    <row r="4" spans="1:16" ht="23.25" x14ac:dyDescent="0.35">
      <c r="A4" s="63" t="s">
        <v>9</v>
      </c>
      <c r="B4" s="64">
        <f>0.7*1.7*G4</f>
        <v>4760</v>
      </c>
      <c r="C4" s="64"/>
      <c r="D4" s="68"/>
      <c r="E4" s="68"/>
      <c r="F4" s="68"/>
      <c r="G4" s="65">
        <v>4000</v>
      </c>
      <c r="H4" s="65" t="s">
        <v>19</v>
      </c>
      <c r="I4" s="63" t="s">
        <v>9</v>
      </c>
      <c r="J4" s="64">
        <f>0.8*1.5*O4</f>
        <v>4560.0000000000009</v>
      </c>
      <c r="K4" s="64"/>
      <c r="L4" s="68"/>
      <c r="M4" s="68"/>
      <c r="N4" s="68"/>
      <c r="O4" s="65">
        <v>3800</v>
      </c>
      <c r="P4" s="65" t="s">
        <v>19</v>
      </c>
    </row>
    <row r="5" spans="1:16" ht="23.25" x14ac:dyDescent="0.35">
      <c r="A5" s="63" t="s">
        <v>1</v>
      </c>
      <c r="B5" s="64">
        <v>700</v>
      </c>
      <c r="C5" s="64"/>
      <c r="D5" s="68"/>
      <c r="E5" s="68"/>
      <c r="F5" s="68"/>
      <c r="G5" s="63"/>
      <c r="H5" s="63"/>
      <c r="I5" s="63" t="s">
        <v>1</v>
      </c>
      <c r="J5" s="64">
        <v>700</v>
      </c>
      <c r="K5" s="64"/>
      <c r="L5" s="68"/>
      <c r="M5" s="68"/>
      <c r="N5" s="68"/>
      <c r="O5" s="63"/>
      <c r="P5" s="63"/>
    </row>
    <row r="6" spans="1:16" ht="23.25" x14ac:dyDescent="0.35">
      <c r="A6" s="63" t="s">
        <v>10</v>
      </c>
      <c r="B6" s="64">
        <v>2500</v>
      </c>
      <c r="C6" s="64"/>
      <c r="D6" s="68"/>
      <c r="E6" s="68"/>
      <c r="F6" s="68"/>
      <c r="G6" s="63"/>
      <c r="H6" s="63"/>
      <c r="I6" s="63" t="s">
        <v>10</v>
      </c>
      <c r="J6" s="64">
        <v>2500</v>
      </c>
      <c r="K6" s="64"/>
      <c r="L6" s="68"/>
      <c r="M6" s="68"/>
      <c r="N6" s="68"/>
      <c r="O6" s="63"/>
      <c r="P6" s="63"/>
    </row>
    <row r="7" spans="1:16" ht="23.25" x14ac:dyDescent="0.35">
      <c r="A7" s="63" t="s">
        <v>94</v>
      </c>
      <c r="B7" s="64">
        <f>1*8500</f>
        <v>8500</v>
      </c>
      <c r="C7" s="64"/>
      <c r="D7" s="68"/>
      <c r="E7" s="68"/>
      <c r="F7" s="68"/>
      <c r="G7" s="63"/>
      <c r="H7" s="63"/>
      <c r="I7" s="63" t="s">
        <v>94</v>
      </c>
      <c r="J7" s="64">
        <v>9000</v>
      </c>
      <c r="K7" s="64"/>
      <c r="L7" s="68"/>
      <c r="M7" s="121" t="s">
        <v>21</v>
      </c>
      <c r="N7" s="121"/>
      <c r="P7" s="63"/>
    </row>
    <row r="8" spans="1:16" ht="23.25" x14ac:dyDescent="0.35">
      <c r="A8" s="63" t="s">
        <v>11</v>
      </c>
      <c r="B8" s="64">
        <v>2000</v>
      </c>
      <c r="C8" s="64"/>
      <c r="E8" s="992" t="s">
        <v>172</v>
      </c>
      <c r="F8" s="992"/>
      <c r="G8" s="992"/>
      <c r="I8" s="63" t="s">
        <v>11</v>
      </c>
      <c r="J8" s="64">
        <v>2000</v>
      </c>
      <c r="K8" s="64"/>
      <c r="L8" s="66" t="s">
        <v>22</v>
      </c>
      <c r="M8" s="66" t="s">
        <v>23</v>
      </c>
      <c r="N8" s="66" t="s">
        <v>24</v>
      </c>
      <c r="P8" s="60"/>
    </row>
    <row r="9" spans="1:16" ht="23.25" x14ac:dyDescent="0.35">
      <c r="A9" s="63" t="s">
        <v>13</v>
      </c>
      <c r="B9" s="64">
        <v>0</v>
      </c>
      <c r="C9" s="64"/>
      <c r="E9" s="66" t="s">
        <v>22</v>
      </c>
      <c r="F9" s="66" t="s">
        <v>23</v>
      </c>
      <c r="G9" s="66" t="s">
        <v>24</v>
      </c>
      <c r="I9" s="63" t="s">
        <v>13</v>
      </c>
      <c r="J9" s="64">
        <v>0</v>
      </c>
      <c r="K9" s="64"/>
      <c r="L9" s="66">
        <f>L15</f>
        <v>7.1922499999999996</v>
      </c>
      <c r="M9" s="66">
        <f>M15</f>
        <v>8.8520000000000003</v>
      </c>
      <c r="N9" s="66">
        <f>N15</f>
        <v>11.009675</v>
      </c>
      <c r="P9" s="60"/>
    </row>
    <row r="10" spans="1:16" ht="23.25" x14ac:dyDescent="0.35">
      <c r="A10" s="63" t="s">
        <v>12</v>
      </c>
      <c r="B10" s="64">
        <v>1000</v>
      </c>
      <c r="C10" s="64"/>
      <c r="E10" s="66">
        <f>E15</f>
        <v>7.7490000000000006</v>
      </c>
      <c r="F10" s="66">
        <f>F15</f>
        <v>9.4710000000000001</v>
      </c>
      <c r="G10" s="66">
        <f>G15</f>
        <v>11.422600000000001</v>
      </c>
      <c r="I10" s="63" t="s">
        <v>12</v>
      </c>
      <c r="J10" s="64">
        <v>0</v>
      </c>
      <c r="K10" s="64"/>
      <c r="L10" s="64"/>
      <c r="M10" s="64"/>
      <c r="N10" s="64"/>
      <c r="P10" s="60"/>
    </row>
    <row r="11" spans="1:16" ht="23.25" x14ac:dyDescent="0.35">
      <c r="A11" s="63" t="s">
        <v>14</v>
      </c>
      <c r="B11" s="64">
        <v>0</v>
      </c>
      <c r="C11" s="64"/>
      <c r="D11" s="64"/>
      <c r="I11" s="63" t="s">
        <v>14</v>
      </c>
      <c r="J11" s="64">
        <v>0</v>
      </c>
      <c r="K11" s="64"/>
      <c r="P11" s="60"/>
    </row>
    <row r="12" spans="1:16" ht="23.25" x14ac:dyDescent="0.35">
      <c r="A12" s="63" t="s">
        <v>15</v>
      </c>
      <c r="B12" s="64">
        <v>0</v>
      </c>
      <c r="C12" s="64"/>
      <c r="D12" s="68"/>
      <c r="I12" s="63" t="s">
        <v>15</v>
      </c>
      <c r="J12" s="64">
        <v>0</v>
      </c>
      <c r="K12" s="64"/>
      <c r="L12" s="68"/>
      <c r="M12" s="68"/>
      <c r="N12" s="68"/>
      <c r="P12" s="60"/>
    </row>
    <row r="13" spans="1:16" ht="23.25" x14ac:dyDescent="0.35">
      <c r="A13" s="63" t="s">
        <v>27</v>
      </c>
      <c r="B13" s="64">
        <v>0</v>
      </c>
      <c r="C13" s="64"/>
      <c r="D13" s="68"/>
      <c r="E13" s="68"/>
      <c r="F13" s="121" t="s">
        <v>21</v>
      </c>
      <c r="G13" s="121"/>
      <c r="I13" s="63" t="s">
        <v>27</v>
      </c>
      <c r="J13" s="64">
        <v>0</v>
      </c>
      <c r="K13" s="64"/>
      <c r="L13" s="68"/>
      <c r="M13" s="121" t="s">
        <v>21</v>
      </c>
      <c r="N13" s="121"/>
      <c r="P13" s="60"/>
    </row>
    <row r="14" spans="1:16" ht="23.25" x14ac:dyDescent="0.35">
      <c r="A14" s="63" t="s">
        <v>28</v>
      </c>
      <c r="B14" s="64">
        <v>100</v>
      </c>
      <c r="C14" s="64"/>
      <c r="E14" s="121">
        <v>0.4</v>
      </c>
      <c r="F14" s="121">
        <v>0.6</v>
      </c>
      <c r="G14" s="121">
        <v>0.9</v>
      </c>
      <c r="H14" s="63"/>
      <c r="I14" s="63" t="s">
        <v>28</v>
      </c>
      <c r="J14" s="64">
        <v>50</v>
      </c>
      <c r="K14" s="64"/>
      <c r="L14" s="121">
        <v>0.4</v>
      </c>
      <c r="M14" s="121">
        <v>0.6</v>
      </c>
      <c r="N14" s="121">
        <v>0.9</v>
      </c>
      <c r="P14" s="63"/>
    </row>
    <row r="15" spans="1:16" ht="23.25" x14ac:dyDescent="0.35">
      <c r="A15" s="63" t="s">
        <v>16</v>
      </c>
      <c r="B15" s="64">
        <v>350</v>
      </c>
      <c r="C15" s="64"/>
      <c r="E15" s="64">
        <f>B18*1.35</f>
        <v>7.7490000000000006</v>
      </c>
      <c r="F15" s="64">
        <f>B18*1.65</f>
        <v>9.4710000000000001</v>
      </c>
      <c r="G15" s="64">
        <f>B18*1.99</f>
        <v>11.422600000000001</v>
      </c>
      <c r="H15" s="63"/>
      <c r="I15" s="63" t="s">
        <v>16</v>
      </c>
      <c r="J15" s="64">
        <v>250</v>
      </c>
      <c r="K15" s="64"/>
      <c r="L15" s="64">
        <f>J18*1.3</f>
        <v>7.1922499999999996</v>
      </c>
      <c r="M15" s="64">
        <f>J18*1.6</f>
        <v>8.8520000000000003</v>
      </c>
      <c r="N15" s="64">
        <f>J18*1.99</f>
        <v>11.009675</v>
      </c>
      <c r="P15" s="63"/>
    </row>
    <row r="16" spans="1:16" ht="23.25" x14ac:dyDescent="0.35">
      <c r="A16" s="63" t="s">
        <v>17</v>
      </c>
      <c r="B16" s="64">
        <v>350</v>
      </c>
      <c r="C16" s="64"/>
      <c r="G16" s="65"/>
      <c r="H16" s="63"/>
      <c r="I16" s="63" t="s">
        <v>17</v>
      </c>
      <c r="J16" s="64">
        <v>70</v>
      </c>
      <c r="K16" s="64"/>
      <c r="O16" s="65"/>
      <c r="P16" s="63"/>
    </row>
    <row r="17" spans="1:20" ht="24" thickBot="1" x14ac:dyDescent="0.4">
      <c r="A17" s="63" t="s">
        <v>18</v>
      </c>
      <c r="B17" s="67">
        <v>2700</v>
      </c>
      <c r="C17" s="64"/>
      <c r="D17" s="64"/>
      <c r="E17" s="64"/>
      <c r="F17" s="64"/>
      <c r="G17" s="65"/>
      <c r="H17" s="63"/>
      <c r="I17" s="63" t="s">
        <v>18</v>
      </c>
      <c r="J17" s="67">
        <v>3000</v>
      </c>
      <c r="K17" s="67"/>
      <c r="L17" s="64"/>
      <c r="M17" s="64"/>
      <c r="N17" s="64"/>
      <c r="O17" s="65"/>
      <c r="P17" s="63"/>
    </row>
    <row r="18" spans="1:20" ht="23.25" x14ac:dyDescent="0.35">
      <c r="A18" s="63"/>
      <c r="B18" s="64">
        <f>SUM(B4:B17)/G4</f>
        <v>5.74</v>
      </c>
      <c r="C18" s="64"/>
      <c r="D18" s="64"/>
      <c r="E18" s="64"/>
      <c r="F18" s="64"/>
      <c r="G18" s="65"/>
      <c r="H18" s="63"/>
      <c r="I18" s="63"/>
      <c r="J18" s="64">
        <f>SUM(J4:J17)/G4</f>
        <v>5.5324999999999998</v>
      </c>
      <c r="K18" s="64"/>
      <c r="L18" s="64"/>
      <c r="M18" s="64"/>
      <c r="N18" s="64"/>
      <c r="O18" s="65"/>
      <c r="P18" s="63"/>
    </row>
    <row r="19" spans="1:20" ht="23.25" x14ac:dyDescent="0.35">
      <c r="C19" s="64"/>
      <c r="D19" s="64"/>
      <c r="E19" s="64"/>
      <c r="F19" s="64"/>
      <c r="G19" s="65"/>
      <c r="H19" s="63"/>
      <c r="L19" s="64"/>
      <c r="M19" s="64"/>
      <c r="N19" s="64"/>
      <c r="O19" s="65"/>
      <c r="P19" s="63"/>
    </row>
    <row r="20" spans="1:20" ht="23.25" x14ac:dyDescent="0.35">
      <c r="A20" s="63"/>
      <c r="B20" s="64"/>
      <c r="C20" s="64"/>
      <c r="I20" s="63"/>
      <c r="J20" s="64"/>
      <c r="K20" s="64"/>
      <c r="L20" s="69"/>
      <c r="M20" s="69"/>
      <c r="N20" s="69"/>
      <c r="O20" s="60"/>
      <c r="P20" s="60"/>
    </row>
    <row r="21" spans="1:20" ht="23.25" x14ac:dyDescent="0.35">
      <c r="A21" s="63"/>
      <c r="B21" s="68"/>
      <c r="C21" s="68"/>
      <c r="I21" s="63"/>
      <c r="J21" s="68"/>
      <c r="K21" s="68"/>
      <c r="L21" s="69"/>
      <c r="M21" s="69"/>
      <c r="N21" s="69"/>
      <c r="O21" s="60"/>
      <c r="P21" s="60"/>
    </row>
    <row r="22" spans="1:20" ht="23.25" x14ac:dyDescent="0.35">
      <c r="A22" s="63"/>
      <c r="B22" s="68"/>
      <c r="C22" s="68"/>
      <c r="I22" s="63"/>
      <c r="J22" s="68"/>
      <c r="K22" s="68"/>
      <c r="L22" s="69"/>
      <c r="M22" s="69"/>
      <c r="N22" s="69"/>
      <c r="O22" s="60"/>
      <c r="P22" s="60"/>
    </row>
    <row r="23" spans="1:20" ht="23.25" x14ac:dyDescent="0.35">
      <c r="A23" s="63"/>
      <c r="B23" s="68"/>
      <c r="C23" s="68"/>
      <c r="D23" s="64"/>
      <c r="E23" s="64"/>
      <c r="F23" s="64"/>
      <c r="G23" s="65"/>
      <c r="H23" s="63"/>
      <c r="I23" s="63"/>
      <c r="J23" s="68"/>
      <c r="K23" s="68"/>
      <c r="L23" s="64"/>
      <c r="M23" s="64"/>
      <c r="N23" s="64"/>
      <c r="O23" s="65"/>
      <c r="P23" s="63"/>
    </row>
    <row r="24" spans="1:20" ht="36" customHeight="1" x14ac:dyDescent="0.25">
      <c r="A24" s="926" t="s">
        <v>37</v>
      </c>
      <c r="B24" s="926"/>
      <c r="C24" s="988" t="s">
        <v>151</v>
      </c>
      <c r="D24" s="988"/>
      <c r="E24" s="988"/>
      <c r="F24" s="988"/>
      <c r="G24" s="988"/>
      <c r="H24" s="988"/>
      <c r="I24" s="926" t="s">
        <v>37</v>
      </c>
      <c r="J24" s="926"/>
      <c r="K24" s="988" t="s">
        <v>151</v>
      </c>
      <c r="L24" s="988"/>
      <c r="M24" s="988"/>
      <c r="N24" s="988"/>
      <c r="O24" s="988"/>
      <c r="P24" s="988"/>
    </row>
    <row r="25" spans="1:20" ht="36" x14ac:dyDescent="0.55000000000000004">
      <c r="A25" s="991"/>
      <c r="B25" s="991"/>
      <c r="C25" s="61"/>
      <c r="D25" s="120"/>
      <c r="E25" s="122" t="s">
        <v>52</v>
      </c>
      <c r="F25" s="120"/>
      <c r="G25" s="62"/>
      <c r="H25" s="62"/>
      <c r="I25" s="991"/>
      <c r="J25" s="991"/>
      <c r="K25" s="61"/>
      <c r="L25" s="120"/>
      <c r="M25" s="122" t="s">
        <v>52</v>
      </c>
      <c r="N25" s="120"/>
      <c r="O25" s="62"/>
      <c r="P25" s="62"/>
    </row>
    <row r="26" spans="1:20" ht="23.25" x14ac:dyDescent="0.35">
      <c r="A26" s="63" t="s">
        <v>9</v>
      </c>
      <c r="B26" s="64">
        <f>0.55*1.6*G26</f>
        <v>3344.0000000000005</v>
      </c>
      <c r="C26" s="64"/>
      <c r="D26" s="68"/>
      <c r="E26" s="68"/>
      <c r="F26" s="68"/>
      <c r="G26" s="65">
        <v>3800</v>
      </c>
      <c r="H26" s="65" t="s">
        <v>19</v>
      </c>
      <c r="I26" s="63" t="s">
        <v>9</v>
      </c>
      <c r="J26" s="64">
        <f>0.5*1*O26/2</f>
        <v>950</v>
      </c>
      <c r="K26" s="64"/>
      <c r="L26" s="68"/>
      <c r="M26" s="68"/>
      <c r="N26" s="68"/>
      <c r="O26" s="65">
        <v>3800</v>
      </c>
      <c r="P26" s="65" t="s">
        <v>19</v>
      </c>
      <c r="T26" s="677">
        <v>6.8</v>
      </c>
    </row>
    <row r="27" spans="1:20" ht="23.25" x14ac:dyDescent="0.35">
      <c r="A27" s="63" t="s">
        <v>1</v>
      </c>
      <c r="B27" s="64">
        <v>700</v>
      </c>
      <c r="C27" s="64"/>
      <c r="D27" s="68"/>
      <c r="E27" s="68"/>
      <c r="F27" s="68"/>
      <c r="G27" s="63"/>
      <c r="H27" s="63"/>
      <c r="I27" s="63" t="s">
        <v>1</v>
      </c>
      <c r="J27" s="64">
        <v>500</v>
      </c>
      <c r="K27" s="64"/>
      <c r="L27" s="68"/>
      <c r="M27" s="68"/>
      <c r="N27" s="68"/>
      <c r="O27" s="63"/>
      <c r="P27" s="63"/>
      <c r="T27" s="677">
        <v>4</v>
      </c>
    </row>
    <row r="28" spans="1:20" ht="23.25" x14ac:dyDescent="0.35">
      <c r="A28" s="63" t="s">
        <v>10</v>
      </c>
      <c r="B28" s="64">
        <v>2500</v>
      </c>
      <c r="C28" s="64"/>
      <c r="D28" s="68"/>
      <c r="E28" s="68"/>
      <c r="F28" s="68"/>
      <c r="G28" s="63"/>
      <c r="H28" s="63"/>
      <c r="I28" s="63" t="s">
        <v>10</v>
      </c>
      <c r="J28" s="64">
        <v>1000</v>
      </c>
      <c r="K28" s="64"/>
      <c r="L28" s="68"/>
      <c r="M28" s="68"/>
      <c r="N28" s="68"/>
      <c r="O28" s="63"/>
      <c r="P28" s="63"/>
    </row>
    <row r="29" spans="1:20" ht="23.25" x14ac:dyDescent="0.35">
      <c r="A29" s="63" t="s">
        <v>94</v>
      </c>
      <c r="B29" s="64">
        <f>15000*1.4/6</f>
        <v>3500</v>
      </c>
      <c r="C29" s="64"/>
      <c r="D29" s="68"/>
      <c r="E29" s="68"/>
      <c r="F29" s="121" t="s">
        <v>21</v>
      </c>
      <c r="G29" s="121"/>
      <c r="H29" s="63"/>
      <c r="I29" s="63" t="s">
        <v>94</v>
      </c>
      <c r="J29" s="64">
        <v>0</v>
      </c>
      <c r="K29" s="64"/>
      <c r="L29" s="68"/>
      <c r="M29" s="121" t="s">
        <v>21</v>
      </c>
      <c r="N29" s="121"/>
      <c r="O29" s="63"/>
      <c r="P29" s="63"/>
      <c r="T29" s="677">
        <v>7</v>
      </c>
    </row>
    <row r="30" spans="1:20" ht="23.25" x14ac:dyDescent="0.35">
      <c r="A30" s="63" t="s">
        <v>11</v>
      </c>
      <c r="B30" s="64">
        <v>1000</v>
      </c>
      <c r="C30" s="64"/>
      <c r="E30" s="66" t="s">
        <v>22</v>
      </c>
      <c r="F30" s="66" t="s">
        <v>23</v>
      </c>
      <c r="G30" s="66" t="s">
        <v>24</v>
      </c>
      <c r="I30" s="63" t="s">
        <v>11</v>
      </c>
      <c r="J30" s="64">
        <v>500</v>
      </c>
      <c r="K30" s="64"/>
      <c r="L30" s="66" t="s">
        <v>22</v>
      </c>
      <c r="M30" s="66" t="s">
        <v>23</v>
      </c>
      <c r="N30" s="66" t="s">
        <v>24</v>
      </c>
      <c r="O30" s="63"/>
      <c r="P30" s="60"/>
      <c r="T30" s="677">
        <v>5</v>
      </c>
    </row>
    <row r="31" spans="1:20" ht="23.25" x14ac:dyDescent="0.35">
      <c r="A31" s="63" t="s">
        <v>13</v>
      </c>
      <c r="B31" s="64">
        <v>1500</v>
      </c>
      <c r="C31" s="64"/>
      <c r="E31" s="66">
        <f>E36</f>
        <v>7.0122</v>
      </c>
      <c r="F31" s="66">
        <f>F36</f>
        <v>7.9794</v>
      </c>
      <c r="G31" s="66">
        <f>G36</f>
        <v>9.62364</v>
      </c>
      <c r="I31" s="63" t="s">
        <v>13</v>
      </c>
      <c r="J31" s="64">
        <v>0</v>
      </c>
      <c r="K31" s="64"/>
      <c r="L31" s="66">
        <f>L36</f>
        <v>1.1375</v>
      </c>
      <c r="M31" s="66">
        <f>M36</f>
        <v>1.4875</v>
      </c>
      <c r="N31" s="66">
        <f>N36</f>
        <v>1.74125</v>
      </c>
      <c r="O31" s="65"/>
      <c r="P31" s="60"/>
    </row>
    <row r="32" spans="1:20" ht="23.25" x14ac:dyDescent="0.35">
      <c r="A32" s="63" t="s">
        <v>12</v>
      </c>
      <c r="B32" s="64">
        <v>1000</v>
      </c>
      <c r="C32" s="64"/>
      <c r="G32" s="65"/>
      <c r="I32" s="63" t="s">
        <v>12</v>
      </c>
      <c r="J32" s="64">
        <v>0</v>
      </c>
      <c r="K32" s="64"/>
      <c r="O32" s="65"/>
      <c r="P32" s="60"/>
      <c r="T32" s="677">
        <v>9</v>
      </c>
    </row>
    <row r="33" spans="1:20" ht="23.25" x14ac:dyDescent="0.35">
      <c r="A33" s="63" t="s">
        <v>14</v>
      </c>
      <c r="B33" s="64">
        <v>200</v>
      </c>
      <c r="C33" s="64"/>
      <c r="D33" s="64"/>
      <c r="E33" s="64"/>
      <c r="F33" s="64"/>
      <c r="G33" s="65"/>
      <c r="I33" s="63" t="s">
        <v>14</v>
      </c>
      <c r="J33" s="64">
        <v>0</v>
      </c>
      <c r="K33" s="64"/>
      <c r="L33" s="64"/>
      <c r="M33" s="64"/>
      <c r="N33" s="64"/>
      <c r="O33" s="65"/>
      <c r="P33" s="60"/>
      <c r="T33" s="677">
        <v>5</v>
      </c>
    </row>
    <row r="34" spans="1:20" ht="23.25" x14ac:dyDescent="0.35">
      <c r="A34" s="63" t="s">
        <v>15</v>
      </c>
      <c r="B34" s="64">
        <v>200</v>
      </c>
      <c r="C34" s="64"/>
      <c r="D34" s="68"/>
      <c r="E34" s="68"/>
      <c r="F34" s="121" t="s">
        <v>21</v>
      </c>
      <c r="G34" s="121"/>
      <c r="I34" s="63" t="s">
        <v>15</v>
      </c>
      <c r="J34" s="64">
        <v>0</v>
      </c>
      <c r="K34" s="64"/>
      <c r="L34" s="68"/>
      <c r="M34" s="121" t="s">
        <v>21</v>
      </c>
      <c r="N34" s="121"/>
      <c r="O34" s="63"/>
      <c r="P34" s="60"/>
    </row>
    <row r="35" spans="1:20" ht="23.25" x14ac:dyDescent="0.35">
      <c r="A35" s="63" t="s">
        <v>27</v>
      </c>
      <c r="B35" s="64">
        <v>200</v>
      </c>
      <c r="C35" s="64"/>
      <c r="D35" s="68"/>
      <c r="E35" s="121">
        <v>0.4</v>
      </c>
      <c r="F35" s="121">
        <v>0.6</v>
      </c>
      <c r="G35" s="121">
        <v>0.9</v>
      </c>
      <c r="I35" s="63" t="s">
        <v>27</v>
      </c>
      <c r="J35" s="64">
        <v>0</v>
      </c>
      <c r="K35" s="64"/>
      <c r="L35" s="121">
        <v>0.4</v>
      </c>
      <c r="M35" s="121">
        <v>0.6</v>
      </c>
      <c r="N35" s="121">
        <v>0.9</v>
      </c>
      <c r="O35" s="63"/>
      <c r="P35" s="60"/>
    </row>
    <row r="36" spans="1:20" ht="23.25" x14ac:dyDescent="0.35">
      <c r="A36" s="63" t="s">
        <v>28</v>
      </c>
      <c r="B36" s="64">
        <v>100</v>
      </c>
      <c r="C36" s="64"/>
      <c r="E36" s="64">
        <f>B40*1.45</f>
        <v>7.0122</v>
      </c>
      <c r="F36" s="64">
        <f>B40*1.65</f>
        <v>7.9794</v>
      </c>
      <c r="G36" s="64">
        <f>B40*1.99</f>
        <v>9.62364</v>
      </c>
      <c r="H36" s="63"/>
      <c r="I36" s="63" t="s">
        <v>28</v>
      </c>
      <c r="J36" s="64">
        <v>0</v>
      </c>
      <c r="K36" s="64"/>
      <c r="L36" s="64">
        <f>J40*1.3</f>
        <v>1.1375</v>
      </c>
      <c r="M36" s="64">
        <f>J40*1.7</f>
        <v>1.4875</v>
      </c>
      <c r="N36" s="64">
        <f>J40*1.99</f>
        <v>1.74125</v>
      </c>
      <c r="O36" s="63"/>
      <c r="P36" s="63"/>
    </row>
    <row r="37" spans="1:20" ht="23.25" x14ac:dyDescent="0.35">
      <c r="A37" s="63" t="s">
        <v>16</v>
      </c>
      <c r="B37" s="64">
        <v>350</v>
      </c>
      <c r="C37" s="64"/>
      <c r="G37" s="65"/>
      <c r="H37" s="63"/>
      <c r="I37" s="63" t="s">
        <v>16</v>
      </c>
      <c r="J37" s="64">
        <v>350</v>
      </c>
      <c r="K37" s="64"/>
      <c r="O37" s="65"/>
      <c r="P37" s="63"/>
    </row>
    <row r="38" spans="1:20" ht="23.25" x14ac:dyDescent="0.35">
      <c r="A38" s="63" t="s">
        <v>17</v>
      </c>
      <c r="B38" s="64">
        <v>750</v>
      </c>
      <c r="C38" s="64"/>
      <c r="G38" s="65"/>
      <c r="H38" s="63"/>
      <c r="I38" s="63" t="s">
        <v>17</v>
      </c>
      <c r="J38" s="64">
        <v>200</v>
      </c>
      <c r="K38" s="64"/>
      <c r="O38" s="65"/>
      <c r="P38" s="63"/>
    </row>
    <row r="39" spans="1:20" ht="24" thickBot="1" x14ac:dyDescent="0.4">
      <c r="A39" s="63" t="s">
        <v>18</v>
      </c>
      <c r="B39" s="67">
        <v>4000</v>
      </c>
      <c r="C39" s="64"/>
      <c r="D39" s="64"/>
      <c r="E39" s="64"/>
      <c r="F39" s="64"/>
      <c r="G39" s="65"/>
      <c r="H39" s="63"/>
      <c r="I39" s="63" t="s">
        <v>18</v>
      </c>
      <c r="J39" s="67">
        <v>0</v>
      </c>
      <c r="K39" s="64"/>
      <c r="L39" s="64"/>
      <c r="M39" s="64"/>
      <c r="N39" s="64"/>
      <c r="O39" s="65"/>
      <c r="P39" s="63"/>
    </row>
    <row r="40" spans="1:20" ht="23.25" x14ac:dyDescent="0.35">
      <c r="A40" s="63"/>
      <c r="B40" s="64">
        <f>SUM(B26:B39)/G4</f>
        <v>4.8360000000000003</v>
      </c>
      <c r="C40" s="64"/>
      <c r="D40" s="64"/>
      <c r="E40" s="64"/>
      <c r="F40" s="64"/>
      <c r="G40" s="65"/>
      <c r="H40" s="63"/>
      <c r="I40" s="63"/>
      <c r="J40" s="64">
        <f>SUM(J26:J39)/G4</f>
        <v>0.875</v>
      </c>
      <c r="K40" s="64"/>
      <c r="L40" s="64"/>
      <c r="M40" s="64"/>
      <c r="N40" s="64"/>
      <c r="O40" s="65"/>
      <c r="P40" s="63"/>
    </row>
    <row r="41" spans="1:20" ht="23.25" x14ac:dyDescent="0.35">
      <c r="C41" s="64"/>
      <c r="D41" s="64"/>
      <c r="E41" s="64"/>
      <c r="F41" s="64"/>
      <c r="G41" s="65"/>
      <c r="H41" s="63"/>
      <c r="K41" s="64"/>
      <c r="L41" s="64"/>
      <c r="M41" s="64"/>
      <c r="N41" s="64"/>
      <c r="O41" s="65"/>
      <c r="P41" s="63"/>
    </row>
    <row r="42" spans="1:20" ht="23.25" x14ac:dyDescent="0.35">
      <c r="A42" s="63"/>
      <c r="B42" s="64"/>
      <c r="C42" s="64"/>
      <c r="I42" s="63"/>
      <c r="J42" s="64"/>
      <c r="K42" s="64"/>
      <c r="L42" s="69"/>
      <c r="M42" s="69"/>
      <c r="N42" s="69"/>
      <c r="O42" s="60"/>
      <c r="P42" s="60"/>
    </row>
    <row r="43" spans="1:20" ht="23.25" x14ac:dyDescent="0.35">
      <c r="A43" s="63"/>
      <c r="B43" s="68"/>
      <c r="C43" s="68"/>
    </row>
    <row r="44" spans="1:20" ht="31.5" x14ac:dyDescent="0.25">
      <c r="A44" s="994" t="s">
        <v>95</v>
      </c>
      <c r="B44" s="994"/>
      <c r="C44" s="994"/>
      <c r="D44" s="994"/>
      <c r="E44" s="994"/>
      <c r="F44" s="994"/>
      <c r="G44" s="994"/>
      <c r="H44" s="994"/>
    </row>
    <row r="45" spans="1:20" ht="36" x14ac:dyDescent="0.25">
      <c r="A45" s="926" t="s">
        <v>37</v>
      </c>
      <c r="B45" s="926"/>
      <c r="C45" s="995" t="s">
        <v>150</v>
      </c>
      <c r="D45" s="995"/>
      <c r="E45" s="995"/>
      <c r="F45" s="995"/>
      <c r="G45" s="995"/>
      <c r="H45" s="995"/>
    </row>
    <row r="46" spans="1:20" ht="36" x14ac:dyDescent="0.55000000000000004">
      <c r="A46" s="991"/>
      <c r="B46" s="991"/>
      <c r="C46" s="61"/>
      <c r="D46" s="120"/>
      <c r="E46" s="123" t="s">
        <v>52</v>
      </c>
      <c r="F46" s="120"/>
      <c r="G46" s="62"/>
      <c r="H46" s="62"/>
    </row>
    <row r="47" spans="1:20" ht="23.25" x14ac:dyDescent="0.35">
      <c r="A47" s="63" t="s">
        <v>9</v>
      </c>
      <c r="B47" s="64">
        <f>0.9*1.3*G47</f>
        <v>4446.0000000000009</v>
      </c>
      <c r="C47" s="64"/>
      <c r="D47" s="68"/>
      <c r="E47" s="68"/>
      <c r="F47" s="68"/>
      <c r="G47" s="65">
        <v>3800</v>
      </c>
      <c r="H47" s="65" t="s">
        <v>19</v>
      </c>
    </row>
    <row r="48" spans="1:20" ht="23.25" x14ac:dyDescent="0.35">
      <c r="A48" s="63" t="s">
        <v>1</v>
      </c>
      <c r="B48" s="64">
        <v>700</v>
      </c>
      <c r="C48" s="64"/>
      <c r="D48" s="68"/>
      <c r="E48" s="68"/>
      <c r="F48" s="68"/>
      <c r="G48" s="63"/>
      <c r="H48" s="63"/>
    </row>
    <row r="49" spans="1:8" ht="23.25" x14ac:dyDescent="0.35">
      <c r="A49" s="63" t="s">
        <v>10</v>
      </c>
      <c r="B49" s="64">
        <v>3500</v>
      </c>
      <c r="C49" s="64"/>
      <c r="D49" s="68"/>
      <c r="E49" s="68"/>
      <c r="F49" s="68"/>
      <c r="G49" s="63"/>
      <c r="H49" s="63"/>
    </row>
    <row r="50" spans="1:8" ht="23.25" x14ac:dyDescent="0.35">
      <c r="A50" s="63" t="s">
        <v>94</v>
      </c>
      <c r="B50" s="64">
        <f>0.9*9500</f>
        <v>8550</v>
      </c>
      <c r="C50" s="64"/>
      <c r="E50" s="68"/>
      <c r="F50" s="121" t="s">
        <v>21</v>
      </c>
      <c r="G50" s="121"/>
    </row>
    <row r="51" spans="1:8" ht="23.25" x14ac:dyDescent="0.35">
      <c r="A51" s="63" t="s">
        <v>11</v>
      </c>
      <c r="B51" s="64">
        <v>2000</v>
      </c>
      <c r="C51" s="64"/>
      <c r="E51" s="66" t="s">
        <v>22</v>
      </c>
      <c r="F51" s="66" t="s">
        <v>23</v>
      </c>
      <c r="G51" s="66" t="s">
        <v>24</v>
      </c>
    </row>
    <row r="52" spans="1:8" ht="23.25" x14ac:dyDescent="0.35">
      <c r="A52" s="63" t="s">
        <v>13</v>
      </c>
      <c r="B52" s="64">
        <v>0</v>
      </c>
      <c r="C52" s="64"/>
      <c r="E52" s="66">
        <f>E57</f>
        <v>8.6610999999999994</v>
      </c>
      <c r="F52" s="66">
        <f>F57</f>
        <v>10.207724999999998</v>
      </c>
      <c r="G52" s="66">
        <f>G57</f>
        <v>12.311135</v>
      </c>
    </row>
    <row r="53" spans="1:8" ht="23.25" x14ac:dyDescent="0.35">
      <c r="A53" s="63" t="s">
        <v>12</v>
      </c>
      <c r="B53" s="64">
        <v>1000</v>
      </c>
      <c r="C53" s="64"/>
      <c r="D53" s="64"/>
      <c r="E53" s="64"/>
      <c r="F53" s="64"/>
      <c r="G53" s="65"/>
    </row>
    <row r="54" spans="1:8" ht="23.25" x14ac:dyDescent="0.35">
      <c r="A54" s="63" t="s">
        <v>14</v>
      </c>
      <c r="B54" s="64">
        <v>0</v>
      </c>
      <c r="C54" s="64"/>
      <c r="G54" s="63"/>
    </row>
    <row r="55" spans="1:8" ht="23.25" x14ac:dyDescent="0.35">
      <c r="A55" s="63" t="s">
        <v>15</v>
      </c>
      <c r="B55" s="64">
        <v>0</v>
      </c>
      <c r="C55" s="64"/>
      <c r="D55" s="68"/>
      <c r="E55" s="68"/>
      <c r="F55" s="121" t="s">
        <v>21</v>
      </c>
      <c r="G55" s="121"/>
    </row>
    <row r="56" spans="1:8" ht="23.25" x14ac:dyDescent="0.35">
      <c r="A56" s="63" t="s">
        <v>27</v>
      </c>
      <c r="B56" s="64">
        <v>50</v>
      </c>
      <c r="C56" s="64"/>
      <c r="E56" s="121">
        <v>0.4</v>
      </c>
      <c r="F56" s="121">
        <v>0.6</v>
      </c>
      <c r="G56" s="121">
        <v>0.9</v>
      </c>
      <c r="H56" s="63"/>
    </row>
    <row r="57" spans="1:8" ht="23.25" x14ac:dyDescent="0.35">
      <c r="A57" s="63" t="s">
        <v>28</v>
      </c>
      <c r="B57" s="64">
        <v>100</v>
      </c>
      <c r="C57" s="64"/>
      <c r="E57" s="64">
        <f>B61*1.4</f>
        <v>8.6610999999999994</v>
      </c>
      <c r="F57" s="64">
        <f>B61*1.65</f>
        <v>10.207724999999998</v>
      </c>
      <c r="G57" s="64">
        <f>B61*1.99</f>
        <v>12.311135</v>
      </c>
      <c r="H57" s="63"/>
    </row>
    <row r="58" spans="1:8" ht="23.25" x14ac:dyDescent="0.35">
      <c r="A58" s="63" t="s">
        <v>16</v>
      </c>
      <c r="B58" s="64">
        <v>350</v>
      </c>
      <c r="C58" s="64"/>
      <c r="G58" s="65"/>
      <c r="H58" s="63"/>
    </row>
    <row r="59" spans="1:8" ht="23.25" x14ac:dyDescent="0.35">
      <c r="A59" s="63" t="s">
        <v>17</v>
      </c>
      <c r="B59" s="64">
        <v>50</v>
      </c>
      <c r="C59" s="64"/>
      <c r="D59" s="64"/>
      <c r="E59" s="64"/>
      <c r="F59" s="64"/>
      <c r="G59" s="65"/>
      <c r="H59" s="63"/>
    </row>
    <row r="60" spans="1:8" ht="24" thickBot="1" x14ac:dyDescent="0.4">
      <c r="A60" s="63" t="s">
        <v>18</v>
      </c>
      <c r="B60" s="67">
        <v>4000</v>
      </c>
      <c r="C60" s="64"/>
      <c r="D60" s="64"/>
      <c r="E60" s="64"/>
      <c r="F60" s="64"/>
      <c r="G60" s="65"/>
      <c r="H60" s="63"/>
    </row>
    <row r="61" spans="1:8" ht="23.25" x14ac:dyDescent="0.35">
      <c r="A61" s="63"/>
      <c r="B61" s="64">
        <f>SUM(B47:B60)/G4</f>
        <v>6.1864999999999997</v>
      </c>
      <c r="C61" s="64"/>
      <c r="D61" s="64"/>
      <c r="E61" s="64"/>
      <c r="F61" s="64"/>
      <c r="G61" s="65"/>
      <c r="H61" s="63"/>
    </row>
    <row r="62" spans="1:8" ht="23.25" x14ac:dyDescent="0.35">
      <c r="C62" s="64"/>
    </row>
    <row r="63" spans="1:8" ht="23.25" x14ac:dyDescent="0.35">
      <c r="A63" s="63"/>
      <c r="B63" s="68"/>
      <c r="C63" s="68"/>
      <c r="D63" s="64"/>
      <c r="E63" s="64"/>
      <c r="F63" s="64"/>
      <c r="G63" s="65"/>
      <c r="H63" s="63"/>
    </row>
    <row r="64" spans="1:8" ht="36" x14ac:dyDescent="0.25">
      <c r="A64" s="926" t="s">
        <v>37</v>
      </c>
      <c r="B64" s="926"/>
      <c r="C64" s="988" t="s">
        <v>152</v>
      </c>
      <c r="D64" s="988"/>
      <c r="E64" s="988"/>
      <c r="F64" s="988"/>
      <c r="G64" s="988"/>
      <c r="H64" s="988"/>
    </row>
    <row r="65" spans="1:8" ht="36" x14ac:dyDescent="0.55000000000000004">
      <c r="A65" s="991"/>
      <c r="B65" s="991"/>
      <c r="C65" s="61"/>
      <c r="D65" s="120"/>
      <c r="E65" s="124" t="s">
        <v>52</v>
      </c>
      <c r="F65" s="120"/>
      <c r="G65" s="62"/>
      <c r="H65" s="62"/>
    </row>
    <row r="66" spans="1:8" ht="23.25" x14ac:dyDescent="0.35">
      <c r="A66" s="63" t="s">
        <v>9</v>
      </c>
      <c r="B66" s="64">
        <f>0.8*1.8*G66</f>
        <v>5472.0000000000009</v>
      </c>
      <c r="C66" s="64"/>
      <c r="D66" s="68"/>
      <c r="E66" s="68"/>
      <c r="F66" s="68"/>
      <c r="G66" s="65">
        <v>3800</v>
      </c>
      <c r="H66" s="65"/>
    </row>
    <row r="67" spans="1:8" ht="23.25" x14ac:dyDescent="0.35">
      <c r="A67" s="63" t="s">
        <v>1</v>
      </c>
      <c r="B67" s="64">
        <v>1000</v>
      </c>
      <c r="C67" s="64"/>
      <c r="D67" s="68"/>
      <c r="E67" s="68"/>
      <c r="F67" s="68"/>
      <c r="G67" s="63"/>
      <c r="H67" s="63"/>
    </row>
    <row r="68" spans="1:8" ht="23.25" x14ac:dyDescent="0.35">
      <c r="A68" s="63" t="s">
        <v>10</v>
      </c>
      <c r="B68" s="64">
        <v>2500</v>
      </c>
      <c r="C68" s="64"/>
      <c r="E68" s="68"/>
      <c r="F68" s="121" t="s">
        <v>21</v>
      </c>
      <c r="G68" s="121"/>
      <c r="H68" s="63"/>
    </row>
    <row r="69" spans="1:8" ht="23.25" x14ac:dyDescent="0.35">
      <c r="A69" s="63" t="s">
        <v>44</v>
      </c>
      <c r="B69" s="64">
        <v>800</v>
      </c>
      <c r="C69" s="64"/>
      <c r="E69" s="66" t="s">
        <v>22</v>
      </c>
      <c r="F69" s="66" t="s">
        <v>23</v>
      </c>
      <c r="G69" s="66" t="s">
        <v>24</v>
      </c>
    </row>
    <row r="70" spans="1:8" ht="23.25" x14ac:dyDescent="0.35">
      <c r="A70" s="63" t="s">
        <v>94</v>
      </c>
      <c r="B70" s="64">
        <f>15000*1.4/6</f>
        <v>3500</v>
      </c>
      <c r="C70" s="64"/>
      <c r="E70" s="66">
        <f>E74</f>
        <v>8.0010999999999992</v>
      </c>
      <c r="F70" s="66">
        <f>F74</f>
        <v>9.1046999999999993</v>
      </c>
      <c r="G70" s="66">
        <f>G74</f>
        <v>10.98082</v>
      </c>
    </row>
    <row r="71" spans="1:8" ht="23.25" x14ac:dyDescent="0.35">
      <c r="A71" s="63" t="s">
        <v>11</v>
      </c>
      <c r="B71" s="64">
        <v>1000</v>
      </c>
      <c r="C71" s="64"/>
      <c r="D71" s="64"/>
      <c r="E71" s="64"/>
      <c r="F71" s="64"/>
      <c r="G71" s="65"/>
    </row>
    <row r="72" spans="1:8" ht="23.25" x14ac:dyDescent="0.35">
      <c r="A72" s="63" t="s">
        <v>13</v>
      </c>
      <c r="B72" s="64">
        <v>1000</v>
      </c>
      <c r="C72" s="64"/>
      <c r="D72" s="68"/>
      <c r="E72" s="68"/>
      <c r="F72" s="121" t="s">
        <v>21</v>
      </c>
      <c r="G72" s="121"/>
    </row>
    <row r="73" spans="1:8" ht="23.25" x14ac:dyDescent="0.35">
      <c r="A73" s="63" t="s">
        <v>12</v>
      </c>
      <c r="B73" s="64">
        <v>1000</v>
      </c>
      <c r="C73" s="64"/>
      <c r="D73" s="68"/>
      <c r="E73" s="121">
        <v>0.4</v>
      </c>
      <c r="F73" s="121">
        <v>0.6</v>
      </c>
      <c r="G73" s="121">
        <v>0.9</v>
      </c>
      <c r="H73" s="63"/>
    </row>
    <row r="74" spans="1:8" ht="23.25" x14ac:dyDescent="0.35">
      <c r="A74" s="63" t="s">
        <v>14</v>
      </c>
      <c r="B74" s="64">
        <v>200</v>
      </c>
      <c r="C74" s="64"/>
      <c r="E74" s="64">
        <f>B81*1.45</f>
        <v>8.0010999999999992</v>
      </c>
      <c r="F74" s="64">
        <f>B81*1.65</f>
        <v>9.1046999999999993</v>
      </c>
      <c r="G74" s="64">
        <f>B81*1.99</f>
        <v>10.98082</v>
      </c>
      <c r="H74" s="63"/>
    </row>
    <row r="75" spans="1:8" ht="23.25" x14ac:dyDescent="0.35">
      <c r="A75" s="63" t="s">
        <v>15</v>
      </c>
      <c r="B75" s="64">
        <v>200</v>
      </c>
      <c r="C75" s="64"/>
      <c r="G75" s="65"/>
      <c r="H75" s="63"/>
    </row>
    <row r="76" spans="1:8" ht="23.25" x14ac:dyDescent="0.35">
      <c r="A76" s="63" t="s">
        <v>27</v>
      </c>
      <c r="B76" s="64">
        <v>200</v>
      </c>
      <c r="C76" s="64"/>
      <c r="G76" s="65"/>
      <c r="H76" s="63"/>
    </row>
    <row r="77" spans="1:8" ht="23.25" x14ac:dyDescent="0.35">
      <c r="A77" s="63" t="s">
        <v>28</v>
      </c>
      <c r="B77" s="64">
        <v>100</v>
      </c>
      <c r="C77" s="64"/>
      <c r="D77" s="64"/>
      <c r="E77" s="64"/>
      <c r="F77" s="64"/>
      <c r="G77" s="65"/>
      <c r="H77" s="63"/>
    </row>
    <row r="78" spans="1:8" ht="23.25" x14ac:dyDescent="0.35">
      <c r="A78" s="63" t="s">
        <v>16</v>
      </c>
      <c r="B78" s="64">
        <v>350</v>
      </c>
      <c r="C78" s="64"/>
      <c r="D78" s="64"/>
      <c r="E78" s="64"/>
      <c r="F78" s="64"/>
      <c r="G78" s="65"/>
      <c r="H78" s="63"/>
    </row>
    <row r="79" spans="1:8" ht="23.25" x14ac:dyDescent="0.35">
      <c r="A79" s="63" t="s">
        <v>17</v>
      </c>
      <c r="B79" s="64">
        <v>750</v>
      </c>
      <c r="C79" s="64"/>
      <c r="D79" s="64"/>
      <c r="E79" s="64"/>
      <c r="F79" s="64"/>
      <c r="G79" s="65"/>
      <c r="H79" s="63"/>
    </row>
    <row r="80" spans="1:8" ht="24" thickBot="1" x14ac:dyDescent="0.4">
      <c r="A80" s="63" t="s">
        <v>18</v>
      </c>
      <c r="B80" s="67">
        <v>4000</v>
      </c>
      <c r="C80" s="64"/>
    </row>
    <row r="81" spans="1:16" ht="23.25" x14ac:dyDescent="0.35">
      <c r="A81" s="63"/>
      <c r="B81" s="64">
        <f>SUM(B66:B80)/G4</f>
        <v>5.5179999999999998</v>
      </c>
      <c r="C81" s="64"/>
    </row>
    <row r="82" spans="1:16" ht="23.25" x14ac:dyDescent="0.35">
      <c r="A82" s="63"/>
      <c r="B82" s="64"/>
      <c r="C82" s="64"/>
    </row>
    <row r="83" spans="1:16" ht="23.25" x14ac:dyDescent="0.35">
      <c r="A83" s="63"/>
      <c r="B83" s="68"/>
      <c r="C83" s="68"/>
    </row>
    <row r="84" spans="1:16" ht="23.25" x14ac:dyDescent="0.35">
      <c r="A84" s="63"/>
      <c r="B84" s="68"/>
      <c r="C84" s="68"/>
      <c r="D84" s="72"/>
      <c r="E84" s="72"/>
      <c r="F84" s="72"/>
      <c r="G84" s="70"/>
      <c r="H84" s="70"/>
    </row>
    <row r="85" spans="1:16" ht="46.5" x14ac:dyDescent="0.35">
      <c r="A85" s="996" t="s">
        <v>42</v>
      </c>
      <c r="B85" s="996"/>
      <c r="C85" s="996"/>
      <c r="D85" s="125" t="s">
        <v>153</v>
      </c>
      <c r="E85" s="126"/>
      <c r="F85" s="126"/>
      <c r="G85" s="71"/>
      <c r="H85" s="70"/>
      <c r="I85" s="999" t="s">
        <v>42</v>
      </c>
      <c r="J85" s="999"/>
      <c r="K85" s="999"/>
      <c r="L85" s="125" t="s">
        <v>154</v>
      </c>
      <c r="M85" s="126"/>
      <c r="N85" s="126"/>
      <c r="O85" s="71"/>
      <c r="P85" s="70"/>
    </row>
    <row r="86" spans="1:16" ht="61.5" x14ac:dyDescent="0.9">
      <c r="A86" s="993" t="s">
        <v>56</v>
      </c>
      <c r="B86" s="993"/>
      <c r="E86" s="127"/>
      <c r="F86" s="428" t="s">
        <v>296</v>
      </c>
      <c r="G86" s="63"/>
      <c r="H86" s="70"/>
      <c r="I86" s="1000" t="s">
        <v>116</v>
      </c>
      <c r="J86" s="1000"/>
      <c r="K86" s="69"/>
      <c r="L86" s="69"/>
      <c r="M86" s="127"/>
      <c r="N86" s="428"/>
      <c r="O86" s="63"/>
      <c r="P86" s="70"/>
    </row>
    <row r="87" spans="1:16" ht="23.25" x14ac:dyDescent="0.35">
      <c r="A87" s="63" t="s">
        <v>9</v>
      </c>
      <c r="B87" s="64">
        <f>0.6*1.8/2*G4</f>
        <v>2160</v>
      </c>
      <c r="C87" s="63"/>
      <c r="D87" s="68"/>
      <c r="E87" s="68"/>
      <c r="F87" s="68"/>
      <c r="G87" s="63"/>
      <c r="H87" s="70"/>
      <c r="I87" s="63" t="s">
        <v>9</v>
      </c>
      <c r="J87" s="64">
        <f>0.5*1.7*4000</f>
        <v>3400</v>
      </c>
      <c r="K87" s="63"/>
      <c r="L87" s="68"/>
      <c r="M87" s="68"/>
      <c r="N87" s="68"/>
      <c r="O87" s="63"/>
      <c r="P87" s="70"/>
    </row>
    <row r="88" spans="1:16" ht="23.25" x14ac:dyDescent="0.35">
      <c r="A88" s="63" t="s">
        <v>1</v>
      </c>
      <c r="B88" s="64">
        <v>1000</v>
      </c>
      <c r="C88" s="63"/>
      <c r="D88" s="68"/>
      <c r="E88" s="68"/>
      <c r="F88" s="68"/>
      <c r="G88" s="63"/>
      <c r="H88" s="70"/>
      <c r="I88" s="63" t="s">
        <v>1</v>
      </c>
      <c r="J88" s="64">
        <v>700</v>
      </c>
      <c r="K88" s="63"/>
      <c r="L88" s="68"/>
      <c r="M88" s="68"/>
      <c r="N88" s="68"/>
      <c r="O88" s="63"/>
      <c r="P88" s="70"/>
    </row>
    <row r="89" spans="1:16" ht="23.25" x14ac:dyDescent="0.35">
      <c r="A89" s="63" t="s">
        <v>10</v>
      </c>
      <c r="B89" s="64">
        <v>1500</v>
      </c>
      <c r="C89" s="63"/>
      <c r="D89" s="68"/>
      <c r="E89" s="66" t="s">
        <v>22</v>
      </c>
      <c r="F89" s="66" t="s">
        <v>23</v>
      </c>
      <c r="G89" s="66" t="s">
        <v>24</v>
      </c>
      <c r="H89" s="70"/>
      <c r="I89" s="63" t="s">
        <v>10</v>
      </c>
      <c r="J89" s="64">
        <v>1500</v>
      </c>
      <c r="K89" s="63"/>
      <c r="L89" s="68"/>
      <c r="M89" s="66" t="s">
        <v>22</v>
      </c>
      <c r="N89" s="66" t="s">
        <v>23</v>
      </c>
      <c r="O89" s="66" t="s">
        <v>24</v>
      </c>
      <c r="P89" s="70"/>
    </row>
    <row r="90" spans="1:16" ht="23.25" x14ac:dyDescent="0.35">
      <c r="A90" s="63" t="s">
        <v>43</v>
      </c>
      <c r="B90" s="64">
        <v>1000</v>
      </c>
      <c r="C90" s="68"/>
      <c r="E90" s="66">
        <f>E94</f>
        <v>4.6946250000000003</v>
      </c>
      <c r="F90" s="66">
        <f>F94</f>
        <v>5.7378749999999998</v>
      </c>
      <c r="G90" s="66">
        <f>G94</f>
        <v>6.9202250000000003</v>
      </c>
      <c r="H90" s="70"/>
      <c r="I90" s="63" t="s">
        <v>43</v>
      </c>
      <c r="J90" s="64">
        <v>800</v>
      </c>
      <c r="K90" s="72"/>
      <c r="L90" s="69"/>
      <c r="M90" s="66">
        <f>M94</f>
        <v>3.9410526315789478</v>
      </c>
      <c r="N90" s="66">
        <f>N94</f>
        <v>5.1536842105263156</v>
      </c>
      <c r="O90" s="66">
        <f>O94</f>
        <v>6.0328421052631578</v>
      </c>
      <c r="P90" s="70"/>
    </row>
    <row r="91" spans="1:16" ht="23.25" x14ac:dyDescent="0.35">
      <c r="A91" s="63" t="s">
        <v>11</v>
      </c>
      <c r="B91" s="64">
        <v>1000</v>
      </c>
      <c r="C91" s="68"/>
      <c r="G91" s="65"/>
      <c r="H91" s="70"/>
      <c r="I91" s="63" t="s">
        <v>11</v>
      </c>
      <c r="J91" s="64">
        <v>1000</v>
      </c>
      <c r="K91" s="72"/>
      <c r="L91" s="69"/>
      <c r="M91" s="69"/>
      <c r="N91" s="69"/>
      <c r="O91" s="65"/>
      <c r="P91" s="70"/>
    </row>
    <row r="92" spans="1:16" ht="23.25" x14ac:dyDescent="0.35">
      <c r="A92" s="63" t="s">
        <v>13</v>
      </c>
      <c r="B92" s="64">
        <v>1000</v>
      </c>
      <c r="C92" s="68"/>
      <c r="D92" s="64"/>
      <c r="E92" s="64"/>
      <c r="F92" s="64"/>
      <c r="G92" s="65"/>
      <c r="H92" s="70"/>
      <c r="I92" s="63" t="s">
        <v>79</v>
      </c>
      <c r="J92" s="64">
        <v>0</v>
      </c>
      <c r="K92" s="72"/>
      <c r="L92" s="64"/>
      <c r="M92" s="64"/>
      <c r="N92" s="64"/>
      <c r="O92" s="65"/>
      <c r="P92" s="70"/>
    </row>
    <row r="93" spans="1:16" ht="23.25" x14ac:dyDescent="0.35">
      <c r="A93" s="63" t="s">
        <v>12</v>
      </c>
      <c r="B93" s="64">
        <v>1000</v>
      </c>
      <c r="C93" s="68"/>
      <c r="D93" s="68"/>
      <c r="E93" s="121">
        <v>0.4</v>
      </c>
      <c r="F93" s="121">
        <v>0.6</v>
      </c>
      <c r="G93" s="121">
        <v>0.9</v>
      </c>
      <c r="H93" s="70"/>
      <c r="I93" s="63" t="s">
        <v>12</v>
      </c>
      <c r="J93" s="64">
        <v>1000</v>
      </c>
      <c r="K93" s="72"/>
      <c r="L93" s="68"/>
      <c r="M93" s="429">
        <v>0.4</v>
      </c>
      <c r="N93" s="429">
        <v>0.6</v>
      </c>
      <c r="O93" s="429">
        <v>0.9</v>
      </c>
      <c r="P93" s="70"/>
    </row>
    <row r="94" spans="1:16" ht="23.25" x14ac:dyDescent="0.35">
      <c r="A94" s="63" t="s">
        <v>14</v>
      </c>
      <c r="B94" s="64">
        <v>200</v>
      </c>
      <c r="C94" s="68"/>
      <c r="E94" s="64">
        <f>B101*1.35</f>
        <v>4.6946250000000003</v>
      </c>
      <c r="F94" s="64">
        <f>B101*1.65</f>
        <v>5.7378749999999998</v>
      </c>
      <c r="G94" s="64">
        <f>B101*1.99</f>
        <v>6.9202250000000003</v>
      </c>
      <c r="H94" s="70"/>
      <c r="I94" s="63" t="s">
        <v>14</v>
      </c>
      <c r="J94" s="64">
        <v>0</v>
      </c>
      <c r="K94" s="72"/>
      <c r="L94" s="69"/>
      <c r="M94" s="64">
        <f>J101*1.3</f>
        <v>3.9410526315789478</v>
      </c>
      <c r="N94" s="64">
        <f>J101*1.7</f>
        <v>5.1536842105263156</v>
      </c>
      <c r="O94" s="64">
        <f>J101*1.99</f>
        <v>6.0328421052631578</v>
      </c>
      <c r="P94" s="70"/>
    </row>
    <row r="95" spans="1:16" ht="23.25" x14ac:dyDescent="0.35">
      <c r="A95" s="63" t="s">
        <v>15</v>
      </c>
      <c r="B95" s="64">
        <v>200</v>
      </c>
      <c r="C95" s="68"/>
      <c r="G95" s="65"/>
      <c r="H95" s="70"/>
      <c r="I95" s="63" t="s">
        <v>15</v>
      </c>
      <c r="J95" s="64">
        <v>0</v>
      </c>
      <c r="K95" s="72"/>
      <c r="L95" s="69"/>
      <c r="M95" s="69"/>
      <c r="N95" s="69"/>
      <c r="O95" s="65"/>
      <c r="P95" s="70"/>
    </row>
    <row r="96" spans="1:16" ht="23.25" x14ac:dyDescent="0.35">
      <c r="A96" s="63" t="s">
        <v>27</v>
      </c>
      <c r="B96" s="64">
        <v>200</v>
      </c>
      <c r="C96" s="68"/>
      <c r="D96" s="64"/>
      <c r="E96" s="64"/>
      <c r="F96" s="64"/>
      <c r="G96" s="65"/>
      <c r="H96" s="70"/>
      <c r="I96" s="63" t="s">
        <v>27</v>
      </c>
      <c r="J96" s="64">
        <v>50</v>
      </c>
      <c r="K96" s="72"/>
      <c r="L96" s="64"/>
      <c r="M96" s="64"/>
      <c r="N96" s="64"/>
      <c r="O96" s="65"/>
      <c r="P96" s="70"/>
    </row>
    <row r="97" spans="1:16" ht="23.25" x14ac:dyDescent="0.35">
      <c r="A97" s="63" t="s">
        <v>28</v>
      </c>
      <c r="B97" s="64">
        <v>100</v>
      </c>
      <c r="C97" s="68"/>
      <c r="D97" s="64"/>
      <c r="E97" s="64"/>
      <c r="F97" s="64"/>
      <c r="G97" s="65"/>
      <c r="H97" s="70"/>
      <c r="I97" s="63" t="s">
        <v>28</v>
      </c>
      <c r="J97" s="64">
        <v>50</v>
      </c>
      <c r="K97" s="72"/>
      <c r="L97" s="64"/>
      <c r="M97" s="64"/>
      <c r="N97" s="64"/>
      <c r="O97" s="65"/>
      <c r="P97" s="70"/>
    </row>
    <row r="98" spans="1:16" ht="23.25" x14ac:dyDescent="0.35">
      <c r="A98" s="63" t="s">
        <v>16</v>
      </c>
      <c r="B98" s="64">
        <v>350</v>
      </c>
      <c r="C98" s="68"/>
      <c r="D98" s="64"/>
      <c r="E98" s="64"/>
      <c r="F98" s="64"/>
      <c r="G98" s="65"/>
      <c r="H98" s="70"/>
      <c r="I98" s="63" t="s">
        <v>16</v>
      </c>
      <c r="J98" s="64">
        <v>250</v>
      </c>
      <c r="K98" s="72"/>
      <c r="L98" s="64"/>
      <c r="M98" s="64"/>
      <c r="N98" s="64"/>
      <c r="O98" s="65"/>
      <c r="P98" s="70"/>
    </row>
    <row r="99" spans="1:16" ht="23.25" x14ac:dyDescent="0.35">
      <c r="A99" s="63" t="s">
        <v>17</v>
      </c>
      <c r="B99" s="64">
        <v>200</v>
      </c>
      <c r="C99" s="63"/>
      <c r="D99" s="72"/>
      <c r="E99" s="72"/>
      <c r="F99" s="72"/>
      <c r="G99" s="70"/>
      <c r="H99" s="70"/>
      <c r="I99" s="63" t="s">
        <v>17</v>
      </c>
      <c r="J99" s="64">
        <v>70</v>
      </c>
      <c r="K99" s="63"/>
      <c r="L99" s="72"/>
      <c r="M99" s="72"/>
      <c r="N99" s="72"/>
      <c r="O99" s="70"/>
      <c r="P99" s="70"/>
    </row>
    <row r="100" spans="1:16" ht="24" thickBot="1" x14ac:dyDescent="0.4">
      <c r="A100" s="63" t="s">
        <v>18</v>
      </c>
      <c r="B100" s="67">
        <v>4000</v>
      </c>
      <c r="C100" s="68"/>
      <c r="D100" s="72"/>
      <c r="E100" s="72"/>
      <c r="F100" s="72"/>
      <c r="G100" s="70"/>
      <c r="H100" s="70"/>
      <c r="I100" s="63" t="s">
        <v>18</v>
      </c>
      <c r="J100" s="67">
        <v>2700</v>
      </c>
      <c r="K100" s="72"/>
      <c r="L100" s="72"/>
      <c r="M100" s="72"/>
      <c r="N100" s="72"/>
      <c r="O100" s="70"/>
      <c r="P100" s="70"/>
    </row>
    <row r="101" spans="1:16" ht="23.25" x14ac:dyDescent="0.35">
      <c r="A101" s="63"/>
      <c r="B101" s="64">
        <f>SUM(B87:B100)/G4</f>
        <v>3.4775</v>
      </c>
      <c r="C101" s="68"/>
      <c r="D101" s="72"/>
      <c r="E101" s="72"/>
      <c r="F101" s="72"/>
      <c r="G101" s="70"/>
      <c r="H101" s="70"/>
      <c r="I101" s="63"/>
      <c r="J101" s="64">
        <f>SUM(J87:J100)/O4</f>
        <v>3.0315789473684212</v>
      </c>
      <c r="K101" s="72"/>
      <c r="L101" s="72"/>
      <c r="M101" s="72"/>
      <c r="N101" s="72"/>
      <c r="O101" s="70"/>
      <c r="P101" s="70"/>
    </row>
    <row r="102" spans="1:16" ht="23.25" x14ac:dyDescent="0.35">
      <c r="A102" s="63"/>
      <c r="B102" s="64"/>
      <c r="C102" s="68"/>
      <c r="D102" s="72"/>
      <c r="E102" s="72"/>
      <c r="F102" s="72"/>
      <c r="G102" s="70"/>
      <c r="H102" s="70"/>
    </row>
    <row r="103" spans="1:16" ht="23.25" x14ac:dyDescent="0.35">
      <c r="A103" s="70"/>
      <c r="B103" s="72"/>
      <c r="C103" s="68"/>
      <c r="D103" s="72"/>
      <c r="E103" s="72"/>
      <c r="F103" s="72"/>
      <c r="G103" s="70"/>
      <c r="H103" s="70"/>
    </row>
    <row r="104" spans="1:16" ht="75.75" customHeight="1" x14ac:dyDescent="0.35">
      <c r="A104" s="997" t="s">
        <v>42</v>
      </c>
      <c r="B104" s="997"/>
      <c r="C104" s="997"/>
      <c r="D104" s="1003" t="s">
        <v>153</v>
      </c>
      <c r="E104" s="1003"/>
      <c r="F104" s="1003"/>
      <c r="G104" s="1003"/>
      <c r="H104" s="1003"/>
      <c r="I104" s="997" t="s">
        <v>42</v>
      </c>
      <c r="J104" s="997"/>
      <c r="K104" s="997"/>
      <c r="L104" s="69"/>
      <c r="M104" s="1001" t="s">
        <v>36</v>
      </c>
      <c r="N104" s="1001"/>
      <c r="O104" s="1001"/>
      <c r="P104" s="70"/>
    </row>
    <row r="105" spans="1:16" ht="46.5" x14ac:dyDescent="0.7">
      <c r="A105" s="998" t="s">
        <v>316</v>
      </c>
      <c r="B105" s="998"/>
      <c r="D105" s="128"/>
      <c r="E105" s="1002" t="s">
        <v>298</v>
      </c>
      <c r="F105" s="1002"/>
      <c r="G105" s="1002"/>
      <c r="H105" s="1002"/>
      <c r="I105" s="998" t="s">
        <v>300</v>
      </c>
      <c r="J105" s="998"/>
      <c r="K105" s="69"/>
      <c r="L105" s="128"/>
      <c r="M105" s="1002" t="s">
        <v>298</v>
      </c>
      <c r="N105" s="1002"/>
      <c r="O105" s="1002"/>
      <c r="P105" s="1002"/>
    </row>
    <row r="106" spans="1:16" ht="23.25" x14ac:dyDescent="0.35">
      <c r="A106" s="63" t="s">
        <v>9</v>
      </c>
      <c r="B106" s="64">
        <f>0.5*1.2*G4</f>
        <v>2400</v>
      </c>
      <c r="C106" s="63"/>
      <c r="D106" s="68"/>
      <c r="E106" s="68"/>
      <c r="F106" s="68"/>
      <c r="G106" s="63"/>
      <c r="H106" s="70"/>
      <c r="I106" s="63" t="s">
        <v>9</v>
      </c>
      <c r="J106" s="64">
        <f>0.8*1.8*O4</f>
        <v>5472.0000000000009</v>
      </c>
      <c r="K106" s="63"/>
      <c r="L106" s="68"/>
      <c r="M106" s="68"/>
      <c r="N106" s="68"/>
      <c r="O106" s="63"/>
      <c r="P106" s="70"/>
    </row>
    <row r="107" spans="1:16" ht="23.25" x14ac:dyDescent="0.35">
      <c r="A107" s="63" t="s">
        <v>1</v>
      </c>
      <c r="B107" s="64">
        <v>700</v>
      </c>
      <c r="C107" s="63"/>
      <c r="D107" s="68"/>
      <c r="E107" s="68"/>
      <c r="F107" s="68"/>
      <c r="G107" s="63"/>
      <c r="H107" s="70"/>
      <c r="I107" s="63" t="s">
        <v>1</v>
      </c>
      <c r="J107" s="64">
        <v>1000</v>
      </c>
      <c r="K107" s="63"/>
      <c r="L107" s="68"/>
      <c r="M107" s="68"/>
      <c r="N107" s="68"/>
      <c r="O107" s="63"/>
      <c r="P107" s="70"/>
    </row>
    <row r="108" spans="1:16" ht="23.25" x14ac:dyDescent="0.35">
      <c r="A108" s="63" t="s">
        <v>10</v>
      </c>
      <c r="B108" s="64">
        <v>1500</v>
      </c>
      <c r="C108" s="68"/>
      <c r="E108" s="66" t="s">
        <v>22</v>
      </c>
      <c r="F108" s="66" t="s">
        <v>23</v>
      </c>
      <c r="G108" s="66" t="s">
        <v>24</v>
      </c>
      <c r="H108" s="70"/>
      <c r="I108" s="63" t="s">
        <v>10</v>
      </c>
      <c r="J108" s="64">
        <v>2500</v>
      </c>
      <c r="K108" s="72"/>
      <c r="L108" s="69"/>
      <c r="M108" s="66" t="s">
        <v>22</v>
      </c>
      <c r="N108" s="66" t="s">
        <v>23</v>
      </c>
      <c r="O108" s="66" t="s">
        <v>24</v>
      </c>
      <c r="P108" s="70"/>
    </row>
    <row r="109" spans="1:16" ht="23.25" x14ac:dyDescent="0.35">
      <c r="A109" s="63" t="s">
        <v>43</v>
      </c>
      <c r="B109" s="64">
        <v>600</v>
      </c>
      <c r="C109" s="68"/>
      <c r="E109" s="66">
        <f>E114</f>
        <v>3.605</v>
      </c>
      <c r="F109" s="66">
        <f>F114</f>
        <v>4.3775000000000004</v>
      </c>
      <c r="G109" s="66">
        <f>G114</f>
        <v>5.12425</v>
      </c>
      <c r="H109" s="70"/>
      <c r="I109" s="63" t="s">
        <v>43</v>
      </c>
      <c r="J109" s="64">
        <v>800</v>
      </c>
      <c r="K109" s="72"/>
      <c r="L109" s="69"/>
      <c r="M109" s="66">
        <f>M114</f>
        <v>7.0866842105263155</v>
      </c>
      <c r="N109" s="66">
        <f>N114</f>
        <v>8.0641578947368409</v>
      </c>
      <c r="O109" s="66">
        <f>O114</f>
        <v>9.7258631578947359</v>
      </c>
      <c r="P109" s="70"/>
    </row>
    <row r="110" spans="1:16" ht="23.25" x14ac:dyDescent="0.35">
      <c r="A110" s="63" t="s">
        <v>11</v>
      </c>
      <c r="B110" s="64">
        <v>500</v>
      </c>
      <c r="C110" s="68"/>
      <c r="G110" s="65"/>
      <c r="H110" s="70"/>
      <c r="I110" s="63" t="s">
        <v>11</v>
      </c>
      <c r="J110" s="64">
        <v>1000</v>
      </c>
      <c r="K110" s="72"/>
      <c r="L110" s="69"/>
      <c r="M110" s="69"/>
      <c r="N110" s="69"/>
      <c r="O110" s="65"/>
      <c r="P110" s="70"/>
    </row>
    <row r="111" spans="1:16" ht="23.25" x14ac:dyDescent="0.35">
      <c r="A111" s="63" t="s">
        <v>13</v>
      </c>
      <c r="B111" s="64">
        <v>1500</v>
      </c>
      <c r="C111" s="68"/>
      <c r="D111" s="64"/>
      <c r="E111" s="64"/>
      <c r="F111" s="64"/>
      <c r="G111" s="65"/>
      <c r="H111" s="70"/>
      <c r="I111" s="63" t="s">
        <v>13</v>
      </c>
      <c r="J111" s="64">
        <v>1000</v>
      </c>
      <c r="K111" s="72"/>
      <c r="L111" s="64"/>
      <c r="M111" s="64"/>
      <c r="N111" s="64"/>
      <c r="O111" s="65"/>
      <c r="P111" s="70"/>
    </row>
    <row r="112" spans="1:16" ht="23.25" x14ac:dyDescent="0.35">
      <c r="A112" s="63" t="s">
        <v>12</v>
      </c>
      <c r="B112" s="64">
        <v>0</v>
      </c>
      <c r="C112" s="68"/>
      <c r="D112" s="68"/>
      <c r="E112" s="68"/>
      <c r="F112" s="68"/>
      <c r="G112" s="63"/>
      <c r="H112" s="70"/>
      <c r="I112" s="63" t="s">
        <v>12</v>
      </c>
      <c r="J112" s="64">
        <v>1000</v>
      </c>
      <c r="K112" s="72"/>
      <c r="L112" s="68"/>
      <c r="M112" s="68"/>
      <c r="N112" s="68"/>
      <c r="O112" s="63"/>
      <c r="P112" s="70"/>
    </row>
    <row r="113" spans="1:16" ht="23.25" x14ac:dyDescent="0.35">
      <c r="A113" s="63" t="s">
        <v>14</v>
      </c>
      <c r="B113" s="64">
        <v>0</v>
      </c>
      <c r="C113" s="68"/>
      <c r="E113" s="121">
        <v>0.4</v>
      </c>
      <c r="F113" s="121">
        <v>0.6</v>
      </c>
      <c r="G113" s="121">
        <v>0.9</v>
      </c>
      <c r="H113" s="70"/>
      <c r="I113" s="63" t="s">
        <v>14</v>
      </c>
      <c r="J113" s="64">
        <v>200</v>
      </c>
      <c r="K113" s="72"/>
      <c r="L113" s="69"/>
      <c r="M113" s="429">
        <v>0.4</v>
      </c>
      <c r="N113" s="429">
        <v>0.6</v>
      </c>
      <c r="O113" s="429">
        <v>0.9</v>
      </c>
      <c r="P113" s="70"/>
    </row>
    <row r="114" spans="1:16" ht="23.25" x14ac:dyDescent="0.35">
      <c r="A114" s="63" t="s">
        <v>15</v>
      </c>
      <c r="B114" s="64">
        <v>0</v>
      </c>
      <c r="C114" s="68"/>
      <c r="E114" s="64">
        <f>B120*1.4</f>
        <v>3.605</v>
      </c>
      <c r="F114" s="64">
        <f>B120*1.7</f>
        <v>4.3775000000000004</v>
      </c>
      <c r="G114" s="64">
        <f>B120*1.99</f>
        <v>5.12425</v>
      </c>
      <c r="H114" s="70"/>
      <c r="I114" s="63" t="s">
        <v>15</v>
      </c>
      <c r="J114" s="64">
        <v>200</v>
      </c>
      <c r="K114" s="72"/>
      <c r="L114" s="69"/>
      <c r="M114" s="64">
        <f>J120*1.45</f>
        <v>7.0866842105263155</v>
      </c>
      <c r="N114" s="64">
        <f>J120*1.65</f>
        <v>8.0641578947368409</v>
      </c>
      <c r="O114" s="64">
        <f>J120*1.99</f>
        <v>9.7258631578947359</v>
      </c>
      <c r="P114" s="70"/>
    </row>
    <row r="115" spans="1:16" ht="23.25" x14ac:dyDescent="0.35">
      <c r="A115" s="63" t="s">
        <v>27</v>
      </c>
      <c r="B115" s="64">
        <v>0</v>
      </c>
      <c r="C115" s="68"/>
      <c r="D115" s="64"/>
      <c r="E115" s="64"/>
      <c r="F115" s="64"/>
      <c r="G115" s="65"/>
      <c r="H115" s="70"/>
      <c r="I115" s="63" t="s">
        <v>27</v>
      </c>
      <c r="J115" s="64">
        <v>200</v>
      </c>
      <c r="K115" s="72"/>
      <c r="L115" s="64"/>
      <c r="M115" s="64"/>
      <c r="N115" s="64"/>
      <c r="O115" s="65"/>
      <c r="P115" s="70"/>
    </row>
    <row r="116" spans="1:16" ht="23.25" x14ac:dyDescent="0.35">
      <c r="A116" s="63" t="s">
        <v>28</v>
      </c>
      <c r="B116" s="64">
        <v>0</v>
      </c>
      <c r="C116" s="68"/>
      <c r="D116" s="64"/>
      <c r="E116" s="64"/>
      <c r="F116" s="64"/>
      <c r="G116" s="65"/>
      <c r="H116" s="70"/>
      <c r="I116" s="63" t="s">
        <v>28</v>
      </c>
      <c r="J116" s="64">
        <v>100</v>
      </c>
      <c r="K116" s="72"/>
      <c r="L116" s="64"/>
      <c r="M116" s="64"/>
      <c r="N116" s="64"/>
      <c r="O116" s="65"/>
      <c r="P116" s="70"/>
    </row>
    <row r="117" spans="1:16" ht="23.25" x14ac:dyDescent="0.35">
      <c r="A117" s="63" t="s">
        <v>16</v>
      </c>
      <c r="B117" s="64">
        <v>350</v>
      </c>
      <c r="C117" s="68"/>
      <c r="D117" s="64"/>
      <c r="E117" s="64"/>
      <c r="F117" s="64"/>
      <c r="G117" s="65"/>
      <c r="H117" s="70"/>
      <c r="I117" s="63" t="s">
        <v>16</v>
      </c>
      <c r="J117" s="64">
        <v>350</v>
      </c>
      <c r="K117" s="72"/>
      <c r="L117" s="64"/>
      <c r="M117" s="64"/>
      <c r="N117" s="64"/>
      <c r="O117" s="65"/>
      <c r="P117" s="70"/>
    </row>
    <row r="118" spans="1:16" ht="23.25" x14ac:dyDescent="0.35">
      <c r="A118" s="63" t="s">
        <v>17</v>
      </c>
      <c r="B118" s="64">
        <v>50</v>
      </c>
      <c r="C118" s="63"/>
      <c r="D118" s="72"/>
      <c r="E118" s="72"/>
      <c r="F118" s="72"/>
      <c r="G118" s="70"/>
      <c r="H118" s="70"/>
      <c r="I118" s="63" t="s">
        <v>17</v>
      </c>
      <c r="J118" s="64">
        <v>750</v>
      </c>
      <c r="K118" s="63"/>
      <c r="L118" s="72"/>
      <c r="M118" s="72"/>
      <c r="N118" s="72"/>
      <c r="O118" s="70"/>
      <c r="P118" s="70"/>
    </row>
    <row r="119" spans="1:16" ht="23.25" x14ac:dyDescent="0.35">
      <c r="A119" s="63" t="s">
        <v>18</v>
      </c>
      <c r="B119" s="117">
        <v>2700</v>
      </c>
      <c r="C119" s="68"/>
      <c r="D119" s="72"/>
      <c r="E119" s="72"/>
      <c r="F119" s="72"/>
      <c r="G119" s="70"/>
      <c r="H119" s="70"/>
      <c r="I119" s="63" t="s">
        <v>18</v>
      </c>
      <c r="J119" s="117">
        <v>4000</v>
      </c>
      <c r="K119" s="72"/>
      <c r="L119" s="72"/>
      <c r="M119" s="72"/>
      <c r="N119" s="72"/>
      <c r="O119" s="70"/>
      <c r="P119" s="70"/>
    </row>
    <row r="120" spans="1:16" ht="23.25" x14ac:dyDescent="0.35">
      <c r="A120" s="63"/>
      <c r="B120" s="64">
        <f>SUM(B106:B119)/G4</f>
        <v>2.5750000000000002</v>
      </c>
      <c r="C120" s="68"/>
      <c r="D120" s="72"/>
      <c r="E120" s="72"/>
      <c r="F120" s="72"/>
      <c r="G120" s="70"/>
      <c r="H120" s="70"/>
      <c r="I120" s="63"/>
      <c r="J120" s="64">
        <f>SUM(J106:J119)/O4</f>
        <v>4.8873684210526314</v>
      </c>
      <c r="K120" s="72"/>
      <c r="L120" s="72"/>
      <c r="M120" s="72"/>
      <c r="N120" s="72"/>
      <c r="O120" s="70"/>
      <c r="P120" s="70"/>
    </row>
    <row r="121" spans="1:16" ht="23.25" x14ac:dyDescent="0.35">
      <c r="A121" s="70"/>
      <c r="B121" s="72"/>
      <c r="C121" s="68"/>
      <c r="D121" s="72"/>
      <c r="E121" s="72"/>
      <c r="F121" s="72"/>
      <c r="G121" s="70"/>
      <c r="H121" s="70"/>
    </row>
    <row r="122" spans="1:16" ht="23.25" x14ac:dyDescent="0.35">
      <c r="A122" s="70"/>
      <c r="B122" s="72"/>
      <c r="C122" s="68"/>
      <c r="D122" s="72"/>
      <c r="E122" s="72"/>
      <c r="F122" s="72"/>
      <c r="G122" s="70"/>
      <c r="H122" s="70"/>
    </row>
    <row r="123" spans="1:16" ht="61.5" x14ac:dyDescent="0.35">
      <c r="A123" s="926" t="s">
        <v>42</v>
      </c>
      <c r="B123" s="926"/>
      <c r="C123" s="926"/>
      <c r="D123" s="926" t="s">
        <v>154</v>
      </c>
      <c r="E123" s="926"/>
      <c r="F123" s="926"/>
      <c r="G123" s="926"/>
      <c r="H123" s="70"/>
      <c r="I123" s="926" t="s">
        <v>42</v>
      </c>
      <c r="J123" s="926"/>
      <c r="K123" s="926"/>
      <c r="L123" s="69"/>
      <c r="M123" s="1001" t="s">
        <v>36</v>
      </c>
      <c r="N123" s="1001"/>
      <c r="O123" s="1001"/>
      <c r="P123" s="70"/>
    </row>
    <row r="124" spans="1:16" ht="46.5" x14ac:dyDescent="0.7">
      <c r="A124" s="993" t="s">
        <v>56</v>
      </c>
      <c r="B124" s="993"/>
      <c r="D124" s="129"/>
      <c r="E124" s="129"/>
      <c r="F124" s="427" t="s">
        <v>296</v>
      </c>
      <c r="G124" s="63"/>
      <c r="H124" s="70"/>
      <c r="I124" s="998" t="s">
        <v>113</v>
      </c>
      <c r="J124" s="998"/>
      <c r="K124" s="69"/>
      <c r="L124" s="128"/>
      <c r="M124" s="1002" t="s">
        <v>113</v>
      </c>
      <c r="N124" s="1002"/>
      <c r="O124" s="1002"/>
      <c r="P124" s="1002"/>
    </row>
    <row r="125" spans="1:16" ht="23.25" x14ac:dyDescent="0.35">
      <c r="A125" s="63" t="s">
        <v>9</v>
      </c>
      <c r="B125" s="64">
        <f>0.6*1.14*4000</f>
        <v>2735.9999999999995</v>
      </c>
      <c r="C125" s="63"/>
      <c r="D125" s="68"/>
      <c r="E125" s="68"/>
      <c r="F125" s="68"/>
      <c r="G125" s="63"/>
      <c r="H125" s="70"/>
      <c r="I125" s="63" t="s">
        <v>9</v>
      </c>
      <c r="J125" s="64">
        <f>0.6*1.5*3800</f>
        <v>3419.9999999999995</v>
      </c>
      <c r="K125" s="63"/>
      <c r="L125" s="68"/>
      <c r="M125" s="68"/>
      <c r="N125" s="68"/>
      <c r="O125" s="63"/>
      <c r="P125" s="70"/>
    </row>
    <row r="126" spans="1:16" ht="23.25" x14ac:dyDescent="0.35">
      <c r="A126" s="63" t="s">
        <v>1</v>
      </c>
      <c r="B126" s="64">
        <v>700</v>
      </c>
      <c r="C126" s="63"/>
      <c r="D126" s="68"/>
      <c r="E126" s="68"/>
      <c r="F126" s="68"/>
      <c r="G126" s="63"/>
      <c r="H126" s="70"/>
      <c r="I126" s="63" t="s">
        <v>1</v>
      </c>
      <c r="J126" s="64">
        <v>700</v>
      </c>
      <c r="K126" s="63"/>
      <c r="L126" s="68"/>
      <c r="M126" s="68"/>
      <c r="N126" s="68"/>
      <c r="O126" s="63"/>
      <c r="P126" s="70"/>
    </row>
    <row r="127" spans="1:16" ht="23.25" x14ac:dyDescent="0.35">
      <c r="A127" s="63" t="s">
        <v>10</v>
      </c>
      <c r="B127" s="64">
        <v>2000</v>
      </c>
      <c r="C127" s="63"/>
      <c r="D127" s="68"/>
      <c r="E127" s="68"/>
      <c r="F127" s="68"/>
      <c r="G127" s="63"/>
      <c r="H127" s="70"/>
      <c r="I127" s="63" t="s">
        <v>10</v>
      </c>
      <c r="J127" s="64">
        <v>2500</v>
      </c>
      <c r="K127" s="72"/>
      <c r="L127" s="69"/>
      <c r="M127" s="66" t="s">
        <v>22</v>
      </c>
      <c r="N127" s="66" t="s">
        <v>23</v>
      </c>
      <c r="O127" s="66" t="s">
        <v>24</v>
      </c>
      <c r="P127" s="70"/>
    </row>
    <row r="128" spans="1:16" ht="23.25" x14ac:dyDescent="0.35">
      <c r="A128" s="63" t="s">
        <v>94</v>
      </c>
      <c r="B128" s="64">
        <v>0</v>
      </c>
      <c r="C128" s="68"/>
      <c r="E128" s="66" t="s">
        <v>22</v>
      </c>
      <c r="F128" s="66" t="s">
        <v>23</v>
      </c>
      <c r="G128" s="66" t="s">
        <v>24</v>
      </c>
      <c r="H128" s="70"/>
      <c r="I128" s="63" t="s">
        <v>43</v>
      </c>
      <c r="J128" s="64">
        <v>1000</v>
      </c>
      <c r="K128" s="72"/>
      <c r="L128" s="69"/>
      <c r="M128" s="66">
        <f>M133</f>
        <v>5.5019999999999998</v>
      </c>
      <c r="N128" s="66">
        <f>N133</f>
        <v>6.8775000000000004</v>
      </c>
      <c r="O128" s="66">
        <f>O133</f>
        <v>7.8207000000000004</v>
      </c>
      <c r="P128" s="70"/>
    </row>
    <row r="129" spans="1:16" ht="23.25" x14ac:dyDescent="0.35">
      <c r="A129" s="63" t="s">
        <v>43</v>
      </c>
      <c r="B129" s="64">
        <v>500</v>
      </c>
      <c r="C129" s="68"/>
      <c r="E129" s="66">
        <f>E134</f>
        <v>4.6676000000000002</v>
      </c>
      <c r="F129" s="66">
        <f>F134</f>
        <v>5.3344000000000005</v>
      </c>
      <c r="G129" s="66">
        <f>G134</f>
        <v>6.6346600000000002</v>
      </c>
      <c r="H129" s="70"/>
      <c r="I129" s="63" t="s">
        <v>11</v>
      </c>
      <c r="J129" s="64">
        <v>0</v>
      </c>
      <c r="K129" s="72"/>
      <c r="L129" s="69"/>
      <c r="M129" s="69"/>
      <c r="N129" s="69"/>
      <c r="O129" s="65"/>
      <c r="P129" s="70"/>
    </row>
    <row r="130" spans="1:16" ht="23.25" x14ac:dyDescent="0.35">
      <c r="A130" s="63" t="s">
        <v>11</v>
      </c>
      <c r="B130" s="64">
        <v>1000</v>
      </c>
      <c r="C130" s="68"/>
      <c r="E130" s="64"/>
      <c r="F130" s="64"/>
      <c r="G130" s="64"/>
      <c r="H130" s="70"/>
      <c r="I130" s="63" t="s">
        <v>13</v>
      </c>
      <c r="J130" s="64">
        <v>3000</v>
      </c>
      <c r="K130" s="72"/>
      <c r="L130" s="64"/>
      <c r="M130" s="64"/>
      <c r="N130" s="64"/>
      <c r="O130" s="65"/>
      <c r="P130" s="70"/>
    </row>
    <row r="131" spans="1:16" ht="23.25" x14ac:dyDescent="0.35">
      <c r="A131" s="63" t="s">
        <v>13</v>
      </c>
      <c r="B131" s="64">
        <v>500</v>
      </c>
      <c r="C131" s="68"/>
      <c r="E131" s="68"/>
      <c r="F131" s="68"/>
      <c r="G131" s="68"/>
      <c r="H131" s="70"/>
      <c r="I131" s="63" t="s">
        <v>12</v>
      </c>
      <c r="J131" s="64">
        <v>1000</v>
      </c>
      <c r="K131" s="72"/>
      <c r="L131" s="68"/>
      <c r="M131" s="68"/>
      <c r="N131" s="68"/>
      <c r="O131" s="63"/>
      <c r="P131" s="70"/>
    </row>
    <row r="132" spans="1:16" ht="23.25" x14ac:dyDescent="0.35">
      <c r="A132" s="63" t="s">
        <v>12</v>
      </c>
      <c r="B132" s="64">
        <v>1000</v>
      </c>
      <c r="C132" s="68"/>
      <c r="E132" s="68"/>
      <c r="F132" s="68"/>
      <c r="G132" s="68"/>
      <c r="H132" s="70"/>
      <c r="I132" s="63" t="s">
        <v>14</v>
      </c>
      <c r="J132" s="64">
        <v>200</v>
      </c>
      <c r="K132" s="72"/>
      <c r="L132" s="69"/>
      <c r="M132" s="429">
        <v>0.4</v>
      </c>
      <c r="N132" s="429">
        <v>0.6</v>
      </c>
      <c r="O132" s="429">
        <v>0.9</v>
      </c>
      <c r="P132" s="70"/>
    </row>
    <row r="133" spans="1:16" ht="23.25" x14ac:dyDescent="0.35">
      <c r="A133" s="63" t="s">
        <v>14</v>
      </c>
      <c r="B133" s="64">
        <v>0</v>
      </c>
      <c r="C133" s="68"/>
      <c r="E133" s="121">
        <v>0.4</v>
      </c>
      <c r="F133" s="121">
        <v>0.6</v>
      </c>
      <c r="G133" s="121">
        <v>0.9</v>
      </c>
      <c r="H133" s="70"/>
      <c r="I133" s="63" t="s">
        <v>15</v>
      </c>
      <c r="J133" s="64">
        <v>0</v>
      </c>
      <c r="K133" s="72"/>
      <c r="L133" s="69"/>
      <c r="M133" s="64">
        <f>J139*1.4</f>
        <v>5.5019999999999998</v>
      </c>
      <c r="N133" s="64">
        <f>J139*1.75</f>
        <v>6.8775000000000004</v>
      </c>
      <c r="O133" s="64">
        <f>J139*1.99</f>
        <v>7.8207000000000004</v>
      </c>
      <c r="P133" s="70"/>
    </row>
    <row r="134" spans="1:16" ht="23.25" x14ac:dyDescent="0.35">
      <c r="A134" s="63" t="s">
        <v>15</v>
      </c>
      <c r="B134" s="64">
        <v>500</v>
      </c>
      <c r="C134" s="68"/>
      <c r="E134" s="64">
        <f>B140*1.4</f>
        <v>4.6676000000000002</v>
      </c>
      <c r="F134" s="64">
        <f>B140*1.6</f>
        <v>5.3344000000000005</v>
      </c>
      <c r="G134" s="64">
        <f>B140*1.99</f>
        <v>6.6346600000000002</v>
      </c>
      <c r="H134" s="70"/>
      <c r="I134" s="63" t="s">
        <v>27</v>
      </c>
      <c r="J134" s="64">
        <v>200</v>
      </c>
      <c r="K134" s="72"/>
      <c r="L134" s="64"/>
      <c r="M134" s="64"/>
      <c r="N134" s="64"/>
      <c r="O134" s="65"/>
      <c r="P134" s="70"/>
    </row>
    <row r="135" spans="1:16" ht="23.25" x14ac:dyDescent="0.35">
      <c r="A135" s="63" t="s">
        <v>27</v>
      </c>
      <c r="B135" s="64">
        <v>50</v>
      </c>
      <c r="C135" s="68"/>
      <c r="D135" s="64"/>
      <c r="E135" s="64"/>
      <c r="F135" s="64"/>
      <c r="G135" s="65"/>
      <c r="H135" s="70"/>
      <c r="I135" s="63" t="s">
        <v>28</v>
      </c>
      <c r="J135" s="64">
        <v>100</v>
      </c>
      <c r="K135" s="72"/>
      <c r="L135" s="64"/>
      <c r="M135" s="64"/>
      <c r="N135" s="64"/>
      <c r="O135" s="65"/>
      <c r="P135" s="70"/>
    </row>
    <row r="136" spans="1:16" ht="23.25" x14ac:dyDescent="0.35">
      <c r="A136" s="63" t="s">
        <v>28</v>
      </c>
      <c r="B136" s="64">
        <v>50</v>
      </c>
      <c r="C136" s="68"/>
      <c r="D136" s="64"/>
      <c r="E136" s="64"/>
      <c r="F136" s="64"/>
      <c r="G136" s="65"/>
      <c r="H136" s="70"/>
      <c r="I136" s="63" t="s">
        <v>16</v>
      </c>
      <c r="J136" s="64">
        <v>350</v>
      </c>
      <c r="K136" s="72"/>
      <c r="L136" s="64"/>
      <c r="M136" s="64"/>
      <c r="N136" s="64"/>
      <c r="O136" s="65"/>
      <c r="P136" s="70"/>
    </row>
    <row r="137" spans="1:16" ht="23.25" x14ac:dyDescent="0.35">
      <c r="A137" s="63" t="s">
        <v>16</v>
      </c>
      <c r="B137" s="64">
        <v>250</v>
      </c>
      <c r="C137" s="68"/>
      <c r="D137" s="64"/>
      <c r="E137" s="64"/>
      <c r="F137" s="64"/>
      <c r="G137" s="65"/>
      <c r="H137" s="70"/>
      <c r="I137" s="63" t="s">
        <v>17</v>
      </c>
      <c r="J137" s="64">
        <v>550</v>
      </c>
      <c r="K137" s="63"/>
      <c r="L137" s="72"/>
      <c r="M137" s="72"/>
      <c r="N137" s="72"/>
      <c r="O137" s="70"/>
      <c r="P137" s="70"/>
    </row>
    <row r="138" spans="1:16" ht="23.25" x14ac:dyDescent="0.35">
      <c r="A138" s="63" t="s">
        <v>17</v>
      </c>
      <c r="B138" s="64">
        <v>50</v>
      </c>
      <c r="C138" s="63"/>
      <c r="D138" s="72"/>
      <c r="E138" s="72"/>
      <c r="F138" s="72"/>
      <c r="G138" s="70"/>
      <c r="H138" s="70"/>
      <c r="I138" s="63" t="s">
        <v>18</v>
      </c>
      <c r="J138" s="117">
        <v>2700</v>
      </c>
      <c r="K138" s="72"/>
      <c r="L138" s="72"/>
      <c r="M138" s="72"/>
      <c r="N138" s="72"/>
      <c r="O138" s="70"/>
      <c r="P138" s="70"/>
    </row>
    <row r="139" spans="1:16" ht="24" thickBot="1" x14ac:dyDescent="0.4">
      <c r="A139" s="63" t="s">
        <v>18</v>
      </c>
      <c r="B139" s="67">
        <v>4000</v>
      </c>
      <c r="C139" s="68"/>
      <c r="D139" s="72"/>
      <c r="E139" s="72"/>
      <c r="F139" s="72"/>
      <c r="G139" s="70"/>
      <c r="H139" s="70"/>
      <c r="I139" s="63"/>
      <c r="J139" s="64">
        <f>SUM(J125:J138)/G4</f>
        <v>3.93</v>
      </c>
      <c r="K139" s="72"/>
      <c r="L139" s="72"/>
      <c r="M139" s="72"/>
      <c r="N139" s="72"/>
      <c r="O139" s="70"/>
      <c r="P139" s="70"/>
    </row>
    <row r="140" spans="1:16" ht="23.25" x14ac:dyDescent="0.35">
      <c r="A140" s="63"/>
      <c r="B140" s="64">
        <f>SUM(B125:B139)/G4</f>
        <v>3.3340000000000001</v>
      </c>
      <c r="C140" s="68"/>
      <c r="D140" s="72"/>
      <c r="E140" s="72"/>
      <c r="F140" s="72"/>
      <c r="G140" s="70"/>
      <c r="H140" s="70"/>
    </row>
    <row r="141" spans="1:16" ht="23.25" x14ac:dyDescent="0.35">
      <c r="A141" s="63"/>
      <c r="B141" s="64"/>
      <c r="C141" s="68"/>
      <c r="D141" s="72"/>
      <c r="E141" s="72"/>
      <c r="F141" s="72"/>
      <c r="G141" s="70"/>
      <c r="H141" s="70"/>
    </row>
    <row r="142" spans="1:16" ht="23.25" x14ac:dyDescent="0.35">
      <c r="A142" s="70"/>
      <c r="B142" s="72"/>
      <c r="C142" s="68"/>
      <c r="D142" s="72"/>
      <c r="E142" s="72"/>
      <c r="F142" s="72"/>
      <c r="G142" s="70"/>
      <c r="H142" s="70"/>
    </row>
    <row r="143" spans="1:16" ht="31.5" x14ac:dyDescent="0.35">
      <c r="A143" s="73" t="s">
        <v>42</v>
      </c>
      <c r="B143" s="66"/>
      <c r="E143" s="66"/>
      <c r="F143" s="130" t="s">
        <v>149</v>
      </c>
      <c r="G143" s="73"/>
      <c r="H143" s="70"/>
    </row>
    <row r="144" spans="1:16" ht="36" x14ac:dyDescent="0.55000000000000004">
      <c r="A144" s="74"/>
      <c r="B144" s="118"/>
      <c r="D144" s="121"/>
      <c r="E144" s="121"/>
      <c r="F144" s="122" t="s">
        <v>298</v>
      </c>
      <c r="G144" s="63"/>
      <c r="H144" s="70"/>
    </row>
    <row r="145" spans="1:8" ht="23.25" x14ac:dyDescent="0.35">
      <c r="A145" s="63" t="s">
        <v>9</v>
      </c>
      <c r="B145" s="64">
        <f>0.7*1.8*G4</f>
        <v>5040</v>
      </c>
      <c r="C145" s="63"/>
      <c r="D145" s="68"/>
      <c r="E145" s="68"/>
      <c r="F145" s="68"/>
      <c r="G145" s="63"/>
      <c r="H145" s="70"/>
    </row>
    <row r="146" spans="1:8" ht="23.25" x14ac:dyDescent="0.35">
      <c r="A146" s="63" t="s">
        <v>1</v>
      </c>
      <c r="B146" s="64">
        <v>700</v>
      </c>
      <c r="C146" s="63"/>
      <c r="D146" s="68"/>
      <c r="E146" s="68"/>
      <c r="F146" s="68"/>
      <c r="G146" s="63"/>
      <c r="H146" s="70"/>
    </row>
    <row r="147" spans="1:8" ht="23.25" x14ac:dyDescent="0.35">
      <c r="A147" s="63" t="s">
        <v>10</v>
      </c>
      <c r="B147" s="64">
        <v>1500</v>
      </c>
      <c r="C147" s="68"/>
      <c r="E147" s="66" t="s">
        <v>22</v>
      </c>
      <c r="F147" s="66" t="s">
        <v>23</v>
      </c>
      <c r="G147" s="66" t="s">
        <v>24</v>
      </c>
      <c r="H147" s="70"/>
    </row>
    <row r="148" spans="1:8" ht="23.25" x14ac:dyDescent="0.35">
      <c r="A148" s="63" t="s">
        <v>94</v>
      </c>
      <c r="B148" s="64">
        <f>0.8*11000</f>
        <v>8800</v>
      </c>
      <c r="C148" s="68"/>
      <c r="E148" s="66">
        <f>E154</f>
        <v>8.2040000000000006</v>
      </c>
      <c r="F148" s="66">
        <f>F154</f>
        <v>9.6690000000000005</v>
      </c>
      <c r="G148" s="66">
        <f>G154</f>
        <v>11.6614</v>
      </c>
      <c r="H148" s="70"/>
    </row>
    <row r="149" spans="1:8" ht="23.25" x14ac:dyDescent="0.35">
      <c r="A149" s="63" t="s">
        <v>43</v>
      </c>
      <c r="B149" s="64">
        <v>800</v>
      </c>
      <c r="C149" s="68"/>
      <c r="E149" s="64"/>
      <c r="F149" s="64"/>
      <c r="G149" s="64"/>
      <c r="H149" s="70"/>
    </row>
    <row r="150" spans="1:8" ht="23.25" x14ac:dyDescent="0.35">
      <c r="A150" s="63" t="s">
        <v>11</v>
      </c>
      <c r="B150" s="64">
        <v>1000</v>
      </c>
      <c r="C150" s="68"/>
      <c r="E150" s="68"/>
      <c r="F150" s="68"/>
      <c r="G150" s="68"/>
      <c r="H150" s="70"/>
    </row>
    <row r="151" spans="1:8" ht="23.25" x14ac:dyDescent="0.35">
      <c r="A151" s="63" t="s">
        <v>13</v>
      </c>
      <c r="B151" s="64">
        <v>0</v>
      </c>
      <c r="C151" s="68"/>
      <c r="E151" s="68"/>
      <c r="F151" s="68"/>
      <c r="G151" s="68"/>
      <c r="H151" s="70"/>
    </row>
    <row r="152" spans="1:8" ht="23.25" x14ac:dyDescent="0.35">
      <c r="A152" s="63" t="s">
        <v>12</v>
      </c>
      <c r="B152" s="64">
        <v>1000</v>
      </c>
      <c r="C152" s="68"/>
      <c r="E152" s="68"/>
      <c r="F152" s="68"/>
      <c r="G152" s="68"/>
      <c r="H152" s="70"/>
    </row>
    <row r="153" spans="1:8" ht="23.25" x14ac:dyDescent="0.35">
      <c r="A153" s="63" t="s">
        <v>14</v>
      </c>
      <c r="B153" s="64">
        <v>0</v>
      </c>
      <c r="C153" s="68"/>
      <c r="E153" s="121">
        <v>0.4</v>
      </c>
      <c r="F153" s="121">
        <v>0.6</v>
      </c>
      <c r="G153" s="121">
        <v>0.9</v>
      </c>
      <c r="H153" s="70"/>
    </row>
    <row r="154" spans="1:8" ht="23.25" x14ac:dyDescent="0.35">
      <c r="A154" s="63" t="s">
        <v>15</v>
      </c>
      <c r="B154" s="64">
        <v>0</v>
      </c>
      <c r="C154" s="68"/>
      <c r="E154" s="64">
        <f>B160*1.4</f>
        <v>8.2040000000000006</v>
      </c>
      <c r="F154" s="64">
        <f>B160*1.65</f>
        <v>9.6690000000000005</v>
      </c>
      <c r="G154" s="64">
        <f>B160*1.99</f>
        <v>11.6614</v>
      </c>
      <c r="H154" s="70"/>
    </row>
    <row r="155" spans="1:8" ht="23.25" x14ac:dyDescent="0.35">
      <c r="A155" s="63" t="s">
        <v>27</v>
      </c>
      <c r="B155" s="64">
        <v>0</v>
      </c>
      <c r="C155" s="68"/>
      <c r="D155" s="64"/>
      <c r="E155" s="64"/>
      <c r="F155" s="64"/>
      <c r="G155" s="65"/>
      <c r="H155" s="70"/>
    </row>
    <row r="156" spans="1:8" ht="23.25" x14ac:dyDescent="0.35">
      <c r="A156" s="63" t="s">
        <v>28</v>
      </c>
      <c r="B156" s="64">
        <v>100</v>
      </c>
      <c r="C156" s="68"/>
      <c r="D156" s="64"/>
      <c r="E156" s="64"/>
      <c r="F156" s="64"/>
      <c r="G156" s="65"/>
      <c r="H156" s="70"/>
    </row>
    <row r="157" spans="1:8" ht="23.25" x14ac:dyDescent="0.35">
      <c r="A157" s="63" t="s">
        <v>16</v>
      </c>
      <c r="B157" s="64">
        <v>250</v>
      </c>
      <c r="C157" s="68"/>
      <c r="D157" s="64"/>
      <c r="E157" s="64"/>
      <c r="F157" s="64"/>
      <c r="G157" s="65"/>
      <c r="H157" s="70"/>
    </row>
    <row r="158" spans="1:8" ht="23.25" x14ac:dyDescent="0.35">
      <c r="A158" s="63" t="s">
        <v>17</v>
      </c>
      <c r="B158" s="64">
        <v>750</v>
      </c>
      <c r="C158" s="63"/>
      <c r="D158" s="72"/>
      <c r="E158" s="72"/>
      <c r="F158" s="72"/>
      <c r="G158" s="70"/>
      <c r="H158" s="70"/>
    </row>
    <row r="159" spans="1:8" ht="23.25" x14ac:dyDescent="0.35">
      <c r="A159" s="63" t="s">
        <v>18</v>
      </c>
      <c r="B159" s="117">
        <v>3500</v>
      </c>
      <c r="C159" s="68"/>
      <c r="D159" s="72"/>
      <c r="E159" s="72"/>
      <c r="F159" s="72"/>
      <c r="G159" s="70"/>
      <c r="H159" s="70"/>
    </row>
    <row r="160" spans="1:8" ht="23.25" x14ac:dyDescent="0.35">
      <c r="A160" s="63"/>
      <c r="B160" s="64">
        <f>SUM(B145:B159)/G4</f>
        <v>5.86</v>
      </c>
      <c r="C160" s="68"/>
      <c r="D160" s="72"/>
      <c r="E160" s="72"/>
      <c r="F160" s="72"/>
      <c r="G160" s="70"/>
      <c r="H160" s="70"/>
    </row>
  </sheetData>
  <mergeCells count="41">
    <mergeCell ref="I124:J124"/>
    <mergeCell ref="M124:P124"/>
    <mergeCell ref="D104:H104"/>
    <mergeCell ref="M105:P105"/>
    <mergeCell ref="E105:H105"/>
    <mergeCell ref="I123:K123"/>
    <mergeCell ref="M123:O123"/>
    <mergeCell ref="I85:K85"/>
    <mergeCell ref="I86:J86"/>
    <mergeCell ref="I104:K104"/>
    <mergeCell ref="M104:O104"/>
    <mergeCell ref="I105:J105"/>
    <mergeCell ref="I25:J25"/>
    <mergeCell ref="I1:P1"/>
    <mergeCell ref="I2:J2"/>
    <mergeCell ref="K2:P2"/>
    <mergeCell ref="I3:J3"/>
    <mergeCell ref="I24:J24"/>
    <mergeCell ref="K24:P24"/>
    <mergeCell ref="A123:C123"/>
    <mergeCell ref="A124:B124"/>
    <mergeCell ref="D123:G123"/>
    <mergeCell ref="A25:B25"/>
    <mergeCell ref="A44:H44"/>
    <mergeCell ref="A45:B45"/>
    <mergeCell ref="C45:H45"/>
    <mergeCell ref="A46:B46"/>
    <mergeCell ref="A64:B64"/>
    <mergeCell ref="C64:H64"/>
    <mergeCell ref="A65:B65"/>
    <mergeCell ref="A85:C85"/>
    <mergeCell ref="A86:B86"/>
    <mergeCell ref="A104:C104"/>
    <mergeCell ref="A105:B105"/>
    <mergeCell ref="C24:H24"/>
    <mergeCell ref="C2:H2"/>
    <mergeCell ref="A1:H1"/>
    <mergeCell ref="A2:B2"/>
    <mergeCell ref="A3:B3"/>
    <mergeCell ref="A24:B24"/>
    <mergeCell ref="E8:G8"/>
  </mergeCells>
  <pageMargins left="0.25" right="0.25" top="0.75" bottom="0.75" header="0.3" footer="0.3"/>
  <pageSetup scale="65" orientation="portrait" r:id="rId1"/>
  <rowBreaks count="3" manualBreakCount="3">
    <brk id="42" max="16383" man="1"/>
    <brk id="83" max="16383" man="1"/>
    <brk id="122" max="16383" man="1"/>
  </rowBreaks>
  <colBreaks count="1" manualBreakCount="1">
    <brk id="8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P77"/>
  <sheetViews>
    <sheetView zoomScale="50" zoomScaleNormal="50" zoomScaleSheetLayoutView="70" workbookViewId="0">
      <selection activeCell="C24" sqref="C24"/>
    </sheetView>
  </sheetViews>
  <sheetFormatPr baseColWidth="10" defaultRowHeight="15" x14ac:dyDescent="0.25"/>
  <cols>
    <col min="1" max="1" width="38.140625" customWidth="1"/>
    <col min="2" max="2" width="21" style="2" customWidth="1"/>
    <col min="3" max="3" width="16.140625" style="2" customWidth="1"/>
    <col min="4" max="4" width="19.140625" style="2" customWidth="1"/>
    <col min="5" max="5" width="16.42578125" style="2" customWidth="1"/>
    <col min="6" max="6" width="17.28515625" style="2" customWidth="1"/>
    <col min="9" max="9" width="39.28515625" style="29" bestFit="1" customWidth="1"/>
    <col min="10" max="10" width="17.85546875" style="2" customWidth="1"/>
    <col min="11" max="11" width="16.42578125" style="2" bestFit="1" customWidth="1"/>
    <col min="12" max="12" width="21.5703125" style="2" bestFit="1" customWidth="1"/>
    <col min="13" max="13" width="17.28515625" style="2" bestFit="1" customWidth="1"/>
    <col min="14" max="14" width="22.85546875" style="2" customWidth="1"/>
    <col min="15" max="15" width="16.5703125" customWidth="1"/>
  </cols>
  <sheetData>
    <row r="2" spans="1:16" ht="31.5" x14ac:dyDescent="0.5">
      <c r="A2" s="42"/>
      <c r="B2" s="131"/>
      <c r="C2" s="1005" t="s">
        <v>104</v>
      </c>
      <c r="D2" s="1005"/>
      <c r="E2" s="1005"/>
      <c r="F2" s="1005"/>
      <c r="G2" s="1005"/>
      <c r="H2" s="1005"/>
      <c r="I2" s="42"/>
      <c r="J2" s="131"/>
      <c r="K2" s="1005" t="s">
        <v>287</v>
      </c>
      <c r="L2" s="1005"/>
      <c r="M2" s="1005"/>
      <c r="N2" s="1005"/>
      <c r="O2" s="1005"/>
      <c r="P2" s="1005"/>
    </row>
    <row r="3" spans="1:16" ht="28.5" x14ac:dyDescent="0.45">
      <c r="A3" s="942" t="s">
        <v>391</v>
      </c>
      <c r="B3" s="942"/>
      <c r="C3" s="105"/>
      <c r="D3" s="132" t="s">
        <v>52</v>
      </c>
      <c r="E3" s="105"/>
      <c r="F3" s="105"/>
      <c r="G3" s="43"/>
      <c r="H3" s="43"/>
      <c r="I3" s="942" t="s">
        <v>158</v>
      </c>
      <c r="J3" s="942"/>
      <c r="K3" s="105"/>
      <c r="L3" s="132" t="s">
        <v>52</v>
      </c>
      <c r="M3" s="105"/>
      <c r="N3" s="105"/>
      <c r="O3" s="43"/>
      <c r="P3" s="43"/>
    </row>
    <row r="4" spans="1:16" ht="24.95" customHeight="1" x14ac:dyDescent="0.35">
      <c r="A4" s="20" t="s">
        <v>9</v>
      </c>
      <c r="B4" s="23">
        <f>0.8*3*F4</f>
        <v>9120.0000000000018</v>
      </c>
      <c r="C4" s="114"/>
      <c r="D4" s="114"/>
      <c r="E4" s="114"/>
      <c r="F4" s="23">
        <v>3800</v>
      </c>
      <c r="G4" s="21" t="s">
        <v>61</v>
      </c>
      <c r="H4" s="20"/>
      <c r="I4" s="21" t="s">
        <v>9</v>
      </c>
      <c r="J4" s="23">
        <f>0.6*3*N4</f>
        <v>6839.9999999999991</v>
      </c>
      <c r="K4" s="114"/>
      <c r="L4" s="114"/>
      <c r="M4" s="114"/>
      <c r="N4" s="23">
        <v>3800</v>
      </c>
      <c r="O4" s="21" t="s">
        <v>61</v>
      </c>
      <c r="P4" s="20"/>
    </row>
    <row r="5" spans="1:16" ht="24.95" customHeight="1" x14ac:dyDescent="0.35">
      <c r="A5" s="20" t="s">
        <v>1</v>
      </c>
      <c r="B5" s="23">
        <v>1000</v>
      </c>
      <c r="C5" s="114"/>
      <c r="D5" s="114"/>
      <c r="E5" s="114"/>
      <c r="F5" s="114"/>
      <c r="G5" s="20"/>
      <c r="H5" s="20"/>
      <c r="I5" s="21" t="s">
        <v>1</v>
      </c>
      <c r="J5" s="23">
        <v>1000</v>
      </c>
      <c r="K5" s="114"/>
      <c r="L5" s="114"/>
      <c r="M5" s="114"/>
      <c r="N5" s="114"/>
      <c r="O5" s="20"/>
      <c r="P5" s="20"/>
    </row>
    <row r="6" spans="1:16" ht="24.95" customHeight="1" x14ac:dyDescent="0.4">
      <c r="A6" s="20" t="s">
        <v>10</v>
      </c>
      <c r="B6" s="23">
        <v>2500</v>
      </c>
      <c r="C6" s="114"/>
      <c r="E6" s="133" t="s">
        <v>104</v>
      </c>
      <c r="F6" s="133"/>
      <c r="G6" s="59"/>
      <c r="H6" s="20"/>
      <c r="I6" s="21" t="s">
        <v>10</v>
      </c>
      <c r="J6" s="23">
        <v>2500</v>
      </c>
      <c r="K6" s="114"/>
      <c r="L6" s="114"/>
      <c r="M6" s="114"/>
      <c r="N6" s="114"/>
      <c r="O6" s="20"/>
      <c r="P6" s="20"/>
    </row>
    <row r="7" spans="1:16" ht="24.95" customHeight="1" x14ac:dyDescent="0.35">
      <c r="A7" s="20" t="s">
        <v>11</v>
      </c>
      <c r="B7" s="23">
        <v>3000</v>
      </c>
      <c r="C7" s="114"/>
      <c r="D7" s="22" t="s">
        <v>22</v>
      </c>
      <c r="E7" s="22" t="s">
        <v>23</v>
      </c>
      <c r="F7" s="22" t="s">
        <v>24</v>
      </c>
      <c r="G7" s="21"/>
      <c r="H7" s="20"/>
      <c r="I7" s="21" t="s">
        <v>11</v>
      </c>
      <c r="J7" s="23">
        <v>2000</v>
      </c>
      <c r="K7" s="114"/>
      <c r="L7" s="114"/>
      <c r="M7" s="114"/>
      <c r="N7" s="114"/>
      <c r="O7" s="20"/>
      <c r="P7" s="20"/>
    </row>
    <row r="8" spans="1:16" ht="24.95" customHeight="1" x14ac:dyDescent="0.35">
      <c r="A8" s="20" t="s">
        <v>103</v>
      </c>
      <c r="B8" s="23">
        <f>15000/1.3</f>
        <v>11538.461538461537</v>
      </c>
      <c r="C8" s="114"/>
      <c r="D8" s="22">
        <f>D13</f>
        <v>13.453886639676114</v>
      </c>
      <c r="E8" s="22">
        <f>E13</f>
        <v>16.237449392712552</v>
      </c>
      <c r="F8" s="22">
        <f>F13</f>
        <v>18.4642995951417</v>
      </c>
      <c r="G8" s="21"/>
      <c r="H8" s="20"/>
      <c r="I8" s="21" t="s">
        <v>103</v>
      </c>
      <c r="J8" s="23">
        <f>15000/2</f>
        <v>7500</v>
      </c>
      <c r="K8" s="114"/>
      <c r="L8" s="114"/>
      <c r="M8" s="114"/>
      <c r="N8" s="114"/>
      <c r="O8" s="20"/>
      <c r="P8" s="20"/>
    </row>
    <row r="9" spans="1:16" ht="24.95" customHeight="1" x14ac:dyDescent="0.45">
      <c r="A9" s="20" t="s">
        <v>12</v>
      </c>
      <c r="B9" s="23">
        <v>2000</v>
      </c>
      <c r="C9" s="114"/>
      <c r="D9" s="23"/>
      <c r="E9" s="23"/>
      <c r="F9" s="23"/>
      <c r="G9" s="21"/>
      <c r="H9" s="15"/>
      <c r="I9" s="21" t="s">
        <v>12</v>
      </c>
      <c r="J9" s="23">
        <v>1000</v>
      </c>
      <c r="K9" s="114"/>
      <c r="L9" s="984" t="s">
        <v>104</v>
      </c>
      <c r="M9" s="984"/>
      <c r="N9" s="984"/>
      <c r="O9" s="984"/>
      <c r="P9" s="15"/>
    </row>
    <row r="10" spans="1:16" ht="24.95" customHeight="1" x14ac:dyDescent="0.35">
      <c r="A10" s="20" t="s">
        <v>14</v>
      </c>
      <c r="B10" s="23">
        <v>300</v>
      </c>
      <c r="C10" s="114"/>
      <c r="H10" s="20"/>
      <c r="I10" s="21" t="s">
        <v>14</v>
      </c>
      <c r="J10" s="23">
        <v>300</v>
      </c>
      <c r="K10" s="114"/>
      <c r="L10" s="22" t="s">
        <v>22</v>
      </c>
      <c r="M10" s="22" t="s">
        <v>23</v>
      </c>
      <c r="N10" s="22" t="s">
        <v>24</v>
      </c>
      <c r="O10" s="21"/>
      <c r="P10" s="20"/>
    </row>
    <row r="11" spans="1:16" ht="24.95" customHeight="1" x14ac:dyDescent="0.35">
      <c r="A11" s="20" t="s">
        <v>15</v>
      </c>
      <c r="B11" s="23">
        <v>200</v>
      </c>
      <c r="C11" s="114"/>
      <c r="H11" s="20"/>
      <c r="I11" s="21" t="s">
        <v>15</v>
      </c>
      <c r="J11" s="23">
        <v>200</v>
      </c>
      <c r="K11" s="114"/>
      <c r="L11" s="22">
        <f>L15</f>
        <v>10.279736842105264</v>
      </c>
      <c r="M11" s="22">
        <f>M15</f>
        <v>12.406578947368422</v>
      </c>
      <c r="N11" s="22">
        <f>N15</f>
        <v>14.108052631578948</v>
      </c>
      <c r="O11" s="21"/>
      <c r="P11" s="20"/>
    </row>
    <row r="12" spans="1:16" ht="24.95" customHeight="1" x14ac:dyDescent="0.35">
      <c r="A12" s="20" t="s">
        <v>27</v>
      </c>
      <c r="B12" s="23">
        <v>500</v>
      </c>
      <c r="D12" s="115">
        <v>0.4</v>
      </c>
      <c r="E12" s="115">
        <v>0.55000000000000004</v>
      </c>
      <c r="F12" s="115">
        <v>0.85</v>
      </c>
      <c r="G12" s="20"/>
      <c r="H12" s="20"/>
      <c r="I12" s="21" t="s">
        <v>27</v>
      </c>
      <c r="J12" s="23">
        <v>500</v>
      </c>
      <c r="K12" s="114"/>
      <c r="L12" s="23"/>
      <c r="M12" s="23"/>
      <c r="N12" s="23"/>
      <c r="O12" s="21"/>
      <c r="P12" s="20"/>
    </row>
    <row r="13" spans="1:16" ht="24.95" customHeight="1" x14ac:dyDescent="0.35">
      <c r="A13" s="20" t="s">
        <v>28</v>
      </c>
      <c r="B13" s="23">
        <v>100</v>
      </c>
      <c r="D13" s="23">
        <f>B17*1.45</f>
        <v>13.453886639676114</v>
      </c>
      <c r="E13" s="23">
        <f>B17*1.75</f>
        <v>16.237449392712552</v>
      </c>
      <c r="F13" s="23">
        <f>B17*1.99</f>
        <v>18.4642995951417</v>
      </c>
      <c r="G13" s="20"/>
      <c r="H13" s="20"/>
      <c r="I13" s="21" t="s">
        <v>28</v>
      </c>
      <c r="J13" s="23">
        <v>100</v>
      </c>
      <c r="K13" s="114"/>
      <c r="L13" s="114"/>
      <c r="M13" s="114"/>
      <c r="N13" s="114"/>
      <c r="O13" s="20"/>
      <c r="P13" s="20"/>
    </row>
    <row r="14" spans="1:16" ht="24.95" customHeight="1" x14ac:dyDescent="0.35">
      <c r="A14" s="20" t="s">
        <v>16</v>
      </c>
      <c r="B14" s="23">
        <v>250</v>
      </c>
      <c r="C14" s="23"/>
      <c r="D14" s="23"/>
      <c r="E14" s="23"/>
      <c r="F14" s="23"/>
      <c r="G14" s="20"/>
      <c r="H14" s="20"/>
      <c r="I14" s="21" t="s">
        <v>16</v>
      </c>
      <c r="J14" s="23">
        <v>250</v>
      </c>
      <c r="K14" s="114"/>
      <c r="L14" s="115">
        <v>0.4</v>
      </c>
      <c r="M14" s="115">
        <v>0.55000000000000004</v>
      </c>
      <c r="N14" s="115">
        <v>0.85</v>
      </c>
      <c r="O14" s="20"/>
      <c r="P14" s="20"/>
    </row>
    <row r="15" spans="1:16" ht="24.95" customHeight="1" x14ac:dyDescent="0.35">
      <c r="A15" s="20" t="s">
        <v>17</v>
      </c>
      <c r="B15" s="23">
        <v>750</v>
      </c>
      <c r="C15" s="23"/>
      <c r="D15" s="23"/>
      <c r="E15" s="23"/>
      <c r="F15" s="23"/>
      <c r="G15" s="20"/>
      <c r="H15" s="20"/>
      <c r="I15" s="21" t="s">
        <v>17</v>
      </c>
      <c r="J15" s="23">
        <v>750</v>
      </c>
      <c r="K15" s="114"/>
      <c r="L15" s="23">
        <f>J17*1.45</f>
        <v>10.279736842105264</v>
      </c>
      <c r="M15" s="23">
        <f>J17*1.75</f>
        <v>12.406578947368422</v>
      </c>
      <c r="N15" s="23">
        <f>J17*1.99</f>
        <v>14.108052631578948</v>
      </c>
      <c r="O15" s="20"/>
      <c r="P15" s="20"/>
    </row>
    <row r="16" spans="1:16" ht="24.95" customHeight="1" thickBot="1" x14ac:dyDescent="0.4">
      <c r="A16" s="20" t="s">
        <v>18</v>
      </c>
      <c r="B16" s="116">
        <v>4000</v>
      </c>
      <c r="C16" s="23"/>
      <c r="D16" s="23"/>
      <c r="E16" s="23"/>
      <c r="F16" s="23"/>
      <c r="G16" s="20"/>
      <c r="H16" s="20"/>
      <c r="I16" s="21" t="s">
        <v>18</v>
      </c>
      <c r="J16" s="116">
        <v>4000</v>
      </c>
      <c r="N16" s="23"/>
      <c r="O16" s="20"/>
      <c r="P16" s="20"/>
    </row>
    <row r="17" spans="1:16" ht="24.95" customHeight="1" x14ac:dyDescent="0.35">
      <c r="A17" s="20"/>
      <c r="B17" s="23">
        <f>SUM(B4:B16)/F4</f>
        <v>9.2785425101214578</v>
      </c>
      <c r="H17" s="20"/>
      <c r="I17" s="21"/>
      <c r="J17" s="23">
        <f>SUM(J4:J16)/F4</f>
        <v>7.0894736842105264</v>
      </c>
      <c r="N17" s="23"/>
      <c r="O17" s="20"/>
      <c r="P17" s="20"/>
    </row>
    <row r="18" spans="1:16" ht="24.95" customHeight="1" x14ac:dyDescent="0.35">
      <c r="A18" s="20"/>
      <c r="B18" s="23"/>
      <c r="H18" s="20"/>
      <c r="I18" s="21"/>
      <c r="J18" s="23"/>
      <c r="K18" s="23"/>
      <c r="L18" s="23"/>
      <c r="M18" s="23"/>
      <c r="N18" s="23"/>
      <c r="O18" s="20"/>
      <c r="P18" s="20"/>
    </row>
    <row r="19" spans="1:16" ht="24.95" customHeight="1" x14ac:dyDescent="0.35">
      <c r="A19" s="20"/>
      <c r="B19" s="114"/>
      <c r="H19" s="20"/>
      <c r="I19" s="21"/>
      <c r="J19" s="114"/>
      <c r="K19" s="23"/>
      <c r="L19" s="23"/>
      <c r="M19" s="23"/>
      <c r="N19" s="23"/>
      <c r="O19" s="20"/>
      <c r="P19" s="20"/>
    </row>
    <row r="20" spans="1:16" ht="24.95" customHeight="1" x14ac:dyDescent="0.35">
      <c r="A20" s="20"/>
      <c r="B20" s="114"/>
      <c r="H20" s="20"/>
      <c r="I20" s="21"/>
      <c r="J20" s="114"/>
      <c r="K20" s="23"/>
      <c r="L20" s="23"/>
      <c r="M20" s="23"/>
      <c r="N20" s="23"/>
      <c r="O20" s="20"/>
      <c r="P20" s="20"/>
    </row>
    <row r="23" spans="1:16" ht="27" customHeight="1" x14ac:dyDescent="0.5">
      <c r="A23" s="977"/>
      <c r="B23" s="977"/>
      <c r="C23" s="1005" t="s">
        <v>105</v>
      </c>
      <c r="D23" s="1005"/>
      <c r="E23" s="1005"/>
      <c r="F23" s="1005"/>
      <c r="G23" s="1005"/>
      <c r="H23" s="1005"/>
      <c r="I23" s="42"/>
      <c r="J23" s="131"/>
      <c r="K23" s="1005"/>
      <c r="L23" s="1005"/>
      <c r="M23" s="1005"/>
      <c r="N23" s="1005"/>
      <c r="O23" s="1005"/>
      <c r="P23" s="1005"/>
    </row>
    <row r="24" spans="1:16" ht="27" customHeight="1" x14ac:dyDescent="0.45">
      <c r="A24" s="942" t="s">
        <v>524</v>
      </c>
      <c r="B24" s="942"/>
      <c r="C24" s="114"/>
      <c r="D24" s="132" t="s">
        <v>52</v>
      </c>
      <c r="E24" s="114"/>
      <c r="F24" s="114"/>
      <c r="G24" s="20"/>
      <c r="H24" s="20"/>
      <c r="P24" s="43"/>
    </row>
    <row r="25" spans="1:16" ht="27" customHeight="1" x14ac:dyDescent="0.35">
      <c r="A25" s="20" t="s">
        <v>9</v>
      </c>
      <c r="B25" s="23">
        <f>1.1*3*F4</f>
        <v>12540.000000000002</v>
      </c>
      <c r="C25" s="114"/>
      <c r="D25" s="114"/>
      <c r="E25" s="114"/>
      <c r="F25" s="114"/>
      <c r="G25" s="20"/>
      <c r="H25" s="20"/>
      <c r="P25" s="20"/>
    </row>
    <row r="26" spans="1:16" ht="27" customHeight="1" x14ac:dyDescent="0.35">
      <c r="A26" s="20" t="s">
        <v>1</v>
      </c>
      <c r="B26" s="23">
        <v>1000</v>
      </c>
      <c r="C26" s="114"/>
      <c r="D26" s="114"/>
      <c r="E26" s="114"/>
      <c r="F26" s="114"/>
      <c r="G26" s="20"/>
      <c r="H26" s="20"/>
      <c r="P26" s="20"/>
    </row>
    <row r="27" spans="1:16" ht="27" customHeight="1" x14ac:dyDescent="0.35">
      <c r="A27" s="20" t="s">
        <v>10</v>
      </c>
      <c r="B27" s="23">
        <v>2500</v>
      </c>
      <c r="C27" s="114"/>
      <c r="E27" s="115" t="s">
        <v>105</v>
      </c>
      <c r="F27" s="134"/>
      <c r="G27" s="58"/>
      <c r="H27" s="20"/>
      <c r="P27" s="20"/>
    </row>
    <row r="28" spans="1:16" ht="27" customHeight="1" x14ac:dyDescent="0.35">
      <c r="A28" s="20" t="s">
        <v>160</v>
      </c>
      <c r="B28" s="23">
        <f>15000/1</f>
        <v>15000</v>
      </c>
      <c r="C28" s="114"/>
      <c r="D28" s="22" t="s">
        <v>22</v>
      </c>
      <c r="E28" s="22" t="s">
        <v>23</v>
      </c>
      <c r="F28" s="22" t="s">
        <v>24</v>
      </c>
      <c r="G28" s="21"/>
      <c r="H28" s="20"/>
      <c r="P28" s="20"/>
    </row>
    <row r="29" spans="1:16" ht="27" customHeight="1" x14ac:dyDescent="0.35">
      <c r="A29" s="20" t="s">
        <v>11</v>
      </c>
      <c r="B29" s="23">
        <v>3000</v>
      </c>
      <c r="C29" s="114"/>
      <c r="D29" s="22">
        <f>D34</f>
        <v>15.525263157894736</v>
      </c>
      <c r="E29" s="22">
        <f>E34</f>
        <v>17.743157894736843</v>
      </c>
      <c r="F29" s="22">
        <f>F34</f>
        <v>21.07</v>
      </c>
      <c r="G29" s="21"/>
      <c r="H29" s="20"/>
      <c r="P29" s="20"/>
    </row>
    <row r="30" spans="1:16" ht="27" customHeight="1" x14ac:dyDescent="0.45">
      <c r="A30" s="20" t="s">
        <v>12</v>
      </c>
      <c r="B30" s="23">
        <v>2000</v>
      </c>
      <c r="C30" s="114"/>
      <c r="D30" s="23"/>
      <c r="E30" s="23"/>
      <c r="F30" s="23"/>
      <c r="G30" s="21"/>
      <c r="H30" s="15"/>
      <c r="P30" s="15"/>
    </row>
    <row r="31" spans="1:16" ht="27" customHeight="1" x14ac:dyDescent="0.35">
      <c r="A31" s="20" t="s">
        <v>14</v>
      </c>
      <c r="B31" s="23">
        <v>300</v>
      </c>
      <c r="H31" s="20"/>
      <c r="P31" s="20"/>
    </row>
    <row r="32" spans="1:16" ht="27" customHeight="1" x14ac:dyDescent="0.35">
      <c r="A32" s="20" t="s">
        <v>15</v>
      </c>
      <c r="B32" s="23">
        <v>200</v>
      </c>
      <c r="H32" s="20"/>
      <c r="P32" s="20"/>
    </row>
    <row r="33" spans="1:16" ht="27" customHeight="1" x14ac:dyDescent="0.35">
      <c r="A33" s="20" t="s">
        <v>27</v>
      </c>
      <c r="B33" s="23">
        <v>500</v>
      </c>
      <c r="D33" s="115">
        <v>0.4</v>
      </c>
      <c r="E33" s="115">
        <v>0.55000000000000004</v>
      </c>
      <c r="F33" s="115">
        <v>0.85</v>
      </c>
      <c r="G33" s="20"/>
      <c r="H33" s="20"/>
      <c r="P33" s="20"/>
    </row>
    <row r="34" spans="1:16" ht="27" customHeight="1" x14ac:dyDescent="0.35">
      <c r="A34" s="20" t="s">
        <v>28</v>
      </c>
      <c r="B34" s="23">
        <v>100</v>
      </c>
      <c r="D34" s="23">
        <f>B38*1.4</f>
        <v>15.525263157894736</v>
      </c>
      <c r="E34" s="23">
        <f>B38*1.6</f>
        <v>17.743157894736843</v>
      </c>
      <c r="F34" s="23">
        <f>B38*1.9</f>
        <v>21.07</v>
      </c>
      <c r="G34" s="20"/>
      <c r="H34" s="20"/>
      <c r="P34" s="20"/>
    </row>
    <row r="35" spans="1:16" ht="27" customHeight="1" x14ac:dyDescent="0.35">
      <c r="A35" s="20" t="s">
        <v>16</v>
      </c>
      <c r="B35" s="23">
        <v>250</v>
      </c>
      <c r="C35" s="23"/>
      <c r="D35" s="23"/>
      <c r="E35" s="23"/>
      <c r="F35" s="23"/>
      <c r="G35" s="20"/>
      <c r="H35" s="20"/>
      <c r="P35" s="20"/>
    </row>
    <row r="36" spans="1:16" ht="27" customHeight="1" x14ac:dyDescent="0.35">
      <c r="A36" s="20" t="s">
        <v>17</v>
      </c>
      <c r="B36" s="23">
        <v>750</v>
      </c>
      <c r="C36" s="23"/>
      <c r="D36" s="23"/>
      <c r="E36" s="23"/>
      <c r="F36" s="23"/>
      <c r="G36" s="20"/>
      <c r="H36" s="20"/>
      <c r="P36" s="20"/>
    </row>
    <row r="37" spans="1:16" ht="27" customHeight="1" thickBot="1" x14ac:dyDescent="0.4">
      <c r="A37" s="20" t="s">
        <v>18</v>
      </c>
      <c r="B37" s="116">
        <v>4000</v>
      </c>
      <c r="C37" s="23"/>
      <c r="D37" s="23"/>
      <c r="E37" s="23"/>
      <c r="F37" s="23"/>
      <c r="G37" s="20"/>
      <c r="H37" s="20"/>
      <c r="P37" s="20"/>
    </row>
    <row r="38" spans="1:16" ht="27" customHeight="1" x14ac:dyDescent="0.35">
      <c r="A38" s="20"/>
      <c r="B38" s="23">
        <f>SUM(B25:B37)/F4</f>
        <v>11.089473684210526</v>
      </c>
      <c r="H38" s="20"/>
      <c r="P38" s="20"/>
    </row>
    <row r="39" spans="1:16" ht="27" customHeight="1" x14ac:dyDescent="0.35">
      <c r="A39" s="20"/>
      <c r="B39" s="23"/>
      <c r="H39" s="20"/>
    </row>
    <row r="40" spans="1:16" ht="27" customHeight="1" x14ac:dyDescent="0.35">
      <c r="A40" s="20"/>
      <c r="B40" s="114"/>
      <c r="H40" s="20"/>
    </row>
    <row r="41" spans="1:16" ht="27" customHeight="1" x14ac:dyDescent="0.35">
      <c r="A41" s="20"/>
      <c r="B41" s="114"/>
      <c r="H41" s="20"/>
    </row>
    <row r="42" spans="1:16" ht="31.5" x14ac:dyDescent="0.5">
      <c r="A42" s="42"/>
      <c r="B42" s="131"/>
      <c r="C42" s="1005" t="s">
        <v>104</v>
      </c>
      <c r="D42" s="1005"/>
      <c r="E42" s="1005"/>
      <c r="F42" s="1005"/>
      <c r="G42" s="1005"/>
      <c r="H42" s="1005"/>
      <c r="I42" s="942" t="s">
        <v>161</v>
      </c>
      <c r="J42" s="942"/>
      <c r="K42" s="105"/>
      <c r="L42" s="132" t="s">
        <v>52</v>
      </c>
      <c r="M42" s="105"/>
      <c r="N42" s="105"/>
      <c r="O42" s="43"/>
    </row>
    <row r="43" spans="1:16" ht="30" customHeight="1" x14ac:dyDescent="0.45">
      <c r="A43" s="942" t="s">
        <v>159</v>
      </c>
      <c r="B43" s="942"/>
      <c r="C43" s="105"/>
      <c r="D43" s="132" t="s">
        <v>52</v>
      </c>
      <c r="E43" s="105"/>
      <c r="F43" s="105"/>
      <c r="G43" s="43"/>
      <c r="H43" s="43"/>
      <c r="I43" s="21" t="s">
        <v>9</v>
      </c>
      <c r="J43" s="23">
        <f>0.6*1.7*N43</f>
        <v>3876</v>
      </c>
      <c r="K43" s="114"/>
      <c r="L43" s="114"/>
      <c r="M43" s="114"/>
      <c r="N43" s="114">
        <v>3800</v>
      </c>
      <c r="O43" s="20" t="s">
        <v>61</v>
      </c>
    </row>
    <row r="44" spans="1:16" ht="30" customHeight="1" x14ac:dyDescent="0.35">
      <c r="A44" s="20" t="s">
        <v>9</v>
      </c>
      <c r="B44" s="23">
        <f>0.8*1.7*F44</f>
        <v>5168</v>
      </c>
      <c r="C44" s="114"/>
      <c r="D44" s="114"/>
      <c r="E44" s="114"/>
      <c r="F44" s="23">
        <v>3800</v>
      </c>
      <c r="G44" s="21" t="s">
        <v>61</v>
      </c>
      <c r="H44" s="20"/>
      <c r="I44" s="21" t="s">
        <v>1</v>
      </c>
      <c r="J44" s="23">
        <v>1000</v>
      </c>
      <c r="K44" s="114"/>
      <c r="L44" s="114"/>
      <c r="M44" s="114"/>
      <c r="N44" s="114"/>
      <c r="O44" s="20"/>
    </row>
    <row r="45" spans="1:16" ht="30" customHeight="1" x14ac:dyDescent="0.4">
      <c r="A45" s="20" t="s">
        <v>1</v>
      </c>
      <c r="B45" s="23">
        <v>1000</v>
      </c>
      <c r="C45" s="114"/>
      <c r="D45" s="114"/>
      <c r="E45" s="114"/>
      <c r="F45" s="114"/>
      <c r="G45" s="20"/>
      <c r="H45" s="20"/>
      <c r="I45" s="21" t="s">
        <v>10</v>
      </c>
      <c r="J45" s="23">
        <v>2500</v>
      </c>
      <c r="K45" s="1004" t="s">
        <v>104</v>
      </c>
      <c r="L45" s="1004"/>
      <c r="M45" s="1004"/>
      <c r="N45" s="1004"/>
      <c r="O45" s="59"/>
    </row>
    <row r="46" spans="1:16" ht="30" customHeight="1" x14ac:dyDescent="0.4">
      <c r="A46" s="20" t="s">
        <v>10</v>
      </c>
      <c r="B46" s="23">
        <v>2500</v>
      </c>
      <c r="C46" s="1004" t="s">
        <v>104</v>
      </c>
      <c r="D46" s="1004"/>
      <c r="E46" s="1004"/>
      <c r="F46" s="1004"/>
      <c r="G46" s="59"/>
      <c r="H46" s="20"/>
      <c r="I46" s="21" t="s">
        <v>11</v>
      </c>
      <c r="J46" s="23">
        <v>2000</v>
      </c>
      <c r="K46" s="114"/>
      <c r="L46" s="22" t="s">
        <v>22</v>
      </c>
      <c r="M46" s="22" t="s">
        <v>23</v>
      </c>
      <c r="N46" s="22" t="s">
        <v>24</v>
      </c>
      <c r="O46" s="21"/>
    </row>
    <row r="47" spans="1:16" ht="30" customHeight="1" x14ac:dyDescent="0.35">
      <c r="A47" s="20" t="s">
        <v>11</v>
      </c>
      <c r="B47" s="23">
        <v>2000</v>
      </c>
      <c r="C47" s="114"/>
      <c r="D47" s="22" t="s">
        <v>22</v>
      </c>
      <c r="E47" s="22" t="s">
        <v>23</v>
      </c>
      <c r="F47" s="22" t="s">
        <v>24</v>
      </c>
      <c r="G47" s="21"/>
      <c r="H47" s="20"/>
      <c r="I47" s="21" t="s">
        <v>103</v>
      </c>
      <c r="J47" s="23">
        <f>15000/2</f>
        <v>7500</v>
      </c>
      <c r="K47" s="114"/>
      <c r="L47" s="22">
        <f>L51</f>
        <v>9.1487368421052633</v>
      </c>
      <c r="M47" s="22">
        <f>M51</f>
        <v>11.041578947368421</v>
      </c>
      <c r="N47" s="22">
        <f>N51</f>
        <v>12.555852631578947</v>
      </c>
      <c r="O47" s="21"/>
    </row>
    <row r="48" spans="1:16" ht="30" customHeight="1" x14ac:dyDescent="0.35">
      <c r="A48" s="20" t="s">
        <v>103</v>
      </c>
      <c r="B48" s="23">
        <f>15000/1.5</f>
        <v>10000</v>
      </c>
      <c r="C48" s="114"/>
      <c r="D48" s="22">
        <f>D52</f>
        <v>10.595684210526315</v>
      </c>
      <c r="E48" s="22">
        <f>E52</f>
        <v>12.787894736842105</v>
      </c>
      <c r="F48" s="22">
        <f>F52</f>
        <v>14.541663157894737</v>
      </c>
      <c r="G48" s="21"/>
      <c r="H48" s="20"/>
      <c r="I48" s="21" t="s">
        <v>12</v>
      </c>
      <c r="J48" s="23">
        <v>1000</v>
      </c>
      <c r="K48" s="114"/>
      <c r="L48" s="23"/>
      <c r="M48" s="23"/>
      <c r="N48" s="23"/>
      <c r="O48" s="21"/>
    </row>
    <row r="49" spans="1:15" ht="30" customHeight="1" x14ac:dyDescent="0.45">
      <c r="A49" s="20" t="s">
        <v>12</v>
      </c>
      <c r="B49" s="23">
        <v>1000</v>
      </c>
      <c r="C49" s="114"/>
      <c r="D49" s="23"/>
      <c r="E49" s="23"/>
      <c r="F49" s="23"/>
      <c r="G49" s="21"/>
      <c r="H49" s="15"/>
      <c r="I49" s="21" t="s">
        <v>14</v>
      </c>
      <c r="J49" s="23">
        <v>300</v>
      </c>
      <c r="K49" s="114"/>
    </row>
    <row r="50" spans="1:15" ht="30" customHeight="1" x14ac:dyDescent="0.35">
      <c r="A50" s="20" t="s">
        <v>14</v>
      </c>
      <c r="B50" s="23">
        <v>300</v>
      </c>
      <c r="C50" s="114"/>
      <c r="H50" s="20"/>
      <c r="I50" s="21" t="s">
        <v>15</v>
      </c>
      <c r="J50" s="23">
        <v>200</v>
      </c>
      <c r="K50" s="114"/>
      <c r="L50" s="115">
        <v>0.4</v>
      </c>
      <c r="M50" s="115">
        <v>0.55000000000000004</v>
      </c>
      <c r="N50" s="115">
        <v>0.85</v>
      </c>
    </row>
    <row r="51" spans="1:15" ht="30" customHeight="1" x14ac:dyDescent="0.35">
      <c r="A51" s="20" t="s">
        <v>15</v>
      </c>
      <c r="B51" s="23">
        <v>200</v>
      </c>
      <c r="C51" s="114"/>
      <c r="D51" s="115">
        <v>0.4</v>
      </c>
      <c r="E51" s="115">
        <v>0.55000000000000004</v>
      </c>
      <c r="F51" s="115">
        <v>0.85</v>
      </c>
      <c r="H51" s="20"/>
      <c r="I51" s="21" t="s">
        <v>27</v>
      </c>
      <c r="J51" s="23">
        <v>500</v>
      </c>
      <c r="L51" s="23">
        <f>J56*1.45</f>
        <v>9.1487368421052633</v>
      </c>
      <c r="M51" s="23">
        <f>J56*1.75</f>
        <v>11.041578947368421</v>
      </c>
      <c r="N51" s="23">
        <f>J56*1.99</f>
        <v>12.555852631578947</v>
      </c>
      <c r="O51" s="20"/>
    </row>
    <row r="52" spans="1:15" ht="30" customHeight="1" x14ac:dyDescent="0.35">
      <c r="A52" s="20" t="s">
        <v>27</v>
      </c>
      <c r="B52" s="23">
        <v>500</v>
      </c>
      <c r="D52" s="23">
        <f>B57*1.45</f>
        <v>10.595684210526315</v>
      </c>
      <c r="E52" s="23">
        <f>B57*1.75</f>
        <v>12.787894736842105</v>
      </c>
      <c r="F52" s="23">
        <f>B57*1.99</f>
        <v>14.541663157894737</v>
      </c>
      <c r="G52" s="20"/>
      <c r="H52" s="20"/>
      <c r="I52" s="21" t="s">
        <v>28</v>
      </c>
      <c r="J52" s="23">
        <v>100</v>
      </c>
      <c r="N52" s="23"/>
      <c r="O52" s="20"/>
    </row>
    <row r="53" spans="1:15" ht="30" customHeight="1" x14ac:dyDescent="0.35">
      <c r="A53" s="20" t="s">
        <v>28</v>
      </c>
      <c r="B53" s="23">
        <v>100</v>
      </c>
      <c r="F53" s="23"/>
      <c r="G53" s="20"/>
      <c r="H53" s="20"/>
      <c r="I53" s="21" t="s">
        <v>16</v>
      </c>
      <c r="J53" s="23">
        <v>250</v>
      </c>
      <c r="K53" s="23"/>
      <c r="L53" s="23"/>
      <c r="M53" s="23"/>
      <c r="N53" s="23"/>
      <c r="O53" s="20"/>
    </row>
    <row r="54" spans="1:15" ht="30" customHeight="1" x14ac:dyDescent="0.35">
      <c r="A54" s="20" t="s">
        <v>16</v>
      </c>
      <c r="B54" s="23">
        <v>250</v>
      </c>
      <c r="C54" s="23"/>
      <c r="D54" s="23"/>
      <c r="E54" s="23"/>
      <c r="F54" s="23"/>
      <c r="G54" s="20"/>
      <c r="H54" s="20"/>
      <c r="I54" s="21" t="s">
        <v>17</v>
      </c>
      <c r="J54" s="23">
        <v>750</v>
      </c>
      <c r="K54" s="23"/>
      <c r="L54" s="23"/>
      <c r="M54" s="23"/>
      <c r="N54" s="23"/>
      <c r="O54" s="20"/>
    </row>
    <row r="55" spans="1:15" ht="30" customHeight="1" thickBot="1" x14ac:dyDescent="0.4">
      <c r="A55" s="20" t="s">
        <v>17</v>
      </c>
      <c r="B55" s="23">
        <v>750</v>
      </c>
      <c r="C55" s="23"/>
      <c r="D55" s="23"/>
      <c r="E55" s="23"/>
      <c r="F55" s="23"/>
      <c r="G55" s="20"/>
      <c r="H55" s="20"/>
      <c r="I55" s="21" t="s">
        <v>18</v>
      </c>
      <c r="J55" s="116">
        <v>4000</v>
      </c>
      <c r="K55" s="23"/>
      <c r="L55" s="23"/>
      <c r="M55" s="23"/>
      <c r="N55" s="23"/>
      <c r="O55" s="20"/>
    </row>
    <row r="56" spans="1:15" ht="30" customHeight="1" thickBot="1" x14ac:dyDescent="0.4">
      <c r="A56" s="20" t="s">
        <v>18</v>
      </c>
      <c r="B56" s="116">
        <v>4000</v>
      </c>
      <c r="C56" s="23"/>
      <c r="D56" s="23"/>
      <c r="E56" s="23"/>
      <c r="F56" s="23"/>
      <c r="G56" s="20"/>
      <c r="H56" s="20"/>
      <c r="I56" s="21"/>
      <c r="J56" s="23">
        <f>SUM(J43:J55)/F4</f>
        <v>6.3094736842105261</v>
      </c>
    </row>
    <row r="57" spans="1:15" ht="30" customHeight="1" x14ac:dyDescent="0.35">
      <c r="A57" s="20"/>
      <c r="B57" s="23">
        <f>SUM(B44:B56)/F4</f>
        <v>7.3073684210526313</v>
      </c>
      <c r="H57" s="20"/>
    </row>
    <row r="58" spans="1:15" ht="30" customHeight="1" x14ac:dyDescent="0.35">
      <c r="A58" s="20"/>
      <c r="B58" s="23"/>
      <c r="H58" s="20"/>
    </row>
    <row r="59" spans="1:15" ht="30" customHeight="1" x14ac:dyDescent="0.45">
      <c r="A59" s="977" t="s">
        <v>37</v>
      </c>
      <c r="B59" s="977"/>
      <c r="C59" s="941" t="s">
        <v>105</v>
      </c>
      <c r="D59" s="941"/>
      <c r="E59" s="941"/>
      <c r="F59" s="941"/>
      <c r="G59" s="941"/>
      <c r="H59" s="941"/>
    </row>
    <row r="60" spans="1:15" ht="30" customHeight="1" x14ac:dyDescent="0.35">
      <c r="A60" s="952" t="s">
        <v>26</v>
      </c>
      <c r="B60" s="952"/>
      <c r="C60" s="114"/>
      <c r="D60" s="115" t="s">
        <v>52</v>
      </c>
      <c r="E60" s="114"/>
      <c r="F60" s="114"/>
      <c r="G60" s="20"/>
      <c r="H60" s="20"/>
    </row>
    <row r="61" spans="1:15" ht="30" customHeight="1" x14ac:dyDescent="0.35">
      <c r="A61" s="20" t="s">
        <v>9</v>
      </c>
      <c r="B61" s="23">
        <f>1.1*1.7*F44</f>
        <v>7106</v>
      </c>
      <c r="C61" s="114"/>
      <c r="D61" s="114"/>
      <c r="E61" s="114"/>
      <c r="F61" s="114"/>
      <c r="G61" s="20"/>
      <c r="H61" s="20"/>
    </row>
    <row r="62" spans="1:15" ht="30" customHeight="1" x14ac:dyDescent="0.35">
      <c r="A62" s="20" t="s">
        <v>1</v>
      </c>
      <c r="B62" s="23">
        <v>1000</v>
      </c>
      <c r="C62" s="114"/>
      <c r="D62" s="1006" t="s">
        <v>105</v>
      </c>
      <c r="E62" s="1006"/>
      <c r="F62" s="1006"/>
      <c r="G62" s="1006"/>
      <c r="H62" s="20"/>
    </row>
    <row r="63" spans="1:15" ht="30" customHeight="1" x14ac:dyDescent="0.35">
      <c r="A63" s="20" t="s">
        <v>10</v>
      </c>
      <c r="B63" s="23">
        <v>2500</v>
      </c>
      <c r="C63" s="114"/>
      <c r="D63" s="22" t="s">
        <v>22</v>
      </c>
      <c r="E63" s="22" t="s">
        <v>23</v>
      </c>
      <c r="F63" s="22" t="s">
        <v>24</v>
      </c>
      <c r="G63" s="21"/>
      <c r="H63" s="20"/>
    </row>
    <row r="64" spans="1:15" ht="30" customHeight="1" x14ac:dyDescent="0.35">
      <c r="A64" s="20" t="s">
        <v>160</v>
      </c>
      <c r="B64" s="23">
        <v>15000</v>
      </c>
      <c r="C64" s="114"/>
      <c r="D64" s="22">
        <f>D68</f>
        <v>13.128605263157892</v>
      </c>
      <c r="E64" s="22">
        <f>E68</f>
        <v>15.844868421052631</v>
      </c>
      <c r="F64" s="22">
        <f>F68</f>
        <v>18.01787894736842</v>
      </c>
      <c r="G64" s="21"/>
      <c r="H64" s="20"/>
    </row>
    <row r="65" spans="1:8" ht="30" customHeight="1" x14ac:dyDescent="0.35">
      <c r="A65" s="20" t="s">
        <v>11</v>
      </c>
      <c r="B65" s="23">
        <v>2000</v>
      </c>
      <c r="C65" s="114"/>
      <c r="D65" s="23"/>
      <c r="E65" s="23"/>
      <c r="F65" s="23"/>
      <c r="G65" s="21"/>
      <c r="H65" s="20"/>
    </row>
    <row r="66" spans="1:8" ht="30" customHeight="1" x14ac:dyDescent="0.45">
      <c r="A66" s="20" t="s">
        <v>12</v>
      </c>
      <c r="B66" s="23">
        <v>1000</v>
      </c>
      <c r="C66" s="114"/>
      <c r="H66" s="15"/>
    </row>
    <row r="67" spans="1:8" ht="30" customHeight="1" x14ac:dyDescent="0.35">
      <c r="A67" s="20" t="s">
        <v>14</v>
      </c>
      <c r="B67" s="23">
        <v>300</v>
      </c>
      <c r="C67" s="114"/>
      <c r="D67" s="115">
        <v>0.4</v>
      </c>
      <c r="E67" s="115">
        <v>0.55000000000000004</v>
      </c>
      <c r="F67" s="115">
        <v>0.85</v>
      </c>
      <c r="H67" s="20"/>
    </row>
    <row r="68" spans="1:8" ht="30" customHeight="1" x14ac:dyDescent="0.35">
      <c r="A68" s="20" t="s">
        <v>15</v>
      </c>
      <c r="B68" s="23">
        <v>200</v>
      </c>
      <c r="D68" s="23">
        <f>B74*1.45</f>
        <v>13.128605263157892</v>
      </c>
      <c r="E68" s="23">
        <f>B74*1.75</f>
        <v>15.844868421052631</v>
      </c>
      <c r="F68" s="23">
        <f>B74*1.99</f>
        <v>18.01787894736842</v>
      </c>
      <c r="G68" s="20"/>
      <c r="H68" s="20"/>
    </row>
    <row r="69" spans="1:8" ht="30" customHeight="1" x14ac:dyDescent="0.35">
      <c r="A69" s="20" t="s">
        <v>27</v>
      </c>
      <c r="B69" s="23">
        <v>200</v>
      </c>
      <c r="F69" s="23"/>
      <c r="G69" s="20"/>
      <c r="H69" s="20"/>
    </row>
    <row r="70" spans="1:8" ht="30" customHeight="1" x14ac:dyDescent="0.35">
      <c r="A70" s="20" t="s">
        <v>28</v>
      </c>
      <c r="B70" s="23">
        <v>100</v>
      </c>
      <c r="C70" s="23"/>
      <c r="D70" s="23"/>
      <c r="E70" s="23"/>
      <c r="F70" s="23"/>
      <c r="G70" s="20"/>
      <c r="H70" s="20"/>
    </row>
    <row r="71" spans="1:8" ht="30" customHeight="1" x14ac:dyDescent="0.35">
      <c r="A71" s="20" t="s">
        <v>16</v>
      </c>
      <c r="B71" s="23">
        <v>250</v>
      </c>
      <c r="C71" s="23"/>
      <c r="D71" s="23"/>
      <c r="E71" s="23"/>
      <c r="F71" s="23"/>
      <c r="G71" s="20"/>
      <c r="H71" s="20"/>
    </row>
    <row r="72" spans="1:8" ht="30" customHeight="1" x14ac:dyDescent="0.35">
      <c r="A72" s="20" t="s">
        <v>17</v>
      </c>
      <c r="B72" s="23">
        <v>750</v>
      </c>
      <c r="C72" s="23"/>
      <c r="D72" s="23"/>
      <c r="E72" s="23"/>
      <c r="F72" s="23"/>
      <c r="G72" s="20"/>
      <c r="H72" s="20"/>
    </row>
    <row r="73" spans="1:8" ht="30" customHeight="1" thickBot="1" x14ac:dyDescent="0.4">
      <c r="A73" s="20" t="s">
        <v>18</v>
      </c>
      <c r="B73" s="116">
        <v>4000</v>
      </c>
      <c r="H73" s="20"/>
    </row>
    <row r="74" spans="1:8" ht="30" customHeight="1" x14ac:dyDescent="0.35">
      <c r="A74" s="20"/>
      <c r="B74" s="23">
        <f>SUM(B61:B73)/F4</f>
        <v>9.0542105263157886</v>
      </c>
      <c r="H74" s="20"/>
    </row>
    <row r="75" spans="1:8" ht="30" customHeight="1" x14ac:dyDescent="0.35">
      <c r="A75" s="20"/>
      <c r="B75" s="23"/>
      <c r="H75" s="20"/>
    </row>
    <row r="76" spans="1:8" ht="30" customHeight="1" x14ac:dyDescent="0.35">
      <c r="A76" s="20"/>
      <c r="B76" s="114"/>
      <c r="H76" s="20"/>
    </row>
    <row r="77" spans="1:8" ht="30" customHeight="1" x14ac:dyDescent="0.35">
      <c r="A77" s="20"/>
      <c r="B77" s="114"/>
      <c r="H77" s="20"/>
    </row>
  </sheetData>
  <mergeCells count="18">
    <mergeCell ref="A60:B60"/>
    <mergeCell ref="D62:G62"/>
    <mergeCell ref="C46:F46"/>
    <mergeCell ref="A43:B43"/>
    <mergeCell ref="A59:B59"/>
    <mergeCell ref="C59:H59"/>
    <mergeCell ref="K45:N45"/>
    <mergeCell ref="C42:H42"/>
    <mergeCell ref="C23:H23"/>
    <mergeCell ref="A24:B24"/>
    <mergeCell ref="C2:H2"/>
    <mergeCell ref="A3:B3"/>
    <mergeCell ref="A23:B23"/>
    <mergeCell ref="K2:P2"/>
    <mergeCell ref="I3:J3"/>
    <mergeCell ref="L9:O9"/>
    <mergeCell ref="K23:P23"/>
    <mergeCell ref="I42:J42"/>
  </mergeCells>
  <pageMargins left="0.7" right="0.7" top="0.75" bottom="0.75" header="0.3" footer="0.3"/>
  <pageSetup scale="62" orientation="portrait" horizontalDpi="0" verticalDpi="0" r:id="rId1"/>
  <rowBreaks count="1" manualBreakCount="1">
    <brk id="41" max="16383" man="1"/>
  </rowBreaks>
  <colBreaks count="2" manualBreakCount="2">
    <brk id="8" max="73" man="1"/>
    <brk id="15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518"/>
  <sheetViews>
    <sheetView topLeftCell="A19" zoomScale="90" zoomScaleNormal="90" zoomScaleSheetLayoutView="50" workbookViewId="0">
      <selection activeCell="C24" sqref="C24"/>
    </sheetView>
  </sheetViews>
  <sheetFormatPr baseColWidth="10" defaultRowHeight="15.75" x14ac:dyDescent="0.25"/>
  <cols>
    <col min="1" max="1" width="34.85546875" style="29" customWidth="1"/>
    <col min="2" max="2" width="15.85546875" style="267" customWidth="1"/>
    <col min="3" max="3" width="16.140625" style="269" customWidth="1"/>
    <col min="4" max="5" width="15.5703125" style="269" customWidth="1"/>
    <col min="6" max="6" width="17.28515625" style="269" customWidth="1"/>
    <col min="7" max="7" width="15.7109375" style="29" customWidth="1"/>
    <col min="8" max="9" width="4.28515625" style="29" customWidth="1"/>
    <col min="10" max="10" width="32.5703125" style="29" customWidth="1"/>
    <col min="11" max="11" width="15.85546875" style="267" customWidth="1"/>
    <col min="12" max="12" width="17.42578125" style="269" customWidth="1"/>
    <col min="13" max="13" width="17.7109375" style="269" customWidth="1"/>
    <col min="14" max="14" width="16.28515625" style="269" customWidth="1"/>
    <col min="15" max="15" width="17.7109375" style="269" customWidth="1"/>
    <col min="16" max="16" width="15.7109375" style="29" customWidth="1"/>
    <col min="17" max="18" width="7.140625" style="29" customWidth="1"/>
    <col min="19" max="19" width="26.7109375" style="29" customWidth="1"/>
    <col min="20" max="20" width="18" style="267" customWidth="1"/>
    <col min="21" max="21" width="15.85546875" style="269" customWidth="1"/>
    <col min="22" max="22" width="18.7109375" style="269" customWidth="1"/>
    <col min="23" max="23" width="15.7109375" style="269" customWidth="1"/>
    <col min="24" max="24" width="16.28515625" style="269" customWidth="1"/>
    <col min="25" max="25" width="16.42578125" style="29" customWidth="1"/>
    <col min="26" max="26" width="8.140625" customWidth="1"/>
  </cols>
  <sheetData>
    <row r="1" spans="1:24" ht="24.95" customHeight="1" x14ac:dyDescent="0.25"/>
    <row r="2" spans="1:24" ht="24.95" customHeight="1" thickBot="1" x14ac:dyDescent="0.3"/>
    <row r="3" spans="1:24" ht="24.95" customHeight="1" x14ac:dyDescent="0.4">
      <c r="A3" s="271"/>
      <c r="B3" s="268"/>
      <c r="C3" s="270"/>
      <c r="D3" s="270"/>
      <c r="E3" s="270"/>
      <c r="F3" s="135">
        <v>3800</v>
      </c>
      <c r="G3" s="44"/>
      <c r="J3" s="271"/>
      <c r="K3" s="268"/>
      <c r="L3" s="270"/>
      <c r="M3" s="270"/>
      <c r="N3" s="270"/>
      <c r="O3" s="270"/>
      <c r="P3" s="272"/>
    </row>
    <row r="4" spans="1:24" ht="24.95" customHeight="1" x14ac:dyDescent="0.25">
      <c r="A4" s="273"/>
      <c r="B4" s="262"/>
      <c r="C4" s="264"/>
      <c r="D4" s="264"/>
      <c r="E4" s="264"/>
      <c r="F4" s="264"/>
      <c r="G4" s="274"/>
      <c r="H4" s="275"/>
      <c r="I4" s="275"/>
      <c r="J4" s="273"/>
      <c r="K4" s="262"/>
      <c r="L4" s="264"/>
      <c r="M4" s="264"/>
      <c r="N4" s="264"/>
      <c r="O4" s="264"/>
      <c r="P4" s="274"/>
    </row>
    <row r="5" spans="1:24" ht="24.95" customHeight="1" x14ac:dyDescent="0.5">
      <c r="A5" s="1022" t="s">
        <v>118</v>
      </c>
      <c r="B5" s="909"/>
      <c r="C5" s="264"/>
      <c r="D5" s="136"/>
      <c r="E5" s="264"/>
      <c r="F5" s="5"/>
      <c r="G5" s="274"/>
      <c r="H5" s="275"/>
      <c r="I5" s="275"/>
      <c r="J5" s="273"/>
      <c r="K5" s="262"/>
      <c r="L5" s="264"/>
      <c r="M5" s="264"/>
      <c r="N5" s="264"/>
      <c r="O5" s="264"/>
      <c r="P5" s="274"/>
    </row>
    <row r="6" spans="1:24" ht="24.95" customHeight="1" x14ac:dyDescent="0.5">
      <c r="A6" s="1008" t="s">
        <v>115</v>
      </c>
      <c r="B6" s="937"/>
      <c r="C6" s="264"/>
      <c r="D6" s="1010" t="s">
        <v>318</v>
      </c>
      <c r="E6" s="1010"/>
      <c r="F6" s="1010"/>
      <c r="G6" s="274"/>
      <c r="H6" s="275"/>
      <c r="I6" s="275"/>
      <c r="J6" s="1007" t="s">
        <v>118</v>
      </c>
      <c r="K6" s="1006"/>
      <c r="L6" s="264"/>
      <c r="M6" s="136"/>
      <c r="N6" s="264"/>
      <c r="O6" s="264"/>
      <c r="P6" s="274"/>
      <c r="S6" s="1007" t="s">
        <v>118</v>
      </c>
      <c r="T6" s="1006"/>
      <c r="U6" s="264"/>
      <c r="V6" s="136"/>
      <c r="W6" s="264"/>
      <c r="X6" s="264"/>
    </row>
    <row r="7" spans="1:24" ht="24.95" customHeight="1" x14ac:dyDescent="0.45">
      <c r="A7" s="273"/>
      <c r="B7" s="262"/>
      <c r="C7" s="264"/>
      <c r="D7" s="264"/>
      <c r="E7" s="260"/>
      <c r="F7" s="260"/>
      <c r="G7" s="274"/>
      <c r="H7" s="275"/>
      <c r="I7" s="275"/>
      <c r="J7" s="1008" t="s">
        <v>116</v>
      </c>
      <c r="K7" s="937"/>
      <c r="L7" s="264"/>
      <c r="M7" s="1009" t="s">
        <v>136</v>
      </c>
      <c r="N7" s="1009"/>
      <c r="O7" s="1009"/>
      <c r="P7" s="274"/>
      <c r="S7" s="1008" t="s">
        <v>116</v>
      </c>
      <c r="T7" s="937"/>
      <c r="U7" s="264"/>
      <c r="V7" s="1009" t="s">
        <v>136</v>
      </c>
      <c r="W7" s="1009"/>
      <c r="X7" s="1009"/>
    </row>
    <row r="8" spans="1:24" ht="24.95" customHeight="1" x14ac:dyDescent="0.25">
      <c r="A8" s="273" t="s">
        <v>9</v>
      </c>
      <c r="B8" s="262">
        <f>1*2.2*4000/2</f>
        <v>4400</v>
      </c>
      <c r="C8" s="264"/>
      <c r="D8" s="264"/>
      <c r="E8" s="264"/>
      <c r="F8" s="264"/>
      <c r="G8" s="274"/>
      <c r="H8" s="275"/>
      <c r="I8" s="275"/>
      <c r="J8" s="273" t="s">
        <v>9</v>
      </c>
      <c r="K8" s="262">
        <f>0.7*4*F3/2</f>
        <v>5320</v>
      </c>
      <c r="L8" s="264"/>
      <c r="M8" s="264"/>
      <c r="N8" s="446" t="s">
        <v>317</v>
      </c>
      <c r="O8" s="264"/>
      <c r="P8" s="274"/>
      <c r="S8" s="273" t="s">
        <v>187</v>
      </c>
      <c r="T8" s="262">
        <f>45000</f>
        <v>45000</v>
      </c>
      <c r="U8" s="264"/>
      <c r="V8" s="264"/>
      <c r="W8" s="446" t="s">
        <v>317</v>
      </c>
      <c r="X8" s="264"/>
    </row>
    <row r="9" spans="1:24" ht="24.95" customHeight="1" x14ac:dyDescent="0.25">
      <c r="A9" s="273" t="s">
        <v>44</v>
      </c>
      <c r="B9" s="262">
        <f>2000*0.55</f>
        <v>1100</v>
      </c>
      <c r="C9" s="264"/>
      <c r="D9" s="264"/>
      <c r="E9" s="264"/>
      <c r="F9" s="264"/>
      <c r="G9" s="274"/>
      <c r="H9" s="275"/>
      <c r="I9" s="275"/>
      <c r="J9" s="273" t="s">
        <v>43</v>
      </c>
      <c r="K9" s="262">
        <v>2000</v>
      </c>
      <c r="L9" s="264"/>
      <c r="M9" s="264"/>
      <c r="N9" s="264"/>
      <c r="O9" s="264"/>
      <c r="P9" s="274"/>
      <c r="S9" s="273" t="s">
        <v>43</v>
      </c>
      <c r="T9" s="262">
        <f>2000*0.65</f>
        <v>1300</v>
      </c>
      <c r="U9" s="264"/>
      <c r="V9" s="264"/>
      <c r="W9" s="264"/>
      <c r="X9" s="264"/>
    </row>
    <row r="10" spans="1:24" ht="24.95" customHeight="1" x14ac:dyDescent="0.25">
      <c r="A10" s="273" t="s">
        <v>1</v>
      </c>
      <c r="B10" s="262">
        <v>700</v>
      </c>
      <c r="C10" s="264"/>
      <c r="D10" s="264"/>
      <c r="E10" s="264"/>
      <c r="F10" s="264"/>
      <c r="G10" s="274"/>
      <c r="H10" s="275"/>
      <c r="I10" s="275"/>
      <c r="J10" s="273" t="s">
        <v>1</v>
      </c>
      <c r="K10" s="262">
        <v>700</v>
      </c>
      <c r="L10" s="264"/>
      <c r="M10" s="264"/>
      <c r="N10" s="264"/>
      <c r="O10" s="264"/>
      <c r="P10" s="274"/>
      <c r="S10" s="273" t="s">
        <v>1</v>
      </c>
      <c r="T10" s="262">
        <v>700</v>
      </c>
      <c r="U10" s="264"/>
      <c r="V10" s="264"/>
      <c r="W10" s="264"/>
      <c r="X10" s="264"/>
    </row>
    <row r="11" spans="1:24" ht="24.95" customHeight="1" x14ac:dyDescent="0.25">
      <c r="A11" s="273" t="s">
        <v>10</v>
      </c>
      <c r="B11" s="262">
        <v>4000</v>
      </c>
      <c r="C11" s="264"/>
      <c r="D11" s="264"/>
      <c r="E11" s="264"/>
      <c r="F11" s="264"/>
      <c r="G11" s="274"/>
      <c r="H11" s="275"/>
      <c r="I11" s="275"/>
      <c r="J11" s="273" t="s">
        <v>10</v>
      </c>
      <c r="K11" s="262">
        <v>3500</v>
      </c>
      <c r="L11" s="264"/>
      <c r="M11" s="264"/>
      <c r="N11" s="264"/>
      <c r="O11" s="264"/>
      <c r="P11" s="274"/>
      <c r="S11" s="273" t="s">
        <v>10</v>
      </c>
      <c r="T11" s="262">
        <v>8000</v>
      </c>
      <c r="U11" s="264"/>
      <c r="V11" s="264"/>
      <c r="W11" s="264"/>
      <c r="X11" s="264"/>
    </row>
    <row r="12" spans="1:24" ht="24.95" customHeight="1" x14ac:dyDescent="0.3">
      <c r="A12" s="273" t="s">
        <v>11</v>
      </c>
      <c r="B12" s="262">
        <v>500</v>
      </c>
      <c r="C12" s="264"/>
      <c r="D12" s="264"/>
      <c r="E12" s="5"/>
      <c r="F12" s="264"/>
      <c r="G12" s="274"/>
      <c r="H12" s="275"/>
      <c r="I12" s="275"/>
      <c r="J12" s="273" t="s">
        <v>11</v>
      </c>
      <c r="K12" s="262">
        <v>200</v>
      </c>
      <c r="L12" s="264"/>
      <c r="M12" s="264"/>
      <c r="N12" s="5"/>
      <c r="O12" s="264"/>
      <c r="P12" s="274"/>
      <c r="S12" s="273" t="s">
        <v>11</v>
      </c>
      <c r="T12" s="262">
        <v>2000</v>
      </c>
      <c r="U12" s="264"/>
      <c r="V12" s="264"/>
      <c r="W12" s="5"/>
      <c r="X12" s="264"/>
    </row>
    <row r="13" spans="1:24" ht="24.95" customHeight="1" x14ac:dyDescent="0.35">
      <c r="A13" s="273" t="s">
        <v>58</v>
      </c>
      <c r="B13" s="262">
        <v>500</v>
      </c>
      <c r="C13" s="264"/>
      <c r="D13" s="1010" t="s">
        <v>315</v>
      </c>
      <c r="E13" s="1010"/>
      <c r="F13" s="1010"/>
      <c r="G13" s="274"/>
      <c r="J13" s="273" t="s">
        <v>58</v>
      </c>
      <c r="K13" s="262">
        <v>500</v>
      </c>
      <c r="L13" s="264"/>
      <c r="M13" s="1010" t="s">
        <v>357</v>
      </c>
      <c r="N13" s="1010"/>
      <c r="O13" s="1010"/>
      <c r="P13" s="274"/>
      <c r="S13" s="273" t="s">
        <v>94</v>
      </c>
      <c r="T13" s="262">
        <f>1*13000</f>
        <v>13000</v>
      </c>
      <c r="U13" s="264"/>
      <c r="V13" s="1010" t="s">
        <v>357</v>
      </c>
      <c r="W13" s="1010"/>
      <c r="X13" s="1010"/>
    </row>
    <row r="14" spans="1:24" ht="24.95" customHeight="1" x14ac:dyDescent="0.3">
      <c r="A14" s="273" t="s">
        <v>14</v>
      </c>
      <c r="B14" s="262">
        <v>200</v>
      </c>
      <c r="C14" s="264"/>
      <c r="D14" s="6" t="s">
        <v>22</v>
      </c>
      <c r="E14" s="6" t="s">
        <v>23</v>
      </c>
      <c r="F14" s="6" t="s">
        <v>24</v>
      </c>
      <c r="G14" s="45"/>
      <c r="J14" s="273" t="s">
        <v>14</v>
      </c>
      <c r="K14" s="262">
        <v>200</v>
      </c>
      <c r="L14" s="264"/>
      <c r="M14" s="6" t="s">
        <v>22</v>
      </c>
      <c r="N14" s="6" t="s">
        <v>23</v>
      </c>
      <c r="O14" s="6" t="s">
        <v>24</v>
      </c>
      <c r="P14" s="45"/>
      <c r="S14" s="273" t="s">
        <v>14</v>
      </c>
      <c r="T14" s="262">
        <v>0</v>
      </c>
      <c r="U14" s="264"/>
      <c r="V14" s="6" t="s">
        <v>22</v>
      </c>
      <c r="W14" s="6" t="s">
        <v>23</v>
      </c>
      <c r="X14" s="6" t="s">
        <v>24</v>
      </c>
    </row>
    <row r="15" spans="1:24" ht="24.95" customHeight="1" x14ac:dyDescent="0.35">
      <c r="A15" s="273" t="s">
        <v>15</v>
      </c>
      <c r="B15" s="262">
        <v>200</v>
      </c>
      <c r="C15" s="264"/>
      <c r="D15" s="7">
        <f>D19</f>
        <v>6.4677631578947361</v>
      </c>
      <c r="E15" s="7">
        <f>E19</f>
        <v>7.1368421052631579</v>
      </c>
      <c r="F15" s="7">
        <f>F19</f>
        <v>8.8764473684210525</v>
      </c>
      <c r="G15" s="45"/>
      <c r="J15" s="273" t="s">
        <v>15</v>
      </c>
      <c r="K15" s="262">
        <v>200</v>
      </c>
      <c r="L15" s="264"/>
      <c r="M15" s="6">
        <f>M18</f>
        <v>6.7425000000000006</v>
      </c>
      <c r="N15" s="6">
        <f>N18</f>
        <v>7.4400000000000013</v>
      </c>
      <c r="O15" s="6">
        <f>O18</f>
        <v>10.695</v>
      </c>
      <c r="P15" s="45"/>
      <c r="S15" s="273" t="s">
        <v>15</v>
      </c>
      <c r="T15" s="262">
        <v>0</v>
      </c>
      <c r="U15" s="264"/>
      <c r="V15" s="6">
        <f>V18</f>
        <v>28.751973684210522</v>
      </c>
      <c r="W15" s="6">
        <f>W18</f>
        <v>31.726315789473684</v>
      </c>
      <c r="X15" s="6">
        <f>X18</f>
        <v>45.606578947368412</v>
      </c>
    </row>
    <row r="16" spans="1:24" ht="24.95" customHeight="1" x14ac:dyDescent="0.35">
      <c r="A16" s="273" t="s">
        <v>27</v>
      </c>
      <c r="B16" s="262">
        <v>500</v>
      </c>
      <c r="C16" s="264"/>
      <c r="G16" s="45"/>
      <c r="J16" s="273" t="s">
        <v>27</v>
      </c>
      <c r="K16" s="262">
        <v>500</v>
      </c>
      <c r="L16" s="264"/>
      <c r="M16" s="7"/>
      <c r="N16" s="7"/>
      <c r="O16" s="7"/>
      <c r="P16" s="45"/>
      <c r="S16" s="273" t="s">
        <v>27</v>
      </c>
      <c r="T16" s="262">
        <v>500</v>
      </c>
      <c r="U16" s="264"/>
      <c r="V16" s="7"/>
      <c r="W16" s="7"/>
      <c r="X16" s="7"/>
    </row>
    <row r="17" spans="1:24" ht="24.95" customHeight="1" x14ac:dyDescent="0.3">
      <c r="A17" s="273" t="s">
        <v>28</v>
      </c>
      <c r="B17" s="262">
        <v>100</v>
      </c>
      <c r="C17" s="264"/>
      <c r="D17" s="264"/>
      <c r="E17" s="264"/>
      <c r="F17" s="264"/>
      <c r="G17" s="274"/>
      <c r="J17" s="273" t="s">
        <v>28</v>
      </c>
      <c r="K17" s="262">
        <v>100</v>
      </c>
      <c r="L17" s="264"/>
      <c r="M17" s="258">
        <v>45</v>
      </c>
      <c r="N17" s="258">
        <v>60</v>
      </c>
      <c r="O17" s="258">
        <v>0.8</v>
      </c>
      <c r="P17" s="274"/>
      <c r="S17" s="273" t="s">
        <v>28</v>
      </c>
      <c r="T17" s="262">
        <v>100</v>
      </c>
      <c r="U17" s="264"/>
      <c r="V17" s="681">
        <v>45</v>
      </c>
      <c r="W17" s="681">
        <v>60</v>
      </c>
      <c r="X17" s="681">
        <v>0.8</v>
      </c>
    </row>
    <row r="18" spans="1:24" ht="24.95" customHeight="1" x14ac:dyDescent="0.3">
      <c r="A18" s="273" t="s">
        <v>16</v>
      </c>
      <c r="B18" s="262">
        <v>350</v>
      </c>
      <c r="C18" s="264"/>
      <c r="D18" s="258">
        <v>0.35</v>
      </c>
      <c r="E18" s="258">
        <v>0.5</v>
      </c>
      <c r="F18" s="258">
        <v>0.8</v>
      </c>
      <c r="G18" s="274"/>
      <c r="J18" s="273" t="s">
        <v>16</v>
      </c>
      <c r="K18" s="262">
        <v>350</v>
      </c>
      <c r="L18" s="264"/>
      <c r="M18" s="5">
        <f>K21*1.45</f>
        <v>6.7425000000000006</v>
      </c>
      <c r="N18" s="5">
        <f>K21*1.6</f>
        <v>7.4400000000000013</v>
      </c>
      <c r="O18" s="5">
        <f>K21*2.3</f>
        <v>10.695</v>
      </c>
      <c r="P18" s="274"/>
      <c r="S18" s="273" t="s">
        <v>16</v>
      </c>
      <c r="T18" s="262">
        <v>350</v>
      </c>
      <c r="U18" s="264"/>
      <c r="V18" s="5">
        <f>T21*1.45</f>
        <v>28.751973684210522</v>
      </c>
      <c r="W18" s="5">
        <f>T21*1.6</f>
        <v>31.726315789473684</v>
      </c>
      <c r="X18" s="5">
        <f>T21*2.3</f>
        <v>45.606578947368412</v>
      </c>
    </row>
    <row r="19" spans="1:24" ht="24.95" customHeight="1" x14ac:dyDescent="0.3">
      <c r="A19" s="273" t="s">
        <v>17</v>
      </c>
      <c r="B19" s="262">
        <v>400</v>
      </c>
      <c r="C19" s="264"/>
      <c r="D19" s="5">
        <f>B21*1.45</f>
        <v>6.4677631578947361</v>
      </c>
      <c r="E19" s="5">
        <f>B21*1.6</f>
        <v>7.1368421052631579</v>
      </c>
      <c r="F19" s="5">
        <f>B21*1.99</f>
        <v>8.8764473684210525</v>
      </c>
      <c r="G19" s="274"/>
      <c r="J19" s="273" t="s">
        <v>17</v>
      </c>
      <c r="K19" s="262">
        <v>400</v>
      </c>
      <c r="L19" s="264"/>
      <c r="M19" s="264"/>
      <c r="N19" s="5">
        <v>30000</v>
      </c>
      <c r="O19" s="5">
        <v>45000</v>
      </c>
      <c r="P19" s="45"/>
      <c r="S19" s="273" t="s">
        <v>17</v>
      </c>
      <c r="T19" s="262">
        <v>400</v>
      </c>
      <c r="U19" s="264"/>
      <c r="V19" s="264"/>
      <c r="W19" s="5">
        <f>W18*3700</f>
        <v>117387.36842105263</v>
      </c>
      <c r="X19" s="5"/>
    </row>
    <row r="20" spans="1:24" ht="24.95" customHeight="1" thickBot="1" x14ac:dyDescent="0.35">
      <c r="A20" s="273" t="s">
        <v>18</v>
      </c>
      <c r="B20" s="263">
        <v>4000</v>
      </c>
      <c r="C20" s="264"/>
      <c r="D20" s="264"/>
      <c r="E20" s="264"/>
      <c r="F20" s="264"/>
      <c r="G20" s="274"/>
      <c r="J20" s="273" t="s">
        <v>18</v>
      </c>
      <c r="K20" s="263">
        <v>3700</v>
      </c>
      <c r="O20" s="5"/>
      <c r="P20" s="274"/>
      <c r="S20" s="273" t="s">
        <v>18</v>
      </c>
      <c r="T20" s="263">
        <v>4000</v>
      </c>
      <c r="X20" s="5"/>
    </row>
    <row r="21" spans="1:24" ht="24.95" customHeight="1" x14ac:dyDescent="0.3">
      <c r="A21" s="273"/>
      <c r="B21" s="262">
        <f>SUM(B8:B20)/F3</f>
        <v>4.4605263157894735</v>
      </c>
      <c r="F21" s="5"/>
      <c r="G21" s="274"/>
      <c r="J21" s="273"/>
      <c r="K21" s="262">
        <f>SUM(K8:K20)/F3</f>
        <v>4.6500000000000004</v>
      </c>
      <c r="O21" s="5"/>
      <c r="P21" s="274"/>
      <c r="S21" s="273"/>
      <c r="T21" s="262">
        <f>SUM(T8:T20)/F3</f>
        <v>19.828947368421051</v>
      </c>
      <c r="X21" s="5"/>
    </row>
    <row r="22" spans="1:24" ht="24.95" customHeight="1" x14ac:dyDescent="0.3">
      <c r="A22" s="273"/>
      <c r="B22" s="262"/>
      <c r="C22" s="5"/>
      <c r="D22" s="5"/>
      <c r="E22" s="5"/>
      <c r="F22" s="5"/>
      <c r="G22" s="274"/>
      <c r="J22" s="273"/>
      <c r="K22" s="262"/>
      <c r="L22" s="5"/>
      <c r="M22" s="5"/>
      <c r="N22" s="5"/>
      <c r="O22" s="5"/>
      <c r="P22" s="274"/>
    </row>
    <row r="23" spans="1:24" ht="24.95" customHeight="1" thickBot="1" x14ac:dyDescent="0.35">
      <c r="A23" s="276"/>
      <c r="B23" s="263"/>
      <c r="C23" s="46"/>
      <c r="D23" s="46"/>
      <c r="E23" s="46"/>
      <c r="F23" s="46"/>
      <c r="G23" s="277"/>
      <c r="J23" s="276"/>
      <c r="K23" s="263"/>
      <c r="L23" s="265"/>
      <c r="M23" s="265"/>
      <c r="N23" s="265"/>
      <c r="O23" s="265"/>
      <c r="P23" s="277"/>
    </row>
    <row r="24" spans="1:24" ht="24.95" customHeight="1" thickBot="1" x14ac:dyDescent="0.3"/>
    <row r="25" spans="1:24" ht="24.95" customHeight="1" x14ac:dyDescent="0.5">
      <c r="A25" s="271"/>
      <c r="B25" s="268"/>
      <c r="C25" s="270"/>
      <c r="D25" s="270"/>
      <c r="E25" s="270"/>
      <c r="F25" s="270"/>
      <c r="G25" s="272"/>
      <c r="J25" s="1023" t="s">
        <v>118</v>
      </c>
      <c r="K25" s="1024"/>
      <c r="L25" s="270"/>
      <c r="M25" s="137"/>
      <c r="N25" s="270"/>
      <c r="O25" s="270"/>
      <c r="P25" s="272"/>
    </row>
    <row r="26" spans="1:24" ht="24.95" customHeight="1" x14ac:dyDescent="0.5">
      <c r="A26" s="273"/>
      <c r="B26" s="262"/>
      <c r="C26" s="264"/>
      <c r="D26" s="264"/>
      <c r="E26" s="264"/>
      <c r="F26" s="264"/>
      <c r="G26" s="274"/>
      <c r="H26" s="275"/>
      <c r="I26" s="275"/>
      <c r="J26" s="1008"/>
      <c r="K26" s="937"/>
      <c r="L26" s="264"/>
      <c r="M26" s="139" t="s">
        <v>25</v>
      </c>
      <c r="N26" s="264"/>
      <c r="O26" s="264"/>
      <c r="P26" s="274"/>
    </row>
    <row r="27" spans="1:24" ht="24.95" customHeight="1" x14ac:dyDescent="0.25">
      <c r="A27" s="273"/>
      <c r="B27" s="262"/>
      <c r="C27" s="264"/>
      <c r="D27" s="264"/>
      <c r="E27" s="264"/>
      <c r="F27" s="264"/>
      <c r="G27" s="274"/>
      <c r="H27" s="275"/>
      <c r="I27" s="275"/>
      <c r="J27" s="273" t="s">
        <v>9</v>
      </c>
      <c r="K27" s="262">
        <f>0.9*4*4200/3*2</f>
        <v>10080</v>
      </c>
      <c r="L27" s="264"/>
      <c r="M27" s="264"/>
      <c r="N27" s="264"/>
      <c r="O27" s="264"/>
      <c r="P27" s="274"/>
    </row>
    <row r="28" spans="1:24" ht="24.95" customHeight="1" x14ac:dyDescent="0.5">
      <c r="A28" s="1022" t="s">
        <v>118</v>
      </c>
      <c r="B28" s="909"/>
      <c r="C28" s="264"/>
      <c r="D28" s="136"/>
      <c r="E28" s="264"/>
      <c r="F28" s="264"/>
      <c r="G28" s="274"/>
      <c r="H28" s="275"/>
      <c r="I28" s="275"/>
      <c r="J28" s="273" t="s">
        <v>43</v>
      </c>
      <c r="K28" s="262">
        <v>1000</v>
      </c>
      <c r="L28" s="264"/>
      <c r="M28" s="264"/>
      <c r="N28" s="264"/>
      <c r="O28" s="264"/>
      <c r="P28" s="274"/>
    </row>
    <row r="29" spans="1:24" ht="24.95" customHeight="1" x14ac:dyDescent="0.5">
      <c r="A29" s="1008"/>
      <c r="B29" s="937"/>
      <c r="C29" s="264"/>
      <c r="D29" s="138" t="s">
        <v>113</v>
      </c>
      <c r="E29" s="264"/>
      <c r="F29" s="264"/>
      <c r="G29" s="274"/>
      <c r="H29" s="275"/>
      <c r="I29" s="275"/>
      <c r="J29" s="273" t="s">
        <v>1</v>
      </c>
      <c r="K29" s="262">
        <v>500</v>
      </c>
      <c r="L29" s="264"/>
      <c r="M29" s="264"/>
      <c r="N29" s="264"/>
      <c r="O29" s="264"/>
      <c r="P29" s="274"/>
    </row>
    <row r="30" spans="1:24" ht="24.95" customHeight="1" x14ac:dyDescent="0.25">
      <c r="A30" s="273" t="s">
        <v>9</v>
      </c>
      <c r="B30" s="262">
        <f>1.1*2.5*4000/1.5</f>
        <v>7333.333333333333</v>
      </c>
      <c r="C30" s="264"/>
      <c r="D30" s="264" t="s">
        <v>319</v>
      </c>
      <c r="E30" s="264"/>
      <c r="F30" s="264"/>
      <c r="G30" s="274"/>
      <c r="H30" s="275"/>
      <c r="I30" s="275"/>
      <c r="J30" s="273" t="s">
        <v>10</v>
      </c>
      <c r="K30" s="262">
        <v>4500</v>
      </c>
      <c r="L30" s="264"/>
      <c r="M30" s="264"/>
      <c r="N30" s="264"/>
      <c r="O30" s="264"/>
      <c r="P30" s="274"/>
    </row>
    <row r="31" spans="1:24" ht="24.95" customHeight="1" x14ac:dyDescent="0.25">
      <c r="A31" s="273" t="s">
        <v>43</v>
      </c>
      <c r="B31" s="262">
        <v>1500</v>
      </c>
      <c r="C31" s="264"/>
      <c r="D31" s="264"/>
      <c r="E31" s="264"/>
      <c r="F31" s="264"/>
      <c r="G31" s="274"/>
      <c r="H31" s="275"/>
      <c r="I31" s="275"/>
      <c r="J31" s="273" t="s">
        <v>11</v>
      </c>
      <c r="K31" s="262">
        <v>500</v>
      </c>
      <c r="L31" s="264"/>
      <c r="M31" s="264"/>
      <c r="N31" s="264"/>
      <c r="O31" s="264"/>
      <c r="P31" s="274"/>
    </row>
    <row r="32" spans="1:24" ht="24.95" customHeight="1" x14ac:dyDescent="0.35">
      <c r="A32" s="273" t="s">
        <v>1</v>
      </c>
      <c r="B32" s="262">
        <v>700</v>
      </c>
      <c r="C32" s="264"/>
      <c r="D32" s="264"/>
      <c r="E32" s="264"/>
      <c r="F32" s="264"/>
      <c r="G32" s="274"/>
      <c r="H32" s="275"/>
      <c r="I32" s="275"/>
      <c r="J32" s="273" t="s">
        <v>58</v>
      </c>
      <c r="K32" s="262">
        <v>500</v>
      </c>
      <c r="L32" s="264"/>
      <c r="M32" s="1010" t="s">
        <v>295</v>
      </c>
      <c r="N32" s="1010"/>
      <c r="O32" s="1010"/>
      <c r="P32" s="274"/>
    </row>
    <row r="33" spans="1:16" ht="24.95" customHeight="1" x14ac:dyDescent="0.3">
      <c r="A33" s="273" t="s">
        <v>10</v>
      </c>
      <c r="B33" s="262">
        <v>4000</v>
      </c>
      <c r="C33" s="264"/>
      <c r="D33" s="264"/>
      <c r="E33" s="264"/>
      <c r="F33" s="264"/>
      <c r="G33" s="274"/>
      <c r="H33" s="275"/>
      <c r="I33" s="275"/>
      <c r="J33" s="273" t="s">
        <v>14</v>
      </c>
      <c r="K33" s="262">
        <v>100</v>
      </c>
      <c r="L33" s="264"/>
      <c r="M33" s="6" t="s">
        <v>22</v>
      </c>
      <c r="N33" s="6" t="s">
        <v>23</v>
      </c>
      <c r="O33" s="6" t="s">
        <v>24</v>
      </c>
      <c r="P33" s="45"/>
    </row>
    <row r="34" spans="1:16" ht="24.95" customHeight="1" x14ac:dyDescent="0.3">
      <c r="A34" s="273" t="s">
        <v>11</v>
      </c>
      <c r="B34" s="262">
        <v>500</v>
      </c>
      <c r="C34" s="264"/>
      <c r="D34" s="264"/>
      <c r="E34" s="264"/>
      <c r="F34" s="264"/>
      <c r="G34" s="274"/>
      <c r="H34" s="275"/>
      <c r="I34" s="275"/>
      <c r="J34" s="273" t="s">
        <v>15</v>
      </c>
      <c r="K34" s="262">
        <v>100</v>
      </c>
      <c r="L34" s="264"/>
      <c r="M34" s="6">
        <f>M38</f>
        <v>8.5206578947368428</v>
      </c>
      <c r="N34" s="6">
        <f>N38</f>
        <v>9.4021052631578961</v>
      </c>
      <c r="O34" s="6">
        <f>O38</f>
        <v>12.340263157894737</v>
      </c>
      <c r="P34" s="45"/>
    </row>
    <row r="35" spans="1:16" ht="24.95" customHeight="1" x14ac:dyDescent="0.35">
      <c r="A35" s="273" t="s">
        <v>58</v>
      </c>
      <c r="B35" s="262">
        <v>500</v>
      </c>
      <c r="C35" s="264"/>
      <c r="D35" s="1010" t="s">
        <v>294</v>
      </c>
      <c r="E35" s="1010"/>
      <c r="F35" s="1010"/>
      <c r="G35" s="274"/>
      <c r="H35" s="275"/>
      <c r="I35" s="275"/>
      <c r="J35" s="273" t="s">
        <v>27</v>
      </c>
      <c r="K35" s="262">
        <v>200</v>
      </c>
      <c r="L35" s="264"/>
      <c r="M35" s="7"/>
      <c r="N35" s="7"/>
      <c r="O35" s="7"/>
      <c r="P35" s="45"/>
    </row>
    <row r="36" spans="1:16" ht="24.95" customHeight="1" x14ac:dyDescent="0.3">
      <c r="A36" s="273" t="s">
        <v>14</v>
      </c>
      <c r="B36" s="262">
        <v>200</v>
      </c>
      <c r="C36" s="264"/>
      <c r="D36" s="6" t="s">
        <v>22</v>
      </c>
      <c r="E36" s="6" t="s">
        <v>23</v>
      </c>
      <c r="F36" s="6" t="s">
        <v>24</v>
      </c>
      <c r="G36" s="45"/>
      <c r="H36" s="275"/>
      <c r="I36" s="275"/>
      <c r="J36" s="273" t="s">
        <v>28</v>
      </c>
      <c r="K36" s="262">
        <v>0</v>
      </c>
      <c r="L36" s="264"/>
      <c r="M36" s="264"/>
      <c r="N36" s="264"/>
      <c r="O36" s="264"/>
      <c r="P36" s="274"/>
    </row>
    <row r="37" spans="1:16" ht="24.95" customHeight="1" x14ac:dyDescent="0.3">
      <c r="A37" s="273" t="s">
        <v>15</v>
      </c>
      <c r="B37" s="262">
        <v>200</v>
      </c>
      <c r="C37" s="264"/>
      <c r="D37" s="6">
        <f>D40</f>
        <v>7.7396929824561402</v>
      </c>
      <c r="E37" s="6">
        <f>E40</f>
        <v>8.5403508771929832</v>
      </c>
      <c r="F37" s="6">
        <f>F40</f>
        <v>12.810526315789472</v>
      </c>
      <c r="G37" s="45"/>
      <c r="H37" s="275"/>
      <c r="I37" s="275"/>
      <c r="J37" s="273" t="s">
        <v>16</v>
      </c>
      <c r="K37" s="262">
        <v>350</v>
      </c>
      <c r="L37" s="264"/>
      <c r="M37" s="258">
        <v>45</v>
      </c>
      <c r="N37" s="258">
        <v>0.6</v>
      </c>
      <c r="O37" s="258">
        <v>0.8</v>
      </c>
      <c r="P37" s="274"/>
    </row>
    <row r="38" spans="1:16" ht="24.95" customHeight="1" x14ac:dyDescent="0.35">
      <c r="A38" s="273" t="s">
        <v>27</v>
      </c>
      <c r="B38" s="262">
        <v>500</v>
      </c>
      <c r="C38" s="264"/>
      <c r="D38" s="7"/>
      <c r="E38" s="7"/>
      <c r="F38" s="7"/>
      <c r="G38" s="45"/>
      <c r="H38" s="275"/>
      <c r="I38" s="275"/>
      <c r="J38" s="273" t="s">
        <v>17</v>
      </c>
      <c r="K38" s="262">
        <v>500</v>
      </c>
      <c r="L38" s="264"/>
      <c r="M38" s="5">
        <f>K40*1.45</f>
        <v>8.5206578947368428</v>
      </c>
      <c r="N38" s="5">
        <f>K40*1.6</f>
        <v>9.4021052631578961</v>
      </c>
      <c r="O38" s="5">
        <f>K40*2.1</f>
        <v>12.340263157894737</v>
      </c>
      <c r="P38" s="274"/>
    </row>
    <row r="39" spans="1:16" ht="24.95" customHeight="1" thickBot="1" x14ac:dyDescent="0.35">
      <c r="A39" s="273" t="s">
        <v>28</v>
      </c>
      <c r="B39" s="262">
        <v>100</v>
      </c>
      <c r="C39" s="264"/>
      <c r="D39" s="258">
        <v>45</v>
      </c>
      <c r="E39" s="258">
        <v>0.6</v>
      </c>
      <c r="F39" s="258">
        <v>0.8</v>
      </c>
      <c r="G39" s="274"/>
      <c r="H39" s="275"/>
      <c r="I39" s="275"/>
      <c r="J39" s="273" t="s">
        <v>18</v>
      </c>
      <c r="K39" s="263">
        <v>4000</v>
      </c>
      <c r="O39" s="5"/>
      <c r="P39" s="274"/>
    </row>
    <row r="40" spans="1:16" ht="24.95" customHeight="1" x14ac:dyDescent="0.3">
      <c r="A40" s="273" t="s">
        <v>16</v>
      </c>
      <c r="B40" s="262">
        <v>350</v>
      </c>
      <c r="C40" s="264"/>
      <c r="D40" s="5">
        <f>B43*1.45</f>
        <v>7.7396929824561402</v>
      </c>
      <c r="E40" s="5">
        <f>B43*1.6</f>
        <v>8.5403508771929832</v>
      </c>
      <c r="F40" s="5">
        <f>B43*2.4</f>
        <v>12.810526315789472</v>
      </c>
      <c r="G40" s="274"/>
      <c r="H40" s="275"/>
      <c r="I40" s="275"/>
      <c r="J40" s="273"/>
      <c r="K40" s="262">
        <f>SUM(K27:K39)/F3</f>
        <v>5.8763157894736846</v>
      </c>
      <c r="O40" s="5"/>
      <c r="P40" s="274"/>
    </row>
    <row r="41" spans="1:16" ht="24.95" customHeight="1" x14ac:dyDescent="0.35">
      <c r="A41" s="273" t="s">
        <v>17</v>
      </c>
      <c r="B41" s="262">
        <v>400</v>
      </c>
      <c r="C41" s="264"/>
      <c r="D41" s="264"/>
      <c r="E41" s="264"/>
      <c r="F41" s="264"/>
      <c r="G41" s="274"/>
      <c r="H41" s="275"/>
      <c r="I41" s="275"/>
      <c r="J41" s="273"/>
      <c r="K41" s="262"/>
      <c r="L41" s="7"/>
      <c r="M41" s="7"/>
      <c r="N41" s="7"/>
      <c r="O41" s="5"/>
      <c r="P41" s="274"/>
    </row>
    <row r="42" spans="1:16" ht="24.95" customHeight="1" thickBot="1" x14ac:dyDescent="0.35">
      <c r="A42" s="273" t="s">
        <v>18</v>
      </c>
      <c r="B42" s="263">
        <v>4000</v>
      </c>
      <c r="F42" s="5"/>
      <c r="G42" s="274"/>
      <c r="H42" s="275"/>
      <c r="I42" s="275"/>
      <c r="J42" s="273"/>
      <c r="K42" s="262"/>
      <c r="L42" s="5"/>
      <c r="M42" s="5"/>
      <c r="N42" s="5"/>
      <c r="O42" s="5"/>
      <c r="P42" s="274"/>
    </row>
    <row r="43" spans="1:16" ht="24.95" customHeight="1" x14ac:dyDescent="0.3">
      <c r="A43" s="273"/>
      <c r="B43" s="262">
        <f>SUM(B30:B42)/F3</f>
        <v>5.3377192982456139</v>
      </c>
      <c r="F43" s="5"/>
      <c r="G43" s="274"/>
      <c r="H43" s="275"/>
      <c r="I43" s="275"/>
      <c r="J43" s="273"/>
      <c r="K43" s="262"/>
      <c r="L43" s="5"/>
      <c r="M43" s="5"/>
      <c r="N43" s="5"/>
      <c r="O43" s="5"/>
      <c r="P43" s="274"/>
    </row>
    <row r="44" spans="1:16" ht="24.95" customHeight="1" x14ac:dyDescent="0.3">
      <c r="A44" s="273"/>
      <c r="B44" s="262"/>
      <c r="C44" s="5"/>
      <c r="D44" s="5"/>
      <c r="E44" s="5"/>
      <c r="F44" s="5"/>
      <c r="G44" s="274"/>
      <c r="H44" s="275"/>
      <c r="I44" s="275"/>
      <c r="J44" s="273"/>
      <c r="K44" s="262"/>
      <c r="L44" s="264"/>
      <c r="M44" s="264"/>
      <c r="N44" s="264"/>
      <c r="O44" s="264"/>
      <c r="P44" s="274"/>
    </row>
    <row r="45" spans="1:16" ht="24.95" customHeight="1" thickBot="1" x14ac:dyDescent="0.3">
      <c r="A45" s="276"/>
      <c r="B45" s="263"/>
      <c r="C45" s="265"/>
      <c r="D45" s="265"/>
      <c r="E45" s="265"/>
      <c r="F45" s="265"/>
      <c r="G45" s="277"/>
      <c r="H45" s="275"/>
      <c r="I45" s="275"/>
      <c r="J45" s="276"/>
      <c r="K45" s="263"/>
      <c r="L45" s="265"/>
      <c r="M45" s="265"/>
      <c r="N45" s="265"/>
      <c r="O45" s="265"/>
      <c r="P45" s="277"/>
    </row>
    <row r="46" spans="1:16" ht="24.95" customHeight="1" x14ac:dyDescent="0.25">
      <c r="A46" s="275"/>
      <c r="B46" s="262"/>
      <c r="C46" s="264"/>
      <c r="D46" s="264"/>
      <c r="E46" s="264"/>
      <c r="F46" s="264"/>
      <c r="G46" s="275"/>
      <c r="H46" s="275"/>
      <c r="I46" s="275"/>
      <c r="J46" s="275"/>
      <c r="K46" s="262"/>
      <c r="L46" s="264"/>
      <c r="M46" s="264"/>
      <c r="N46" s="264"/>
      <c r="O46" s="264"/>
      <c r="P46" s="275"/>
    </row>
    <row r="47" spans="1:16" ht="24.95" customHeight="1" x14ac:dyDescent="0.25"/>
    <row r="48" spans="1:16" ht="24.95" customHeight="1" thickBot="1" x14ac:dyDescent="0.3"/>
    <row r="49" spans="1:16" ht="24.95" customHeight="1" x14ac:dyDescent="0.5">
      <c r="A49" s="271"/>
      <c r="B49" s="268"/>
      <c r="C49" s="270"/>
      <c r="D49" s="270"/>
      <c r="E49" s="270"/>
      <c r="F49" s="135">
        <v>3800</v>
      </c>
      <c r="G49" s="44" t="s">
        <v>19</v>
      </c>
      <c r="J49" s="1016" t="s">
        <v>119</v>
      </c>
      <c r="K49" s="1017"/>
      <c r="L49" s="270"/>
      <c r="M49" s="137"/>
      <c r="N49" s="270"/>
      <c r="O49" s="270"/>
      <c r="P49" s="272"/>
    </row>
    <row r="50" spans="1:16" ht="24.95" customHeight="1" x14ac:dyDescent="0.45">
      <c r="A50" s="273"/>
      <c r="B50" s="262"/>
      <c r="C50" s="264"/>
      <c r="D50" s="264"/>
      <c r="E50" s="264"/>
      <c r="F50" s="264"/>
      <c r="G50" s="274"/>
      <c r="H50" s="275"/>
      <c r="I50" s="275"/>
      <c r="J50" s="1008" t="s">
        <v>113</v>
      </c>
      <c r="K50" s="937"/>
      <c r="L50" s="264"/>
      <c r="M50" s="264"/>
      <c r="N50" s="264"/>
      <c r="O50" s="264"/>
      <c r="P50" s="274"/>
    </row>
    <row r="51" spans="1:16" ht="24.95" customHeight="1" x14ac:dyDescent="0.5">
      <c r="A51" s="1018" t="s">
        <v>119</v>
      </c>
      <c r="B51" s="861"/>
      <c r="C51" s="264"/>
      <c r="D51" s="136"/>
      <c r="E51" s="264"/>
      <c r="F51" s="5"/>
      <c r="G51" s="274"/>
      <c r="H51" s="275"/>
      <c r="I51" s="275"/>
      <c r="J51" s="273" t="s">
        <v>9</v>
      </c>
      <c r="K51" s="262">
        <f>0.8*4*3800/2</f>
        <v>6080</v>
      </c>
      <c r="L51" s="264"/>
      <c r="M51" s="23" t="s">
        <v>319</v>
      </c>
      <c r="N51" s="264"/>
      <c r="O51" s="264"/>
      <c r="P51" s="274"/>
    </row>
    <row r="52" spans="1:16" ht="24.95" customHeight="1" x14ac:dyDescent="0.5">
      <c r="A52" s="261"/>
      <c r="B52" s="266"/>
      <c r="C52" s="264"/>
      <c r="D52" s="136"/>
      <c r="E52" s="264"/>
      <c r="F52" s="5"/>
      <c r="G52" s="274"/>
      <c r="H52" s="275"/>
      <c r="I52" s="275"/>
      <c r="J52" s="273" t="s">
        <v>43</v>
      </c>
      <c r="K52" s="262">
        <v>2000</v>
      </c>
      <c r="L52" s="264"/>
      <c r="M52" s="23"/>
      <c r="N52" s="264"/>
      <c r="O52" s="264"/>
      <c r="P52" s="274"/>
    </row>
    <row r="53" spans="1:16" ht="24.95" customHeight="1" x14ac:dyDescent="0.45">
      <c r="A53" s="1008" t="s">
        <v>117</v>
      </c>
      <c r="B53" s="937"/>
      <c r="C53" s="264"/>
      <c r="D53" s="1010" t="s">
        <v>136</v>
      </c>
      <c r="E53" s="1010"/>
      <c r="F53" s="1010"/>
      <c r="G53" s="274"/>
      <c r="H53" s="275"/>
      <c r="I53" s="275"/>
      <c r="J53" s="273" t="s">
        <v>1</v>
      </c>
      <c r="K53" s="262">
        <v>700</v>
      </c>
      <c r="L53" s="264"/>
      <c r="M53" s="264"/>
      <c r="N53" s="264"/>
      <c r="O53" s="264"/>
      <c r="P53" s="274"/>
    </row>
    <row r="54" spans="1:16" ht="24.95" customHeight="1" x14ac:dyDescent="0.35">
      <c r="A54" s="273" t="s">
        <v>43</v>
      </c>
      <c r="B54" s="262">
        <v>1000</v>
      </c>
      <c r="C54" s="264"/>
      <c r="D54" s="264"/>
      <c r="E54" s="260" t="s">
        <v>321</v>
      </c>
      <c r="F54" s="260"/>
      <c r="G54" s="274"/>
      <c r="H54" s="275"/>
      <c r="I54" s="275"/>
      <c r="J54" s="273" t="s">
        <v>10</v>
      </c>
      <c r="K54" s="262">
        <v>2500</v>
      </c>
      <c r="L54" s="264"/>
      <c r="M54" s="264"/>
      <c r="N54" s="264"/>
      <c r="O54" s="264"/>
      <c r="P54" s="274"/>
    </row>
    <row r="55" spans="1:16" ht="24.95" customHeight="1" x14ac:dyDescent="0.25">
      <c r="A55" s="273" t="s">
        <v>9</v>
      </c>
      <c r="B55" s="262">
        <f>0.5*4.2*F3/2</f>
        <v>3990</v>
      </c>
      <c r="C55" s="264"/>
      <c r="D55" s="264"/>
      <c r="E55" s="264"/>
      <c r="F55" s="264"/>
      <c r="G55" s="274"/>
      <c r="H55" s="275"/>
      <c r="I55" s="275"/>
      <c r="J55" s="273" t="s">
        <v>11</v>
      </c>
      <c r="K55" s="262">
        <v>200</v>
      </c>
      <c r="L55" s="264"/>
      <c r="M55" s="264"/>
      <c r="N55" s="264"/>
      <c r="O55" s="264"/>
      <c r="P55" s="274"/>
    </row>
    <row r="56" spans="1:16" ht="24.95" customHeight="1" x14ac:dyDescent="0.35">
      <c r="A56" s="273" t="s">
        <v>1</v>
      </c>
      <c r="B56" s="262">
        <v>1000</v>
      </c>
      <c r="C56" s="264"/>
      <c r="D56" s="264"/>
      <c r="E56" s="264"/>
      <c r="F56" s="264"/>
      <c r="G56" s="274"/>
      <c r="H56" s="275"/>
      <c r="I56" s="275"/>
      <c r="J56" s="273" t="s">
        <v>12</v>
      </c>
      <c r="K56" s="262">
        <v>0</v>
      </c>
      <c r="L56" s="264"/>
      <c r="M56" s="1010" t="s">
        <v>297</v>
      </c>
      <c r="N56" s="1010"/>
      <c r="O56" s="1010"/>
      <c r="P56" s="274"/>
    </row>
    <row r="57" spans="1:16" ht="24.95" customHeight="1" x14ac:dyDescent="0.3">
      <c r="A57" s="273" t="s">
        <v>10</v>
      </c>
      <c r="B57" s="262">
        <v>2500</v>
      </c>
      <c r="C57" s="264"/>
      <c r="D57" s="264"/>
      <c r="E57" s="264"/>
      <c r="F57" s="264"/>
      <c r="G57" s="274"/>
      <c r="H57" s="275"/>
      <c r="I57" s="275"/>
      <c r="J57" s="273" t="s">
        <v>14</v>
      </c>
      <c r="K57" s="262">
        <v>200</v>
      </c>
      <c r="L57" s="264"/>
      <c r="M57" s="6" t="s">
        <v>22</v>
      </c>
      <c r="N57" s="6" t="s">
        <v>23</v>
      </c>
      <c r="O57" s="6" t="s">
        <v>24</v>
      </c>
      <c r="P57" s="45"/>
    </row>
    <row r="58" spans="1:16" ht="24.95" customHeight="1" x14ac:dyDescent="0.3">
      <c r="A58" s="273" t="s">
        <v>11</v>
      </c>
      <c r="B58" s="262">
        <v>1000</v>
      </c>
      <c r="C58" s="264"/>
      <c r="D58" s="264"/>
      <c r="E58" s="264"/>
      <c r="F58" s="264"/>
      <c r="G58" s="274"/>
      <c r="H58" s="275"/>
      <c r="I58" s="275"/>
      <c r="J58" s="273" t="s">
        <v>15</v>
      </c>
      <c r="K58" s="262">
        <v>200</v>
      </c>
      <c r="L58" s="264"/>
      <c r="M58" s="6">
        <f>M62</f>
        <v>6.4792105263157902</v>
      </c>
      <c r="N58" s="6">
        <f>N62</f>
        <v>7.1494736842105269</v>
      </c>
      <c r="O58" s="6">
        <f>O62</f>
        <v>10.72421052631579</v>
      </c>
      <c r="P58" s="45"/>
    </row>
    <row r="59" spans="1:16" ht="24.95" customHeight="1" x14ac:dyDescent="0.35">
      <c r="A59" s="273" t="s">
        <v>58</v>
      </c>
      <c r="B59" s="262">
        <v>1000</v>
      </c>
      <c r="C59" s="264"/>
      <c r="D59" s="1006" t="s">
        <v>320</v>
      </c>
      <c r="E59" s="1006"/>
      <c r="F59" s="1006"/>
      <c r="G59" s="1015"/>
      <c r="J59" s="273" t="s">
        <v>27</v>
      </c>
      <c r="K59" s="262">
        <v>500</v>
      </c>
      <c r="L59" s="264"/>
      <c r="M59" s="7"/>
      <c r="N59" s="7"/>
      <c r="O59" s="7"/>
      <c r="P59" s="45"/>
    </row>
    <row r="60" spans="1:16" ht="24.95" customHeight="1" x14ac:dyDescent="0.3">
      <c r="A60" s="273" t="s">
        <v>14</v>
      </c>
      <c r="B60" s="262">
        <v>200</v>
      </c>
      <c r="C60" s="264"/>
      <c r="D60" s="6" t="s">
        <v>22</v>
      </c>
      <c r="E60" s="6" t="s">
        <v>23</v>
      </c>
      <c r="F60" s="6" t="s">
        <v>24</v>
      </c>
      <c r="G60" s="45"/>
      <c r="J60" s="273" t="s">
        <v>28</v>
      </c>
      <c r="K60" s="262">
        <v>100</v>
      </c>
      <c r="L60" s="264"/>
      <c r="M60" s="264"/>
      <c r="N60" s="264"/>
      <c r="O60" s="264"/>
      <c r="P60" s="274"/>
    </row>
    <row r="61" spans="1:16" ht="24.95" customHeight="1" x14ac:dyDescent="0.3">
      <c r="A61" s="273" t="s">
        <v>15</v>
      </c>
      <c r="B61" s="262">
        <v>200</v>
      </c>
      <c r="C61" s="264"/>
      <c r="D61" s="6">
        <f>D65</f>
        <v>6.0861842105263158</v>
      </c>
      <c r="E61" s="6">
        <f>E65</f>
        <v>7.3453947368421062</v>
      </c>
      <c r="F61" s="6">
        <f>F65</f>
        <v>8.3527631578947368</v>
      </c>
      <c r="G61" s="45"/>
      <c r="J61" s="273" t="s">
        <v>16</v>
      </c>
      <c r="K61" s="262">
        <v>100</v>
      </c>
      <c r="L61" s="264"/>
      <c r="M61" s="258">
        <v>45</v>
      </c>
      <c r="N61" s="258">
        <v>60</v>
      </c>
      <c r="O61" s="258">
        <v>2.1</v>
      </c>
      <c r="P61" s="274"/>
    </row>
    <row r="62" spans="1:16" ht="24.95" customHeight="1" x14ac:dyDescent="0.35">
      <c r="A62" s="273" t="s">
        <v>27</v>
      </c>
      <c r="B62" s="262">
        <v>500</v>
      </c>
      <c r="C62" s="264"/>
      <c r="D62" s="7"/>
      <c r="E62" s="7"/>
      <c r="F62" s="7"/>
      <c r="G62" s="45"/>
      <c r="J62" s="273" t="s">
        <v>17</v>
      </c>
      <c r="K62" s="262">
        <v>400</v>
      </c>
      <c r="L62" s="264"/>
      <c r="M62" s="5">
        <f>K64*1.45</f>
        <v>6.4792105263157902</v>
      </c>
      <c r="N62" s="5">
        <f>K64*1.6</f>
        <v>7.1494736842105269</v>
      </c>
      <c r="O62" s="5">
        <f>K64*2.4</f>
        <v>10.72421052631579</v>
      </c>
      <c r="P62" s="274"/>
    </row>
    <row r="63" spans="1:16" ht="24.95" customHeight="1" x14ac:dyDescent="0.3">
      <c r="A63" s="273" t="s">
        <v>28</v>
      </c>
      <c r="B63" s="262">
        <v>60</v>
      </c>
      <c r="C63" s="264"/>
      <c r="D63" s="264"/>
      <c r="E63" s="264"/>
      <c r="F63" s="264"/>
      <c r="G63" s="274"/>
      <c r="J63" s="273" t="s">
        <v>18</v>
      </c>
      <c r="K63" s="262">
        <v>4000</v>
      </c>
      <c r="L63" s="264"/>
      <c r="M63" s="264"/>
      <c r="N63" s="264"/>
      <c r="O63" s="5"/>
      <c r="P63" s="274"/>
    </row>
    <row r="64" spans="1:16" ht="24.95" customHeight="1" x14ac:dyDescent="0.3">
      <c r="A64" s="273" t="s">
        <v>16</v>
      </c>
      <c r="B64" s="262">
        <v>100</v>
      </c>
      <c r="C64" s="264"/>
      <c r="D64" s="258">
        <v>0.35</v>
      </c>
      <c r="E64" s="258">
        <v>0.5</v>
      </c>
      <c r="F64" s="258">
        <v>0.8</v>
      </c>
      <c r="G64" s="274"/>
      <c r="J64" s="273"/>
      <c r="K64" s="262">
        <f>SUM(K51:K63)/F3</f>
        <v>4.4684210526315793</v>
      </c>
      <c r="L64" s="264"/>
      <c r="M64" s="264"/>
      <c r="N64" s="264"/>
      <c r="O64" s="5"/>
      <c r="P64" s="274"/>
    </row>
    <row r="65" spans="1:16" ht="24.95" customHeight="1" x14ac:dyDescent="0.35">
      <c r="A65" s="273" t="s">
        <v>17</v>
      </c>
      <c r="B65" s="262">
        <v>400</v>
      </c>
      <c r="C65" s="264"/>
      <c r="D65" s="5">
        <f>B67*1.45</f>
        <v>6.0861842105263158</v>
      </c>
      <c r="E65" s="5">
        <f>B67*1.75</f>
        <v>7.3453947368421062</v>
      </c>
      <c r="F65" s="5">
        <f>B67*1.99</f>
        <v>8.3527631578947368</v>
      </c>
      <c r="G65" s="274"/>
      <c r="J65" s="273"/>
      <c r="K65" s="262"/>
      <c r="L65" s="7"/>
      <c r="M65" s="7"/>
      <c r="N65" s="7"/>
      <c r="O65" s="5"/>
      <c r="P65" s="274"/>
    </row>
    <row r="66" spans="1:16" ht="24.95" customHeight="1" x14ac:dyDescent="0.3">
      <c r="A66" s="273" t="s">
        <v>18</v>
      </c>
      <c r="B66" s="262">
        <v>4000</v>
      </c>
      <c r="C66" s="264"/>
      <c r="D66" s="264"/>
      <c r="E66" s="264"/>
      <c r="F66" s="264"/>
      <c r="G66" s="274"/>
      <c r="J66" s="273"/>
      <c r="K66" s="262"/>
      <c r="L66" s="5"/>
      <c r="M66" s="5"/>
      <c r="N66" s="5"/>
      <c r="O66" s="5"/>
      <c r="P66" s="274"/>
    </row>
    <row r="67" spans="1:16" ht="24.95" customHeight="1" x14ac:dyDescent="0.3">
      <c r="A67" s="273"/>
      <c r="B67" s="262">
        <f>SUM(B54:B66)/F3</f>
        <v>4.1973684210526319</v>
      </c>
      <c r="C67" s="264"/>
      <c r="D67" s="264"/>
      <c r="E67" s="264"/>
      <c r="F67" s="5"/>
      <c r="G67" s="274"/>
      <c r="J67" s="273"/>
      <c r="K67" s="262"/>
      <c r="L67" s="5"/>
      <c r="M67" s="5"/>
      <c r="N67" s="5"/>
      <c r="O67" s="5"/>
      <c r="P67" s="274"/>
    </row>
    <row r="68" spans="1:16" ht="24.95" customHeight="1" x14ac:dyDescent="0.3">
      <c r="A68" s="273"/>
      <c r="B68" s="262"/>
      <c r="C68" s="264"/>
      <c r="D68" s="264"/>
      <c r="E68" s="264"/>
      <c r="F68" s="5"/>
      <c r="G68" s="274"/>
      <c r="J68" s="273"/>
      <c r="K68" s="262"/>
      <c r="L68" s="5"/>
      <c r="M68" s="5"/>
      <c r="N68" s="5"/>
      <c r="O68" s="5"/>
      <c r="P68" s="274"/>
    </row>
    <row r="69" spans="1:16" ht="24.95" customHeight="1" thickBot="1" x14ac:dyDescent="0.4">
      <c r="A69" s="276"/>
      <c r="B69" s="263"/>
      <c r="C69" s="241"/>
      <c r="D69" s="241"/>
      <c r="E69" s="241"/>
      <c r="F69" s="46"/>
      <c r="G69" s="277"/>
      <c r="J69" s="276"/>
      <c r="K69" s="263"/>
      <c r="L69" s="46"/>
      <c r="M69" s="46"/>
      <c r="N69" s="46"/>
      <c r="O69" s="46"/>
      <c r="P69" s="277"/>
    </row>
    <row r="70" spans="1:16" ht="24.95" customHeight="1" x14ac:dyDescent="0.3">
      <c r="A70" s="275"/>
      <c r="B70" s="262"/>
      <c r="C70" s="5"/>
      <c r="D70" s="5"/>
      <c r="E70" s="5"/>
      <c r="F70" s="5"/>
      <c r="G70" s="275"/>
      <c r="J70" s="275"/>
      <c r="K70" s="262"/>
      <c r="L70" s="264"/>
      <c r="M70" s="264"/>
      <c r="N70" s="264"/>
      <c r="O70" s="264"/>
      <c r="P70" s="275"/>
    </row>
    <row r="71" spans="1:16" ht="24.95" customHeight="1" thickBot="1" x14ac:dyDescent="0.3"/>
    <row r="72" spans="1:16" ht="24.95" customHeight="1" x14ac:dyDescent="0.55000000000000004">
      <c r="A72" s="1020" t="s">
        <v>119</v>
      </c>
      <c r="B72" s="1021"/>
      <c r="C72" s="1013" t="s">
        <v>121</v>
      </c>
      <c r="D72" s="1013"/>
      <c r="E72" s="1013"/>
      <c r="F72" s="1013"/>
      <c r="G72" s="1014"/>
      <c r="J72" s="1025" t="s">
        <v>125</v>
      </c>
      <c r="K72" s="1026"/>
      <c r="L72" s="1013" t="s">
        <v>121</v>
      </c>
      <c r="M72" s="1013"/>
      <c r="N72" s="1013"/>
      <c r="O72" s="1013"/>
      <c r="P72" s="1014"/>
    </row>
    <row r="73" spans="1:16" ht="24.95" customHeight="1" x14ac:dyDescent="0.45">
      <c r="A73" s="1008" t="s">
        <v>376</v>
      </c>
      <c r="B73" s="937"/>
      <c r="C73" s="264"/>
      <c r="D73" s="264"/>
      <c r="E73" s="264"/>
      <c r="F73" s="264"/>
      <c r="G73" s="274"/>
      <c r="J73" s="1008" t="s">
        <v>129</v>
      </c>
      <c r="K73" s="937"/>
      <c r="L73" s="264"/>
      <c r="M73" s="264"/>
      <c r="N73" s="264"/>
      <c r="O73" s="264"/>
      <c r="P73" s="274"/>
    </row>
    <row r="74" spans="1:16" ht="24.95" customHeight="1" x14ac:dyDescent="0.35">
      <c r="A74" s="273" t="s">
        <v>9</v>
      </c>
      <c r="B74" s="262">
        <f>0.65*7/1.5*F49</f>
        <v>11526.666666666666</v>
      </c>
      <c r="C74" s="909" t="s">
        <v>122</v>
      </c>
      <c r="D74" s="909"/>
      <c r="E74" s="909"/>
      <c r="F74" s="909"/>
      <c r="G74" s="1019"/>
      <c r="J74" s="273" t="s">
        <v>9</v>
      </c>
      <c r="K74" s="262">
        <f>0.7*3*4000/1.5</f>
        <v>5599.9999999999991</v>
      </c>
      <c r="L74" s="909" t="s">
        <v>122</v>
      </c>
      <c r="M74" s="909"/>
      <c r="N74" s="909"/>
      <c r="O74" s="909"/>
      <c r="P74" s="1019"/>
    </row>
    <row r="75" spans="1:16" ht="24.95" customHeight="1" x14ac:dyDescent="0.35">
      <c r="A75" s="278" t="s">
        <v>103</v>
      </c>
      <c r="B75" s="262">
        <f>14000*0.65/1.5</f>
        <v>6066.666666666667</v>
      </c>
      <c r="C75" s="264"/>
      <c r="D75" s="259"/>
      <c r="E75" s="259"/>
      <c r="F75" s="259"/>
      <c r="G75" s="274"/>
      <c r="J75" s="278" t="s">
        <v>103</v>
      </c>
      <c r="K75" s="262">
        <f>14000*0.7/1.5</f>
        <v>6533.333333333333</v>
      </c>
      <c r="L75" s="264"/>
      <c r="M75" s="259"/>
      <c r="N75" s="259"/>
      <c r="O75" s="259"/>
      <c r="P75" s="274"/>
    </row>
    <row r="76" spans="1:16" ht="24.95" customHeight="1" x14ac:dyDescent="0.35">
      <c r="A76" s="273" t="s">
        <v>11</v>
      </c>
      <c r="B76" s="262">
        <v>500</v>
      </c>
      <c r="C76" s="264"/>
      <c r="D76" s="259"/>
      <c r="E76" s="259"/>
      <c r="F76" s="259"/>
      <c r="G76" s="274"/>
      <c r="J76" s="273" t="s">
        <v>11</v>
      </c>
      <c r="K76" s="262">
        <f>3000</f>
        <v>3000</v>
      </c>
      <c r="L76" s="264"/>
      <c r="M76" s="259"/>
      <c r="N76" s="259"/>
      <c r="O76" s="259"/>
      <c r="P76" s="274"/>
    </row>
    <row r="77" spans="1:16" ht="24.95" customHeight="1" x14ac:dyDescent="0.35">
      <c r="A77" s="273" t="s">
        <v>43</v>
      </c>
      <c r="B77" s="262">
        <v>0</v>
      </c>
      <c r="C77" s="264"/>
      <c r="D77" s="23"/>
      <c r="E77" s="264"/>
      <c r="F77" s="264"/>
      <c r="G77" s="274"/>
      <c r="J77" s="273" t="s">
        <v>1</v>
      </c>
      <c r="K77" s="262">
        <v>700</v>
      </c>
      <c r="L77" s="264"/>
      <c r="M77" s="23"/>
      <c r="N77" s="264"/>
      <c r="O77" s="264"/>
      <c r="P77" s="274"/>
    </row>
    <row r="78" spans="1:16" ht="24.95" customHeight="1" x14ac:dyDescent="0.35">
      <c r="A78" s="273" t="s">
        <v>1</v>
      </c>
      <c r="B78" s="262">
        <v>700</v>
      </c>
      <c r="C78" s="264"/>
      <c r="D78" s="264"/>
      <c r="E78" s="264"/>
      <c r="F78" s="264"/>
      <c r="G78" s="274"/>
      <c r="J78" s="273" t="s">
        <v>10</v>
      </c>
      <c r="K78" s="262">
        <v>2500</v>
      </c>
      <c r="L78" s="264"/>
      <c r="M78" s="1010" t="s">
        <v>128</v>
      </c>
      <c r="N78" s="1010"/>
      <c r="O78" s="1010"/>
      <c r="P78" s="274"/>
    </row>
    <row r="79" spans="1:16" ht="24.95" customHeight="1" x14ac:dyDescent="0.25">
      <c r="A79" s="273" t="s">
        <v>10</v>
      </c>
      <c r="B79" s="262">
        <v>2000</v>
      </c>
      <c r="C79" s="264"/>
      <c r="D79" s="264"/>
      <c r="E79" s="264"/>
      <c r="F79" s="264"/>
      <c r="G79" s="274"/>
      <c r="J79" s="273" t="s">
        <v>12</v>
      </c>
      <c r="K79" s="262">
        <v>1000</v>
      </c>
      <c r="L79" s="264"/>
      <c r="M79" s="6" t="s">
        <v>123</v>
      </c>
      <c r="N79" s="6" t="s">
        <v>124</v>
      </c>
      <c r="O79" s="6" t="s">
        <v>24</v>
      </c>
      <c r="P79" s="274"/>
    </row>
    <row r="80" spans="1:16" ht="24.95" customHeight="1" x14ac:dyDescent="0.35">
      <c r="A80" s="273" t="s">
        <v>12</v>
      </c>
      <c r="B80" s="262">
        <v>2000</v>
      </c>
      <c r="C80" s="264"/>
      <c r="D80" s="1010" t="s">
        <v>127</v>
      </c>
      <c r="E80" s="1010"/>
      <c r="F80" s="1010"/>
      <c r="G80" s="274"/>
      <c r="J80" s="273" t="s">
        <v>14</v>
      </c>
      <c r="K80" s="262">
        <v>200</v>
      </c>
      <c r="L80" s="264"/>
      <c r="M80" s="6">
        <f>M84</f>
        <v>8.6974561403508766</v>
      </c>
      <c r="N80" s="6">
        <f>N84</f>
        <v>10.496929824561404</v>
      </c>
      <c r="O80" s="6">
        <f>O84</f>
        <v>11.936508771929825</v>
      </c>
      <c r="P80" s="274"/>
    </row>
    <row r="81" spans="1:16" ht="24.95" customHeight="1" x14ac:dyDescent="0.35">
      <c r="A81" s="273" t="s">
        <v>14</v>
      </c>
      <c r="B81" s="262">
        <v>0</v>
      </c>
      <c r="C81" s="264"/>
      <c r="D81" s="6" t="s">
        <v>123</v>
      </c>
      <c r="E81" s="6" t="s">
        <v>124</v>
      </c>
      <c r="F81" s="6" t="s">
        <v>24</v>
      </c>
      <c r="G81" s="45"/>
      <c r="J81" s="273" t="s">
        <v>15</v>
      </c>
      <c r="K81" s="262">
        <v>200</v>
      </c>
      <c r="L81" s="264"/>
      <c r="M81" s="7"/>
      <c r="N81" s="7"/>
      <c r="O81" s="7"/>
      <c r="P81" s="45"/>
    </row>
    <row r="82" spans="1:16" ht="24.95" customHeight="1" x14ac:dyDescent="0.3">
      <c r="A82" s="273" t="s">
        <v>15</v>
      </c>
      <c r="B82" s="262">
        <v>0</v>
      </c>
      <c r="C82" s="264"/>
      <c r="D82" s="6">
        <f>D86</f>
        <v>9.8269298245614021</v>
      </c>
      <c r="E82" s="6">
        <f>E86</f>
        <v>11.860087719298244</v>
      </c>
      <c r="F82" s="6">
        <f>F86</f>
        <v>13.486614035087719</v>
      </c>
      <c r="G82" s="45"/>
      <c r="J82" s="273" t="s">
        <v>120</v>
      </c>
      <c r="K82" s="262">
        <v>100</v>
      </c>
      <c r="L82" s="264"/>
      <c r="M82" s="264"/>
      <c r="N82" s="264"/>
      <c r="O82" s="264"/>
      <c r="P82" s="45"/>
    </row>
    <row r="83" spans="1:16" ht="24.95" customHeight="1" x14ac:dyDescent="0.35">
      <c r="A83" s="273" t="s">
        <v>120</v>
      </c>
      <c r="B83" s="262">
        <v>0</v>
      </c>
      <c r="C83" s="264"/>
      <c r="D83" s="7"/>
      <c r="E83" s="7"/>
      <c r="F83" s="7"/>
      <c r="G83" s="45"/>
      <c r="J83" s="273" t="s">
        <v>28</v>
      </c>
      <c r="K83" s="262">
        <v>100</v>
      </c>
      <c r="L83" s="264"/>
      <c r="M83" s="258">
        <v>0.35</v>
      </c>
      <c r="N83" s="258">
        <v>0.45</v>
      </c>
      <c r="O83" s="258">
        <v>0.7</v>
      </c>
      <c r="P83" s="45"/>
    </row>
    <row r="84" spans="1:16" ht="24.95" customHeight="1" x14ac:dyDescent="0.35">
      <c r="A84" s="273" t="s">
        <v>28</v>
      </c>
      <c r="B84" s="262">
        <v>100</v>
      </c>
      <c r="C84" s="264"/>
      <c r="D84" s="264"/>
      <c r="E84" s="234"/>
      <c r="F84" s="235"/>
      <c r="G84" s="236"/>
      <c r="J84" s="273" t="s">
        <v>16</v>
      </c>
      <c r="K84" s="262">
        <v>100</v>
      </c>
      <c r="L84" s="264"/>
      <c r="M84" s="5">
        <f>K87*1.45</f>
        <v>8.6974561403508766</v>
      </c>
      <c r="N84" s="5">
        <f>K87*1.75</f>
        <v>10.496929824561404</v>
      </c>
      <c r="O84" s="5">
        <f>K87*1.99</f>
        <v>11.936508771929825</v>
      </c>
      <c r="P84" s="236"/>
    </row>
    <row r="85" spans="1:16" ht="24.95" customHeight="1" x14ac:dyDescent="0.3">
      <c r="A85" s="273" t="s">
        <v>16</v>
      </c>
      <c r="B85" s="262">
        <v>100</v>
      </c>
      <c r="C85" s="264"/>
      <c r="D85" s="258">
        <v>0.35</v>
      </c>
      <c r="E85" s="258">
        <v>0.45</v>
      </c>
      <c r="F85" s="258">
        <v>0.7</v>
      </c>
      <c r="G85" s="236"/>
      <c r="J85" s="273" t="s">
        <v>17</v>
      </c>
      <c r="K85" s="262">
        <v>760</v>
      </c>
      <c r="L85" s="264"/>
      <c r="M85" s="264"/>
      <c r="N85" s="264"/>
      <c r="O85" s="264"/>
      <c r="P85" s="236"/>
    </row>
    <row r="86" spans="1:16" ht="24.95" customHeight="1" x14ac:dyDescent="0.3">
      <c r="A86" s="273" t="s">
        <v>17</v>
      </c>
      <c r="B86" s="262">
        <v>760</v>
      </c>
      <c r="C86" s="264"/>
      <c r="D86" s="5">
        <f>B88*1.45</f>
        <v>9.8269298245614021</v>
      </c>
      <c r="E86" s="5">
        <f>B88*1.75</f>
        <v>11.860087719298244</v>
      </c>
      <c r="F86" s="5">
        <f>B88*1.99</f>
        <v>13.486614035087719</v>
      </c>
      <c r="G86" s="274"/>
      <c r="J86" s="273" t="s">
        <v>18</v>
      </c>
      <c r="K86" s="262">
        <v>2000</v>
      </c>
      <c r="L86" s="264"/>
      <c r="M86" s="264"/>
      <c r="N86" s="264"/>
      <c r="O86" s="264"/>
      <c r="P86" s="274"/>
    </row>
    <row r="87" spans="1:16" ht="24.95" customHeight="1" x14ac:dyDescent="0.3">
      <c r="A87" s="273" t="s">
        <v>18</v>
      </c>
      <c r="B87" s="262">
        <v>2000</v>
      </c>
      <c r="C87" s="264"/>
      <c r="D87" s="264"/>
      <c r="E87" s="264"/>
      <c r="F87" s="5"/>
      <c r="G87" s="274"/>
      <c r="J87" s="273"/>
      <c r="K87" s="262">
        <f>SUM(K74:K86)/F3</f>
        <v>5.9982456140350875</v>
      </c>
      <c r="L87" s="264"/>
      <c r="M87" s="264"/>
      <c r="N87" s="264"/>
      <c r="O87" s="5"/>
      <c r="P87" s="274"/>
    </row>
    <row r="88" spans="1:16" ht="24.95" customHeight="1" x14ac:dyDescent="0.3">
      <c r="A88" s="273"/>
      <c r="B88" s="262">
        <f>SUM(B74:B87)/F3</f>
        <v>6.7771929824561399</v>
      </c>
      <c r="C88" s="264"/>
      <c r="D88" s="264"/>
      <c r="E88" s="264"/>
      <c r="F88" s="5"/>
      <c r="G88" s="274"/>
      <c r="J88" s="273"/>
      <c r="K88" s="262"/>
      <c r="L88" s="264"/>
      <c r="M88" s="264"/>
      <c r="N88" s="264"/>
      <c r="O88" s="5"/>
      <c r="P88" s="274"/>
    </row>
    <row r="89" spans="1:16" ht="24.95" customHeight="1" x14ac:dyDescent="0.35">
      <c r="A89" s="273"/>
      <c r="B89" s="262"/>
      <c r="C89" s="7"/>
      <c r="D89" s="7"/>
      <c r="E89" s="7"/>
      <c r="F89" s="5"/>
      <c r="G89" s="274"/>
      <c r="J89" s="273"/>
      <c r="K89" s="262"/>
      <c r="L89" s="7"/>
      <c r="M89" s="7"/>
      <c r="N89" s="7"/>
      <c r="O89" s="5"/>
      <c r="P89" s="274"/>
    </row>
    <row r="90" spans="1:16" ht="24.95" customHeight="1" thickBot="1" x14ac:dyDescent="0.35">
      <c r="A90" s="276"/>
      <c r="B90" s="263"/>
      <c r="C90" s="46"/>
      <c r="D90" s="46"/>
      <c r="E90" s="46"/>
      <c r="F90" s="46"/>
      <c r="G90" s="277"/>
      <c r="J90" s="276"/>
      <c r="K90" s="263"/>
      <c r="L90" s="46"/>
      <c r="M90" s="46"/>
      <c r="N90" s="46"/>
      <c r="O90" s="46"/>
      <c r="P90" s="277"/>
    </row>
    <row r="91" spans="1:16" ht="24.95" customHeight="1" x14ac:dyDescent="0.3">
      <c r="A91" s="275"/>
      <c r="B91" s="262"/>
      <c r="C91" s="5"/>
      <c r="D91" s="5"/>
      <c r="E91" s="5"/>
      <c r="F91" s="5"/>
      <c r="G91" s="275"/>
      <c r="J91" s="275"/>
      <c r="K91" s="262"/>
      <c r="L91" s="5"/>
      <c r="M91" s="5"/>
      <c r="N91" s="5"/>
      <c r="O91" s="5"/>
      <c r="P91" s="275"/>
    </row>
    <row r="92" spans="1:16" ht="24.95" customHeight="1" thickBot="1" x14ac:dyDescent="0.3"/>
    <row r="93" spans="1:16" ht="24.95" customHeight="1" x14ac:dyDescent="0.55000000000000004">
      <c r="A93" s="1011" t="s">
        <v>130</v>
      </c>
      <c r="B93" s="1012"/>
      <c r="C93" s="1013" t="s">
        <v>121</v>
      </c>
      <c r="D93" s="1013"/>
      <c r="E93" s="1013"/>
      <c r="F93" s="1013"/>
      <c r="G93" s="1014"/>
      <c r="J93" s="1027" t="s">
        <v>135</v>
      </c>
      <c r="K93" s="1012"/>
      <c r="L93" s="270"/>
      <c r="M93" s="137" t="s">
        <v>62</v>
      </c>
      <c r="N93" s="270"/>
      <c r="O93" s="270"/>
      <c r="P93" s="272"/>
    </row>
    <row r="94" spans="1:16" ht="24.95" customHeight="1" x14ac:dyDescent="0.45">
      <c r="A94" s="1008" t="s">
        <v>129</v>
      </c>
      <c r="B94" s="937"/>
      <c r="C94" s="264"/>
      <c r="D94" s="264"/>
      <c r="E94" s="264"/>
      <c r="F94" s="264"/>
      <c r="G94" s="274"/>
      <c r="J94" s="273" t="s">
        <v>69</v>
      </c>
      <c r="K94" s="262">
        <f>1.5*3*4000</f>
        <v>18000</v>
      </c>
      <c r="L94" s="264"/>
      <c r="M94" s="264"/>
      <c r="N94" s="264"/>
      <c r="O94" s="264"/>
      <c r="P94" s="274"/>
    </row>
    <row r="95" spans="1:16" ht="24.95" customHeight="1" x14ac:dyDescent="0.35">
      <c r="A95" s="273" t="s">
        <v>9</v>
      </c>
      <c r="B95" s="262">
        <f>0.5*7/2*F49</f>
        <v>6650</v>
      </c>
      <c r="C95" s="909" t="s">
        <v>122</v>
      </c>
      <c r="D95" s="909"/>
      <c r="E95" s="909"/>
      <c r="F95" s="909"/>
      <c r="G95" s="1019"/>
      <c r="J95" s="273" t="s">
        <v>1</v>
      </c>
      <c r="K95" s="262">
        <v>1000</v>
      </c>
      <c r="L95" s="264"/>
      <c r="M95" s="264"/>
      <c r="N95" s="264"/>
      <c r="O95" s="264"/>
      <c r="P95" s="274"/>
    </row>
    <row r="96" spans="1:16" ht="24.95" customHeight="1" x14ac:dyDescent="0.35">
      <c r="A96" s="278" t="s">
        <v>103</v>
      </c>
      <c r="B96" s="262">
        <f>14000*0.5/2</f>
        <v>3500</v>
      </c>
      <c r="C96" s="264"/>
      <c r="D96" s="259"/>
      <c r="E96" s="259"/>
      <c r="F96" s="259"/>
      <c r="G96" s="274"/>
      <c r="J96" s="273" t="s">
        <v>10</v>
      </c>
      <c r="K96" s="262">
        <v>4000</v>
      </c>
      <c r="L96" s="264"/>
      <c r="M96" s="264"/>
      <c r="N96" s="264"/>
      <c r="O96" s="264"/>
      <c r="P96" s="274"/>
    </row>
    <row r="97" spans="1:16" ht="24.95" customHeight="1" x14ac:dyDescent="0.35">
      <c r="A97" s="273" t="s">
        <v>11</v>
      </c>
      <c r="B97" s="262">
        <v>500</v>
      </c>
      <c r="C97" s="264"/>
      <c r="D97" s="259"/>
      <c r="E97" s="259"/>
      <c r="F97" s="259"/>
      <c r="G97" s="274"/>
      <c r="J97" s="279" t="s">
        <v>65</v>
      </c>
      <c r="K97" s="262">
        <v>2500</v>
      </c>
      <c r="L97" s="264"/>
      <c r="M97" s="7" t="s">
        <v>67</v>
      </c>
      <c r="N97" s="264"/>
      <c r="O97" s="264"/>
      <c r="P97" s="274"/>
    </row>
    <row r="98" spans="1:16" ht="24.95" customHeight="1" x14ac:dyDescent="0.35">
      <c r="A98" s="273" t="s">
        <v>43</v>
      </c>
      <c r="B98" s="262">
        <v>1000</v>
      </c>
      <c r="C98" s="264"/>
      <c r="D98" s="23"/>
      <c r="E98" s="264"/>
      <c r="F98" s="264"/>
      <c r="G98" s="274"/>
      <c r="J98" s="273" t="s">
        <v>11</v>
      </c>
      <c r="K98" s="262">
        <f t="shared" ref="K98" si="0">K81</f>
        <v>200</v>
      </c>
      <c r="L98" s="264"/>
      <c r="M98" s="264"/>
      <c r="N98" s="264"/>
      <c r="O98" s="264"/>
      <c r="P98" s="274"/>
    </row>
    <row r="99" spans="1:16" ht="24.95" customHeight="1" x14ac:dyDescent="0.3">
      <c r="A99" s="273" t="s">
        <v>1</v>
      </c>
      <c r="B99" s="262">
        <v>700</v>
      </c>
      <c r="C99" s="264"/>
      <c r="D99" s="264"/>
      <c r="E99" s="264"/>
      <c r="F99" s="264"/>
      <c r="G99" s="274"/>
      <c r="J99" s="273" t="s">
        <v>13</v>
      </c>
      <c r="K99" s="262">
        <v>1000</v>
      </c>
      <c r="L99" s="264"/>
      <c r="M99" s="240" t="s">
        <v>22</v>
      </c>
      <c r="N99" s="240" t="s">
        <v>23</v>
      </c>
      <c r="O99" s="240" t="s">
        <v>24</v>
      </c>
      <c r="P99" s="45"/>
    </row>
    <row r="100" spans="1:16" ht="24.95" customHeight="1" x14ac:dyDescent="0.3">
      <c r="A100" s="273" t="s">
        <v>10</v>
      </c>
      <c r="B100" s="262">
        <v>2500</v>
      </c>
      <c r="C100" s="264"/>
      <c r="D100" s="264"/>
      <c r="E100" s="264"/>
      <c r="F100" s="264"/>
      <c r="G100" s="274"/>
      <c r="J100" s="273" t="s">
        <v>12</v>
      </c>
      <c r="K100" s="262">
        <v>1000</v>
      </c>
      <c r="L100" s="264"/>
      <c r="M100" s="6">
        <f>M104</f>
        <v>12.157105263157893</v>
      </c>
      <c r="N100" s="6">
        <f>N104</f>
        <v>14.67236842105263</v>
      </c>
      <c r="O100" s="6">
        <f>O104</f>
        <v>16.684578947368419</v>
      </c>
      <c r="P100" s="45"/>
    </row>
    <row r="101" spans="1:16" ht="24.95" customHeight="1" x14ac:dyDescent="0.35">
      <c r="A101" s="273" t="s">
        <v>12</v>
      </c>
      <c r="B101" s="262">
        <v>2000</v>
      </c>
      <c r="C101" s="264"/>
      <c r="D101" s="1010" t="s">
        <v>128</v>
      </c>
      <c r="E101" s="1010"/>
      <c r="F101" s="1010"/>
      <c r="G101" s="274"/>
      <c r="J101" s="273" t="s">
        <v>14</v>
      </c>
      <c r="K101" s="262">
        <v>200</v>
      </c>
      <c r="L101" s="264"/>
      <c r="M101" s="7"/>
      <c r="N101" s="7"/>
      <c r="O101" s="7"/>
      <c r="P101" s="45"/>
    </row>
    <row r="102" spans="1:16" ht="24.95" customHeight="1" x14ac:dyDescent="0.3">
      <c r="A102" s="273" t="s">
        <v>14</v>
      </c>
      <c r="B102" s="262">
        <v>0</v>
      </c>
      <c r="C102" s="264"/>
      <c r="D102" s="6" t="s">
        <v>123</v>
      </c>
      <c r="E102" s="6" t="s">
        <v>124</v>
      </c>
      <c r="F102" s="6" t="s">
        <v>24</v>
      </c>
      <c r="G102" s="45"/>
      <c r="J102" s="273" t="s">
        <v>15</v>
      </c>
      <c r="K102" s="262">
        <v>200</v>
      </c>
      <c r="L102" s="264"/>
      <c r="M102" s="264"/>
      <c r="N102" s="264"/>
      <c r="O102" s="264"/>
      <c r="P102" s="274"/>
    </row>
    <row r="103" spans="1:16" ht="24.95" customHeight="1" x14ac:dyDescent="0.3">
      <c r="A103" s="273" t="s">
        <v>15</v>
      </c>
      <c r="B103" s="262">
        <v>0</v>
      </c>
      <c r="C103" s="264"/>
      <c r="D103" s="6">
        <f>D107</f>
        <v>8.1467105263157897</v>
      </c>
      <c r="E103" s="6">
        <f>E107</f>
        <v>9.2703947368421051</v>
      </c>
      <c r="F103" s="6">
        <f>F107</f>
        <v>11.180657894736841</v>
      </c>
      <c r="G103" s="45"/>
      <c r="J103" s="273" t="s">
        <v>27</v>
      </c>
      <c r="K103" s="262">
        <v>200</v>
      </c>
      <c r="L103" s="264"/>
      <c r="M103" s="258">
        <v>0.4</v>
      </c>
      <c r="N103" s="258">
        <v>0.65</v>
      </c>
      <c r="O103" s="258">
        <v>0.9</v>
      </c>
      <c r="P103" s="274"/>
    </row>
    <row r="104" spans="1:16" ht="24.95" customHeight="1" x14ac:dyDescent="0.35">
      <c r="A104" s="273" t="s">
        <v>370</v>
      </c>
      <c r="B104" s="262">
        <v>0</v>
      </c>
      <c r="C104" s="264"/>
      <c r="D104" s="237"/>
      <c r="E104" s="237"/>
      <c r="F104" s="237"/>
      <c r="G104" s="238"/>
      <c r="J104" s="273" t="s">
        <v>28</v>
      </c>
      <c r="K104" s="262">
        <v>100</v>
      </c>
      <c r="L104" s="264"/>
      <c r="M104" s="5">
        <f>K108*1.45</f>
        <v>12.157105263157893</v>
      </c>
      <c r="N104" s="5">
        <f>K108*1.75</f>
        <v>14.67236842105263</v>
      </c>
      <c r="O104" s="5">
        <f>K108*1.99</f>
        <v>16.684578947368419</v>
      </c>
      <c r="P104" s="274"/>
    </row>
    <row r="105" spans="1:16" ht="24.95" customHeight="1" x14ac:dyDescent="0.35">
      <c r="A105" s="273" t="s">
        <v>28</v>
      </c>
      <c r="B105" s="262">
        <v>100</v>
      </c>
      <c r="C105" s="264"/>
      <c r="D105" s="280"/>
      <c r="E105" s="234"/>
      <c r="F105" s="235"/>
      <c r="G105" s="236"/>
      <c r="J105" s="273" t="s">
        <v>16</v>
      </c>
      <c r="K105" s="262">
        <v>100</v>
      </c>
      <c r="L105" s="264"/>
      <c r="M105" s="264"/>
      <c r="N105" s="264"/>
      <c r="O105" s="264"/>
      <c r="P105" s="274"/>
    </row>
    <row r="106" spans="1:16" ht="24.95" customHeight="1" x14ac:dyDescent="0.35">
      <c r="A106" s="273" t="s">
        <v>16</v>
      </c>
      <c r="B106" s="262">
        <v>100</v>
      </c>
      <c r="C106" s="264"/>
      <c r="D106" s="258">
        <v>0.35</v>
      </c>
      <c r="E106" s="258">
        <v>0.45</v>
      </c>
      <c r="F106" s="258">
        <v>0.7</v>
      </c>
      <c r="G106" s="236"/>
      <c r="J106" s="273" t="s">
        <v>17</v>
      </c>
      <c r="K106" s="262">
        <v>360</v>
      </c>
      <c r="L106" s="264"/>
      <c r="M106" s="1009"/>
      <c r="N106" s="1009"/>
      <c r="O106" s="264"/>
      <c r="P106" s="274"/>
    </row>
    <row r="107" spans="1:16" ht="24.95" customHeight="1" x14ac:dyDescent="0.3">
      <c r="A107" s="273" t="s">
        <v>17</v>
      </c>
      <c r="B107" s="262">
        <v>500</v>
      </c>
      <c r="C107" s="264"/>
      <c r="D107" s="5">
        <f>B109*1.45</f>
        <v>8.1467105263157897</v>
      </c>
      <c r="E107" s="5">
        <f>B109*1.65</f>
        <v>9.2703947368421051</v>
      </c>
      <c r="F107" s="5">
        <f>B109*1.99</f>
        <v>11.180657894736841</v>
      </c>
      <c r="G107" s="274"/>
      <c r="J107" s="273" t="s">
        <v>18</v>
      </c>
      <c r="K107" s="262">
        <v>3000</v>
      </c>
      <c r="L107" s="264"/>
      <c r="M107" s="264"/>
      <c r="N107" s="264"/>
      <c r="O107" s="5"/>
      <c r="P107" s="274"/>
    </row>
    <row r="108" spans="1:16" ht="24.95" customHeight="1" x14ac:dyDescent="0.3">
      <c r="A108" s="273" t="s">
        <v>18</v>
      </c>
      <c r="B108" s="262">
        <v>3800</v>
      </c>
      <c r="C108" s="264"/>
      <c r="D108" s="264"/>
      <c r="E108" s="264"/>
      <c r="F108" s="5"/>
      <c r="G108" s="274"/>
      <c r="J108" s="273"/>
      <c r="K108" s="262">
        <f>SUM(K94:K107)/F3</f>
        <v>8.3842105263157887</v>
      </c>
      <c r="L108" s="264"/>
      <c r="M108" s="264"/>
      <c r="N108" s="264"/>
      <c r="O108" s="5"/>
      <c r="P108" s="274"/>
    </row>
    <row r="109" spans="1:16" ht="24.95" customHeight="1" x14ac:dyDescent="0.35">
      <c r="A109" s="273"/>
      <c r="B109" s="262">
        <f>SUM(B95:B108)/F3</f>
        <v>5.6184210526315788</v>
      </c>
      <c r="C109" s="264"/>
      <c r="D109" s="264"/>
      <c r="E109" s="264"/>
      <c r="F109" s="5"/>
      <c r="G109" s="274"/>
      <c r="J109" s="273"/>
      <c r="K109" s="262"/>
      <c r="L109" s="7"/>
      <c r="M109" s="7"/>
      <c r="N109" s="7"/>
      <c r="O109" s="5"/>
      <c r="P109" s="274"/>
    </row>
    <row r="110" spans="1:16" ht="24.95" customHeight="1" thickBot="1" x14ac:dyDescent="0.4">
      <c r="A110" s="276"/>
      <c r="B110" s="263"/>
      <c r="C110" s="241"/>
      <c r="D110" s="241"/>
      <c r="E110" s="241"/>
      <c r="F110" s="46"/>
      <c r="G110" s="277"/>
      <c r="J110" s="276"/>
      <c r="K110" s="263"/>
      <c r="L110" s="46"/>
      <c r="M110" s="46"/>
      <c r="N110" s="46"/>
      <c r="O110" s="46"/>
      <c r="P110" s="277"/>
    </row>
    <row r="111" spans="1:16" ht="24.95" customHeight="1" x14ac:dyDescent="0.3">
      <c r="A111" s="275"/>
      <c r="B111" s="262"/>
      <c r="C111" s="5"/>
      <c r="D111" s="5"/>
      <c r="E111" s="5"/>
      <c r="F111" s="5"/>
      <c r="G111" s="275"/>
      <c r="J111" s="275"/>
      <c r="K111" s="262"/>
      <c r="L111" s="5"/>
      <c r="M111" s="5"/>
      <c r="N111" s="5"/>
      <c r="O111" s="5"/>
      <c r="P111" s="275"/>
    </row>
    <row r="112" spans="1:16" ht="24.95" customHeight="1" x14ac:dyDescent="0.25"/>
    <row r="113" spans="1:16" ht="24.95" customHeight="1" thickBot="1" x14ac:dyDescent="0.3"/>
    <row r="114" spans="1:16" ht="24.95" customHeight="1" x14ac:dyDescent="0.55000000000000004">
      <c r="A114" s="1016" t="s">
        <v>119</v>
      </c>
      <c r="B114" s="1017"/>
      <c r="C114" s="1013" t="s">
        <v>121</v>
      </c>
      <c r="D114" s="1013"/>
      <c r="E114" s="1013"/>
      <c r="F114" s="1013"/>
      <c r="G114" s="1014"/>
      <c r="J114" s="1023" t="s">
        <v>125</v>
      </c>
      <c r="K114" s="1024"/>
      <c r="L114" s="1013" t="s">
        <v>121</v>
      </c>
      <c r="M114" s="1013"/>
      <c r="N114" s="1013"/>
      <c r="O114" s="1013"/>
      <c r="P114" s="1014"/>
    </row>
    <row r="115" spans="1:16" ht="24.95" customHeight="1" x14ac:dyDescent="0.45">
      <c r="A115" s="1008" t="s">
        <v>126</v>
      </c>
      <c r="B115" s="937"/>
      <c r="C115" s="264"/>
      <c r="D115" s="264"/>
      <c r="E115" s="264"/>
      <c r="F115" s="264"/>
      <c r="G115" s="274"/>
      <c r="J115" s="1008" t="s">
        <v>129</v>
      </c>
      <c r="K115" s="937"/>
      <c r="L115" s="264"/>
      <c r="M115" s="264"/>
      <c r="N115" s="264"/>
      <c r="O115" s="264"/>
      <c r="P115" s="274"/>
    </row>
    <row r="116" spans="1:16" ht="24.95" customHeight="1" x14ac:dyDescent="0.35">
      <c r="A116" s="273" t="s">
        <v>9</v>
      </c>
      <c r="B116" s="262">
        <f>0.65*3*4000/1.5</f>
        <v>5200.0000000000009</v>
      </c>
      <c r="C116" s="909" t="s">
        <v>131</v>
      </c>
      <c r="D116" s="909"/>
      <c r="E116" s="909"/>
      <c r="F116" s="909"/>
      <c r="G116" s="1019"/>
      <c r="J116" s="273" t="s">
        <v>9</v>
      </c>
      <c r="K116" s="262">
        <f>0.7*2*4000/1.5</f>
        <v>3733.3333333333335</v>
      </c>
      <c r="L116" s="909" t="s">
        <v>132</v>
      </c>
      <c r="M116" s="909"/>
      <c r="N116" s="909"/>
      <c r="O116" s="909"/>
      <c r="P116" s="1019"/>
    </row>
    <row r="117" spans="1:16" ht="24.95" customHeight="1" x14ac:dyDescent="0.35">
      <c r="A117" s="273" t="s">
        <v>11</v>
      </c>
      <c r="B117" s="262">
        <v>1000</v>
      </c>
      <c r="C117" s="264"/>
      <c r="D117" s="259"/>
      <c r="E117" s="259"/>
      <c r="F117" s="259"/>
      <c r="G117" s="274"/>
      <c r="J117" s="273" t="s">
        <v>11</v>
      </c>
      <c r="K117" s="262">
        <v>1500</v>
      </c>
      <c r="L117" s="264"/>
      <c r="M117" s="259"/>
      <c r="N117" s="259"/>
      <c r="O117" s="259"/>
      <c r="P117" s="274"/>
    </row>
    <row r="118" spans="1:16" ht="24.95" customHeight="1" x14ac:dyDescent="0.35">
      <c r="A118" s="273" t="s">
        <v>43</v>
      </c>
      <c r="B118" s="262">
        <f>2000*0.7</f>
        <v>1400</v>
      </c>
      <c r="C118" s="264"/>
      <c r="D118" s="259"/>
      <c r="E118" s="259"/>
      <c r="F118" s="259"/>
      <c r="G118" s="274"/>
      <c r="J118" s="273" t="s">
        <v>133</v>
      </c>
      <c r="K118" s="262">
        <v>1000</v>
      </c>
      <c r="L118" s="264"/>
      <c r="M118" s="259"/>
      <c r="N118" s="259"/>
      <c r="O118" s="259"/>
      <c r="P118" s="274"/>
    </row>
    <row r="119" spans="1:16" ht="24.95" customHeight="1" x14ac:dyDescent="0.35">
      <c r="A119" s="273" t="s">
        <v>1</v>
      </c>
      <c r="B119" s="262">
        <v>700</v>
      </c>
      <c r="C119" s="264"/>
      <c r="D119" s="23"/>
      <c r="E119" s="264"/>
      <c r="F119" s="264"/>
      <c r="G119" s="274"/>
      <c r="J119" s="273" t="s">
        <v>1</v>
      </c>
      <c r="K119" s="262">
        <v>700</v>
      </c>
      <c r="L119" s="264"/>
      <c r="M119" s="23"/>
      <c r="N119" s="264"/>
      <c r="O119" s="264"/>
      <c r="P119" s="274"/>
    </row>
    <row r="120" spans="1:16" ht="24.95" customHeight="1" x14ac:dyDescent="0.35">
      <c r="A120" s="273" t="s">
        <v>94</v>
      </c>
      <c r="B120" s="262">
        <v>6000</v>
      </c>
      <c r="C120" s="264"/>
      <c r="D120" s="23"/>
      <c r="E120" s="264"/>
      <c r="F120" s="264"/>
      <c r="G120" s="274"/>
      <c r="J120" s="273"/>
      <c r="K120" s="262"/>
      <c r="L120" s="264"/>
      <c r="M120" s="23"/>
      <c r="N120" s="264"/>
      <c r="O120" s="264"/>
      <c r="P120" s="274"/>
    </row>
    <row r="121" spans="1:16" ht="24.95" customHeight="1" x14ac:dyDescent="0.35">
      <c r="A121" s="273" t="s">
        <v>10</v>
      </c>
      <c r="B121" s="262">
        <v>2500</v>
      </c>
      <c r="C121" s="264"/>
      <c r="D121" s="264"/>
      <c r="E121" s="264"/>
      <c r="F121" s="264"/>
      <c r="G121" s="274"/>
      <c r="J121" s="273" t="s">
        <v>10</v>
      </c>
      <c r="K121" s="262">
        <v>2500</v>
      </c>
      <c r="L121" s="264"/>
      <c r="M121" s="1010" t="s">
        <v>128</v>
      </c>
      <c r="N121" s="1010"/>
      <c r="O121" s="1010"/>
      <c r="P121" s="274"/>
    </row>
    <row r="122" spans="1:16" ht="24.95" customHeight="1" x14ac:dyDescent="0.35">
      <c r="A122" s="273" t="s">
        <v>12</v>
      </c>
      <c r="B122" s="262">
        <v>1000</v>
      </c>
      <c r="C122" s="264"/>
      <c r="D122" s="1010" t="s">
        <v>127</v>
      </c>
      <c r="E122" s="1010"/>
      <c r="F122" s="1010"/>
      <c r="G122" s="274"/>
      <c r="J122" s="273" t="s">
        <v>12</v>
      </c>
      <c r="K122" s="262">
        <v>1000</v>
      </c>
      <c r="L122" s="264"/>
      <c r="M122" s="6" t="s">
        <v>123</v>
      </c>
      <c r="N122" s="6" t="s">
        <v>124</v>
      </c>
      <c r="O122" s="6" t="s">
        <v>24</v>
      </c>
      <c r="P122" s="274"/>
    </row>
    <row r="123" spans="1:16" ht="24.95" customHeight="1" x14ac:dyDescent="0.25">
      <c r="A123" s="273" t="s">
        <v>14</v>
      </c>
      <c r="B123" s="262">
        <v>200</v>
      </c>
      <c r="C123" s="264"/>
      <c r="D123" s="6" t="s">
        <v>123</v>
      </c>
      <c r="E123" s="6" t="s">
        <v>124</v>
      </c>
      <c r="F123" s="6" t="s">
        <v>24</v>
      </c>
      <c r="G123" s="274"/>
      <c r="J123" s="273" t="s">
        <v>14</v>
      </c>
      <c r="K123" s="262">
        <v>200</v>
      </c>
      <c r="L123" s="264"/>
      <c r="M123" s="6">
        <f>M127</f>
        <v>5.30140350877193</v>
      </c>
      <c r="N123" s="6">
        <f>N127</f>
        <v>6.3982456140350878</v>
      </c>
      <c r="O123" s="6">
        <f>O127</f>
        <v>7.2757192982456145</v>
      </c>
      <c r="P123" s="274"/>
    </row>
    <row r="124" spans="1:16" ht="24.95" customHeight="1" x14ac:dyDescent="0.35">
      <c r="A124" s="273" t="s">
        <v>15</v>
      </c>
      <c r="B124" s="262">
        <v>200</v>
      </c>
      <c r="C124" s="264"/>
      <c r="D124" s="6">
        <f>D128</f>
        <v>8.112368421052631</v>
      </c>
      <c r="E124" s="6">
        <f>E128</f>
        <v>9.7907894736842103</v>
      </c>
      <c r="F124" s="6">
        <f>F128</f>
        <v>11.133526315789473</v>
      </c>
      <c r="G124" s="45"/>
      <c r="J124" s="273" t="s">
        <v>15</v>
      </c>
      <c r="K124" s="262">
        <v>200</v>
      </c>
      <c r="L124" s="264"/>
      <c r="M124" s="237"/>
      <c r="N124" s="237"/>
      <c r="O124" s="237"/>
      <c r="P124" s="45"/>
    </row>
    <row r="125" spans="1:16" ht="24.95" customHeight="1" x14ac:dyDescent="0.35">
      <c r="A125" s="273" t="s">
        <v>120</v>
      </c>
      <c r="B125" s="262">
        <v>100</v>
      </c>
      <c r="C125" s="264"/>
      <c r="D125" s="7"/>
      <c r="E125" s="7"/>
      <c r="F125" s="7"/>
      <c r="G125" s="45"/>
      <c r="J125" s="273" t="s">
        <v>120</v>
      </c>
      <c r="K125" s="262">
        <v>100</v>
      </c>
      <c r="L125" s="264"/>
      <c r="M125" s="280"/>
      <c r="N125" s="234"/>
      <c r="O125" s="235"/>
      <c r="P125" s="45"/>
    </row>
    <row r="126" spans="1:16" ht="24.95" customHeight="1" x14ac:dyDescent="0.35">
      <c r="A126" s="273" t="s">
        <v>28</v>
      </c>
      <c r="B126" s="262">
        <v>100</v>
      </c>
      <c r="C126" s="264"/>
      <c r="D126" s="264"/>
      <c r="E126" s="234"/>
      <c r="F126" s="235"/>
      <c r="G126" s="45"/>
      <c r="J126" s="273" t="s">
        <v>28</v>
      </c>
      <c r="K126" s="262">
        <v>100</v>
      </c>
      <c r="L126" s="264"/>
      <c r="M126" s="258">
        <v>0.35</v>
      </c>
      <c r="N126" s="258">
        <v>0.45</v>
      </c>
      <c r="O126" s="258">
        <v>0.7</v>
      </c>
      <c r="P126" s="238"/>
    </row>
    <row r="127" spans="1:16" ht="24.95" customHeight="1" x14ac:dyDescent="0.3">
      <c r="A127" s="273" t="s">
        <v>16</v>
      </c>
      <c r="B127" s="262">
        <v>100</v>
      </c>
      <c r="C127" s="264"/>
      <c r="D127" s="258">
        <v>0.35</v>
      </c>
      <c r="E127" s="258">
        <v>0.45</v>
      </c>
      <c r="F127" s="258">
        <v>0.7</v>
      </c>
      <c r="G127" s="236"/>
      <c r="J127" s="273" t="s">
        <v>16</v>
      </c>
      <c r="K127" s="262">
        <v>100</v>
      </c>
      <c r="L127" s="264"/>
      <c r="M127" s="5">
        <f>K130*1.45</f>
        <v>5.30140350877193</v>
      </c>
      <c r="N127" s="5">
        <f>K130*1.75</f>
        <v>6.3982456140350878</v>
      </c>
      <c r="O127" s="5">
        <f>K130*1.99</f>
        <v>7.2757192982456145</v>
      </c>
      <c r="P127" s="236"/>
    </row>
    <row r="128" spans="1:16" ht="24.95" customHeight="1" x14ac:dyDescent="0.3">
      <c r="A128" s="273" t="s">
        <v>17</v>
      </c>
      <c r="B128" s="262">
        <v>760</v>
      </c>
      <c r="C128" s="264"/>
      <c r="D128" s="5">
        <f>B130*1.45</f>
        <v>8.112368421052631</v>
      </c>
      <c r="E128" s="5">
        <f>B130*1.75</f>
        <v>9.7907894736842103</v>
      </c>
      <c r="F128" s="5">
        <f>B130*1.99</f>
        <v>11.133526315789473</v>
      </c>
      <c r="G128" s="236"/>
      <c r="J128" s="273" t="s">
        <v>17</v>
      </c>
      <c r="K128" s="262">
        <v>760</v>
      </c>
      <c r="L128" s="264"/>
      <c r="M128" s="264"/>
      <c r="N128" s="264"/>
      <c r="O128" s="264"/>
      <c r="P128" s="236"/>
    </row>
    <row r="129" spans="1:16" ht="24.95" customHeight="1" x14ac:dyDescent="0.25">
      <c r="A129" s="273" t="s">
        <v>18</v>
      </c>
      <c r="B129" s="262">
        <v>2000</v>
      </c>
      <c r="C129" s="264"/>
      <c r="D129" s="264"/>
      <c r="E129" s="264"/>
      <c r="F129" s="264"/>
      <c r="G129" s="274"/>
      <c r="J129" s="273" t="s">
        <v>18</v>
      </c>
      <c r="K129" s="262">
        <v>2000</v>
      </c>
      <c r="L129" s="264"/>
      <c r="M129" s="264"/>
      <c r="N129" s="264"/>
      <c r="O129" s="264"/>
      <c r="P129" s="274"/>
    </row>
    <row r="130" spans="1:16" ht="24.95" customHeight="1" x14ac:dyDescent="0.3">
      <c r="A130" s="273"/>
      <c r="B130" s="262">
        <f>SUM(B116:B129)/F3</f>
        <v>5.594736842105263</v>
      </c>
      <c r="C130" s="264"/>
      <c r="D130" s="264"/>
      <c r="E130" s="264"/>
      <c r="F130" s="5"/>
      <c r="G130" s="274"/>
      <c r="J130" s="273"/>
      <c r="K130" s="262">
        <f>SUM(K116:K129)/F3</f>
        <v>3.6561403508771932</v>
      </c>
      <c r="L130" s="264"/>
      <c r="M130" s="264"/>
      <c r="N130" s="264"/>
      <c r="O130" s="5"/>
      <c r="P130" s="274"/>
    </row>
    <row r="131" spans="1:16" ht="24.95" customHeight="1" x14ac:dyDescent="0.3">
      <c r="A131" s="273"/>
      <c r="B131" s="262"/>
      <c r="C131" s="264"/>
      <c r="D131" s="264"/>
      <c r="E131" s="264"/>
      <c r="F131" s="5"/>
      <c r="G131" s="274"/>
      <c r="J131" s="273"/>
      <c r="K131" s="262"/>
      <c r="L131" s="264"/>
      <c r="M131" s="264"/>
      <c r="N131" s="264"/>
      <c r="O131" s="5"/>
      <c r="P131" s="274"/>
    </row>
    <row r="132" spans="1:16" ht="24.95" customHeight="1" thickBot="1" x14ac:dyDescent="0.4">
      <c r="A132" s="276"/>
      <c r="B132" s="263"/>
      <c r="C132" s="241"/>
      <c r="D132" s="241"/>
      <c r="E132" s="241"/>
      <c r="F132" s="46"/>
      <c r="G132" s="277"/>
      <c r="J132" s="276"/>
      <c r="K132" s="263"/>
      <c r="L132" s="241"/>
      <c r="M132" s="241"/>
      <c r="N132" s="241"/>
      <c r="O132" s="46"/>
      <c r="P132" s="277"/>
    </row>
    <row r="133" spans="1:16" ht="24.95" customHeight="1" x14ac:dyDescent="0.3">
      <c r="A133" s="275"/>
      <c r="B133" s="262"/>
      <c r="C133" s="5"/>
      <c r="D133" s="5"/>
      <c r="E133" s="5"/>
      <c r="F133" s="5"/>
      <c r="G133" s="275"/>
      <c r="J133" s="275"/>
      <c r="K133" s="262"/>
      <c r="L133" s="5"/>
      <c r="M133" s="5"/>
      <c r="N133" s="5"/>
      <c r="O133" s="5"/>
      <c r="P133" s="275"/>
    </row>
    <row r="134" spans="1:16" ht="24.95" customHeight="1" x14ac:dyDescent="0.3">
      <c r="A134" s="275"/>
      <c r="B134" s="262"/>
      <c r="C134" s="5"/>
      <c r="D134" s="5"/>
      <c r="E134" s="5"/>
      <c r="F134" s="5"/>
      <c r="G134" s="275"/>
      <c r="J134" s="275"/>
      <c r="K134" s="262"/>
      <c r="L134" s="5"/>
      <c r="M134" s="5"/>
      <c r="N134" s="5"/>
      <c r="O134" s="5"/>
      <c r="P134" s="275"/>
    </row>
    <row r="135" spans="1:16" ht="24.95" customHeight="1" x14ac:dyDescent="0.3">
      <c r="A135" s="275"/>
      <c r="B135" s="262"/>
      <c r="C135" s="5"/>
      <c r="D135" s="5"/>
      <c r="E135" s="5"/>
      <c r="F135" s="5"/>
      <c r="G135" s="275"/>
      <c r="J135" s="275"/>
      <c r="K135" s="262"/>
      <c r="L135" s="5"/>
      <c r="M135" s="5"/>
      <c r="N135" s="5"/>
      <c r="O135" s="5"/>
      <c r="P135" s="275"/>
    </row>
    <row r="136" spans="1:16" ht="24.95" customHeight="1" x14ac:dyDescent="0.3">
      <c r="A136" s="275"/>
      <c r="B136" s="262"/>
      <c r="C136" s="5"/>
      <c r="D136" s="5"/>
      <c r="E136" s="5"/>
      <c r="F136" s="5"/>
      <c r="G136" s="275"/>
      <c r="J136" s="275"/>
      <c r="K136" s="262"/>
      <c r="L136" s="5"/>
      <c r="M136" s="5"/>
      <c r="N136" s="5"/>
      <c r="O136" s="5"/>
      <c r="P136" s="275"/>
    </row>
    <row r="137" spans="1:16" ht="24.95" customHeight="1" x14ac:dyDescent="0.25">
      <c r="A137" s="275"/>
      <c r="B137" s="262"/>
      <c r="C137" s="264"/>
      <c r="D137" s="264"/>
      <c r="E137" s="264"/>
      <c r="F137" s="264"/>
      <c r="G137" s="275"/>
      <c r="J137" s="275"/>
      <c r="K137" s="262"/>
      <c r="L137" s="264"/>
      <c r="M137" s="264"/>
      <c r="N137" s="264"/>
      <c r="O137" s="264"/>
      <c r="P137" s="275"/>
    </row>
    <row r="138" spans="1:16" ht="24.95" customHeight="1" x14ac:dyDescent="0.25">
      <c r="J138" s="275"/>
      <c r="K138" s="262"/>
      <c r="L138" s="264"/>
      <c r="M138" s="264"/>
      <c r="N138" s="264"/>
      <c r="O138" s="264"/>
      <c r="P138" s="275"/>
    </row>
    <row r="139" spans="1:16" ht="24.95" customHeight="1" thickBot="1" x14ac:dyDescent="0.3"/>
    <row r="140" spans="1:16" ht="24.95" customHeight="1" x14ac:dyDescent="0.55000000000000004">
      <c r="A140" s="1016" t="s">
        <v>130</v>
      </c>
      <c r="B140" s="1017"/>
      <c r="C140" s="1013" t="s">
        <v>121</v>
      </c>
      <c r="D140" s="1013"/>
      <c r="E140" s="1013"/>
      <c r="F140" s="1013"/>
      <c r="G140" s="1014"/>
      <c r="J140" s="1028" t="s">
        <v>7</v>
      </c>
      <c r="K140" s="1029"/>
      <c r="L140" s="270"/>
      <c r="M140" s="140" t="s">
        <v>36</v>
      </c>
      <c r="N140" s="140"/>
      <c r="O140" s="140"/>
      <c r="P140" s="141"/>
    </row>
    <row r="141" spans="1:16" ht="24.95" customHeight="1" x14ac:dyDescent="0.45">
      <c r="A141" s="1008" t="s">
        <v>129</v>
      </c>
      <c r="B141" s="937"/>
      <c r="C141" s="264"/>
      <c r="D141" s="264"/>
      <c r="E141" s="264"/>
      <c r="F141" s="264"/>
      <c r="G141" s="274"/>
      <c r="J141" s="273" t="s">
        <v>134</v>
      </c>
      <c r="K141" s="262">
        <f>1*3.7*3750</f>
        <v>13875</v>
      </c>
      <c r="L141" s="264"/>
      <c r="M141" s="264"/>
      <c r="N141" s="264"/>
      <c r="O141" s="264"/>
      <c r="P141" s="274"/>
    </row>
    <row r="142" spans="1:16" ht="24.95" customHeight="1" x14ac:dyDescent="0.35">
      <c r="A142" s="273" t="s">
        <v>9</v>
      </c>
      <c r="B142" s="262">
        <f>0.8*3*4000/3</f>
        <v>3200.0000000000005</v>
      </c>
      <c r="C142" s="909" t="s">
        <v>132</v>
      </c>
      <c r="D142" s="909"/>
      <c r="E142" s="909"/>
      <c r="F142" s="909"/>
      <c r="G142" s="1019"/>
      <c r="J142" s="273" t="s">
        <v>1</v>
      </c>
      <c r="K142" s="262">
        <v>700</v>
      </c>
      <c r="L142" s="264"/>
      <c r="M142" s="264"/>
      <c r="N142" s="264"/>
      <c r="O142" s="264"/>
      <c r="P142" s="274"/>
    </row>
    <row r="143" spans="1:16" ht="24.95" customHeight="1" x14ac:dyDescent="0.35">
      <c r="A143" s="273" t="s">
        <v>11</v>
      </c>
      <c r="B143" s="262">
        <v>1500</v>
      </c>
      <c r="C143" s="264"/>
      <c r="D143" s="259"/>
      <c r="E143" s="259"/>
      <c r="F143" s="259"/>
      <c r="G143" s="274"/>
      <c r="J143" s="273" t="s">
        <v>10</v>
      </c>
      <c r="K143" s="262">
        <v>3000</v>
      </c>
      <c r="L143" s="264"/>
      <c r="M143" s="264"/>
      <c r="N143" s="264"/>
      <c r="O143" s="264"/>
      <c r="P143" s="274"/>
    </row>
    <row r="144" spans="1:16" ht="24.95" customHeight="1" x14ac:dyDescent="0.35">
      <c r="A144" s="273" t="s">
        <v>94</v>
      </c>
      <c r="B144" s="262">
        <v>1000</v>
      </c>
      <c r="C144" s="264"/>
      <c r="D144" s="259"/>
      <c r="E144" s="259"/>
      <c r="F144" s="259"/>
      <c r="G144" s="274"/>
      <c r="J144" s="273" t="s">
        <v>11</v>
      </c>
      <c r="K144" s="262">
        <v>200</v>
      </c>
      <c r="L144" s="264"/>
      <c r="M144" s="264"/>
      <c r="N144" s="264"/>
      <c r="O144" s="264"/>
      <c r="P144" s="274"/>
    </row>
    <row r="145" spans="1:16" ht="24.95" customHeight="1" x14ac:dyDescent="0.35">
      <c r="A145" s="273" t="s">
        <v>43</v>
      </c>
      <c r="B145" s="262">
        <f>2000*0.7</f>
        <v>1400</v>
      </c>
      <c r="C145" s="264"/>
      <c r="D145" s="259"/>
      <c r="E145" s="259"/>
      <c r="F145" s="259"/>
      <c r="G145" s="274"/>
      <c r="J145" s="273" t="s">
        <v>12</v>
      </c>
      <c r="K145" s="262">
        <v>200</v>
      </c>
      <c r="L145" s="264"/>
      <c r="M145" s="6" t="s">
        <v>22</v>
      </c>
      <c r="N145" s="6" t="s">
        <v>23</v>
      </c>
      <c r="O145" s="6" t="s">
        <v>24</v>
      </c>
      <c r="P145" s="45"/>
    </row>
    <row r="146" spans="1:16" ht="24.95" customHeight="1" x14ac:dyDescent="0.35">
      <c r="A146" s="273" t="s">
        <v>1</v>
      </c>
      <c r="B146" s="262">
        <v>700</v>
      </c>
      <c r="C146" s="264"/>
      <c r="D146" s="1010" t="s">
        <v>128</v>
      </c>
      <c r="E146" s="1010"/>
      <c r="F146" s="1010"/>
      <c r="G146" s="274"/>
      <c r="J146" s="273" t="s">
        <v>14</v>
      </c>
      <c r="K146" s="262">
        <v>200</v>
      </c>
      <c r="L146" s="264"/>
      <c r="M146" s="6">
        <f>M150</f>
        <v>8.7896710526315776</v>
      </c>
      <c r="N146" s="6">
        <f>N150</f>
        <v>10.608223684210525</v>
      </c>
      <c r="O146" s="6">
        <f>O150</f>
        <v>12.063065789473685</v>
      </c>
      <c r="P146" s="45"/>
    </row>
    <row r="147" spans="1:16" ht="24.95" customHeight="1" x14ac:dyDescent="0.35">
      <c r="A147" s="273" t="s">
        <v>10</v>
      </c>
      <c r="B147" s="262">
        <v>2500</v>
      </c>
      <c r="C147" s="264"/>
      <c r="D147" s="6" t="s">
        <v>123</v>
      </c>
      <c r="E147" s="6" t="s">
        <v>124</v>
      </c>
      <c r="F147" s="6" t="s">
        <v>24</v>
      </c>
      <c r="G147" s="274"/>
      <c r="J147" s="273" t="s">
        <v>15</v>
      </c>
      <c r="K147" s="262">
        <v>1000</v>
      </c>
      <c r="L147" s="264"/>
      <c r="M147" s="7"/>
      <c r="N147" s="7"/>
      <c r="O147" s="7"/>
      <c r="P147" s="45"/>
    </row>
    <row r="148" spans="1:16" ht="24.95" customHeight="1" x14ac:dyDescent="0.25">
      <c r="A148" s="273" t="s">
        <v>12</v>
      </c>
      <c r="B148" s="262">
        <v>1000</v>
      </c>
      <c r="C148" s="264"/>
      <c r="D148" s="6">
        <f>D153</f>
        <v>5.6321052631578947</v>
      </c>
      <c r="E148" s="6">
        <f>E153</f>
        <v>6.4089473684210523</v>
      </c>
      <c r="F148" s="6">
        <f>F153</f>
        <v>7.7295789473684211</v>
      </c>
      <c r="G148" s="274"/>
      <c r="J148" s="273" t="s">
        <v>27</v>
      </c>
      <c r="K148" s="262">
        <v>300</v>
      </c>
      <c r="L148" s="264"/>
      <c r="M148" s="264"/>
      <c r="N148" s="264"/>
      <c r="O148" s="264"/>
      <c r="P148" s="274"/>
    </row>
    <row r="149" spans="1:16" ht="24.95" customHeight="1" x14ac:dyDescent="0.3">
      <c r="A149" s="273" t="s">
        <v>14</v>
      </c>
      <c r="B149" s="262">
        <v>200</v>
      </c>
      <c r="C149" s="264"/>
      <c r="D149" s="264"/>
      <c r="E149" s="264"/>
      <c r="F149" s="264"/>
      <c r="G149" s="274"/>
      <c r="J149" s="273" t="s">
        <v>28</v>
      </c>
      <c r="K149" s="262">
        <v>100</v>
      </c>
      <c r="L149" s="264"/>
      <c r="M149" s="258">
        <v>0.35</v>
      </c>
      <c r="N149" s="258">
        <v>0.5</v>
      </c>
      <c r="O149" s="258">
        <v>0.8</v>
      </c>
      <c r="P149" s="274"/>
    </row>
    <row r="150" spans="1:16" ht="24.95" customHeight="1" x14ac:dyDescent="0.3">
      <c r="A150" s="273" t="s">
        <v>15</v>
      </c>
      <c r="B150" s="262">
        <v>200</v>
      </c>
      <c r="C150" s="264"/>
      <c r="D150" s="264"/>
      <c r="E150" s="264"/>
      <c r="F150" s="264"/>
      <c r="G150" s="45"/>
      <c r="J150" s="273" t="s">
        <v>16</v>
      </c>
      <c r="K150" s="262">
        <v>100</v>
      </c>
      <c r="L150" s="264"/>
      <c r="M150" s="5">
        <f>K153*1.45</f>
        <v>8.7896710526315776</v>
      </c>
      <c r="N150" s="5">
        <f>K153*1.75</f>
        <v>10.608223684210525</v>
      </c>
      <c r="O150" s="5">
        <f>K153*1.99</f>
        <v>12.063065789473685</v>
      </c>
      <c r="P150" s="274"/>
    </row>
    <row r="151" spans="1:16" ht="24.95" customHeight="1" x14ac:dyDescent="0.35">
      <c r="A151" s="273" t="s">
        <v>120</v>
      </c>
      <c r="B151" s="262">
        <v>100</v>
      </c>
      <c r="C151" s="264"/>
      <c r="D151" s="264"/>
      <c r="E151" s="264"/>
      <c r="F151" s="264"/>
      <c r="G151" s="45"/>
      <c r="J151" s="273" t="s">
        <v>17</v>
      </c>
      <c r="K151" s="262">
        <v>360</v>
      </c>
      <c r="L151" s="264"/>
      <c r="M151" s="239"/>
      <c r="N151" s="239"/>
      <c r="O151" s="264"/>
      <c r="P151" s="274"/>
    </row>
    <row r="152" spans="1:16" ht="24.95" customHeight="1" x14ac:dyDescent="0.3">
      <c r="A152" s="273" t="s">
        <v>28</v>
      </c>
      <c r="B152" s="262">
        <v>100</v>
      </c>
      <c r="C152" s="264"/>
      <c r="D152" s="258">
        <v>0.35</v>
      </c>
      <c r="E152" s="258">
        <v>0.45</v>
      </c>
      <c r="F152" s="258">
        <v>0.7</v>
      </c>
      <c r="G152" s="238"/>
      <c r="J152" s="273" t="s">
        <v>18</v>
      </c>
      <c r="K152" s="262">
        <v>3000</v>
      </c>
      <c r="L152" s="264"/>
      <c r="M152" s="264"/>
      <c r="N152" s="264"/>
      <c r="O152" s="5"/>
      <c r="P152" s="274"/>
    </row>
    <row r="153" spans="1:16" ht="24.95" customHeight="1" x14ac:dyDescent="0.3">
      <c r="A153" s="273" t="s">
        <v>16</v>
      </c>
      <c r="B153" s="262">
        <v>100</v>
      </c>
      <c r="C153" s="264"/>
      <c r="D153" s="5">
        <f>B156*1.45</f>
        <v>5.6321052631578947</v>
      </c>
      <c r="E153" s="5">
        <f>B156*1.65</f>
        <v>6.4089473684210523</v>
      </c>
      <c r="F153" s="5">
        <f>B156*1.99</f>
        <v>7.7295789473684211</v>
      </c>
      <c r="G153" s="236"/>
      <c r="J153" s="273"/>
      <c r="K153" s="262">
        <f>SUM(K141:K152)/F3</f>
        <v>6.0618421052631577</v>
      </c>
      <c r="L153" s="264"/>
      <c r="M153" s="264"/>
      <c r="N153" s="264"/>
      <c r="O153" s="5"/>
      <c r="P153" s="274"/>
    </row>
    <row r="154" spans="1:16" ht="24.95" customHeight="1" x14ac:dyDescent="0.35">
      <c r="A154" s="273" t="s">
        <v>17</v>
      </c>
      <c r="B154" s="262">
        <v>760</v>
      </c>
      <c r="C154" s="264"/>
      <c r="D154" s="280"/>
      <c r="E154" s="234"/>
      <c r="F154" s="235"/>
      <c r="G154" s="236"/>
      <c r="J154" s="273"/>
      <c r="K154" s="262"/>
      <c r="L154" s="7"/>
      <c r="M154" s="7"/>
      <c r="N154" s="7"/>
      <c r="O154" s="5"/>
      <c r="P154" s="274"/>
    </row>
    <row r="155" spans="1:16" ht="24.95" customHeight="1" x14ac:dyDescent="0.3">
      <c r="A155" s="273" t="s">
        <v>18</v>
      </c>
      <c r="B155" s="262">
        <v>2000</v>
      </c>
      <c r="C155" s="264"/>
      <c r="D155" s="264"/>
      <c r="E155" s="264"/>
      <c r="F155" s="264"/>
      <c r="G155" s="274"/>
      <c r="J155" s="273"/>
      <c r="K155" s="262"/>
      <c r="L155" s="5"/>
      <c r="M155" s="5"/>
      <c r="N155" s="5"/>
      <c r="O155" s="5"/>
      <c r="P155" s="274"/>
    </row>
    <row r="156" spans="1:16" ht="24.95" customHeight="1" thickBot="1" x14ac:dyDescent="0.35">
      <c r="A156" s="273"/>
      <c r="B156" s="262">
        <f>SUM(B142:B155)/F3</f>
        <v>3.8842105263157896</v>
      </c>
      <c r="C156" s="264"/>
      <c r="D156" s="264"/>
      <c r="E156" s="264"/>
      <c r="F156" s="5"/>
      <c r="G156" s="274"/>
      <c r="J156" s="276"/>
      <c r="K156" s="263"/>
      <c r="L156" s="46"/>
      <c r="M156" s="46"/>
      <c r="N156" s="46"/>
      <c r="O156" s="46"/>
      <c r="P156" s="277"/>
    </row>
    <row r="157" spans="1:16" ht="24.95" customHeight="1" thickBot="1" x14ac:dyDescent="0.35">
      <c r="A157" s="276"/>
      <c r="B157" s="263"/>
      <c r="C157" s="265"/>
      <c r="D157" s="265"/>
      <c r="E157" s="265"/>
      <c r="F157" s="46"/>
      <c r="G157" s="277"/>
      <c r="J157" s="275"/>
      <c r="K157" s="262"/>
      <c r="L157" s="264"/>
      <c r="M157" s="264"/>
      <c r="N157" s="264"/>
      <c r="O157" s="264"/>
      <c r="P157" s="275"/>
    </row>
    <row r="158" spans="1:16" ht="24.95" customHeight="1" x14ac:dyDescent="0.35">
      <c r="A158" s="275"/>
      <c r="B158" s="262"/>
      <c r="C158" s="7"/>
      <c r="D158" s="7"/>
      <c r="E158" s="7"/>
      <c r="F158" s="5"/>
      <c r="G158" s="275"/>
      <c r="J158" s="275"/>
      <c r="K158" s="262"/>
      <c r="L158" s="264"/>
      <c r="M158" s="264"/>
      <c r="N158" s="264"/>
      <c r="O158" s="264"/>
      <c r="P158" s="275"/>
    </row>
    <row r="159" spans="1:16" ht="24.95" customHeight="1" x14ac:dyDescent="0.3">
      <c r="A159" s="275"/>
      <c r="B159" s="262"/>
      <c r="C159" s="5"/>
      <c r="D159" s="5"/>
      <c r="E159" s="5"/>
      <c r="F159" s="5"/>
      <c r="G159" s="275"/>
      <c r="J159" s="275"/>
      <c r="K159" s="262"/>
      <c r="L159" s="264"/>
      <c r="M159" s="264"/>
      <c r="N159" s="264"/>
      <c r="O159" s="264"/>
      <c r="P159" s="275"/>
    </row>
    <row r="160" spans="1:16" ht="24.95" customHeight="1" x14ac:dyDescent="0.5">
      <c r="A160" s="941" t="s">
        <v>283</v>
      </c>
      <c r="B160" s="941"/>
      <c r="C160" s="3"/>
      <c r="D160" s="1005" t="s">
        <v>284</v>
      </c>
      <c r="E160" s="1005"/>
      <c r="F160" s="1005"/>
      <c r="G160" s="3"/>
    </row>
    <row r="161" spans="1:7" ht="24.95" customHeight="1" x14ac:dyDescent="0.45">
      <c r="A161" s="937" t="s">
        <v>25</v>
      </c>
      <c r="B161" s="937"/>
      <c r="C161" s="3"/>
      <c r="D161" s="909"/>
      <c r="E161" s="909"/>
      <c r="F161" s="909"/>
      <c r="G161" s="3"/>
    </row>
    <row r="162" spans="1:7" ht="24.95" customHeight="1" x14ac:dyDescent="0.3">
      <c r="A162" s="3" t="s">
        <v>9</v>
      </c>
      <c r="B162" s="296">
        <f>1.5*6.5*F80</f>
        <v>0</v>
      </c>
      <c r="C162" s="3"/>
      <c r="D162" s="3"/>
      <c r="E162" s="3"/>
      <c r="F162" s="3"/>
      <c r="G162" s="3"/>
    </row>
    <row r="163" spans="1:7" ht="24.95" customHeight="1" x14ac:dyDescent="0.3">
      <c r="A163" s="3" t="s">
        <v>94</v>
      </c>
      <c r="B163" s="296">
        <f>15000*1.5</f>
        <v>22500</v>
      </c>
      <c r="C163" s="3"/>
      <c r="D163" s="3"/>
      <c r="E163" s="3"/>
      <c r="F163" s="3"/>
      <c r="G163" s="3"/>
    </row>
    <row r="164" spans="1:7" ht="24.95" customHeight="1" x14ac:dyDescent="0.3">
      <c r="A164" s="3" t="s">
        <v>285</v>
      </c>
      <c r="B164" s="296">
        <v>7000</v>
      </c>
      <c r="C164" s="3"/>
      <c r="D164" s="3"/>
      <c r="E164" s="3"/>
      <c r="F164" s="3"/>
      <c r="G164" s="3"/>
    </row>
    <row r="165" spans="1:7" ht="24.95" customHeight="1" x14ac:dyDescent="0.3">
      <c r="A165" s="3" t="s">
        <v>1</v>
      </c>
      <c r="B165" s="296">
        <v>2000</v>
      </c>
      <c r="C165" s="3"/>
      <c r="D165" s="3"/>
      <c r="E165" s="3"/>
      <c r="F165" s="3"/>
      <c r="G165" s="3"/>
    </row>
    <row r="166" spans="1:7" ht="24.95" customHeight="1" x14ac:dyDescent="0.3">
      <c r="A166" s="3" t="s">
        <v>10</v>
      </c>
      <c r="B166" s="296">
        <v>8000</v>
      </c>
      <c r="C166" s="3"/>
      <c r="D166" s="3"/>
      <c r="E166" s="3"/>
      <c r="F166" s="3"/>
      <c r="G166" s="3"/>
    </row>
    <row r="167" spans="1:7" ht="24.95" customHeight="1" x14ac:dyDescent="0.35">
      <c r="A167" s="3" t="s">
        <v>11</v>
      </c>
      <c r="B167" s="296">
        <v>3000</v>
      </c>
      <c r="C167" s="3"/>
      <c r="D167" s="1006"/>
      <c r="E167" s="1006"/>
      <c r="F167" s="1006"/>
      <c r="G167" s="3"/>
    </row>
    <row r="168" spans="1:7" ht="24.95" customHeight="1" x14ac:dyDescent="0.35">
      <c r="A168" s="3" t="s">
        <v>12</v>
      </c>
      <c r="B168" s="296">
        <v>4000</v>
      </c>
      <c r="C168" s="3"/>
      <c r="D168" s="1006" t="s">
        <v>286</v>
      </c>
      <c r="E168" s="1006"/>
      <c r="F168" s="1006"/>
      <c r="G168" s="1006"/>
    </row>
    <row r="169" spans="1:7" ht="24.95" customHeight="1" x14ac:dyDescent="0.3">
      <c r="A169" s="3" t="s">
        <v>14</v>
      </c>
      <c r="B169" s="296">
        <v>200</v>
      </c>
      <c r="C169" s="3"/>
      <c r="D169" s="297" t="s">
        <v>22</v>
      </c>
      <c r="E169" s="297" t="s">
        <v>23</v>
      </c>
      <c r="F169" s="297" t="s">
        <v>24</v>
      </c>
      <c r="G169" s="4"/>
    </row>
    <row r="170" spans="1:7" ht="24.95" customHeight="1" x14ac:dyDescent="0.3">
      <c r="A170" s="3" t="s">
        <v>15</v>
      </c>
      <c r="B170" s="296">
        <v>200</v>
      </c>
      <c r="C170" s="3"/>
      <c r="D170" s="6"/>
      <c r="E170" s="6"/>
      <c r="F170" s="6"/>
      <c r="G170" s="4"/>
    </row>
    <row r="171" spans="1:7" ht="24.95" customHeight="1" x14ac:dyDescent="0.35">
      <c r="A171" s="3" t="s">
        <v>27</v>
      </c>
      <c r="B171" s="296">
        <v>500</v>
      </c>
      <c r="C171" s="3"/>
      <c r="D171" s="7"/>
      <c r="E171" s="7"/>
      <c r="F171" s="7"/>
      <c r="G171" s="4"/>
    </row>
    <row r="172" spans="1:7" ht="24.95" customHeight="1" x14ac:dyDescent="0.3">
      <c r="A172" s="3" t="s">
        <v>28</v>
      </c>
      <c r="B172" s="296">
        <v>100</v>
      </c>
      <c r="C172" s="3"/>
      <c r="D172" s="3"/>
      <c r="E172" s="3"/>
      <c r="F172" s="3"/>
      <c r="G172" s="3"/>
    </row>
    <row r="173" spans="1:7" ht="24.95" customHeight="1" x14ac:dyDescent="0.3">
      <c r="A173" s="3" t="s">
        <v>16</v>
      </c>
      <c r="B173" s="296">
        <v>500</v>
      </c>
      <c r="C173" s="3"/>
      <c r="D173" s="298">
        <v>0.45</v>
      </c>
      <c r="E173" s="298">
        <v>0.65</v>
      </c>
      <c r="F173" s="298">
        <v>0.99</v>
      </c>
      <c r="G173" s="3"/>
    </row>
    <row r="174" spans="1:7" ht="24.95" customHeight="1" x14ac:dyDescent="0.3">
      <c r="A174" s="3" t="s">
        <v>17</v>
      </c>
      <c r="B174" s="296">
        <v>1000</v>
      </c>
      <c r="C174" s="3"/>
      <c r="D174" s="5">
        <f>B176*1.45/F3</f>
        <v>20.223684210526315</v>
      </c>
      <c r="E174" s="5">
        <f>B176*1.65/F3</f>
        <v>23.013157894736842</v>
      </c>
      <c r="F174" s="5">
        <f>B176*1.85/F3</f>
        <v>25.80263157894737</v>
      </c>
      <c r="G174" s="3"/>
    </row>
    <row r="175" spans="1:7" ht="24.95" customHeight="1" thickBot="1" x14ac:dyDescent="0.4">
      <c r="A175" s="3" t="s">
        <v>18</v>
      </c>
      <c r="B175" s="299">
        <v>4000</v>
      </c>
      <c r="C175" s="3"/>
      <c r="D175" s="7"/>
      <c r="E175" s="7"/>
      <c r="F175" s="7"/>
      <c r="G175" s="3"/>
    </row>
    <row r="176" spans="1:7" ht="24.95" customHeight="1" x14ac:dyDescent="0.3">
      <c r="A176" s="3"/>
      <c r="B176" s="296">
        <f>SUM(B162:B175)</f>
        <v>53000</v>
      </c>
      <c r="C176" s="3"/>
      <c r="D176" s="3"/>
      <c r="E176" s="3"/>
      <c r="F176" s="4"/>
      <c r="G176" s="3"/>
    </row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</sheetData>
  <mergeCells count="64">
    <mergeCell ref="D168:G168"/>
    <mergeCell ref="A160:B160"/>
    <mergeCell ref="D160:F160"/>
    <mergeCell ref="A161:B161"/>
    <mergeCell ref="D161:F161"/>
    <mergeCell ref="D167:F167"/>
    <mergeCell ref="C142:G142"/>
    <mergeCell ref="D146:F146"/>
    <mergeCell ref="M121:O121"/>
    <mergeCell ref="D122:F122"/>
    <mergeCell ref="J140:K140"/>
    <mergeCell ref="A141:B141"/>
    <mergeCell ref="C116:G116"/>
    <mergeCell ref="L116:P116"/>
    <mergeCell ref="J93:K93"/>
    <mergeCell ref="M106:N106"/>
    <mergeCell ref="L114:P114"/>
    <mergeCell ref="A115:B115"/>
    <mergeCell ref="J115:K115"/>
    <mergeCell ref="A140:B140"/>
    <mergeCell ref="C140:G140"/>
    <mergeCell ref="A53:B53"/>
    <mergeCell ref="D53:F53"/>
    <mergeCell ref="A114:B114"/>
    <mergeCell ref="C114:G114"/>
    <mergeCell ref="J114:K114"/>
    <mergeCell ref="A94:B94"/>
    <mergeCell ref="C95:G95"/>
    <mergeCell ref="D101:F101"/>
    <mergeCell ref="J72:K72"/>
    <mergeCell ref="D80:F80"/>
    <mergeCell ref="A5:B5"/>
    <mergeCell ref="J6:K6"/>
    <mergeCell ref="A28:B28"/>
    <mergeCell ref="A6:B6"/>
    <mergeCell ref="J7:K7"/>
    <mergeCell ref="D13:F13"/>
    <mergeCell ref="D6:F6"/>
    <mergeCell ref="J25:K25"/>
    <mergeCell ref="J26:K26"/>
    <mergeCell ref="L72:P72"/>
    <mergeCell ref="J73:K73"/>
    <mergeCell ref="L74:P74"/>
    <mergeCell ref="M78:O78"/>
    <mergeCell ref="A72:B72"/>
    <mergeCell ref="A73:B73"/>
    <mergeCell ref="C72:G72"/>
    <mergeCell ref="C74:G74"/>
    <mergeCell ref="S6:T6"/>
    <mergeCell ref="S7:T7"/>
    <mergeCell ref="V7:X7"/>
    <mergeCell ref="V13:X13"/>
    <mergeCell ref="A93:B93"/>
    <mergeCell ref="C93:G93"/>
    <mergeCell ref="M56:O56"/>
    <mergeCell ref="A29:B29"/>
    <mergeCell ref="M7:O7"/>
    <mergeCell ref="M32:O32"/>
    <mergeCell ref="M13:O13"/>
    <mergeCell ref="D35:F35"/>
    <mergeCell ref="D59:G59"/>
    <mergeCell ref="J49:K49"/>
    <mergeCell ref="J50:K50"/>
    <mergeCell ref="A51:B51"/>
  </mergeCells>
  <pageMargins left="0.15748031496062992" right="0.15748031496062992" top="0.15748031496062992" bottom="0.15748031496062992" header="0.31496062992125984" footer="0.31496062992125984"/>
  <pageSetup scale="69" orientation="portrait" horizontalDpi="0" verticalDpi="0" r:id="rId1"/>
  <rowBreaks count="3" manualBreakCount="3">
    <brk id="47" max="24" man="1"/>
    <brk id="70" max="24" man="1"/>
    <brk id="138" max="16383" man="1"/>
  </rowBreaks>
  <colBreaks count="2" manualBreakCount="2">
    <brk id="8" max="183" man="1"/>
    <brk id="17" max="183" man="1"/>
  </colBreaks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37"/>
  <sheetViews>
    <sheetView zoomScale="70" zoomScaleNormal="70" workbookViewId="0">
      <selection activeCell="C24" sqref="C24"/>
    </sheetView>
  </sheetViews>
  <sheetFormatPr baseColWidth="10" defaultRowHeight="15" x14ac:dyDescent="0.25"/>
  <cols>
    <col min="1" max="1" width="23.85546875" customWidth="1"/>
    <col min="2" max="2" width="15.28515625" customWidth="1"/>
    <col min="5" max="5" width="13.42578125" customWidth="1"/>
    <col min="6" max="6" width="12.28515625" style="2" bestFit="1" customWidth="1"/>
    <col min="8" max="8" width="14.140625" customWidth="1"/>
    <col min="9" max="9" width="15.85546875" customWidth="1"/>
    <col min="10" max="10" width="13.7109375" customWidth="1"/>
    <col min="11" max="11" width="4.28515625" customWidth="1"/>
    <col min="12" max="12" width="14.42578125" customWidth="1"/>
    <col min="16" max="16" width="13.85546875" customWidth="1"/>
    <col min="18" max="18" width="11.42578125" customWidth="1"/>
    <col min="23" max="23" width="5.28515625" customWidth="1"/>
  </cols>
  <sheetData>
    <row r="1" spans="1:23" ht="33.75" x14ac:dyDescent="0.5">
      <c r="A1" s="861" t="s">
        <v>38</v>
      </c>
      <c r="B1" s="861"/>
      <c r="C1" s="83"/>
      <c r="D1" s="83"/>
      <c r="E1" s="83"/>
      <c r="F1" s="93"/>
      <c r="G1" s="3"/>
    </row>
    <row r="2" spans="1:23" ht="28.5" x14ac:dyDescent="0.45">
      <c r="A2" s="15" t="s">
        <v>174</v>
      </c>
      <c r="B2" s="85"/>
      <c r="C2" s="83"/>
      <c r="D2" s="83"/>
      <c r="E2" s="83"/>
      <c r="F2" s="7">
        <v>3800</v>
      </c>
      <c r="G2" s="3"/>
    </row>
    <row r="3" spans="1:23" ht="18.75" x14ac:dyDescent="0.25">
      <c r="A3" s="47" t="s">
        <v>9</v>
      </c>
      <c r="B3" s="143">
        <f>0.9*1.7*F2</f>
        <v>5814</v>
      </c>
      <c r="C3" s="83"/>
      <c r="D3" s="83"/>
      <c r="E3" s="83"/>
      <c r="F3" s="93"/>
      <c r="G3" s="3"/>
    </row>
    <row r="4" spans="1:23" ht="18.75" x14ac:dyDescent="0.3">
      <c r="A4" s="3" t="s">
        <v>1</v>
      </c>
      <c r="B4" s="5">
        <v>700</v>
      </c>
      <c r="C4" s="83"/>
      <c r="D4" s="83"/>
      <c r="E4" s="83"/>
      <c r="F4" s="93"/>
      <c r="G4" s="3"/>
    </row>
    <row r="5" spans="1:23" ht="18.75" x14ac:dyDescent="0.3">
      <c r="A5" s="3" t="s">
        <v>10</v>
      </c>
      <c r="B5" s="5">
        <v>2000</v>
      </c>
      <c r="C5" s="83"/>
      <c r="D5" s="83"/>
      <c r="E5" s="83"/>
      <c r="F5" s="93"/>
      <c r="G5" s="3"/>
    </row>
    <row r="6" spans="1:23" ht="18.75" x14ac:dyDescent="0.3">
      <c r="A6" s="3" t="s">
        <v>94</v>
      </c>
      <c r="B6" s="5">
        <v>7500</v>
      </c>
      <c r="C6" s="83"/>
      <c r="D6" s="83"/>
      <c r="E6" s="83"/>
      <c r="F6" s="93"/>
      <c r="G6" s="3"/>
    </row>
    <row r="7" spans="1:23" ht="18.75" x14ac:dyDescent="0.3">
      <c r="A7" s="3" t="s">
        <v>11</v>
      </c>
      <c r="B7" s="5">
        <v>1000</v>
      </c>
      <c r="C7" s="83"/>
      <c r="D7" s="90" t="s">
        <v>22</v>
      </c>
      <c r="E7" s="90" t="s">
        <v>23</v>
      </c>
      <c r="F7" s="6" t="s">
        <v>24</v>
      </c>
      <c r="G7" s="4"/>
    </row>
    <row r="8" spans="1:23" ht="23.25" x14ac:dyDescent="0.35">
      <c r="A8" s="3" t="s">
        <v>12</v>
      </c>
      <c r="B8" s="5">
        <v>0</v>
      </c>
      <c r="C8" s="83"/>
      <c r="D8" s="90">
        <f>D13</f>
        <v>7.4239873903508764</v>
      </c>
      <c r="E8" s="90">
        <f>E13</f>
        <v>7.6891297971491221</v>
      </c>
      <c r="F8" s="6">
        <f>F13</f>
        <v>10.552667790570176</v>
      </c>
      <c r="G8" s="4"/>
      <c r="H8" s="1030" t="s">
        <v>176</v>
      </c>
      <c r="I8" s="1030"/>
      <c r="J8" s="1030"/>
    </row>
    <row r="9" spans="1:23" ht="21" x14ac:dyDescent="0.35">
      <c r="A9" s="3" t="s">
        <v>14</v>
      </c>
      <c r="B9" s="5">
        <v>0</v>
      </c>
      <c r="C9" s="83"/>
      <c r="D9" s="92"/>
      <c r="E9" s="92"/>
      <c r="F9" s="7"/>
      <c r="G9" s="4"/>
      <c r="H9" s="160" t="s">
        <v>22</v>
      </c>
      <c r="I9" s="160" t="s">
        <v>23</v>
      </c>
      <c r="J9" s="160" t="s">
        <v>24</v>
      </c>
    </row>
    <row r="10" spans="1:23" ht="23.25" x14ac:dyDescent="0.35">
      <c r="A10" s="3" t="s">
        <v>15</v>
      </c>
      <c r="B10" s="5">
        <v>0</v>
      </c>
      <c r="C10" s="83"/>
      <c r="D10" s="83"/>
      <c r="E10" s="83"/>
      <c r="F10" s="93"/>
      <c r="G10" s="3"/>
      <c r="H10" s="151">
        <f>D8+D27</f>
        <v>13.036963238470229</v>
      </c>
      <c r="I10" s="151">
        <f>E8+E27</f>
        <v>13.495656536582935</v>
      </c>
      <c r="J10" s="151">
        <f>F8+F27</f>
        <v>18.255993264885699</v>
      </c>
      <c r="K10" s="162" t="s">
        <v>78</v>
      </c>
    </row>
    <row r="11" spans="1:23" ht="23.25" x14ac:dyDescent="0.35">
      <c r="A11" s="10" t="s">
        <v>180</v>
      </c>
      <c r="B11" s="5">
        <v>0</v>
      </c>
      <c r="C11" s="83"/>
      <c r="D11" s="83"/>
      <c r="E11" s="83"/>
      <c r="F11" s="93"/>
      <c r="G11" s="3"/>
      <c r="H11" s="151">
        <f>H10*4800</f>
        <v>62577.423544657096</v>
      </c>
      <c r="I11" s="151">
        <f>I10*4800</f>
        <v>64779.151375598085</v>
      </c>
      <c r="J11" s="151">
        <f>J10*4800</f>
        <v>87628.767671451351</v>
      </c>
      <c r="K11" s="162" t="s">
        <v>214</v>
      </c>
    </row>
    <row r="12" spans="1:23" ht="21" x14ac:dyDescent="0.35">
      <c r="A12" s="10" t="s">
        <v>179</v>
      </c>
      <c r="B12" s="5">
        <f>41000/256</f>
        <v>160.15625</v>
      </c>
      <c r="C12" s="83"/>
      <c r="D12" s="142">
        <v>0.4</v>
      </c>
      <c r="E12" s="142">
        <v>0.6</v>
      </c>
      <c r="F12" s="142">
        <v>0.9</v>
      </c>
      <c r="G12" s="3"/>
      <c r="S12" s="152"/>
      <c r="W12" s="152"/>
    </row>
    <row r="13" spans="1:23" ht="18.75" x14ac:dyDescent="0.3">
      <c r="A13" s="10" t="s">
        <v>178</v>
      </c>
      <c r="B13" s="5">
        <v>50</v>
      </c>
      <c r="C13" s="83"/>
      <c r="D13" s="86">
        <f>B18*1.4</f>
        <v>7.4239873903508764</v>
      </c>
      <c r="E13" s="86">
        <f>B18*1.45</f>
        <v>7.6891297971491221</v>
      </c>
      <c r="F13" s="86">
        <f>B18*1.99</f>
        <v>10.552667790570176</v>
      </c>
      <c r="G13" s="3"/>
    </row>
    <row r="14" spans="1:23" ht="21" x14ac:dyDescent="0.35">
      <c r="A14" s="3" t="s">
        <v>177</v>
      </c>
      <c r="B14" s="5">
        <f>14000/210</f>
        <v>66.666666666666671</v>
      </c>
      <c r="C14" s="83"/>
      <c r="D14" s="83"/>
      <c r="E14" s="83"/>
      <c r="F14" s="93"/>
      <c r="G14" s="3"/>
      <c r="H14" s="152" t="s">
        <v>196</v>
      </c>
      <c r="I14" s="152" t="s">
        <v>197</v>
      </c>
      <c r="J14" s="152" t="s">
        <v>198</v>
      </c>
      <c r="L14" s="152" t="s">
        <v>196</v>
      </c>
      <c r="M14" s="152" t="s">
        <v>197</v>
      </c>
      <c r="N14" s="152" t="s">
        <v>198</v>
      </c>
      <c r="O14" s="152"/>
      <c r="P14" s="152" t="s">
        <v>196</v>
      </c>
      <c r="Q14" s="152" t="s">
        <v>197</v>
      </c>
      <c r="R14" s="152" t="s">
        <v>198</v>
      </c>
    </row>
    <row r="15" spans="1:23" ht="21" x14ac:dyDescent="0.35">
      <c r="A15" s="3" t="s">
        <v>28</v>
      </c>
      <c r="B15" s="5">
        <v>60</v>
      </c>
      <c r="C15" s="83"/>
      <c r="D15" s="83"/>
      <c r="E15" s="83"/>
      <c r="F15" s="93"/>
      <c r="G15" s="3"/>
      <c r="H15" s="144" t="s">
        <v>199</v>
      </c>
      <c r="I15" s="154">
        <v>8</v>
      </c>
      <c r="J15" s="154">
        <v>2</v>
      </c>
      <c r="L15" s="144" t="s">
        <v>201</v>
      </c>
      <c r="M15" s="154">
        <v>8</v>
      </c>
      <c r="N15" s="154">
        <v>2</v>
      </c>
      <c r="P15" s="144" t="s">
        <v>203</v>
      </c>
      <c r="Q15" s="154">
        <v>8</v>
      </c>
      <c r="R15" s="154">
        <v>2</v>
      </c>
    </row>
    <row r="16" spans="1:23" ht="21" x14ac:dyDescent="0.35">
      <c r="A16" s="3" t="s">
        <v>16</v>
      </c>
      <c r="B16" s="5">
        <v>300</v>
      </c>
      <c r="C16" s="83"/>
      <c r="D16" s="83"/>
      <c r="E16" s="83"/>
      <c r="F16" s="93"/>
      <c r="G16" s="3"/>
      <c r="H16" s="144" t="s">
        <v>199</v>
      </c>
      <c r="I16" s="154" t="s">
        <v>204</v>
      </c>
      <c r="J16" s="154">
        <v>3</v>
      </c>
      <c r="L16" s="144" t="s">
        <v>201</v>
      </c>
      <c r="M16" s="154" t="s">
        <v>204</v>
      </c>
      <c r="N16" s="154">
        <v>3</v>
      </c>
      <c r="P16" s="144" t="s">
        <v>203</v>
      </c>
      <c r="Q16" s="154" t="s">
        <v>204</v>
      </c>
      <c r="R16" s="154">
        <v>3</v>
      </c>
    </row>
    <row r="17" spans="1:18" ht="21.75" thickBot="1" x14ac:dyDescent="0.4">
      <c r="A17" s="3" t="s">
        <v>18</v>
      </c>
      <c r="B17" s="46">
        <v>2500</v>
      </c>
      <c r="F17" s="5"/>
      <c r="G17" s="3"/>
      <c r="H17" s="144" t="s">
        <v>199</v>
      </c>
      <c r="I17" s="154" t="s">
        <v>205</v>
      </c>
      <c r="J17" s="154">
        <v>4</v>
      </c>
      <c r="L17" s="144" t="s">
        <v>201</v>
      </c>
      <c r="M17" s="154" t="s">
        <v>205</v>
      </c>
      <c r="N17" s="154">
        <v>4</v>
      </c>
      <c r="P17" s="144" t="s">
        <v>203</v>
      </c>
      <c r="Q17" s="154" t="s">
        <v>205</v>
      </c>
      <c r="R17" s="154">
        <v>4</v>
      </c>
    </row>
    <row r="18" spans="1:18" ht="21" x14ac:dyDescent="0.35">
      <c r="A18" s="3"/>
      <c r="B18" s="86">
        <f>SUM(B3:B17)/F2</f>
        <v>5.3028481359649122</v>
      </c>
      <c r="F18" s="5"/>
      <c r="G18" s="3"/>
      <c r="H18" s="144" t="s">
        <v>199</v>
      </c>
      <c r="I18" s="154" t="s">
        <v>206</v>
      </c>
      <c r="J18" s="154">
        <v>4</v>
      </c>
      <c r="L18" s="144" t="s">
        <v>201</v>
      </c>
      <c r="M18" s="154" t="s">
        <v>206</v>
      </c>
      <c r="N18" s="154" t="s">
        <v>208</v>
      </c>
      <c r="P18" s="144" t="s">
        <v>203</v>
      </c>
      <c r="Q18" s="154" t="s">
        <v>206</v>
      </c>
      <c r="R18" s="154" t="s">
        <v>208</v>
      </c>
    </row>
    <row r="19" spans="1:18" ht="21.75" thickBot="1" x14ac:dyDescent="0.4">
      <c r="A19" s="3"/>
      <c r="B19" s="92"/>
      <c r="C19" s="92"/>
      <c r="D19" s="92"/>
      <c r="E19" s="92"/>
      <c r="F19" s="5"/>
      <c r="G19" s="3"/>
      <c r="H19" s="144" t="s">
        <v>199</v>
      </c>
      <c r="I19" s="154" t="s">
        <v>207</v>
      </c>
      <c r="J19" s="156">
        <v>2</v>
      </c>
      <c r="L19" s="144" t="s">
        <v>201</v>
      </c>
      <c r="M19" s="154" t="s">
        <v>207</v>
      </c>
      <c r="N19" s="156">
        <v>2</v>
      </c>
      <c r="P19" s="144" t="s">
        <v>203</v>
      </c>
      <c r="Q19" s="154" t="s">
        <v>207</v>
      </c>
      <c r="R19" s="156">
        <v>2</v>
      </c>
    </row>
    <row r="20" spans="1:18" ht="21" x14ac:dyDescent="0.35">
      <c r="A20" s="3"/>
      <c r="B20" s="83"/>
      <c r="C20" s="86"/>
      <c r="D20" s="86"/>
      <c r="E20" s="86"/>
      <c r="F20" s="5"/>
      <c r="G20" s="3"/>
      <c r="H20" s="144"/>
      <c r="I20" s="153"/>
      <c r="J20" s="154">
        <f>SUM(J15:J19)</f>
        <v>15</v>
      </c>
      <c r="K20" s="1"/>
      <c r="L20" s="1"/>
      <c r="M20" s="1"/>
      <c r="N20" s="154">
        <f>SUM(N15:N19)</f>
        <v>11</v>
      </c>
      <c r="O20" s="1"/>
      <c r="P20" s="1"/>
      <c r="Q20" s="1"/>
      <c r="R20" s="154">
        <f>SUM(R15:R19)</f>
        <v>11</v>
      </c>
    </row>
    <row r="21" spans="1:18" ht="33.75" x14ac:dyDescent="0.5">
      <c r="A21" s="861" t="s">
        <v>38</v>
      </c>
      <c r="B21" s="861"/>
      <c r="C21" s="83"/>
      <c r="D21" s="83"/>
      <c r="E21" s="83"/>
      <c r="F21" s="93"/>
      <c r="G21" s="3"/>
    </row>
    <row r="22" spans="1:18" ht="28.5" x14ac:dyDescent="0.45">
      <c r="A22" s="15" t="s">
        <v>175</v>
      </c>
      <c r="B22" s="85"/>
      <c r="C22" s="83"/>
      <c r="D22" s="83"/>
      <c r="E22" s="83"/>
      <c r="F22" s="7">
        <v>3800</v>
      </c>
      <c r="G22" s="3"/>
    </row>
    <row r="23" spans="1:18" ht="18.75" x14ac:dyDescent="0.25">
      <c r="A23" s="47" t="s">
        <v>9</v>
      </c>
      <c r="B23" s="143">
        <f>1.2*1.7*F22</f>
        <v>7752</v>
      </c>
      <c r="C23" s="83"/>
      <c r="D23" s="83"/>
      <c r="E23" s="83"/>
      <c r="F23" s="93"/>
      <c r="G23" s="3"/>
    </row>
    <row r="24" spans="1:18" ht="18.75" x14ac:dyDescent="0.3">
      <c r="A24" s="3" t="s">
        <v>1</v>
      </c>
      <c r="B24" s="5">
        <v>500</v>
      </c>
      <c r="C24" s="83"/>
      <c r="D24" s="83"/>
      <c r="E24" s="83"/>
      <c r="F24" s="93"/>
      <c r="G24" s="3"/>
    </row>
    <row r="25" spans="1:18" ht="21" x14ac:dyDescent="0.35">
      <c r="A25" s="3" t="s">
        <v>10</v>
      </c>
      <c r="B25" s="5">
        <v>1500</v>
      </c>
      <c r="C25" s="83"/>
      <c r="D25" s="83"/>
      <c r="E25" s="83"/>
      <c r="F25" s="93"/>
      <c r="G25" s="3"/>
      <c r="H25" s="152" t="s">
        <v>196</v>
      </c>
      <c r="I25" s="152" t="s">
        <v>197</v>
      </c>
      <c r="J25" s="152" t="s">
        <v>198</v>
      </c>
      <c r="L25" s="152" t="s">
        <v>196</v>
      </c>
      <c r="M25" s="152" t="s">
        <v>197</v>
      </c>
      <c r="N25" s="152" t="s">
        <v>198</v>
      </c>
    </row>
    <row r="26" spans="1:18" ht="23.25" x14ac:dyDescent="0.35">
      <c r="A26" s="3" t="s">
        <v>11</v>
      </c>
      <c r="B26" s="5">
        <v>750</v>
      </c>
      <c r="C26" s="83"/>
      <c r="D26" s="90" t="s">
        <v>22</v>
      </c>
      <c r="E26" s="90" t="s">
        <v>23</v>
      </c>
      <c r="F26" s="6" t="s">
        <v>24</v>
      </c>
      <c r="G26" s="4"/>
      <c r="H26" s="144" t="s">
        <v>200</v>
      </c>
      <c r="I26" s="154">
        <v>8</v>
      </c>
      <c r="J26" s="154">
        <v>2</v>
      </c>
      <c r="L26" s="144" t="s">
        <v>202</v>
      </c>
      <c r="M26" s="154">
        <v>8</v>
      </c>
      <c r="N26" s="154">
        <v>2</v>
      </c>
      <c r="P26" s="158" t="s">
        <v>209</v>
      </c>
      <c r="Q26" s="159" t="s">
        <v>210</v>
      </c>
      <c r="R26" s="159">
        <f>Q26*14.5</f>
        <v>913.5</v>
      </c>
    </row>
    <row r="27" spans="1:18" ht="21" x14ac:dyDescent="0.35">
      <c r="A27" s="3" t="s">
        <v>12</v>
      </c>
      <c r="B27" s="5">
        <v>0</v>
      </c>
      <c r="C27" s="83"/>
      <c r="D27" s="90">
        <f>D32</f>
        <v>5.6129758481193512</v>
      </c>
      <c r="E27" s="90">
        <f>E32</f>
        <v>5.8065267394338118</v>
      </c>
      <c r="F27" s="6">
        <f>F32</f>
        <v>7.7033254743155233</v>
      </c>
      <c r="G27" s="4"/>
      <c r="H27" s="144" t="s">
        <v>200</v>
      </c>
      <c r="I27" s="154" t="s">
        <v>204</v>
      </c>
      <c r="J27" s="154">
        <v>3</v>
      </c>
      <c r="L27" s="144" t="s">
        <v>202</v>
      </c>
      <c r="M27" s="154" t="s">
        <v>204</v>
      </c>
      <c r="N27" s="154">
        <v>3</v>
      </c>
      <c r="R27" s="153"/>
    </row>
    <row r="28" spans="1:18" ht="21" x14ac:dyDescent="0.35">
      <c r="A28" s="3" t="s">
        <v>14</v>
      </c>
      <c r="B28" s="5">
        <v>200</v>
      </c>
      <c r="C28" s="83"/>
      <c r="D28" s="92"/>
      <c r="E28" s="92"/>
      <c r="F28" s="7"/>
      <c r="G28" s="4"/>
      <c r="H28" s="144" t="s">
        <v>200</v>
      </c>
      <c r="I28" s="154" t="s">
        <v>205</v>
      </c>
      <c r="J28" s="154">
        <v>4</v>
      </c>
      <c r="L28" s="144" t="s">
        <v>202</v>
      </c>
      <c r="M28" s="154" t="s">
        <v>205</v>
      </c>
      <c r="N28" s="154">
        <v>4</v>
      </c>
    </row>
    <row r="29" spans="1:18" ht="21" x14ac:dyDescent="0.35">
      <c r="A29" s="3" t="s">
        <v>15</v>
      </c>
      <c r="B29" s="5">
        <v>200</v>
      </c>
      <c r="C29" s="83"/>
      <c r="D29" s="83"/>
      <c r="E29" s="83"/>
      <c r="F29" s="93"/>
      <c r="G29" s="3"/>
      <c r="H29" s="144" t="s">
        <v>200</v>
      </c>
      <c r="I29" s="154" t="s">
        <v>206</v>
      </c>
      <c r="J29" s="154">
        <v>4</v>
      </c>
      <c r="L29" s="144" t="s">
        <v>202</v>
      </c>
      <c r="M29" s="154" t="s">
        <v>206</v>
      </c>
      <c r="N29" s="154" t="s">
        <v>208</v>
      </c>
    </row>
    <row r="30" spans="1:18" ht="21.75" thickBot="1" x14ac:dyDescent="0.4">
      <c r="A30" s="10" t="s">
        <v>180</v>
      </c>
      <c r="B30" s="5">
        <f>43000/220</f>
        <v>195.45454545454547</v>
      </c>
      <c r="C30" s="83"/>
      <c r="D30" s="83"/>
      <c r="E30" s="83"/>
      <c r="F30" s="93"/>
      <c r="G30" s="3"/>
      <c r="H30" s="144" t="s">
        <v>200</v>
      </c>
      <c r="I30" s="154" t="s">
        <v>207</v>
      </c>
      <c r="J30" s="156">
        <v>2</v>
      </c>
      <c r="L30" s="144" t="s">
        <v>202</v>
      </c>
      <c r="M30" s="154" t="s">
        <v>207</v>
      </c>
      <c r="N30" s="156">
        <v>2</v>
      </c>
    </row>
    <row r="31" spans="1:18" ht="18.75" x14ac:dyDescent="0.3">
      <c r="A31" s="10" t="s">
        <v>179</v>
      </c>
      <c r="B31" s="5">
        <f>43000/256</f>
        <v>167.96875</v>
      </c>
      <c r="C31" s="83"/>
      <c r="D31" s="142">
        <v>0.4</v>
      </c>
      <c r="E31" s="142">
        <v>0.6</v>
      </c>
      <c r="F31" s="142">
        <v>0.9</v>
      </c>
      <c r="G31" s="3"/>
      <c r="J31" s="155">
        <f>SUM(J26:J30)</f>
        <v>15</v>
      </c>
      <c r="K31" s="157"/>
      <c r="L31" s="157"/>
      <c r="M31" s="157"/>
      <c r="N31" s="155">
        <f>SUM(N26:N30)</f>
        <v>11</v>
      </c>
    </row>
    <row r="32" spans="1:18" ht="18.75" x14ac:dyDescent="0.3">
      <c r="A32" s="10" t="s">
        <v>178</v>
      </c>
      <c r="B32" s="5">
        <f>43000/90</f>
        <v>477.77777777777777</v>
      </c>
      <c r="C32" s="83"/>
      <c r="D32" s="86">
        <f>B37*1.45</f>
        <v>5.6129758481193512</v>
      </c>
      <c r="E32" s="86">
        <f>B37*1.5</f>
        <v>5.8065267394338118</v>
      </c>
      <c r="F32" s="86">
        <f>B37*1.99</f>
        <v>7.7033254743155233</v>
      </c>
      <c r="G32" s="3"/>
    </row>
    <row r="33" spans="1:7" ht="18.75" x14ac:dyDescent="0.3">
      <c r="A33" s="3" t="s">
        <v>177</v>
      </c>
      <c r="B33" s="5">
        <f>14000/210</f>
        <v>66.666666666666671</v>
      </c>
      <c r="C33" s="83"/>
      <c r="D33" s="83"/>
      <c r="E33" s="83"/>
      <c r="F33" s="93"/>
      <c r="G33" s="3"/>
    </row>
    <row r="34" spans="1:7" ht="18.75" x14ac:dyDescent="0.3">
      <c r="A34" s="3" t="s">
        <v>28</v>
      </c>
      <c r="B34" s="5">
        <v>100</v>
      </c>
      <c r="C34" s="83"/>
      <c r="D34" s="83"/>
      <c r="E34" s="83"/>
      <c r="F34" s="93"/>
      <c r="G34" s="3"/>
    </row>
    <row r="35" spans="1:7" ht="18.75" x14ac:dyDescent="0.3">
      <c r="A35" s="3" t="s">
        <v>16</v>
      </c>
      <c r="B35" s="5">
        <v>300</v>
      </c>
      <c r="C35" s="83"/>
      <c r="D35" s="83"/>
      <c r="E35" s="83">
        <f>18*60%</f>
        <v>10.799999999999999</v>
      </c>
      <c r="F35" s="93"/>
      <c r="G35" s="3"/>
    </row>
    <row r="36" spans="1:7" ht="19.5" thickBot="1" x14ac:dyDescent="0.35">
      <c r="A36" s="3" t="s">
        <v>18</v>
      </c>
      <c r="B36" s="46">
        <v>2500</v>
      </c>
      <c r="F36" s="5"/>
      <c r="G36" s="3"/>
    </row>
    <row r="37" spans="1:7" ht="18.75" x14ac:dyDescent="0.3">
      <c r="A37" s="3"/>
      <c r="B37" s="86">
        <f>SUM(B23:B36)/F22</f>
        <v>3.8710178262892079</v>
      </c>
      <c r="F37" s="5"/>
      <c r="G37" s="3"/>
    </row>
  </sheetData>
  <mergeCells count="3">
    <mergeCell ref="A1:B1"/>
    <mergeCell ref="A21:B21"/>
    <mergeCell ref="H8:J8"/>
  </mergeCells>
  <pageMargins left="0.7" right="0.7" top="0.75" bottom="0.75" header="0.3" footer="0.3"/>
  <pageSetup paperSize="9"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3:P42"/>
  <sheetViews>
    <sheetView topLeftCell="A16" zoomScale="60" zoomScaleNormal="60" zoomScaleSheetLayoutView="70" workbookViewId="0">
      <selection activeCell="C24" sqref="C24"/>
    </sheetView>
  </sheetViews>
  <sheetFormatPr baseColWidth="10" defaultRowHeight="18.75" x14ac:dyDescent="0.3"/>
  <cols>
    <col min="1" max="1" width="44.85546875" customWidth="1"/>
    <col min="2" max="2" width="16.7109375" style="48" customWidth="1"/>
    <col min="3" max="3" width="10.28515625" customWidth="1"/>
    <col min="4" max="4" width="11.140625" customWidth="1"/>
    <col min="5" max="5" width="22.140625" customWidth="1"/>
    <col min="6" max="6" width="17.5703125" customWidth="1"/>
    <col min="7" max="7" width="16.7109375" customWidth="1"/>
    <col min="10" max="10" width="59.85546875" bestFit="1" customWidth="1"/>
    <col min="11" max="11" width="17.7109375" bestFit="1" customWidth="1"/>
    <col min="13" max="13" width="19.85546875" bestFit="1" customWidth="1"/>
    <col min="14" max="14" width="21.140625" customWidth="1"/>
    <col min="15" max="15" width="24.5703125" customWidth="1"/>
  </cols>
  <sheetData>
    <row r="3" spans="1:15" ht="33.75" x14ac:dyDescent="0.5">
      <c r="A3" s="861"/>
      <c r="B3" s="861"/>
      <c r="G3" s="169">
        <v>3800</v>
      </c>
    </row>
    <row r="4" spans="1:15" ht="24.95" customHeight="1" x14ac:dyDescent="0.45">
      <c r="A4" s="15" t="s">
        <v>269</v>
      </c>
      <c r="B4" s="91"/>
      <c r="E4" s="949" t="s">
        <v>213</v>
      </c>
      <c r="F4" s="949"/>
      <c r="J4" s="15" t="s">
        <v>271</v>
      </c>
      <c r="K4" s="91"/>
      <c r="M4" s="949" t="s">
        <v>213</v>
      </c>
      <c r="N4" s="949"/>
    </row>
    <row r="5" spans="1:15" ht="24.95" customHeight="1" x14ac:dyDescent="0.3">
      <c r="A5" s="287" t="s">
        <v>211</v>
      </c>
      <c r="B5" s="286">
        <v>10000</v>
      </c>
      <c r="E5" s="164" t="s">
        <v>211</v>
      </c>
      <c r="F5" s="143">
        <v>10000</v>
      </c>
      <c r="J5" s="287" t="s">
        <v>211</v>
      </c>
      <c r="K5" s="286">
        <v>10000</v>
      </c>
      <c r="M5" s="164" t="s">
        <v>211</v>
      </c>
      <c r="N5" s="143">
        <v>10000</v>
      </c>
    </row>
    <row r="6" spans="1:15" ht="24.95" customHeight="1" thickBot="1" x14ac:dyDescent="0.35">
      <c r="A6" s="287" t="s">
        <v>212</v>
      </c>
      <c r="B6" s="286">
        <v>500</v>
      </c>
      <c r="E6" s="164" t="s">
        <v>212</v>
      </c>
      <c r="F6" s="46">
        <f>110000/250</f>
        <v>440</v>
      </c>
      <c r="J6" s="287" t="s">
        <v>212</v>
      </c>
      <c r="K6" s="286">
        <v>500</v>
      </c>
      <c r="M6" s="164" t="s">
        <v>212</v>
      </c>
      <c r="N6" s="46">
        <f>110000/250</f>
        <v>440</v>
      </c>
    </row>
    <row r="7" spans="1:15" ht="24.95" customHeight="1" x14ac:dyDescent="0.35">
      <c r="A7" s="288" t="s">
        <v>216</v>
      </c>
      <c r="B7" s="289">
        <f>3.7*1.35/80*4900</f>
        <v>305.94375000000008</v>
      </c>
      <c r="E7" s="3"/>
      <c r="F7" s="7">
        <f>F6+F5</f>
        <v>10440</v>
      </c>
      <c r="J7" s="288" t="s">
        <v>216</v>
      </c>
      <c r="K7" s="289">
        <v>0</v>
      </c>
      <c r="M7" s="3"/>
      <c r="N7" s="7">
        <f>N6+N5</f>
        <v>10440</v>
      </c>
    </row>
    <row r="8" spans="1:15" ht="24.95" customHeight="1" x14ac:dyDescent="0.35">
      <c r="A8" s="288" t="s">
        <v>224</v>
      </c>
      <c r="B8" s="289">
        <v>1500</v>
      </c>
      <c r="E8" s="3"/>
      <c r="F8" s="7"/>
      <c r="J8" s="288" t="s">
        <v>224</v>
      </c>
      <c r="K8" s="289">
        <v>0</v>
      </c>
      <c r="M8" s="3"/>
      <c r="N8" s="7"/>
    </row>
    <row r="9" spans="1:15" ht="24.95" customHeight="1" x14ac:dyDescent="0.3">
      <c r="A9" s="288" t="s">
        <v>217</v>
      </c>
      <c r="B9" s="289">
        <f>3.4*1.45/80*4900</f>
        <v>301.96249999999998</v>
      </c>
      <c r="D9" s="3"/>
      <c r="E9" s="911" t="s">
        <v>213</v>
      </c>
      <c r="F9" s="911"/>
      <c r="G9" s="911"/>
      <c r="J9" s="288" t="s">
        <v>217</v>
      </c>
      <c r="K9" s="289">
        <v>0</v>
      </c>
      <c r="L9" s="3"/>
      <c r="M9" s="911" t="s">
        <v>213</v>
      </c>
      <c r="N9" s="911"/>
      <c r="O9" s="911"/>
    </row>
    <row r="10" spans="1:15" ht="24.95" customHeight="1" x14ac:dyDescent="0.3">
      <c r="A10" s="287" t="s">
        <v>94</v>
      </c>
      <c r="B10" s="286">
        <f>300*2</f>
        <v>600</v>
      </c>
      <c r="D10" s="3"/>
      <c r="F10" s="66" t="s">
        <v>22</v>
      </c>
      <c r="G10" s="66"/>
      <c r="J10" s="287" t="s">
        <v>94</v>
      </c>
      <c r="K10" s="286">
        <f>300*2</f>
        <v>600</v>
      </c>
      <c r="L10" s="3"/>
      <c r="N10" s="66" t="s">
        <v>22</v>
      </c>
      <c r="O10" s="66"/>
    </row>
    <row r="11" spans="1:15" ht="24.95" customHeight="1" x14ac:dyDescent="0.3">
      <c r="A11" s="287" t="s">
        <v>11</v>
      </c>
      <c r="B11" s="286">
        <v>1000</v>
      </c>
      <c r="D11" s="3"/>
      <c r="F11" s="167">
        <v>0.45</v>
      </c>
      <c r="G11" s="5" t="s">
        <v>299</v>
      </c>
      <c r="J11" s="287" t="s">
        <v>11</v>
      </c>
      <c r="K11" s="286">
        <v>1000</v>
      </c>
      <c r="L11" s="3"/>
      <c r="N11" s="281">
        <v>0.45</v>
      </c>
      <c r="O11" s="5"/>
    </row>
    <row r="12" spans="1:15" ht="24.95" customHeight="1" x14ac:dyDescent="0.35">
      <c r="A12" s="287" t="s">
        <v>12</v>
      </c>
      <c r="B12" s="286">
        <v>1000</v>
      </c>
      <c r="D12" s="3"/>
      <c r="F12" s="165">
        <f>F7*1.65/G3</f>
        <v>4.5331578947368421</v>
      </c>
      <c r="G12" s="163"/>
      <c r="J12" s="287" t="s">
        <v>12</v>
      </c>
      <c r="K12" s="286">
        <v>1000</v>
      </c>
      <c r="L12" s="3"/>
      <c r="N12" s="165">
        <f>N7*1.65/G3</f>
        <v>4.5331578947368421</v>
      </c>
      <c r="O12" s="163"/>
    </row>
    <row r="13" spans="1:15" ht="24.95" customHeight="1" x14ac:dyDescent="0.3">
      <c r="A13" s="287" t="s">
        <v>14</v>
      </c>
      <c r="B13" s="286">
        <v>100</v>
      </c>
      <c r="D13" s="10"/>
      <c r="E13" s="5"/>
      <c r="F13" s="5"/>
      <c r="G13" s="5"/>
      <c r="J13" s="287" t="s">
        <v>14</v>
      </c>
      <c r="K13" s="286">
        <v>0</v>
      </c>
      <c r="L13" s="10"/>
      <c r="M13" s="5"/>
      <c r="N13" s="5"/>
      <c r="O13" s="5"/>
    </row>
    <row r="14" spans="1:15" ht="24.95" customHeight="1" x14ac:dyDescent="0.3">
      <c r="A14" s="287" t="s">
        <v>15</v>
      </c>
      <c r="B14" s="286">
        <v>0</v>
      </c>
      <c r="D14" s="10"/>
      <c r="E14" s="911" t="s">
        <v>273</v>
      </c>
      <c r="F14" s="911"/>
      <c r="G14" s="911"/>
      <c r="J14" s="287" t="s">
        <v>15</v>
      </c>
      <c r="K14" s="286">
        <v>0</v>
      </c>
      <c r="L14" s="10"/>
      <c r="M14" s="911" t="s">
        <v>215</v>
      </c>
      <c r="N14" s="911"/>
      <c r="O14" s="911"/>
    </row>
    <row r="15" spans="1:15" ht="24.95" customHeight="1" x14ac:dyDescent="0.3">
      <c r="A15" s="290" t="s">
        <v>180</v>
      </c>
      <c r="B15" s="286">
        <v>0</v>
      </c>
      <c r="D15" s="10"/>
      <c r="E15" s="240" t="s">
        <v>22</v>
      </c>
      <c r="F15" s="240" t="s">
        <v>23</v>
      </c>
      <c r="G15" s="240" t="s">
        <v>24</v>
      </c>
      <c r="J15" s="290" t="s">
        <v>180</v>
      </c>
      <c r="K15" s="286">
        <v>0</v>
      </c>
      <c r="L15" s="10"/>
      <c r="M15" s="240" t="s">
        <v>22</v>
      </c>
      <c r="N15" s="240" t="s">
        <v>23</v>
      </c>
      <c r="O15" s="240" t="s">
        <v>24</v>
      </c>
    </row>
    <row r="16" spans="1:15" ht="24.95" customHeight="1" x14ac:dyDescent="0.3">
      <c r="A16" s="290" t="s">
        <v>179</v>
      </c>
      <c r="B16" s="286">
        <f>41000/256</f>
        <v>160.15625</v>
      </c>
      <c r="D16" s="3"/>
      <c r="E16" s="5">
        <v>0.45</v>
      </c>
      <c r="F16" s="5">
        <v>0.65</v>
      </c>
      <c r="G16" s="5">
        <v>0.99</v>
      </c>
      <c r="J16" s="290" t="s">
        <v>179</v>
      </c>
      <c r="K16" s="286">
        <f>41000/256</f>
        <v>160.15625</v>
      </c>
      <c r="L16" s="3"/>
      <c r="M16" s="5">
        <v>0.45</v>
      </c>
      <c r="N16" s="5">
        <v>0.65</v>
      </c>
      <c r="O16" s="5">
        <v>0.99</v>
      </c>
    </row>
    <row r="17" spans="1:16" ht="24.95" customHeight="1" x14ac:dyDescent="0.35">
      <c r="A17" s="287" t="s">
        <v>177</v>
      </c>
      <c r="B17" s="286">
        <v>0</v>
      </c>
      <c r="D17" s="3"/>
      <c r="E17" s="163">
        <f>B21*1.3</f>
        <v>25893.481250000001</v>
      </c>
      <c r="F17" s="163">
        <f>B21*1.65</f>
        <v>32864.803124999999</v>
      </c>
      <c r="G17" s="163">
        <f>B21*2.28</f>
        <v>45413.182499999995</v>
      </c>
      <c r="J17" s="287" t="s">
        <v>177</v>
      </c>
      <c r="K17" s="286">
        <v>0</v>
      </c>
      <c r="L17" s="3"/>
      <c r="M17" s="163">
        <f>K21*1.45</f>
        <v>25679.7265625</v>
      </c>
      <c r="N17" s="163">
        <f>K21*1.65</f>
        <v>29221.7578125</v>
      </c>
      <c r="O17" s="163">
        <f>K21*2.28</f>
        <v>40379.15625</v>
      </c>
    </row>
    <row r="18" spans="1:16" ht="24.95" customHeight="1" x14ac:dyDescent="0.3">
      <c r="A18" s="287" t="s">
        <v>28</v>
      </c>
      <c r="B18" s="286">
        <v>100</v>
      </c>
      <c r="D18" s="3"/>
      <c r="E18" s="5">
        <f>E17/G3</f>
        <v>6.814074013157895</v>
      </c>
      <c r="F18" s="5">
        <f>F17/G3</f>
        <v>8.6486324013157887</v>
      </c>
      <c r="G18" s="5">
        <f>G17/G3</f>
        <v>11.950837499999999</v>
      </c>
      <c r="J18" s="287" t="s">
        <v>28</v>
      </c>
      <c r="K18" s="286">
        <v>100</v>
      </c>
      <c r="L18" s="3"/>
      <c r="M18" s="5">
        <f>M17/G3</f>
        <v>6.757822779605263</v>
      </c>
      <c r="N18" s="5">
        <f>N17/G3</f>
        <v>7.6899362664473685</v>
      </c>
      <c r="O18" s="5">
        <f>O17/G3</f>
        <v>10.626093750000001</v>
      </c>
    </row>
    <row r="19" spans="1:16" ht="24.95" customHeight="1" x14ac:dyDescent="0.3">
      <c r="A19" s="287" t="s">
        <v>16</v>
      </c>
      <c r="B19" s="286">
        <v>350</v>
      </c>
      <c r="D19" s="3"/>
      <c r="J19" s="287" t="s">
        <v>16</v>
      </c>
      <c r="K19" s="286">
        <v>350</v>
      </c>
      <c r="L19" s="3"/>
    </row>
    <row r="20" spans="1:16" ht="24.95" customHeight="1" thickBot="1" x14ac:dyDescent="0.35">
      <c r="A20" s="287" t="s">
        <v>18</v>
      </c>
      <c r="B20" s="291">
        <v>4000</v>
      </c>
      <c r="E20" s="66"/>
      <c r="F20" s="66"/>
      <c r="G20" s="66"/>
      <c r="J20" s="287" t="s">
        <v>18</v>
      </c>
      <c r="K20" s="291">
        <v>4000</v>
      </c>
      <c r="M20" s="66"/>
      <c r="N20" s="66"/>
      <c r="O20" s="66"/>
    </row>
    <row r="21" spans="1:16" ht="24.95" customHeight="1" x14ac:dyDescent="0.3">
      <c r="A21" s="3"/>
      <c r="B21" s="5">
        <f>SUM(B5:B20)</f>
        <v>19918.0625</v>
      </c>
      <c r="E21" s="285"/>
      <c r="F21" s="161"/>
      <c r="G21" s="161"/>
      <c r="J21" s="287"/>
      <c r="K21" s="286">
        <f>SUM(K5:K20)</f>
        <v>17710.15625</v>
      </c>
      <c r="M21" s="285"/>
      <c r="N21" s="281"/>
      <c r="O21" s="281"/>
    </row>
    <row r="22" spans="1:16" x14ac:dyDescent="0.3">
      <c r="A22" s="3"/>
      <c r="B22" s="5"/>
      <c r="E22" s="285"/>
      <c r="F22" s="281"/>
      <c r="G22" s="281"/>
      <c r="J22" s="3"/>
      <c r="K22" s="5"/>
      <c r="M22" s="285"/>
      <c r="N22" s="281"/>
      <c r="O22" s="281"/>
    </row>
    <row r="23" spans="1:16" ht="21" x14ac:dyDescent="0.35">
      <c r="E23" s="165"/>
      <c r="F23" s="165"/>
      <c r="G23" s="165"/>
      <c r="K23" s="48"/>
      <c r="M23" s="165"/>
      <c r="N23" s="165"/>
      <c r="O23" s="165"/>
    </row>
    <row r="24" spans="1:16" ht="28.5" x14ac:dyDescent="0.45">
      <c r="A24" s="15" t="s">
        <v>270</v>
      </c>
      <c r="B24" s="91"/>
      <c r="E24" s="161"/>
      <c r="F24" s="161"/>
      <c r="G24" s="161"/>
      <c r="J24" s="15" t="s">
        <v>267</v>
      </c>
      <c r="K24" s="91"/>
      <c r="M24" s="281"/>
      <c r="N24" s="281"/>
      <c r="O24" s="281"/>
    </row>
    <row r="25" spans="1:16" ht="24.95" customHeight="1" x14ac:dyDescent="0.3">
      <c r="A25" s="287" t="s">
        <v>211</v>
      </c>
      <c r="B25" s="286">
        <v>10000</v>
      </c>
      <c r="J25" s="287" t="s">
        <v>211</v>
      </c>
      <c r="K25" s="286">
        <v>10000</v>
      </c>
    </row>
    <row r="26" spans="1:16" ht="24.95" customHeight="1" x14ac:dyDescent="0.3">
      <c r="A26" s="287" t="s">
        <v>212</v>
      </c>
      <c r="B26" s="286">
        <f>110000/250</f>
        <v>440</v>
      </c>
      <c r="J26" s="287" t="s">
        <v>212</v>
      </c>
      <c r="K26" s="286">
        <f>110000/250</f>
        <v>440</v>
      </c>
    </row>
    <row r="27" spans="1:16" ht="24.95" customHeight="1" x14ac:dyDescent="0.3">
      <c r="A27" s="290" t="s">
        <v>224</v>
      </c>
      <c r="B27" s="286">
        <v>1500</v>
      </c>
      <c r="J27" s="290" t="s">
        <v>224</v>
      </c>
      <c r="K27" s="286">
        <v>0</v>
      </c>
    </row>
    <row r="28" spans="1:16" ht="24.95" customHeight="1" x14ac:dyDescent="0.3">
      <c r="A28" s="288" t="s">
        <v>216</v>
      </c>
      <c r="B28" s="289">
        <f>3.7*1.35/80*4900</f>
        <v>305.94375000000008</v>
      </c>
      <c r="J28" s="288" t="s">
        <v>216</v>
      </c>
      <c r="K28" s="289">
        <v>0</v>
      </c>
      <c r="L28" s="1031" t="s">
        <v>268</v>
      </c>
      <c r="M28" s="1031"/>
      <c r="N28" s="1031"/>
      <c r="O28" s="1031"/>
      <c r="P28" s="1031"/>
    </row>
    <row r="29" spans="1:16" ht="24.95" customHeight="1" x14ac:dyDescent="0.3">
      <c r="A29" s="288" t="s">
        <v>217</v>
      </c>
      <c r="B29" s="289">
        <f>3.4*1.45/80*4900</f>
        <v>301.96249999999998</v>
      </c>
      <c r="D29" s="911" t="s">
        <v>272</v>
      </c>
      <c r="E29" s="911"/>
      <c r="F29" s="911"/>
      <c r="G29" s="911"/>
      <c r="H29" s="911"/>
      <c r="J29" s="288" t="s">
        <v>217</v>
      </c>
      <c r="K29" s="289">
        <v>0</v>
      </c>
      <c r="L29" s="1031"/>
      <c r="M29" s="1031"/>
      <c r="N29" s="1031"/>
      <c r="O29" s="1031"/>
      <c r="P29" s="1031"/>
    </row>
    <row r="30" spans="1:16" ht="24.95" customHeight="1" x14ac:dyDescent="0.3">
      <c r="A30" s="287" t="s">
        <v>94</v>
      </c>
      <c r="B30" s="286">
        <f>300*2</f>
        <v>600</v>
      </c>
      <c r="E30" s="66" t="s">
        <v>22</v>
      </c>
      <c r="F30" s="66" t="s">
        <v>23</v>
      </c>
      <c r="G30" s="66" t="s">
        <v>24</v>
      </c>
      <c r="J30" s="287" t="s">
        <v>94</v>
      </c>
      <c r="K30" s="286">
        <f>300*2</f>
        <v>600</v>
      </c>
      <c r="M30" s="66" t="s">
        <v>22</v>
      </c>
      <c r="N30" s="66" t="s">
        <v>23</v>
      </c>
      <c r="O30" s="66" t="s">
        <v>24</v>
      </c>
    </row>
    <row r="31" spans="1:16" ht="24.95" customHeight="1" x14ac:dyDescent="0.3">
      <c r="A31" s="287" t="s">
        <v>11</v>
      </c>
      <c r="B31" s="286">
        <v>1000</v>
      </c>
      <c r="E31" s="161">
        <v>0.45</v>
      </c>
      <c r="F31" s="161">
        <v>0.65</v>
      </c>
      <c r="G31" s="161">
        <v>0.99</v>
      </c>
      <c r="J31" s="287" t="s">
        <v>11</v>
      </c>
      <c r="K31" s="286">
        <v>1000</v>
      </c>
      <c r="M31" s="281">
        <v>0.45</v>
      </c>
      <c r="N31" s="281">
        <v>0.65</v>
      </c>
      <c r="O31" s="281">
        <v>0.99</v>
      </c>
    </row>
    <row r="32" spans="1:16" ht="24.95" customHeight="1" x14ac:dyDescent="0.3">
      <c r="A32" s="292" t="s">
        <v>219</v>
      </c>
      <c r="B32" s="293">
        <v>10000</v>
      </c>
      <c r="E32" s="161">
        <f>B42*1.45/G3</f>
        <v>10.973471217105262</v>
      </c>
      <c r="F32" s="171">
        <f>B42*1.65/G3</f>
        <v>12.487053453947368</v>
      </c>
      <c r="G32" s="171">
        <f>B42*2.28/G3</f>
        <v>17.254837499999997</v>
      </c>
      <c r="J32" s="292" t="s">
        <v>219</v>
      </c>
      <c r="K32" s="293">
        <v>10000</v>
      </c>
      <c r="M32" s="281">
        <f>K42*1.45/G3</f>
        <v>10.169138569078948</v>
      </c>
      <c r="N32" s="281">
        <f>K42*1.65/G3</f>
        <v>11.571778371710526</v>
      </c>
      <c r="O32" s="281">
        <f>K42*2.28/G3</f>
        <v>15.99009375</v>
      </c>
    </row>
    <row r="33" spans="1:11" ht="24.95" customHeight="1" x14ac:dyDescent="0.3">
      <c r="A33" s="287" t="s">
        <v>14</v>
      </c>
      <c r="B33" s="286">
        <v>0</v>
      </c>
      <c r="J33" s="287" t="s">
        <v>14</v>
      </c>
      <c r="K33" s="286">
        <v>0</v>
      </c>
    </row>
    <row r="34" spans="1:11" ht="24.95" customHeight="1" x14ac:dyDescent="0.3">
      <c r="A34" s="287" t="s">
        <v>15</v>
      </c>
      <c r="B34" s="286">
        <v>0</v>
      </c>
      <c r="J34" s="287" t="s">
        <v>15</v>
      </c>
      <c r="K34" s="286">
        <v>0</v>
      </c>
    </row>
    <row r="35" spans="1:11" ht="24.95" customHeight="1" x14ac:dyDescent="0.3">
      <c r="A35" s="290" t="s">
        <v>180</v>
      </c>
      <c r="B35" s="286">
        <v>0</v>
      </c>
      <c r="J35" s="290" t="s">
        <v>180</v>
      </c>
      <c r="K35" s="286">
        <v>0</v>
      </c>
    </row>
    <row r="36" spans="1:11" ht="24.95" customHeight="1" x14ac:dyDescent="0.3">
      <c r="A36" s="290" t="s">
        <v>179</v>
      </c>
      <c r="B36" s="286">
        <f>41000/256</f>
        <v>160.15625</v>
      </c>
      <c r="J36" s="290" t="s">
        <v>179</v>
      </c>
      <c r="K36" s="286">
        <f>41000/256</f>
        <v>160.15625</v>
      </c>
    </row>
    <row r="37" spans="1:11" ht="24.95" customHeight="1" x14ac:dyDescent="0.3">
      <c r="A37" s="290" t="s">
        <v>178</v>
      </c>
      <c r="B37" s="286">
        <v>0</v>
      </c>
      <c r="J37" s="290" t="s">
        <v>178</v>
      </c>
      <c r="K37" s="286">
        <v>0</v>
      </c>
    </row>
    <row r="38" spans="1:11" ht="24.95" customHeight="1" x14ac:dyDescent="0.3">
      <c r="A38" s="287" t="s">
        <v>177</v>
      </c>
      <c r="B38" s="286">
        <v>0</v>
      </c>
      <c r="J38" s="287" t="s">
        <v>177</v>
      </c>
      <c r="K38" s="286">
        <v>0</v>
      </c>
    </row>
    <row r="39" spans="1:11" ht="24.95" customHeight="1" x14ac:dyDescent="0.3">
      <c r="A39" s="287" t="s">
        <v>28</v>
      </c>
      <c r="B39" s="286">
        <v>100</v>
      </c>
      <c r="J39" s="287" t="s">
        <v>28</v>
      </c>
      <c r="K39" s="286">
        <v>100</v>
      </c>
    </row>
    <row r="40" spans="1:11" ht="24.95" customHeight="1" x14ac:dyDescent="0.3">
      <c r="A40" s="287" t="s">
        <v>16</v>
      </c>
      <c r="B40" s="286">
        <v>350</v>
      </c>
      <c r="J40" s="287" t="s">
        <v>16</v>
      </c>
      <c r="K40" s="286">
        <v>350</v>
      </c>
    </row>
    <row r="41" spans="1:11" ht="24.95" customHeight="1" thickBot="1" x14ac:dyDescent="0.35">
      <c r="A41" s="287" t="s">
        <v>18</v>
      </c>
      <c r="B41" s="291">
        <v>4000</v>
      </c>
      <c r="J41" s="287" t="s">
        <v>18</v>
      </c>
      <c r="K41" s="291">
        <v>4000</v>
      </c>
    </row>
    <row r="42" spans="1:11" ht="24.95" customHeight="1" x14ac:dyDescent="0.3">
      <c r="A42" s="287"/>
      <c r="B42" s="286">
        <f>SUM(B25:B41)</f>
        <v>28758.0625</v>
      </c>
      <c r="J42" s="287"/>
      <c r="K42" s="286">
        <f>SUM(K25:K41)</f>
        <v>26650.15625</v>
      </c>
    </row>
  </sheetData>
  <mergeCells count="9">
    <mergeCell ref="M14:O14"/>
    <mergeCell ref="L28:P29"/>
    <mergeCell ref="E14:G14"/>
    <mergeCell ref="D29:H29"/>
    <mergeCell ref="A3:B3"/>
    <mergeCell ref="E4:F4"/>
    <mergeCell ref="E9:G9"/>
    <mergeCell ref="M4:N4"/>
    <mergeCell ref="M9:O9"/>
  </mergeCells>
  <pageMargins left="0.25" right="0.25" top="0.75" bottom="0.75" header="0.3" footer="0.3"/>
  <pageSetup scale="81" orientation="landscape" horizontalDpi="0" verticalDpi="0" r:id="rId1"/>
  <rowBreaks count="1" manualBreakCount="1">
    <brk id="22" max="16383" man="1"/>
  </rowBreaks>
  <colBreaks count="2" manualBreakCount="2">
    <brk id="8" max="44" man="1"/>
    <brk id="15" max="44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3:G22"/>
  <sheetViews>
    <sheetView workbookViewId="0">
      <selection activeCell="C24" sqref="C24"/>
    </sheetView>
  </sheetViews>
  <sheetFormatPr baseColWidth="10" defaultRowHeight="15" x14ac:dyDescent="0.25"/>
  <cols>
    <col min="1" max="1" width="35.140625" customWidth="1"/>
    <col min="2" max="2" width="17.42578125" customWidth="1"/>
    <col min="4" max="6" width="12" bestFit="1" customWidth="1"/>
  </cols>
  <sheetData>
    <row r="3" spans="1:7" ht="28.5" x14ac:dyDescent="0.45">
      <c r="A3" s="15" t="s">
        <v>218</v>
      </c>
      <c r="B3" s="85"/>
    </row>
    <row r="4" spans="1:7" ht="21" x14ac:dyDescent="0.35">
      <c r="A4" s="47"/>
      <c r="B4" s="143"/>
      <c r="F4" s="169">
        <v>3800</v>
      </c>
    </row>
    <row r="5" spans="1:7" ht="18.75" x14ac:dyDescent="0.3">
      <c r="A5" t="s">
        <v>216</v>
      </c>
      <c r="B5" s="41">
        <f>3.7*1.35/80*4900</f>
        <v>305.94375000000008</v>
      </c>
    </row>
    <row r="6" spans="1:7" ht="18.75" x14ac:dyDescent="0.3">
      <c r="A6" t="s">
        <v>217</v>
      </c>
      <c r="B6" s="41">
        <f>3.4*1.45/80*4900</f>
        <v>301.96249999999998</v>
      </c>
    </row>
    <row r="7" spans="1:7" ht="18.75" x14ac:dyDescent="0.3">
      <c r="A7" t="s">
        <v>224</v>
      </c>
      <c r="B7" s="41">
        <v>1500</v>
      </c>
    </row>
    <row r="8" spans="1:7" ht="18.75" x14ac:dyDescent="0.3">
      <c r="A8" t="s">
        <v>191</v>
      </c>
      <c r="B8" s="41">
        <v>200</v>
      </c>
    </row>
    <row r="9" spans="1:7" ht="18.75" x14ac:dyDescent="0.3">
      <c r="A9" t="s">
        <v>225</v>
      </c>
      <c r="B9" s="41">
        <v>300</v>
      </c>
    </row>
    <row r="10" spans="1:7" ht="18.75" x14ac:dyDescent="0.3">
      <c r="A10" s="3" t="s">
        <v>94</v>
      </c>
      <c r="B10" s="5">
        <f>300*2</f>
        <v>600</v>
      </c>
    </row>
    <row r="11" spans="1:7" ht="18.75" x14ac:dyDescent="0.3">
      <c r="A11" s="3" t="s">
        <v>11</v>
      </c>
      <c r="B11" s="5">
        <v>1000</v>
      </c>
      <c r="D11" s="170" t="s">
        <v>22</v>
      </c>
      <c r="E11" s="170" t="s">
        <v>23</v>
      </c>
      <c r="F11" s="170" t="s">
        <v>24</v>
      </c>
    </row>
    <row r="12" spans="1:7" ht="18.75" x14ac:dyDescent="0.3">
      <c r="A12" s="3" t="s">
        <v>12</v>
      </c>
      <c r="B12" s="5">
        <v>1000</v>
      </c>
      <c r="D12" s="166">
        <v>0.4</v>
      </c>
      <c r="E12" s="166">
        <v>0.6</v>
      </c>
      <c r="F12" s="166">
        <v>210</v>
      </c>
      <c r="G12" s="5"/>
    </row>
    <row r="13" spans="1:7" ht="18.75" x14ac:dyDescent="0.3">
      <c r="A13" s="3" t="s">
        <v>14</v>
      </c>
      <c r="B13" s="5">
        <v>200</v>
      </c>
      <c r="D13" s="86">
        <f>B21*1.55/3800</f>
        <v>4.6445726051634768</v>
      </c>
      <c r="E13" s="86">
        <f>B21*1.75/4900</f>
        <v>4.0666764745670996</v>
      </c>
      <c r="F13" s="86">
        <f>B21*2.4/4900</f>
        <v>5.5771563079777362</v>
      </c>
      <c r="G13" s="5" t="s">
        <v>173</v>
      </c>
    </row>
    <row r="14" spans="1:7" ht="18.75" x14ac:dyDescent="0.3">
      <c r="A14" s="3" t="s">
        <v>15</v>
      </c>
      <c r="B14" s="5">
        <v>200</v>
      </c>
    </row>
    <row r="15" spans="1:7" ht="18.75" x14ac:dyDescent="0.3">
      <c r="A15" s="10" t="s">
        <v>180</v>
      </c>
      <c r="B15" s="5">
        <f>43000/220</f>
        <v>195.45454545454547</v>
      </c>
    </row>
    <row r="16" spans="1:7" ht="18.75" x14ac:dyDescent="0.3">
      <c r="A16" s="10" t="s">
        <v>221</v>
      </c>
      <c r="B16" s="5">
        <v>1000</v>
      </c>
    </row>
    <row r="17" spans="1:2" ht="18.75" x14ac:dyDescent="0.3">
      <c r="A17" s="3" t="s">
        <v>177</v>
      </c>
      <c r="B17" s="5">
        <f>28000/210</f>
        <v>133.33333333333334</v>
      </c>
    </row>
    <row r="18" spans="1:2" ht="18.75" x14ac:dyDescent="0.3">
      <c r="A18" s="3" t="s">
        <v>28</v>
      </c>
      <c r="B18" s="5">
        <v>100</v>
      </c>
    </row>
    <row r="19" spans="1:2" ht="18.75" x14ac:dyDescent="0.3">
      <c r="A19" s="3" t="s">
        <v>16</v>
      </c>
      <c r="B19" s="5">
        <v>350</v>
      </c>
    </row>
    <row r="20" spans="1:2" ht="19.5" thickBot="1" x14ac:dyDescent="0.35">
      <c r="A20" s="3" t="s">
        <v>18</v>
      </c>
      <c r="B20" s="46">
        <v>4000</v>
      </c>
    </row>
    <row r="21" spans="1:2" ht="18.75" x14ac:dyDescent="0.3">
      <c r="A21" s="3"/>
      <c r="B21" s="5">
        <f>SUM(B4:B20)</f>
        <v>11386.694128787878</v>
      </c>
    </row>
    <row r="22" spans="1:2" ht="18.75" x14ac:dyDescent="0.3">
      <c r="B22" s="41">
        <f>B21/F4</f>
        <v>2.9964984549441787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1"/>
  <sheetViews>
    <sheetView workbookViewId="0">
      <selection activeCell="B5" sqref="B5"/>
    </sheetView>
  </sheetViews>
  <sheetFormatPr baseColWidth="10" defaultRowHeight="15" x14ac:dyDescent="0.25"/>
  <cols>
    <col min="1" max="1" width="22.28515625" customWidth="1"/>
    <col min="2" max="2" width="16.42578125" customWidth="1"/>
    <col min="3" max="3" width="12" bestFit="1" customWidth="1"/>
    <col min="4" max="4" width="16.140625" customWidth="1"/>
    <col min="5" max="5" width="14.5703125" customWidth="1"/>
    <col min="6" max="6" width="16.140625" customWidth="1"/>
  </cols>
  <sheetData>
    <row r="1" spans="1:6" ht="33.75" x14ac:dyDescent="0.5">
      <c r="A1" s="861" t="s">
        <v>193</v>
      </c>
      <c r="B1" s="861"/>
      <c r="C1" s="83"/>
      <c r="D1" s="83"/>
      <c r="E1" s="83"/>
      <c r="F1" s="93"/>
    </row>
    <row r="2" spans="1:6" ht="28.5" x14ac:dyDescent="0.45">
      <c r="A2" s="15" t="s">
        <v>192</v>
      </c>
      <c r="B2" s="85"/>
      <c r="C2" s="83"/>
      <c r="D2" s="83"/>
      <c r="E2" s="83"/>
      <c r="F2" s="7">
        <v>3800</v>
      </c>
    </row>
    <row r="3" spans="1:6" ht="18.75" x14ac:dyDescent="0.25">
      <c r="A3" s="47" t="s">
        <v>9</v>
      </c>
      <c r="B3" s="143">
        <f>1*0.9/3</f>
        <v>0.3</v>
      </c>
      <c r="C3" s="83"/>
      <c r="D3" s="83"/>
      <c r="E3" s="83"/>
      <c r="F3" s="93"/>
    </row>
    <row r="4" spans="1:6" ht="18.75" x14ac:dyDescent="0.3">
      <c r="A4" s="3" t="s">
        <v>1</v>
      </c>
      <c r="B4" s="5">
        <f>300/F2</f>
        <v>7.8947368421052627E-2</v>
      </c>
      <c r="C4" s="83"/>
      <c r="D4" s="83"/>
      <c r="E4" s="83"/>
      <c r="F4" s="93"/>
    </row>
    <row r="5" spans="1:6" ht="18.75" x14ac:dyDescent="0.3">
      <c r="A5" s="3" t="s">
        <v>10</v>
      </c>
      <c r="B5" s="5">
        <f>1000/3800</f>
        <v>0.26315789473684209</v>
      </c>
      <c r="C5" s="83"/>
      <c r="D5" s="862" t="s">
        <v>228</v>
      </c>
      <c r="E5" s="862"/>
      <c r="F5" s="862"/>
    </row>
    <row r="6" spans="1:6" ht="18.75" x14ac:dyDescent="0.3">
      <c r="A6" s="3" t="s">
        <v>377</v>
      </c>
      <c r="B6" s="5">
        <f>2000/F2</f>
        <v>0.52631578947368418</v>
      </c>
      <c r="C6" s="83"/>
      <c r="D6" s="83"/>
      <c r="E6" s="83"/>
      <c r="F6" s="93"/>
    </row>
    <row r="7" spans="1:6" ht="18.75" x14ac:dyDescent="0.3">
      <c r="A7" s="3" t="s">
        <v>11</v>
      </c>
      <c r="B7" s="5">
        <f>700/2/F2</f>
        <v>9.2105263157894732E-2</v>
      </c>
      <c r="C7" s="83"/>
      <c r="D7" s="90" t="s">
        <v>22</v>
      </c>
      <c r="E7" s="90" t="s">
        <v>23</v>
      </c>
      <c r="F7" s="6" t="s">
        <v>24</v>
      </c>
    </row>
    <row r="8" spans="1:6" ht="18.75" x14ac:dyDescent="0.3">
      <c r="A8" s="3" t="s">
        <v>12</v>
      </c>
      <c r="B8" s="5">
        <f>1000/F2</f>
        <v>0.26315789473684209</v>
      </c>
      <c r="C8" s="83"/>
      <c r="D8" s="90">
        <f>D13</f>
        <v>3.4631578947368413</v>
      </c>
      <c r="E8" s="90">
        <f>E13</f>
        <v>3.9578947368421051</v>
      </c>
      <c r="F8" s="6">
        <f>F13</f>
        <v>4.9226315789473674</v>
      </c>
    </row>
    <row r="9" spans="1:6" ht="21" x14ac:dyDescent="0.35">
      <c r="A9" s="3" t="s">
        <v>14</v>
      </c>
      <c r="B9" s="5">
        <v>0</v>
      </c>
      <c r="C9" s="83"/>
      <c r="D9" s="92"/>
      <c r="E9" s="92"/>
      <c r="F9" s="7"/>
    </row>
    <row r="10" spans="1:6" ht="18.75" x14ac:dyDescent="0.3">
      <c r="A10" s="3" t="s">
        <v>229</v>
      </c>
      <c r="B10" s="5">
        <f>160/F2</f>
        <v>4.2105263157894736E-2</v>
      </c>
      <c r="C10" s="83"/>
    </row>
    <row r="11" spans="1:6" ht="18.75" x14ac:dyDescent="0.3">
      <c r="A11" s="10" t="s">
        <v>191</v>
      </c>
      <c r="B11" s="5">
        <f>800/F2</f>
        <v>0.21052631578947367</v>
      </c>
      <c r="C11" s="83"/>
    </row>
    <row r="12" spans="1:6" ht="18.75" x14ac:dyDescent="0.3">
      <c r="A12" s="3" t="s">
        <v>230</v>
      </c>
      <c r="B12" s="5">
        <f>300/F2</f>
        <v>7.8947368421052627E-2</v>
      </c>
      <c r="C12" s="83"/>
      <c r="D12" s="147">
        <v>0.4</v>
      </c>
      <c r="E12" s="147">
        <v>0.6</v>
      </c>
      <c r="F12" s="147">
        <v>0.9</v>
      </c>
    </row>
    <row r="13" spans="1:6" ht="18.75" x14ac:dyDescent="0.3">
      <c r="A13" s="3" t="s">
        <v>16</v>
      </c>
      <c r="B13" s="5">
        <f>350/F2</f>
        <v>9.2105263157894732E-2</v>
      </c>
      <c r="C13" s="83"/>
      <c r="D13" s="86">
        <f>B15*1.4</f>
        <v>3.4631578947368413</v>
      </c>
      <c r="E13" s="86">
        <f>B15*1.6</f>
        <v>3.9578947368421051</v>
      </c>
      <c r="F13" s="86">
        <f>B15*1.99</f>
        <v>4.9226315789473674</v>
      </c>
    </row>
    <row r="14" spans="1:6" ht="19.5" thickBot="1" x14ac:dyDescent="0.35">
      <c r="A14" s="3" t="s">
        <v>18</v>
      </c>
      <c r="B14" s="46">
        <f>2000/F2</f>
        <v>0.52631578947368418</v>
      </c>
      <c r="F14" s="5"/>
    </row>
    <row r="15" spans="1:6" ht="18.75" x14ac:dyDescent="0.3">
      <c r="A15" s="3"/>
      <c r="B15" s="86">
        <f>SUM(B3:B14)</f>
        <v>2.4736842105263155</v>
      </c>
      <c r="F15" s="5"/>
    </row>
    <row r="16" spans="1:6" x14ac:dyDescent="0.25">
      <c r="B16" s="84"/>
    </row>
    <row r="17" spans="1:5" ht="33.75" x14ac:dyDescent="0.5">
      <c r="A17" s="861" t="s">
        <v>193</v>
      </c>
      <c r="B17" s="861"/>
    </row>
    <row r="18" spans="1:5" ht="28.5" x14ac:dyDescent="0.45">
      <c r="A18" s="15" t="s">
        <v>192</v>
      </c>
      <c r="B18" s="85"/>
    </row>
    <row r="19" spans="1:5" ht="18.75" x14ac:dyDescent="0.25">
      <c r="A19" s="47" t="s">
        <v>9</v>
      </c>
      <c r="B19" s="143">
        <v>100</v>
      </c>
    </row>
    <row r="20" spans="1:5" ht="18.75" x14ac:dyDescent="0.3">
      <c r="A20" s="3" t="s">
        <v>495</v>
      </c>
      <c r="B20" s="5">
        <v>10</v>
      </c>
      <c r="D20" s="696" t="s">
        <v>499</v>
      </c>
    </row>
    <row r="21" spans="1:5" ht="18.75" x14ac:dyDescent="0.3">
      <c r="A21" s="10" t="s">
        <v>191</v>
      </c>
      <c r="B21" s="5">
        <v>90</v>
      </c>
      <c r="D21" t="s">
        <v>500</v>
      </c>
      <c r="E21">
        <v>150</v>
      </c>
    </row>
    <row r="22" spans="1:5" ht="18.75" x14ac:dyDescent="0.3">
      <c r="A22" s="10" t="s">
        <v>496</v>
      </c>
      <c r="B22" s="5">
        <f>23*30000/3800</f>
        <v>181.57894736842104</v>
      </c>
      <c r="D22" t="s">
        <v>501</v>
      </c>
      <c r="E22" s="2">
        <f>B26+B27+B28</f>
        <v>92.368421052631589</v>
      </c>
    </row>
    <row r="23" spans="1:5" ht="18.75" x14ac:dyDescent="0.3">
      <c r="A23" s="3" t="s">
        <v>377</v>
      </c>
      <c r="B23" s="5">
        <v>40</v>
      </c>
      <c r="D23" t="s">
        <v>494</v>
      </c>
      <c r="E23">
        <v>50</v>
      </c>
    </row>
    <row r="24" spans="1:5" ht="18.75" x14ac:dyDescent="0.3">
      <c r="A24" s="3" t="s">
        <v>16</v>
      </c>
      <c r="B24" s="5">
        <v>20</v>
      </c>
    </row>
    <row r="25" spans="1:5" ht="18.75" x14ac:dyDescent="0.3">
      <c r="A25" s="3" t="s">
        <v>10</v>
      </c>
      <c r="B25" s="5">
        <f>150</f>
        <v>150</v>
      </c>
    </row>
    <row r="26" spans="1:5" ht="18.75" x14ac:dyDescent="0.3">
      <c r="A26" s="3" t="s">
        <v>1</v>
      </c>
      <c r="B26" s="5">
        <f>200*900/3800</f>
        <v>47.368421052631582</v>
      </c>
    </row>
    <row r="27" spans="1:5" ht="18.75" x14ac:dyDescent="0.3">
      <c r="A27" s="3" t="s">
        <v>11</v>
      </c>
      <c r="B27" s="5">
        <f>90*900/3800</f>
        <v>21.315789473684209</v>
      </c>
      <c r="E27" s="84"/>
    </row>
    <row r="28" spans="1:5" ht="18.75" x14ac:dyDescent="0.3">
      <c r="A28" s="10" t="s">
        <v>497</v>
      </c>
      <c r="B28" s="5">
        <f>100*900/3800</f>
        <v>23.684210526315791</v>
      </c>
      <c r="C28" s="3"/>
      <c r="D28" s="5"/>
    </row>
    <row r="29" spans="1:5" ht="18.75" x14ac:dyDescent="0.3">
      <c r="A29" s="10" t="s">
        <v>498</v>
      </c>
      <c r="B29" s="5">
        <f>200*900/3800</f>
        <v>47.368421052631582</v>
      </c>
    </row>
    <row r="30" spans="1:5" ht="19.5" thickBot="1" x14ac:dyDescent="0.35">
      <c r="A30" s="3" t="s">
        <v>18</v>
      </c>
      <c r="B30" s="46">
        <v>0</v>
      </c>
    </row>
    <row r="31" spans="1:5" ht="18.75" x14ac:dyDescent="0.3">
      <c r="A31" s="3"/>
      <c r="B31" s="86">
        <f>SUM(B19:B30)</f>
        <v>731.31578947368416</v>
      </c>
    </row>
  </sheetData>
  <mergeCells count="3">
    <mergeCell ref="A1:B1"/>
    <mergeCell ref="D5:F5"/>
    <mergeCell ref="A17:B17"/>
  </mergeCells>
  <pageMargins left="0.7" right="0.7" top="0.75" bottom="0.75" header="0.3" footer="0.3"/>
  <pageSetup paperSize="9" orientation="portrait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O66"/>
  <sheetViews>
    <sheetView topLeftCell="B25" zoomScale="70" zoomScaleNormal="70" workbookViewId="0">
      <selection activeCell="C24" sqref="C24"/>
    </sheetView>
  </sheetViews>
  <sheetFormatPr baseColWidth="10" defaultRowHeight="15" x14ac:dyDescent="0.25"/>
  <cols>
    <col min="1" max="1" width="32.5703125" bestFit="1" customWidth="1"/>
    <col min="2" max="2" width="20.140625" style="2" customWidth="1"/>
    <col min="3" max="3" width="18.42578125" customWidth="1"/>
    <col min="4" max="4" width="17.5703125" customWidth="1"/>
    <col min="5" max="5" width="16.7109375" customWidth="1"/>
    <col min="6" max="6" width="20.5703125" customWidth="1"/>
    <col min="9" max="9" width="31.7109375" customWidth="1"/>
    <col min="10" max="10" width="19.140625" style="2" customWidth="1"/>
    <col min="11" max="11" width="19.5703125" customWidth="1"/>
    <col min="12" max="12" width="15.28515625" customWidth="1"/>
    <col min="13" max="13" width="19" customWidth="1"/>
    <col min="14" max="14" width="21.85546875" customWidth="1"/>
  </cols>
  <sheetData>
    <row r="2" spans="1:15" ht="36" x14ac:dyDescent="0.55000000000000004">
      <c r="A2" s="1032" t="s">
        <v>182</v>
      </c>
      <c r="B2" s="1032"/>
      <c r="C2" s="1032"/>
      <c r="D2" s="1032"/>
      <c r="E2" s="1032"/>
      <c r="F2" s="1032"/>
      <c r="G2" s="1032"/>
      <c r="H2" s="146"/>
      <c r="I2" s="1032" t="s">
        <v>182</v>
      </c>
      <c r="J2" s="1032"/>
      <c r="K2" s="1032"/>
      <c r="L2" s="1032"/>
      <c r="M2" s="1032"/>
      <c r="N2" s="1032"/>
      <c r="O2" s="1032"/>
    </row>
    <row r="3" spans="1:15" ht="36" x14ac:dyDescent="0.55000000000000004">
      <c r="A3" s="1032" t="s">
        <v>181</v>
      </c>
      <c r="B3" s="1032"/>
      <c r="C3" s="149"/>
      <c r="D3" s="149" t="s">
        <v>52</v>
      </c>
      <c r="E3" s="149"/>
      <c r="F3" s="149">
        <v>3800</v>
      </c>
      <c r="G3" s="148" t="s">
        <v>61</v>
      </c>
      <c r="H3" s="148"/>
      <c r="I3" s="1032" t="s">
        <v>181</v>
      </c>
      <c r="J3" s="1032"/>
      <c r="K3" s="149"/>
      <c r="L3" s="149" t="s">
        <v>52</v>
      </c>
      <c r="M3" s="149"/>
      <c r="N3" s="149">
        <v>3800</v>
      </c>
      <c r="O3" s="147" t="s">
        <v>61</v>
      </c>
    </row>
    <row r="4" spans="1:15" ht="31.5" x14ac:dyDescent="0.35">
      <c r="A4" s="938" t="s">
        <v>25</v>
      </c>
      <c r="B4" s="938"/>
      <c r="C4" s="75"/>
      <c r="D4" s="75"/>
      <c r="E4" s="75"/>
      <c r="F4" s="75"/>
      <c r="G4" s="20"/>
      <c r="H4" s="20"/>
      <c r="I4" s="938" t="s">
        <v>115</v>
      </c>
      <c r="J4" s="938"/>
      <c r="K4" s="75"/>
      <c r="L4" s="75"/>
      <c r="M4" s="75"/>
      <c r="N4" s="82">
        <v>3800</v>
      </c>
      <c r="O4" s="75"/>
    </row>
    <row r="5" spans="1:15" ht="23.25" x14ac:dyDescent="0.35">
      <c r="A5" s="20" t="s">
        <v>9</v>
      </c>
      <c r="B5" s="23">
        <f>0.8*3.5*F3</f>
        <v>10640.000000000002</v>
      </c>
      <c r="C5" s="75"/>
      <c r="D5" s="75"/>
      <c r="E5" s="75"/>
      <c r="F5" s="75"/>
      <c r="G5" s="20"/>
      <c r="H5" s="20"/>
      <c r="I5" s="20" t="s">
        <v>9</v>
      </c>
      <c r="J5" s="23">
        <f>0.9*5*N3</f>
        <v>17100</v>
      </c>
      <c r="K5" s="75"/>
      <c r="L5" s="75"/>
      <c r="M5" s="75"/>
      <c r="N5" s="75"/>
      <c r="O5" s="75"/>
    </row>
    <row r="6" spans="1:15" ht="23.25" x14ac:dyDescent="0.35">
      <c r="A6" s="20" t="s">
        <v>185</v>
      </c>
      <c r="B6" s="23">
        <v>0</v>
      </c>
      <c r="C6" s="75"/>
      <c r="D6" s="75"/>
      <c r="E6" s="75"/>
      <c r="F6" s="75"/>
      <c r="G6" s="20"/>
      <c r="H6" s="20"/>
      <c r="I6" s="20" t="s">
        <v>185</v>
      </c>
      <c r="J6" s="23">
        <v>3500</v>
      </c>
      <c r="K6" s="75"/>
      <c r="L6" s="75"/>
      <c r="M6" s="75"/>
      <c r="N6" s="75"/>
      <c r="O6" s="75"/>
    </row>
    <row r="7" spans="1:15" ht="23.25" x14ac:dyDescent="0.35">
      <c r="A7" s="20" t="s">
        <v>187</v>
      </c>
      <c r="B7" s="23">
        <v>1000</v>
      </c>
      <c r="C7" s="75"/>
      <c r="D7" s="75"/>
      <c r="E7" s="75"/>
      <c r="F7" s="75"/>
      <c r="G7" s="20"/>
      <c r="H7" s="20"/>
      <c r="I7" s="20" t="s">
        <v>187</v>
      </c>
      <c r="J7" s="23">
        <v>2000</v>
      </c>
      <c r="K7" s="75"/>
      <c r="L7" s="75"/>
      <c r="M7" s="75"/>
      <c r="N7" s="75"/>
      <c r="O7" s="75"/>
    </row>
    <row r="8" spans="1:15" ht="23.25" x14ac:dyDescent="0.35">
      <c r="A8" s="20" t="s">
        <v>58</v>
      </c>
      <c r="B8" s="23">
        <v>3000</v>
      </c>
      <c r="C8" s="75"/>
      <c r="D8" s="75"/>
      <c r="E8" s="75"/>
      <c r="F8" s="75"/>
      <c r="G8" s="20"/>
      <c r="H8" s="20"/>
      <c r="I8" s="20" t="s">
        <v>58</v>
      </c>
      <c r="J8" s="23">
        <v>6000</v>
      </c>
      <c r="K8" s="75"/>
      <c r="L8" s="75"/>
      <c r="M8" s="75"/>
      <c r="N8" s="75"/>
      <c r="O8" s="75"/>
    </row>
    <row r="9" spans="1:15" ht="23.25" x14ac:dyDescent="0.35">
      <c r="A9" s="20" t="s">
        <v>1</v>
      </c>
      <c r="B9" s="23">
        <v>1000</v>
      </c>
      <c r="C9" s="75"/>
      <c r="D9" s="940" t="s">
        <v>329</v>
      </c>
      <c r="E9" s="940"/>
      <c r="F9" s="940"/>
      <c r="G9" s="20"/>
      <c r="H9" s="20"/>
      <c r="I9" s="20" t="s">
        <v>1</v>
      </c>
      <c r="J9" s="23">
        <v>1000</v>
      </c>
      <c r="K9" s="75"/>
      <c r="L9" s="940" t="s">
        <v>266</v>
      </c>
      <c r="M9" s="940"/>
      <c r="N9" s="940"/>
      <c r="O9" s="75"/>
    </row>
    <row r="10" spans="1:15" ht="23.25" x14ac:dyDescent="0.35">
      <c r="A10" s="20" t="s">
        <v>10</v>
      </c>
      <c r="B10" s="23">
        <v>4500</v>
      </c>
      <c r="C10" s="75"/>
      <c r="D10" s="77" t="s">
        <v>22</v>
      </c>
      <c r="E10" s="77" t="s">
        <v>23</v>
      </c>
      <c r="F10" s="77" t="s">
        <v>24</v>
      </c>
      <c r="G10" s="21"/>
      <c r="H10" s="21"/>
      <c r="I10" s="20" t="s">
        <v>10</v>
      </c>
      <c r="J10" s="23">
        <v>4500</v>
      </c>
      <c r="K10" s="75"/>
      <c r="L10" s="77" t="s">
        <v>22</v>
      </c>
      <c r="M10" s="77" t="s">
        <v>23</v>
      </c>
      <c r="N10" s="77" t="s">
        <v>24</v>
      </c>
      <c r="O10" s="76"/>
    </row>
    <row r="11" spans="1:15" ht="23.25" x14ac:dyDescent="0.35">
      <c r="A11" s="20" t="s">
        <v>11</v>
      </c>
      <c r="B11" s="23">
        <v>1000</v>
      </c>
      <c r="C11" s="75"/>
      <c r="D11" s="77">
        <f>D15</f>
        <v>10.088947368421053</v>
      </c>
      <c r="E11" s="77">
        <f>E15</f>
        <v>12.176315789473684</v>
      </c>
      <c r="F11" s="77">
        <f>F15</f>
        <v>13.846210526315788</v>
      </c>
      <c r="G11" s="21"/>
      <c r="H11" s="21"/>
      <c r="I11" s="20" t="s">
        <v>11</v>
      </c>
      <c r="J11" s="23">
        <v>2000</v>
      </c>
      <c r="K11" s="75"/>
      <c r="L11" s="77">
        <f>L15</f>
        <v>15.682894736842105</v>
      </c>
      <c r="M11" s="77">
        <f>M15</f>
        <v>17.846052631578946</v>
      </c>
      <c r="N11" s="77">
        <f>N15</f>
        <v>21.52342105263158</v>
      </c>
      <c r="O11" s="76"/>
    </row>
    <row r="12" spans="1:15" ht="23.25" x14ac:dyDescent="0.35">
      <c r="A12" s="20" t="s">
        <v>27</v>
      </c>
      <c r="B12" s="23">
        <v>200</v>
      </c>
      <c r="C12" s="75"/>
      <c r="D12" s="76"/>
      <c r="E12" s="76"/>
      <c r="F12" s="76"/>
      <c r="G12" s="21"/>
      <c r="H12" s="21"/>
      <c r="I12" s="20" t="s">
        <v>27</v>
      </c>
      <c r="J12" s="23">
        <v>200</v>
      </c>
      <c r="K12" s="75"/>
      <c r="L12" s="76"/>
      <c r="M12" s="76"/>
      <c r="N12" s="76"/>
      <c r="O12" s="76"/>
    </row>
    <row r="13" spans="1:15" ht="23.25" x14ac:dyDescent="0.35">
      <c r="A13" s="20" t="s">
        <v>28</v>
      </c>
      <c r="B13" s="23">
        <v>100</v>
      </c>
      <c r="C13" s="75"/>
      <c r="D13" s="75"/>
      <c r="E13" s="940" t="s">
        <v>21</v>
      </c>
      <c r="F13" s="940"/>
      <c r="G13" s="20"/>
      <c r="H13" s="20"/>
      <c r="I13" s="20" t="s">
        <v>28</v>
      </c>
      <c r="J13" s="23">
        <v>100</v>
      </c>
      <c r="K13" s="75"/>
      <c r="L13" s="75"/>
      <c r="M13" s="940" t="s">
        <v>21</v>
      </c>
      <c r="N13" s="940"/>
      <c r="O13" s="75"/>
    </row>
    <row r="14" spans="1:15" ht="23.25" x14ac:dyDescent="0.35">
      <c r="A14" s="20" t="s">
        <v>106</v>
      </c>
      <c r="B14" s="23">
        <v>750</v>
      </c>
      <c r="C14" s="75"/>
      <c r="D14" s="145">
        <v>0.4</v>
      </c>
      <c r="E14" s="145">
        <v>0.55000000000000004</v>
      </c>
      <c r="F14" s="145">
        <v>0.85</v>
      </c>
      <c r="G14" s="20"/>
      <c r="H14" s="20"/>
      <c r="I14" s="20" t="s">
        <v>106</v>
      </c>
      <c r="J14" s="23">
        <v>750</v>
      </c>
      <c r="K14" s="75"/>
      <c r="L14" s="145">
        <v>0.4</v>
      </c>
      <c r="M14" s="145">
        <v>0.55000000000000004</v>
      </c>
      <c r="N14" s="145">
        <v>0.85</v>
      </c>
      <c r="O14" s="75"/>
    </row>
    <row r="15" spans="1:15" ht="23.25" x14ac:dyDescent="0.35">
      <c r="A15" s="20" t="s">
        <v>16</v>
      </c>
      <c r="B15" s="23">
        <v>250</v>
      </c>
      <c r="C15" s="75"/>
      <c r="D15" s="76">
        <f>B17*1.45</f>
        <v>10.088947368421053</v>
      </c>
      <c r="E15" s="76">
        <f>B17*1.75</f>
        <v>12.176315789473684</v>
      </c>
      <c r="F15" s="76">
        <f>B17*1.99</f>
        <v>13.846210526315788</v>
      </c>
      <c r="G15" s="20"/>
      <c r="H15" s="20"/>
      <c r="I15" s="20" t="s">
        <v>16</v>
      </c>
      <c r="J15" s="23">
        <v>250</v>
      </c>
      <c r="K15" s="75"/>
      <c r="L15" s="76">
        <f>J17*1.45</f>
        <v>15.682894736842105</v>
      </c>
      <c r="M15" s="76">
        <f>J17*1.65</f>
        <v>17.846052631578946</v>
      </c>
      <c r="N15" s="76">
        <f>J17*1.99</f>
        <v>21.52342105263158</v>
      </c>
      <c r="O15" s="75"/>
    </row>
    <row r="16" spans="1:15" ht="24" thickBot="1" x14ac:dyDescent="0.4">
      <c r="A16" s="20" t="s">
        <v>18</v>
      </c>
      <c r="B16" s="116">
        <v>4000</v>
      </c>
      <c r="C16" s="75"/>
      <c r="D16" s="75"/>
      <c r="E16" s="75"/>
      <c r="F16" s="75"/>
      <c r="G16" s="20"/>
      <c r="H16" s="20"/>
      <c r="I16" s="20" t="s">
        <v>18</v>
      </c>
      <c r="J16" s="116">
        <v>3700</v>
      </c>
      <c r="K16" s="75"/>
      <c r="L16" s="75"/>
      <c r="M16" s="75"/>
      <c r="N16" s="75"/>
      <c r="O16" s="75"/>
    </row>
    <row r="17" spans="1:15" ht="23.25" x14ac:dyDescent="0.35">
      <c r="A17" s="20"/>
      <c r="B17" s="23">
        <f>SUM(B5:B16)/F3</f>
        <v>6.9578947368421051</v>
      </c>
      <c r="F17" s="75"/>
      <c r="G17" s="20"/>
      <c r="H17" s="20"/>
      <c r="I17" s="20"/>
      <c r="J17" s="23">
        <f>SUM(J5:J16)/F3</f>
        <v>10.815789473684211</v>
      </c>
      <c r="N17" s="75"/>
      <c r="O17" s="75"/>
    </row>
    <row r="18" spans="1:15" ht="23.25" x14ac:dyDescent="0.35">
      <c r="A18" s="20"/>
      <c r="B18" s="114"/>
      <c r="F18" s="76"/>
      <c r="G18" s="20"/>
      <c r="H18" s="20"/>
      <c r="I18" s="20"/>
      <c r="J18" s="114"/>
      <c r="N18" s="76"/>
      <c r="O18" s="75"/>
    </row>
    <row r="19" spans="1:15" ht="36" x14ac:dyDescent="0.55000000000000004">
      <c r="A19" s="1032" t="s">
        <v>183</v>
      </c>
      <c r="B19" s="1032"/>
      <c r="C19" s="1032"/>
      <c r="D19" s="1032"/>
      <c r="E19" s="1032"/>
      <c r="F19" s="1032"/>
      <c r="G19" s="1032"/>
      <c r="H19" s="146"/>
      <c r="I19" s="1032" t="s">
        <v>183</v>
      </c>
      <c r="J19" s="1032"/>
      <c r="K19" s="1032"/>
      <c r="L19" s="1032"/>
      <c r="M19" s="1032"/>
      <c r="N19" s="1032"/>
      <c r="O19" s="1032"/>
    </row>
    <row r="20" spans="1:15" ht="36" x14ac:dyDescent="0.55000000000000004">
      <c r="A20" s="1032" t="s">
        <v>181</v>
      </c>
      <c r="B20" s="1032"/>
      <c r="C20" s="149"/>
      <c r="D20" s="149" t="s">
        <v>52</v>
      </c>
      <c r="E20" s="149"/>
      <c r="F20" s="149">
        <v>3800</v>
      </c>
      <c r="G20" s="148" t="s">
        <v>61</v>
      </c>
      <c r="H20" s="148"/>
      <c r="I20" s="1032" t="s">
        <v>181</v>
      </c>
      <c r="J20" s="1032"/>
      <c r="K20" s="149"/>
      <c r="L20" s="149" t="s">
        <v>52</v>
      </c>
      <c r="M20" s="149"/>
      <c r="N20" s="149">
        <v>3800</v>
      </c>
      <c r="O20" s="147" t="s">
        <v>61</v>
      </c>
    </row>
    <row r="21" spans="1:15" ht="31.5" x14ac:dyDescent="0.45">
      <c r="A21" s="941" t="s">
        <v>25</v>
      </c>
      <c r="B21" s="941"/>
      <c r="C21" s="75"/>
      <c r="D21" s="75"/>
      <c r="E21" s="75"/>
      <c r="F21" s="75"/>
      <c r="G21" s="20"/>
      <c r="H21" s="20"/>
      <c r="I21" s="941" t="s">
        <v>115</v>
      </c>
      <c r="J21" s="941"/>
      <c r="K21" s="75"/>
      <c r="L21" s="75"/>
      <c r="M21" s="75"/>
      <c r="N21" s="82">
        <v>3800</v>
      </c>
      <c r="O21" s="75"/>
    </row>
    <row r="22" spans="1:15" ht="23.25" x14ac:dyDescent="0.35">
      <c r="A22" s="20" t="s">
        <v>9</v>
      </c>
      <c r="B22" s="23">
        <f>0.9*4*F20</f>
        <v>13680</v>
      </c>
      <c r="C22" s="75"/>
      <c r="D22" s="75"/>
      <c r="E22" s="75"/>
      <c r="F22" s="75"/>
      <c r="G22" s="20"/>
      <c r="H22" s="20"/>
      <c r="I22" s="20" t="s">
        <v>9</v>
      </c>
      <c r="J22" s="23">
        <f>0.6*4.5*N20</f>
        <v>10259.999999999998</v>
      </c>
      <c r="K22" s="75"/>
      <c r="L22" s="75"/>
      <c r="M22" s="75"/>
      <c r="N22" s="75"/>
      <c r="O22" s="75"/>
    </row>
    <row r="23" spans="1:15" ht="23.25" x14ac:dyDescent="0.35">
      <c r="A23" s="20" t="s">
        <v>185</v>
      </c>
      <c r="B23" s="23">
        <v>3000</v>
      </c>
      <c r="C23" s="75"/>
      <c r="D23" s="75"/>
      <c r="E23" s="75"/>
      <c r="F23" s="75"/>
      <c r="G23" s="20"/>
      <c r="H23" s="20"/>
      <c r="I23" s="20" t="s">
        <v>185</v>
      </c>
      <c r="J23" s="23">
        <v>3500</v>
      </c>
      <c r="K23" s="75"/>
      <c r="L23" s="75"/>
      <c r="M23" s="75"/>
      <c r="N23" s="75"/>
      <c r="O23" s="75"/>
    </row>
    <row r="24" spans="1:15" ht="23.25" x14ac:dyDescent="0.35">
      <c r="A24" s="20" t="s">
        <v>187</v>
      </c>
      <c r="B24" s="23">
        <v>1000</v>
      </c>
      <c r="C24" s="75"/>
      <c r="D24" s="75"/>
      <c r="E24" s="75"/>
      <c r="F24" s="75"/>
      <c r="G24" s="20"/>
      <c r="H24" s="20"/>
      <c r="I24" s="20" t="s">
        <v>187</v>
      </c>
      <c r="J24" s="23">
        <v>1000</v>
      </c>
      <c r="K24" s="75"/>
      <c r="L24" s="75"/>
      <c r="M24" s="75"/>
      <c r="N24" s="75"/>
      <c r="O24" s="75"/>
    </row>
    <row r="25" spans="1:15" ht="23.25" x14ac:dyDescent="0.35">
      <c r="A25" s="20" t="s">
        <v>186</v>
      </c>
      <c r="B25" s="23">
        <v>0</v>
      </c>
      <c r="C25" s="75"/>
      <c r="D25" s="75"/>
      <c r="E25" s="75"/>
      <c r="F25" s="75"/>
      <c r="G25" s="20"/>
      <c r="H25" s="20"/>
      <c r="I25" s="20" t="s">
        <v>186</v>
      </c>
      <c r="J25" s="23">
        <v>10000</v>
      </c>
      <c r="K25" s="75"/>
      <c r="L25" s="75"/>
      <c r="M25" s="75"/>
      <c r="N25" s="75"/>
      <c r="O25" s="75"/>
    </row>
    <row r="26" spans="1:15" ht="23.25" x14ac:dyDescent="0.35">
      <c r="A26" s="20" t="s">
        <v>1</v>
      </c>
      <c r="B26" s="23">
        <v>700</v>
      </c>
      <c r="C26" s="75"/>
      <c r="D26" s="940" t="s">
        <v>266</v>
      </c>
      <c r="E26" s="940"/>
      <c r="F26" s="940"/>
      <c r="G26" s="20"/>
      <c r="H26" s="20"/>
      <c r="I26" s="20" t="s">
        <v>1</v>
      </c>
      <c r="J26" s="23">
        <v>1000</v>
      </c>
      <c r="K26" s="75"/>
      <c r="L26" s="940" t="s">
        <v>266</v>
      </c>
      <c r="M26" s="940"/>
      <c r="N26" s="940"/>
      <c r="O26" s="75"/>
    </row>
    <row r="27" spans="1:15" ht="23.25" x14ac:dyDescent="0.35">
      <c r="A27" s="20" t="s">
        <v>10</v>
      </c>
      <c r="B27" s="23">
        <v>4000</v>
      </c>
      <c r="C27" s="75"/>
      <c r="D27" s="77" t="s">
        <v>22</v>
      </c>
      <c r="E27" s="77" t="s">
        <v>23</v>
      </c>
      <c r="F27" s="77" t="s">
        <v>24</v>
      </c>
      <c r="G27" s="21"/>
      <c r="H27" s="21"/>
      <c r="I27" s="20" t="s">
        <v>10</v>
      </c>
      <c r="J27" s="23">
        <v>4500</v>
      </c>
      <c r="K27" s="75"/>
      <c r="L27" s="77" t="s">
        <v>22</v>
      </c>
      <c r="M27" s="77" t="s">
        <v>23</v>
      </c>
      <c r="N27" s="77" t="s">
        <v>24</v>
      </c>
      <c r="O27" s="76"/>
    </row>
    <row r="28" spans="1:15" ht="23.25" x14ac:dyDescent="0.35">
      <c r="A28" s="20" t="s">
        <v>11</v>
      </c>
      <c r="B28" s="23">
        <v>0</v>
      </c>
      <c r="C28" s="75"/>
      <c r="D28" s="77">
        <f>D33</f>
        <v>9.5317105263157913</v>
      </c>
      <c r="E28" s="77">
        <f>E33</f>
        <v>10.237763157894737</v>
      </c>
      <c r="F28" s="77">
        <f>F33</f>
        <v>14.050447368421054</v>
      </c>
      <c r="G28" s="21"/>
      <c r="H28" s="21"/>
      <c r="I28" s="20" t="s">
        <v>11</v>
      </c>
      <c r="J28" s="23">
        <v>1000</v>
      </c>
      <c r="K28" s="75"/>
      <c r="L28" s="77">
        <f>L32</f>
        <v>13.950526315789475</v>
      </c>
      <c r="M28" s="77">
        <f>M32</f>
        <v>16.836842105263159</v>
      </c>
      <c r="N28" s="77">
        <f>N32</f>
        <v>19.145894736842106</v>
      </c>
      <c r="O28" s="76"/>
    </row>
    <row r="29" spans="1:15" ht="23.25" x14ac:dyDescent="0.35">
      <c r="A29" s="20" t="s">
        <v>27</v>
      </c>
      <c r="B29" s="23">
        <v>0</v>
      </c>
      <c r="C29" s="75"/>
      <c r="D29" s="76"/>
      <c r="E29" s="76"/>
      <c r="F29" s="76"/>
      <c r="G29" s="21"/>
      <c r="H29" s="21"/>
      <c r="I29" s="20" t="s">
        <v>27</v>
      </c>
      <c r="J29" s="23">
        <v>200</v>
      </c>
      <c r="K29" s="75"/>
      <c r="L29" s="76"/>
      <c r="M29" s="76"/>
      <c r="N29" s="76"/>
      <c r="O29" s="76"/>
    </row>
    <row r="30" spans="1:15" ht="23.25" x14ac:dyDescent="0.35">
      <c r="A30" s="20" t="s">
        <v>28</v>
      </c>
      <c r="B30" s="23">
        <v>100</v>
      </c>
      <c r="C30" s="75"/>
      <c r="D30" s="75"/>
      <c r="E30" s="75"/>
      <c r="F30" s="75"/>
      <c r="G30" s="20"/>
      <c r="H30" s="20"/>
      <c r="I30" s="20" t="s">
        <v>28</v>
      </c>
      <c r="J30" s="23">
        <v>100</v>
      </c>
      <c r="K30" s="75"/>
      <c r="L30" s="75"/>
      <c r="M30" s="940" t="s">
        <v>21</v>
      </c>
      <c r="N30" s="940"/>
      <c r="O30" s="75"/>
    </row>
    <row r="31" spans="1:15" ht="23.25" x14ac:dyDescent="0.35">
      <c r="A31" s="20" t="s">
        <v>106</v>
      </c>
      <c r="B31" s="23">
        <v>0</v>
      </c>
      <c r="C31" s="75"/>
      <c r="D31" s="75"/>
      <c r="E31" s="940" t="s">
        <v>21</v>
      </c>
      <c r="F31" s="940"/>
      <c r="G31" s="20"/>
      <c r="H31" s="20"/>
      <c r="I31" s="20" t="s">
        <v>106</v>
      </c>
      <c r="J31" s="23">
        <v>750</v>
      </c>
      <c r="K31" s="75"/>
      <c r="L31" s="145">
        <v>0.4</v>
      </c>
      <c r="M31" s="145">
        <v>0.55000000000000004</v>
      </c>
      <c r="N31" s="145">
        <v>0.85</v>
      </c>
      <c r="O31" s="75"/>
    </row>
    <row r="32" spans="1:15" ht="23.25" x14ac:dyDescent="0.35">
      <c r="A32" s="20" t="s">
        <v>16</v>
      </c>
      <c r="B32" s="23">
        <v>350</v>
      </c>
      <c r="C32" s="75"/>
      <c r="D32" s="145">
        <v>0.4</v>
      </c>
      <c r="E32" s="145">
        <v>0.55000000000000004</v>
      </c>
      <c r="F32" s="145">
        <v>0.85</v>
      </c>
      <c r="G32" s="20"/>
      <c r="H32" s="20"/>
      <c r="I32" s="20" t="s">
        <v>16</v>
      </c>
      <c r="J32" s="23">
        <v>250</v>
      </c>
      <c r="K32" s="75"/>
      <c r="L32" s="76">
        <f>J34*1.45</f>
        <v>13.950526315789475</v>
      </c>
      <c r="M32" s="76">
        <f>J34*1.75</f>
        <v>16.836842105263159</v>
      </c>
      <c r="N32" s="76">
        <f>J34*1.99</f>
        <v>19.145894736842106</v>
      </c>
      <c r="O32" s="75"/>
    </row>
    <row r="33" spans="1:15" ht="24" thickBot="1" x14ac:dyDescent="0.4">
      <c r="A33" s="20" t="s">
        <v>18</v>
      </c>
      <c r="B33" s="116">
        <v>4000</v>
      </c>
      <c r="C33" s="75"/>
      <c r="D33" s="76">
        <f>B34*1.35</f>
        <v>9.5317105263157913</v>
      </c>
      <c r="E33" s="76">
        <f>B34*1.45</f>
        <v>10.237763157894737</v>
      </c>
      <c r="F33" s="76">
        <f>B34*1.99</f>
        <v>14.050447368421054</v>
      </c>
      <c r="G33" s="20"/>
      <c r="H33" s="20"/>
      <c r="I33" s="20" t="s">
        <v>18</v>
      </c>
      <c r="J33" s="116">
        <v>4000</v>
      </c>
      <c r="K33" s="75"/>
      <c r="L33" s="75"/>
      <c r="M33" s="75"/>
      <c r="N33" s="75"/>
      <c r="O33" s="75"/>
    </row>
    <row r="34" spans="1:15" ht="23.25" x14ac:dyDescent="0.35">
      <c r="A34" s="20"/>
      <c r="B34" s="23">
        <f>SUM(B22:B33)/F20</f>
        <v>7.060526315789474</v>
      </c>
      <c r="F34" s="75"/>
      <c r="G34" s="20"/>
      <c r="H34" s="20"/>
      <c r="I34" s="20"/>
      <c r="J34" s="23">
        <f>SUM(J22:J33)/F20</f>
        <v>9.621052631578948</v>
      </c>
      <c r="N34" s="75"/>
      <c r="O34" s="75"/>
    </row>
    <row r="35" spans="1:15" ht="23.25" x14ac:dyDescent="0.35">
      <c r="A35" s="20"/>
      <c r="B35" s="114"/>
      <c r="F35" s="76"/>
      <c r="G35" s="20"/>
      <c r="H35" s="20"/>
      <c r="I35" s="20"/>
      <c r="J35" s="114"/>
      <c r="N35" s="76"/>
      <c r="O35" s="75"/>
    </row>
    <row r="36" spans="1:15" ht="36" x14ac:dyDescent="0.55000000000000004">
      <c r="A36" s="1032" t="s">
        <v>3</v>
      </c>
      <c r="B36" s="1032"/>
      <c r="C36" s="1032" t="s">
        <v>184</v>
      </c>
      <c r="D36" s="1032"/>
      <c r="E36" s="1032"/>
      <c r="F36" s="1032"/>
      <c r="G36" s="13"/>
      <c r="I36" s="1032" t="s">
        <v>3</v>
      </c>
      <c r="J36" s="1032"/>
      <c r="K36" s="1032" t="s">
        <v>183</v>
      </c>
      <c r="L36" s="1032"/>
      <c r="M36" s="1032"/>
      <c r="N36" s="1032"/>
      <c r="O36" s="13"/>
    </row>
    <row r="37" spans="1:15" ht="36" x14ac:dyDescent="0.55000000000000004">
      <c r="A37" s="1033" t="s">
        <v>26</v>
      </c>
      <c r="B37" s="1033"/>
      <c r="C37" s="79"/>
      <c r="D37" s="149" t="s">
        <v>52</v>
      </c>
      <c r="E37" s="79"/>
      <c r="F37" s="79"/>
      <c r="G37" s="26"/>
      <c r="I37" s="1033" t="s">
        <v>26</v>
      </c>
      <c r="J37" s="1033"/>
      <c r="K37" s="79"/>
      <c r="L37" s="149" t="s">
        <v>52</v>
      </c>
      <c r="M37" s="79"/>
      <c r="N37" s="79"/>
      <c r="O37" s="26"/>
    </row>
    <row r="38" spans="1:15" ht="23.25" x14ac:dyDescent="0.35">
      <c r="A38" s="20" t="s">
        <v>9</v>
      </c>
      <c r="B38" s="23">
        <f>1*3*F3</f>
        <v>11400</v>
      </c>
      <c r="C38" s="75"/>
      <c r="D38" s="75"/>
      <c r="E38" s="75"/>
      <c r="F38" s="75"/>
      <c r="G38" s="20"/>
      <c r="I38" s="20" t="s">
        <v>9</v>
      </c>
      <c r="J38" s="23">
        <f>0.9*3*F3</f>
        <v>10260</v>
      </c>
      <c r="K38" s="75"/>
      <c r="L38" s="75"/>
      <c r="M38" s="75"/>
      <c r="N38" s="75"/>
      <c r="O38" s="20"/>
    </row>
    <row r="39" spans="1:15" ht="23.25" x14ac:dyDescent="0.35">
      <c r="A39" s="20" t="s">
        <v>185</v>
      </c>
      <c r="B39" s="23">
        <v>3000</v>
      </c>
      <c r="C39" s="75"/>
      <c r="D39" s="75"/>
      <c r="E39" s="75"/>
      <c r="F39" s="75"/>
      <c r="G39" s="20"/>
      <c r="I39" s="20" t="s">
        <v>185</v>
      </c>
      <c r="J39" s="23">
        <v>0</v>
      </c>
      <c r="K39" s="75"/>
      <c r="L39" s="75"/>
      <c r="M39" s="75"/>
      <c r="N39" s="75"/>
      <c r="O39" s="20"/>
    </row>
    <row r="40" spans="1:15" ht="23.25" x14ac:dyDescent="0.35">
      <c r="A40" s="20" t="s">
        <v>187</v>
      </c>
      <c r="B40" s="23">
        <v>1000</v>
      </c>
      <c r="C40" s="75"/>
      <c r="D40" s="940" t="s">
        <v>330</v>
      </c>
      <c r="E40" s="940"/>
      <c r="F40" s="940"/>
      <c r="G40" s="20"/>
      <c r="I40" s="20" t="s">
        <v>187</v>
      </c>
      <c r="J40" s="23">
        <v>2500</v>
      </c>
      <c r="K40" s="75"/>
      <c r="L40" s="80" t="s">
        <v>102</v>
      </c>
      <c r="M40" s="80"/>
      <c r="N40" s="80"/>
      <c r="O40" s="20"/>
    </row>
    <row r="41" spans="1:15" ht="23.25" x14ac:dyDescent="0.35">
      <c r="A41" s="20" t="s">
        <v>58</v>
      </c>
      <c r="B41" s="23">
        <v>0</v>
      </c>
      <c r="C41" s="75"/>
      <c r="D41" s="77" t="s">
        <v>22</v>
      </c>
      <c r="E41" s="77" t="s">
        <v>23</v>
      </c>
      <c r="F41" s="77" t="s">
        <v>24</v>
      </c>
      <c r="G41" s="20"/>
      <c r="I41" s="20" t="s">
        <v>94</v>
      </c>
      <c r="J41" s="23">
        <f>1.5*11000</f>
        <v>16500</v>
      </c>
      <c r="K41" s="75"/>
      <c r="L41" s="77" t="s">
        <v>22</v>
      </c>
      <c r="M41" s="77" t="s">
        <v>23</v>
      </c>
      <c r="N41" s="77" t="s">
        <v>24</v>
      </c>
      <c r="O41" s="20"/>
    </row>
    <row r="42" spans="1:15" ht="23.25" x14ac:dyDescent="0.35">
      <c r="A42" s="20" t="s">
        <v>1</v>
      </c>
      <c r="B42" s="23">
        <v>700</v>
      </c>
      <c r="C42" s="75"/>
      <c r="D42" s="77">
        <f>D47</f>
        <v>9.7684210526315773</v>
      </c>
      <c r="E42" s="77">
        <f>E47</f>
        <v>11.452631578947367</v>
      </c>
      <c r="F42" s="77">
        <f>F47</f>
        <v>12.799999999999999</v>
      </c>
      <c r="G42" s="20"/>
      <c r="I42" s="20" t="s">
        <v>1</v>
      </c>
      <c r="J42" s="23">
        <v>700</v>
      </c>
      <c r="K42" s="75"/>
      <c r="L42" s="77">
        <f>L47</f>
        <v>15.035263157894736</v>
      </c>
      <c r="M42" s="77">
        <f>M47</f>
        <v>17.183157894736844</v>
      </c>
      <c r="N42" s="77">
        <f>N47</f>
        <v>21.371552631578947</v>
      </c>
      <c r="O42" s="20"/>
    </row>
    <row r="43" spans="1:15" ht="23.25" x14ac:dyDescent="0.35">
      <c r="A43" s="20" t="s">
        <v>139</v>
      </c>
      <c r="B43" s="23">
        <v>1000</v>
      </c>
      <c r="C43" s="75"/>
      <c r="D43" s="75"/>
      <c r="E43" s="75"/>
      <c r="F43" s="75"/>
      <c r="G43" s="20"/>
      <c r="I43" s="20" t="s">
        <v>139</v>
      </c>
      <c r="J43" s="23">
        <v>2000</v>
      </c>
      <c r="K43" s="75"/>
      <c r="L43" s="75"/>
      <c r="M43" s="75"/>
      <c r="N43" s="75"/>
      <c r="O43" s="20"/>
    </row>
    <row r="44" spans="1:15" ht="23.25" x14ac:dyDescent="0.35">
      <c r="A44" s="20" t="s">
        <v>10</v>
      </c>
      <c r="B44" s="23">
        <v>4000</v>
      </c>
      <c r="C44" s="75"/>
      <c r="D44" s="75"/>
      <c r="E44" s="75"/>
      <c r="F44" s="75"/>
      <c r="G44" s="20"/>
      <c r="I44" s="20" t="s">
        <v>10</v>
      </c>
      <c r="J44" s="23">
        <v>5000</v>
      </c>
      <c r="K44" s="75"/>
      <c r="L44" s="75"/>
      <c r="M44" s="75"/>
      <c r="N44" s="75"/>
      <c r="O44" s="20"/>
    </row>
    <row r="45" spans="1:15" ht="23.25" x14ac:dyDescent="0.35">
      <c r="A45" s="20" t="s">
        <v>17</v>
      </c>
      <c r="B45" s="23">
        <v>0</v>
      </c>
      <c r="C45" s="75"/>
      <c r="D45" s="75"/>
      <c r="E45" s="80" t="s">
        <v>266</v>
      </c>
      <c r="F45" s="80"/>
      <c r="G45" s="20"/>
      <c r="I45" s="20" t="s">
        <v>17</v>
      </c>
      <c r="J45" s="23">
        <v>50</v>
      </c>
      <c r="K45" s="75"/>
      <c r="L45" s="75"/>
      <c r="M45" s="940" t="s">
        <v>21</v>
      </c>
      <c r="N45" s="940"/>
      <c r="O45" s="20"/>
    </row>
    <row r="46" spans="1:15" ht="23.25" x14ac:dyDescent="0.35">
      <c r="A46" s="20" t="s">
        <v>27</v>
      </c>
      <c r="B46" s="23">
        <v>0</v>
      </c>
      <c r="C46" s="75"/>
      <c r="D46" s="145">
        <v>0.4</v>
      </c>
      <c r="E46" s="145">
        <v>0.55000000000000004</v>
      </c>
      <c r="F46" s="145">
        <v>0.85</v>
      </c>
      <c r="G46" s="16"/>
      <c r="I46" s="20" t="s">
        <v>27</v>
      </c>
      <c r="J46" s="23">
        <v>50</v>
      </c>
      <c r="K46" s="75"/>
      <c r="L46" s="145">
        <v>0.4</v>
      </c>
      <c r="M46" s="145">
        <v>0.55000000000000004</v>
      </c>
      <c r="N46" s="145">
        <v>0.85</v>
      </c>
      <c r="O46" s="16"/>
    </row>
    <row r="47" spans="1:15" ht="23.25" x14ac:dyDescent="0.35">
      <c r="A47" s="20" t="s">
        <v>28</v>
      </c>
      <c r="B47" s="23">
        <v>0</v>
      </c>
      <c r="C47" s="75"/>
      <c r="D47" s="448">
        <f>B50*1.45</f>
        <v>9.7684210526315773</v>
      </c>
      <c r="E47" s="448">
        <f>B50*1.7</f>
        <v>11.452631578947367</v>
      </c>
      <c r="F47" s="448">
        <f>B50*1.9</f>
        <v>12.799999999999999</v>
      </c>
      <c r="G47" s="21"/>
      <c r="I47" s="20" t="s">
        <v>523</v>
      </c>
      <c r="J47" s="23">
        <v>500</v>
      </c>
      <c r="K47" s="75"/>
      <c r="L47" s="76">
        <f>J50*1.4</f>
        <v>15.035263157894736</v>
      </c>
      <c r="M47" s="76">
        <f>J50*1.6</f>
        <v>17.183157894736844</v>
      </c>
      <c r="N47" s="76">
        <f>J50*1.99</f>
        <v>21.371552631578947</v>
      </c>
      <c r="O47" s="21"/>
    </row>
    <row r="48" spans="1:15" ht="23.25" x14ac:dyDescent="0.35">
      <c r="A48" s="20" t="s">
        <v>16</v>
      </c>
      <c r="B48" s="23">
        <v>500</v>
      </c>
      <c r="C48" s="75"/>
      <c r="D48">
        <f>D47*3800</f>
        <v>37119.999999999993</v>
      </c>
      <c r="E48">
        <f>E47*3800</f>
        <v>43519.999999999993</v>
      </c>
      <c r="F48">
        <f>F47*3800</f>
        <v>48639.999999999993</v>
      </c>
      <c r="G48" s="21"/>
      <c r="I48" s="20" t="s">
        <v>16</v>
      </c>
      <c r="J48" s="23">
        <v>250</v>
      </c>
      <c r="K48" s="75"/>
      <c r="O48" s="21"/>
    </row>
    <row r="49" spans="1:15" ht="24" thickBot="1" x14ac:dyDescent="0.4">
      <c r="A49" s="20" t="s">
        <v>18</v>
      </c>
      <c r="B49" s="116">
        <v>4000</v>
      </c>
      <c r="C49" s="75"/>
      <c r="D49" s="76"/>
      <c r="E49" s="76"/>
      <c r="F49" s="76"/>
      <c r="G49" s="21"/>
      <c r="I49" s="20" t="s">
        <v>18</v>
      </c>
      <c r="J49" s="116">
        <v>3000</v>
      </c>
      <c r="K49" s="75"/>
      <c r="L49" s="76"/>
      <c r="M49" s="76"/>
      <c r="N49" s="76"/>
      <c r="O49" s="21"/>
    </row>
    <row r="50" spans="1:15" ht="23.25" x14ac:dyDescent="0.35">
      <c r="A50" s="20"/>
      <c r="B50" s="23">
        <f>SUM(B38:B49)/F3</f>
        <v>6.7368421052631575</v>
      </c>
      <c r="C50" s="75"/>
      <c r="D50" s="75"/>
      <c r="E50" s="75"/>
      <c r="F50" s="75"/>
      <c r="G50" s="20"/>
      <c r="I50" s="20"/>
      <c r="J50" s="23">
        <f>SUM(J38:J49)/F3</f>
        <v>10.739473684210527</v>
      </c>
      <c r="K50" s="75"/>
      <c r="L50" s="75"/>
      <c r="M50" s="75"/>
      <c r="N50" s="75"/>
      <c r="O50" s="20"/>
    </row>
    <row r="51" spans="1:15" ht="23.25" x14ac:dyDescent="0.35">
      <c r="C51" s="75"/>
      <c r="D51" s="75"/>
      <c r="E51" s="75"/>
      <c r="F51" s="75"/>
      <c r="G51" s="20"/>
      <c r="K51" s="75"/>
      <c r="L51" s="75">
        <f>4*3700</f>
        <v>14800</v>
      </c>
      <c r="M51" s="75"/>
      <c r="N51" s="75"/>
      <c r="O51" s="20"/>
    </row>
    <row r="52" spans="1:15" ht="36" x14ac:dyDescent="0.55000000000000004">
      <c r="A52" s="1032" t="s">
        <v>3</v>
      </c>
      <c r="B52" s="1032"/>
      <c r="C52" s="1032" t="s">
        <v>284</v>
      </c>
      <c r="D52" s="1032"/>
      <c r="E52" s="1032"/>
      <c r="F52" s="1032"/>
      <c r="G52" s="20"/>
      <c r="I52" s="20"/>
      <c r="J52" s="114"/>
      <c r="K52" s="75"/>
      <c r="L52" s="75"/>
      <c r="M52" s="75"/>
      <c r="N52" s="75"/>
      <c r="O52" s="20"/>
    </row>
    <row r="53" spans="1:15" ht="36" x14ac:dyDescent="0.55000000000000004">
      <c r="A53" s="1033" t="s">
        <v>26</v>
      </c>
      <c r="B53" s="1033"/>
      <c r="C53" s="79"/>
      <c r="D53" s="283" t="s">
        <v>371</v>
      </c>
      <c r="E53" s="79"/>
      <c r="F53" s="79"/>
      <c r="G53" s="20"/>
      <c r="I53" s="20"/>
      <c r="J53" s="23"/>
      <c r="N53" s="75"/>
      <c r="O53" s="20"/>
    </row>
    <row r="54" spans="1:15" ht="23.25" x14ac:dyDescent="0.35">
      <c r="A54" s="20" t="s">
        <v>9</v>
      </c>
      <c r="B54" s="23">
        <f>0.9*3*F3</f>
        <v>10260</v>
      </c>
      <c r="C54" s="75"/>
      <c r="D54" s="75"/>
      <c r="E54" s="75"/>
      <c r="F54" s="75"/>
      <c r="G54" s="20"/>
      <c r="I54" s="20"/>
      <c r="J54" s="114"/>
      <c r="N54" s="76"/>
      <c r="O54" s="20"/>
    </row>
    <row r="55" spans="1:15" ht="23.25" x14ac:dyDescent="0.35">
      <c r="A55" s="20" t="s">
        <v>185</v>
      </c>
      <c r="B55" s="23">
        <v>0</v>
      </c>
      <c r="C55" s="75"/>
      <c r="D55" s="75"/>
      <c r="E55" s="75"/>
      <c r="F55" s="75"/>
      <c r="G55" s="20"/>
      <c r="I55" s="20"/>
      <c r="J55" s="114"/>
      <c r="N55" s="76"/>
      <c r="O55" s="20"/>
    </row>
    <row r="56" spans="1:15" ht="23.25" x14ac:dyDescent="0.35">
      <c r="A56" s="20" t="s">
        <v>187</v>
      </c>
      <c r="B56" s="23">
        <v>2000</v>
      </c>
      <c r="C56" s="75"/>
      <c r="D56" s="940" t="s">
        <v>330</v>
      </c>
      <c r="E56" s="940"/>
      <c r="F56" s="940"/>
      <c r="G56" s="20"/>
      <c r="H56" s="494"/>
      <c r="I56" s="20" t="s">
        <v>525</v>
      </c>
      <c r="J56" s="23">
        <v>6500</v>
      </c>
      <c r="K56" s="76"/>
      <c r="L56" s="76"/>
      <c r="M56" s="76"/>
      <c r="N56" s="76"/>
      <c r="O56" s="20"/>
    </row>
    <row r="57" spans="1:15" ht="31.5" x14ac:dyDescent="0.5">
      <c r="A57" s="20" t="s">
        <v>94</v>
      </c>
      <c r="B57" s="23">
        <v>11000</v>
      </c>
      <c r="C57" s="75"/>
      <c r="D57" s="77" t="s">
        <v>22</v>
      </c>
      <c r="E57" s="77" t="s">
        <v>23</v>
      </c>
      <c r="F57" s="77" t="s">
        <v>24</v>
      </c>
      <c r="G57" s="20"/>
      <c r="H57" s="678"/>
      <c r="I57" s="20"/>
      <c r="J57" s="114"/>
      <c r="K57" s="76"/>
      <c r="L57" s="76"/>
      <c r="M57" s="76"/>
      <c r="N57" s="76"/>
      <c r="O57" s="20"/>
    </row>
    <row r="58" spans="1:15" ht="23.25" x14ac:dyDescent="0.35">
      <c r="A58" s="20" t="s">
        <v>1</v>
      </c>
      <c r="B58" s="23">
        <v>700</v>
      </c>
      <c r="C58" s="75"/>
      <c r="D58" s="77">
        <f>D63</f>
        <v>13.733815789473683</v>
      </c>
      <c r="E58" s="77">
        <f>E63</f>
        <v>15.505921052631578</v>
      </c>
      <c r="F58" s="77">
        <f>F63</f>
        <v>16.834999999999997</v>
      </c>
      <c r="G58" s="20"/>
      <c r="I58" s="20"/>
      <c r="J58" s="114"/>
      <c r="K58" s="76"/>
      <c r="L58" s="76"/>
      <c r="M58" s="76"/>
      <c r="N58" s="76"/>
      <c r="O58" s="20"/>
    </row>
    <row r="59" spans="1:15" ht="23.25" x14ac:dyDescent="0.35">
      <c r="A59" s="20" t="s">
        <v>139</v>
      </c>
      <c r="B59" s="23">
        <v>2000</v>
      </c>
      <c r="C59" s="75"/>
      <c r="D59" s="75"/>
      <c r="E59" s="75"/>
      <c r="F59" s="75"/>
    </row>
    <row r="60" spans="1:15" ht="23.25" x14ac:dyDescent="0.35">
      <c r="A60" s="20" t="s">
        <v>10</v>
      </c>
      <c r="B60" s="23">
        <v>3500</v>
      </c>
      <c r="C60" s="75"/>
      <c r="D60" s="75"/>
      <c r="E60" s="75"/>
      <c r="F60" s="75"/>
    </row>
    <row r="61" spans="1:15" ht="23.25" x14ac:dyDescent="0.35">
      <c r="A61" s="20" t="s">
        <v>17</v>
      </c>
      <c r="B61" s="23">
        <v>60</v>
      </c>
      <c r="C61" s="75"/>
      <c r="D61" s="75"/>
      <c r="E61" s="80" t="s">
        <v>266</v>
      </c>
      <c r="F61" s="80"/>
    </row>
    <row r="62" spans="1:15" ht="23.25" x14ac:dyDescent="0.35">
      <c r="A62" s="20" t="s">
        <v>27</v>
      </c>
      <c r="B62" s="23">
        <v>0</v>
      </c>
      <c r="C62" s="75"/>
      <c r="D62" s="571">
        <v>0.4</v>
      </c>
      <c r="E62" s="571">
        <v>0.55000000000000004</v>
      </c>
      <c r="F62" s="571">
        <v>0.85</v>
      </c>
    </row>
    <row r="63" spans="1:15" ht="23.25" x14ac:dyDescent="0.35">
      <c r="A63" s="20" t="s">
        <v>28</v>
      </c>
      <c r="B63" s="23">
        <v>100</v>
      </c>
      <c r="C63" s="75"/>
      <c r="D63" s="571">
        <f>B66*1.55</f>
        <v>13.733815789473683</v>
      </c>
      <c r="E63" s="571">
        <f>B66*1.75</f>
        <v>15.505921052631578</v>
      </c>
      <c r="F63" s="571">
        <f>B66*1.9</f>
        <v>16.834999999999997</v>
      </c>
    </row>
    <row r="64" spans="1:15" ht="23.25" x14ac:dyDescent="0.35">
      <c r="A64" s="20" t="s">
        <v>16</v>
      </c>
      <c r="B64" s="23">
        <v>350</v>
      </c>
      <c r="C64" s="75"/>
    </row>
    <row r="65" spans="1:6" ht="24" thickBot="1" x14ac:dyDescent="0.4">
      <c r="A65" s="20" t="s">
        <v>18</v>
      </c>
      <c r="B65" s="116">
        <v>3700</v>
      </c>
      <c r="C65" s="75"/>
      <c r="D65" s="76"/>
      <c r="E65" s="76"/>
      <c r="F65" s="76"/>
    </row>
    <row r="66" spans="1:6" ht="23.25" x14ac:dyDescent="0.35">
      <c r="A66" s="20"/>
      <c r="B66" s="23">
        <f>SUM(B54:B65)/F3</f>
        <v>8.8605263157894729</v>
      </c>
      <c r="C66" s="75"/>
      <c r="D66" s="75"/>
      <c r="E66" s="75"/>
      <c r="F66" s="75"/>
    </row>
  </sheetData>
  <mergeCells count="32">
    <mergeCell ref="A53:B53"/>
    <mergeCell ref="D56:F56"/>
    <mergeCell ref="A36:B36"/>
    <mergeCell ref="C36:F36"/>
    <mergeCell ref="A37:B37"/>
    <mergeCell ref="K36:N36"/>
    <mergeCell ref="I37:J37"/>
    <mergeCell ref="M45:N45"/>
    <mergeCell ref="D40:F40"/>
    <mergeCell ref="A52:B52"/>
    <mergeCell ref="C52:F52"/>
    <mergeCell ref="A21:B21"/>
    <mergeCell ref="I21:J21"/>
    <mergeCell ref="D26:F26"/>
    <mergeCell ref="I36:J36"/>
    <mergeCell ref="E31:F31"/>
    <mergeCell ref="M30:N30"/>
    <mergeCell ref="A2:G2"/>
    <mergeCell ref="I2:O2"/>
    <mergeCell ref="A3:B3"/>
    <mergeCell ref="I3:J3"/>
    <mergeCell ref="A4:B4"/>
    <mergeCell ref="I4:J4"/>
    <mergeCell ref="L26:N26"/>
    <mergeCell ref="D9:F9"/>
    <mergeCell ref="L9:N9"/>
    <mergeCell ref="E13:F13"/>
    <mergeCell ref="M13:N13"/>
    <mergeCell ref="A19:G19"/>
    <mergeCell ref="I19:O19"/>
    <mergeCell ref="A20:B20"/>
    <mergeCell ref="I20:J20"/>
  </mergeCells>
  <pageMargins left="0.7" right="0.7" top="0.75" bottom="0.75" header="0.3" footer="0.3"/>
  <pageSetup paperSize="9" orientation="portrait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F4C05-6244-4629-B919-E6B624B91ECB}">
  <dimension ref="A5:E22"/>
  <sheetViews>
    <sheetView tabSelected="1" zoomScale="70" zoomScaleNormal="70" workbookViewId="0">
      <selection activeCell="H7" sqref="H7"/>
    </sheetView>
  </sheetViews>
  <sheetFormatPr baseColWidth="10" defaultRowHeight="15" x14ac:dyDescent="0.25"/>
  <cols>
    <col min="1" max="1" width="28.5703125" customWidth="1"/>
    <col min="2" max="2" width="18.5703125" customWidth="1"/>
    <col min="4" max="4" width="32.5703125" bestFit="1" customWidth="1"/>
    <col min="5" max="5" width="23.42578125" customWidth="1"/>
  </cols>
  <sheetData>
    <row r="5" spans="1:5" ht="36" x14ac:dyDescent="0.55000000000000004">
      <c r="A5" s="1032" t="s">
        <v>516</v>
      </c>
      <c r="B5" s="1032"/>
      <c r="D5" s="1032" t="s">
        <v>518</v>
      </c>
      <c r="E5" s="1032"/>
    </row>
    <row r="6" spans="1:5" ht="23.25" x14ac:dyDescent="0.35">
      <c r="A6" s="938"/>
      <c r="B6" s="938"/>
      <c r="D6" s="938"/>
      <c r="E6" s="938"/>
    </row>
    <row r="7" spans="1:5" ht="23.25" x14ac:dyDescent="0.35">
      <c r="A7" s="20" t="s">
        <v>516</v>
      </c>
      <c r="B7" s="23">
        <f>2.5*2.3*3800</f>
        <v>21850</v>
      </c>
      <c r="D7" s="20" t="s">
        <v>518</v>
      </c>
      <c r="E7" s="23">
        <f>2*1.3*3800</f>
        <v>9880</v>
      </c>
    </row>
    <row r="8" spans="1:5" ht="23.25" x14ac:dyDescent="0.35">
      <c r="A8" s="20" t="s">
        <v>285</v>
      </c>
      <c r="B8" s="23">
        <v>1800</v>
      </c>
      <c r="D8" s="20" t="s">
        <v>276</v>
      </c>
      <c r="E8" s="23">
        <v>2000</v>
      </c>
    </row>
    <row r="9" spans="1:5" ht="23.25" x14ac:dyDescent="0.35">
      <c r="A9" s="20" t="s">
        <v>187</v>
      </c>
      <c r="B9" s="23">
        <v>1500</v>
      </c>
      <c r="D9" s="20" t="s">
        <v>187</v>
      </c>
      <c r="E9" s="23">
        <v>0</v>
      </c>
    </row>
    <row r="10" spans="1:5" ht="23.25" x14ac:dyDescent="0.35">
      <c r="A10" s="20" t="s">
        <v>277</v>
      </c>
      <c r="B10" s="23">
        <v>0</v>
      </c>
      <c r="D10" s="20" t="s">
        <v>277</v>
      </c>
      <c r="E10" s="23">
        <v>0</v>
      </c>
    </row>
    <row r="11" spans="1:5" ht="23.25" x14ac:dyDescent="0.35">
      <c r="A11" s="20" t="s">
        <v>58</v>
      </c>
      <c r="B11" s="23">
        <v>11000</v>
      </c>
      <c r="D11" s="20" t="s">
        <v>58</v>
      </c>
      <c r="E11" s="23">
        <v>0</v>
      </c>
    </row>
    <row r="12" spans="1:5" ht="23.25" x14ac:dyDescent="0.35">
      <c r="A12" s="20" t="s">
        <v>517</v>
      </c>
      <c r="B12" s="23">
        <v>2500</v>
      </c>
      <c r="D12" s="20" t="s">
        <v>517</v>
      </c>
      <c r="E12" s="23">
        <v>10000</v>
      </c>
    </row>
    <row r="13" spans="1:5" ht="23.25" x14ac:dyDescent="0.35">
      <c r="A13" s="20" t="s">
        <v>1</v>
      </c>
      <c r="B13" s="23">
        <v>700</v>
      </c>
      <c r="D13" s="20" t="s">
        <v>1</v>
      </c>
      <c r="E13" s="23">
        <v>700</v>
      </c>
    </row>
    <row r="14" spans="1:5" ht="23.25" x14ac:dyDescent="0.35">
      <c r="A14" s="20" t="s">
        <v>10</v>
      </c>
      <c r="B14" s="23">
        <v>9000</v>
      </c>
      <c r="D14" s="20" t="s">
        <v>10</v>
      </c>
      <c r="E14" s="23">
        <v>4000</v>
      </c>
    </row>
    <row r="15" spans="1:5" ht="23.25" x14ac:dyDescent="0.35">
      <c r="A15" s="20" t="s">
        <v>11</v>
      </c>
      <c r="B15" s="23">
        <v>0</v>
      </c>
      <c r="D15" s="20" t="s">
        <v>11</v>
      </c>
      <c r="E15" s="23">
        <v>0</v>
      </c>
    </row>
    <row r="16" spans="1:5" ht="23.25" x14ac:dyDescent="0.35">
      <c r="A16" s="20" t="s">
        <v>27</v>
      </c>
      <c r="B16" s="23">
        <v>0</v>
      </c>
      <c r="D16" s="20" t="s">
        <v>27</v>
      </c>
      <c r="E16" s="23">
        <v>0</v>
      </c>
    </row>
    <row r="17" spans="1:5" ht="23.25" x14ac:dyDescent="0.35">
      <c r="A17" s="20" t="s">
        <v>28</v>
      </c>
      <c r="B17" s="23">
        <v>0</v>
      </c>
      <c r="D17" s="20" t="s">
        <v>28</v>
      </c>
      <c r="E17" s="23">
        <v>0</v>
      </c>
    </row>
    <row r="18" spans="1:5" ht="23.25" x14ac:dyDescent="0.35">
      <c r="A18" s="20" t="s">
        <v>106</v>
      </c>
      <c r="B18" s="23">
        <v>0</v>
      </c>
      <c r="D18" s="20" t="s">
        <v>106</v>
      </c>
      <c r="E18" s="23">
        <v>100</v>
      </c>
    </row>
    <row r="19" spans="1:5" ht="23.25" x14ac:dyDescent="0.35">
      <c r="A19" s="20" t="s">
        <v>16</v>
      </c>
      <c r="B19" s="23">
        <v>250</v>
      </c>
      <c r="D19" s="20" t="s">
        <v>16</v>
      </c>
      <c r="E19" s="23">
        <v>250</v>
      </c>
    </row>
    <row r="20" spans="1:5" ht="24" thickBot="1" x14ac:dyDescent="0.4">
      <c r="A20" s="20" t="s">
        <v>18</v>
      </c>
      <c r="B20" s="116">
        <v>2500</v>
      </c>
      <c r="D20" s="20" t="s">
        <v>18</v>
      </c>
      <c r="E20" s="116">
        <v>2500</v>
      </c>
    </row>
    <row r="21" spans="1:5" ht="23.25" x14ac:dyDescent="0.35">
      <c r="A21" s="20"/>
      <c r="B21" s="23">
        <f>SUM(B7:B20)/3800</f>
        <v>13.447368421052632</v>
      </c>
      <c r="D21" s="20"/>
      <c r="E21" s="23">
        <f>SUM(E7:E20)/3800</f>
        <v>7.7447368421052634</v>
      </c>
    </row>
    <row r="22" spans="1:5" x14ac:dyDescent="0.25">
      <c r="B22">
        <f>B21*1.35</f>
        <v>18.153947368421054</v>
      </c>
      <c r="E22">
        <f>E21*1.35</f>
        <v>10.455394736842106</v>
      </c>
    </row>
  </sheetData>
  <mergeCells count="4">
    <mergeCell ref="A5:B5"/>
    <mergeCell ref="A6:B6"/>
    <mergeCell ref="D5:E5"/>
    <mergeCell ref="D6:E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G22"/>
  <sheetViews>
    <sheetView zoomScale="55" zoomScaleNormal="55" workbookViewId="0">
      <selection activeCell="C24" sqref="C24"/>
    </sheetView>
  </sheetViews>
  <sheetFormatPr baseColWidth="10" defaultRowHeight="15" x14ac:dyDescent="0.25"/>
  <cols>
    <col min="1" max="1" width="32.5703125" bestFit="1" customWidth="1"/>
    <col min="2" max="2" width="20.5703125" customWidth="1"/>
    <col min="3" max="3" width="9" customWidth="1"/>
    <col min="4" max="4" width="14.140625" customWidth="1"/>
    <col min="5" max="5" width="16.140625" customWidth="1"/>
    <col min="6" max="6" width="15" customWidth="1"/>
    <col min="7" max="7" width="16.28515625" customWidth="1"/>
  </cols>
  <sheetData>
    <row r="2" spans="1:7" ht="36" x14ac:dyDescent="0.55000000000000004">
      <c r="A2" s="1032" t="s">
        <v>182</v>
      </c>
      <c r="B2" s="1032"/>
      <c r="C2" s="1032"/>
      <c r="D2" s="1032"/>
      <c r="E2" s="1032"/>
      <c r="F2" s="1032"/>
      <c r="G2" s="1032"/>
    </row>
    <row r="3" spans="1:7" ht="36" x14ac:dyDescent="0.55000000000000004">
      <c r="A3" s="1032" t="s">
        <v>274</v>
      </c>
      <c r="B3" s="1032"/>
      <c r="C3" s="283"/>
      <c r="D3" s="283" t="s">
        <v>52</v>
      </c>
      <c r="E3" s="283"/>
      <c r="F3" s="294">
        <v>3800</v>
      </c>
      <c r="G3" s="284" t="s">
        <v>61</v>
      </c>
    </row>
    <row r="4" spans="1:7" ht="23.25" x14ac:dyDescent="0.35">
      <c r="A4" s="938"/>
      <c r="B4" s="938"/>
      <c r="C4" s="75"/>
      <c r="D4" s="75"/>
      <c r="E4" s="75"/>
      <c r="F4" s="75"/>
      <c r="G4" s="20"/>
    </row>
    <row r="5" spans="1:7" ht="23.25" x14ac:dyDescent="0.35">
      <c r="A5" s="20" t="s">
        <v>275</v>
      </c>
      <c r="B5" s="23">
        <f>1.2*1.6*F3</f>
        <v>7296</v>
      </c>
      <c r="C5" s="75"/>
      <c r="D5" s="75"/>
      <c r="E5" s="75"/>
      <c r="F5" s="75"/>
      <c r="G5" s="20"/>
    </row>
    <row r="6" spans="1:7" ht="23.25" x14ac:dyDescent="0.35">
      <c r="A6" s="20" t="s">
        <v>276</v>
      </c>
      <c r="B6" s="23">
        <f>0.5*F3</f>
        <v>1900</v>
      </c>
      <c r="C6" s="75"/>
      <c r="D6" s="75"/>
      <c r="E6" s="75"/>
      <c r="F6" s="1034" t="s">
        <v>402</v>
      </c>
      <c r="G6" s="1034"/>
    </row>
    <row r="7" spans="1:7" ht="23.25" x14ac:dyDescent="0.35">
      <c r="A7" s="20" t="s">
        <v>187</v>
      </c>
      <c r="B7" s="23">
        <v>2000</v>
      </c>
      <c r="C7" s="75"/>
      <c r="D7" s="75"/>
      <c r="E7" s="75"/>
      <c r="F7" s="75"/>
      <c r="G7" s="20"/>
    </row>
    <row r="8" spans="1:7" ht="23.25" x14ac:dyDescent="0.35">
      <c r="A8" s="20" t="s">
        <v>277</v>
      </c>
      <c r="B8" s="23">
        <v>0</v>
      </c>
      <c r="C8" s="75"/>
      <c r="D8" s="75"/>
      <c r="E8" s="75"/>
      <c r="F8" s="75"/>
      <c r="G8" s="20"/>
    </row>
    <row r="9" spans="1:7" ht="23.25" x14ac:dyDescent="0.35">
      <c r="A9" s="20" t="s">
        <v>58</v>
      </c>
      <c r="B9" s="23">
        <v>0</v>
      </c>
      <c r="C9" s="75"/>
      <c r="D9" s="75"/>
      <c r="E9" s="75"/>
      <c r="F9" s="75"/>
      <c r="G9" s="20"/>
    </row>
    <row r="10" spans="1:7" ht="23.25" x14ac:dyDescent="0.35">
      <c r="A10" s="20" t="s">
        <v>94</v>
      </c>
      <c r="B10" s="23">
        <f>1.5*13000</f>
        <v>19500</v>
      </c>
      <c r="C10" s="75"/>
      <c r="D10" s="75"/>
      <c r="E10" s="75"/>
      <c r="F10" s="75"/>
      <c r="G10" s="20"/>
    </row>
    <row r="11" spans="1:7" ht="23.25" x14ac:dyDescent="0.35">
      <c r="A11" s="20" t="s">
        <v>1</v>
      </c>
      <c r="B11" s="23">
        <v>700</v>
      </c>
      <c r="C11" s="75"/>
      <c r="D11" s="940" t="s">
        <v>292</v>
      </c>
      <c r="E11" s="940"/>
      <c r="F11" s="940"/>
      <c r="G11" s="20"/>
    </row>
    <row r="12" spans="1:7" ht="23.25" x14ac:dyDescent="0.35">
      <c r="A12" s="20" t="s">
        <v>10</v>
      </c>
      <c r="B12" s="23">
        <v>4000</v>
      </c>
      <c r="C12" s="75"/>
      <c r="D12" s="77" t="s">
        <v>22</v>
      </c>
      <c r="E12" s="77" t="s">
        <v>23</v>
      </c>
      <c r="F12" s="77" t="s">
        <v>24</v>
      </c>
      <c r="G12" s="21"/>
    </row>
    <row r="13" spans="1:7" ht="23.25" x14ac:dyDescent="0.35">
      <c r="A13" s="20" t="s">
        <v>11</v>
      </c>
      <c r="B13" s="23">
        <v>2000</v>
      </c>
      <c r="C13" s="75"/>
      <c r="D13" s="77">
        <f>D17</f>
        <v>15.453789473684209</v>
      </c>
      <c r="E13" s="77">
        <f>E17</f>
        <v>17.661473684210527</v>
      </c>
      <c r="F13" s="77">
        <f>F17</f>
        <v>21.966457894736841</v>
      </c>
      <c r="G13" s="21"/>
    </row>
    <row r="14" spans="1:7" ht="23.25" x14ac:dyDescent="0.35">
      <c r="A14" s="20" t="s">
        <v>27</v>
      </c>
      <c r="B14" s="23">
        <v>200</v>
      </c>
      <c r="C14" s="75"/>
      <c r="D14" s="76"/>
      <c r="E14" s="76"/>
      <c r="F14" s="76"/>
      <c r="G14" s="21"/>
    </row>
    <row r="15" spans="1:7" ht="23.25" x14ac:dyDescent="0.35">
      <c r="A15" s="20" t="s">
        <v>28</v>
      </c>
      <c r="B15" s="23">
        <v>100</v>
      </c>
      <c r="C15" s="75"/>
      <c r="D15" s="75"/>
      <c r="E15" s="940"/>
      <c r="F15" s="940"/>
      <c r="G15" s="20"/>
    </row>
    <row r="16" spans="1:7" ht="23.25" x14ac:dyDescent="0.35">
      <c r="A16" s="20" t="s">
        <v>106</v>
      </c>
      <c r="B16" s="23">
        <v>0</v>
      </c>
      <c r="C16" s="75"/>
      <c r="D16" s="282">
        <v>0.4</v>
      </c>
      <c r="E16" s="282">
        <v>0.55000000000000004</v>
      </c>
      <c r="F16" s="282">
        <v>0.85</v>
      </c>
      <c r="G16" s="20"/>
    </row>
    <row r="17" spans="1:7" ht="23.25" x14ac:dyDescent="0.35">
      <c r="A17" s="20" t="s">
        <v>16</v>
      </c>
      <c r="B17" s="23">
        <v>250</v>
      </c>
      <c r="C17" s="75"/>
      <c r="D17" s="76">
        <f>B19*1.4</f>
        <v>15.453789473684209</v>
      </c>
      <c r="E17" s="76">
        <f>B19*1.6</f>
        <v>17.661473684210527</v>
      </c>
      <c r="F17" s="76">
        <f>B19*1.99</f>
        <v>21.966457894736841</v>
      </c>
      <c r="G17" s="20"/>
    </row>
    <row r="18" spans="1:7" ht="24" thickBot="1" x14ac:dyDescent="0.4">
      <c r="A18" s="20" t="s">
        <v>18</v>
      </c>
      <c r="B18" s="116">
        <v>4000</v>
      </c>
      <c r="C18" s="75"/>
      <c r="D18" s="75"/>
      <c r="E18" s="75"/>
      <c r="F18" s="75"/>
      <c r="G18" s="20"/>
    </row>
    <row r="19" spans="1:7" ht="23.25" x14ac:dyDescent="0.35">
      <c r="A19" s="20"/>
      <c r="B19" s="23">
        <f>SUM(B5:B18)/F3</f>
        <v>11.038421052631579</v>
      </c>
      <c r="F19" s="75"/>
      <c r="G19" s="20"/>
    </row>
    <row r="22" spans="1:7" x14ac:dyDescent="0.25">
      <c r="A22" t="s">
        <v>368</v>
      </c>
      <c r="B22">
        <f>25000+8000*1.7</f>
        <v>38600</v>
      </c>
      <c r="C22">
        <f>B22/3800</f>
        <v>10.157894736842104</v>
      </c>
    </row>
  </sheetData>
  <mergeCells count="6">
    <mergeCell ref="A2:G2"/>
    <mergeCell ref="A3:B3"/>
    <mergeCell ref="A4:B4"/>
    <mergeCell ref="D11:F11"/>
    <mergeCell ref="E15:F15"/>
    <mergeCell ref="F6:G6"/>
  </mergeCells>
  <pageMargins left="0.7" right="0.7" top="0.75" bottom="0.75" header="0.3" footer="0.3"/>
  <pageSetup paperSize="9" orientation="portrait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H45"/>
  <sheetViews>
    <sheetView zoomScale="85" zoomScaleNormal="85" workbookViewId="0">
      <selection activeCell="C24" sqref="C24"/>
    </sheetView>
  </sheetViews>
  <sheetFormatPr baseColWidth="10" defaultRowHeight="15" x14ac:dyDescent="0.25"/>
  <cols>
    <col min="1" max="1" width="26.28515625" customWidth="1"/>
    <col min="2" max="2" width="14.28515625" customWidth="1"/>
    <col min="3" max="3" width="16.85546875" bestFit="1" customWidth="1"/>
    <col min="4" max="4" width="15.28515625" bestFit="1" customWidth="1"/>
    <col min="5" max="5" width="12.42578125" customWidth="1"/>
  </cols>
  <sheetData>
    <row r="2" spans="1:8" ht="18.75" x14ac:dyDescent="0.3">
      <c r="D2" s="295">
        <v>3800</v>
      </c>
    </row>
    <row r="3" spans="1:8" ht="28.5" x14ac:dyDescent="0.45">
      <c r="A3" s="15" t="s">
        <v>278</v>
      </c>
      <c r="B3" s="91"/>
    </row>
    <row r="4" spans="1:8" ht="18.75" x14ac:dyDescent="0.3">
      <c r="A4" s="287" t="s">
        <v>9</v>
      </c>
      <c r="B4" s="286">
        <f>2.5*2*D2/2</f>
        <v>9500</v>
      </c>
      <c r="H4" s="29" t="s">
        <v>442</v>
      </c>
    </row>
    <row r="5" spans="1:8" ht="18.75" x14ac:dyDescent="0.3">
      <c r="A5" s="287" t="s">
        <v>282</v>
      </c>
      <c r="B5" s="286">
        <f>3*1.8/12*D2</f>
        <v>1710</v>
      </c>
      <c r="H5">
        <v>1.5</v>
      </c>
    </row>
    <row r="6" spans="1:8" ht="23.25" x14ac:dyDescent="0.3">
      <c r="A6" s="287" t="s">
        <v>279</v>
      </c>
      <c r="B6" s="286">
        <v>15000</v>
      </c>
      <c r="D6" s="1035" t="s">
        <v>290</v>
      </c>
      <c r="E6" s="1035"/>
      <c r="F6" s="1035"/>
    </row>
    <row r="7" spans="1:8" ht="18.75" x14ac:dyDescent="0.3">
      <c r="A7" s="288" t="s">
        <v>280</v>
      </c>
      <c r="B7" s="289">
        <f>2.2*13000/2</f>
        <v>14300.000000000002</v>
      </c>
      <c r="D7" s="426">
        <f>D12</f>
        <v>22.154473684210526</v>
      </c>
      <c r="E7" s="426">
        <f>E12</f>
        <v>25.97421052631579</v>
      </c>
      <c r="F7" s="426">
        <f>F12</f>
        <v>27.502105263157894</v>
      </c>
    </row>
    <row r="8" spans="1:8" ht="18.75" x14ac:dyDescent="0.3">
      <c r="A8" s="288" t="s">
        <v>281</v>
      </c>
      <c r="B8" s="289">
        <v>3500</v>
      </c>
    </row>
    <row r="9" spans="1:8" ht="18.75" x14ac:dyDescent="0.3">
      <c r="A9" s="288" t="s">
        <v>1</v>
      </c>
      <c r="B9" s="289">
        <v>700</v>
      </c>
    </row>
    <row r="10" spans="1:8" ht="18.75" x14ac:dyDescent="0.3">
      <c r="A10" s="287" t="s">
        <v>11</v>
      </c>
      <c r="B10" s="286">
        <v>4000</v>
      </c>
    </row>
    <row r="11" spans="1:8" ht="18.75" x14ac:dyDescent="0.3">
      <c r="A11" s="287" t="s">
        <v>12</v>
      </c>
      <c r="B11" s="286">
        <v>5000</v>
      </c>
      <c r="D11" s="6" t="s">
        <v>22</v>
      </c>
      <c r="E11" s="6" t="s">
        <v>23</v>
      </c>
      <c r="F11" s="6" t="s">
        <v>24</v>
      </c>
    </row>
    <row r="12" spans="1:8" ht="18.75" x14ac:dyDescent="0.3">
      <c r="A12" s="287" t="s">
        <v>28</v>
      </c>
      <c r="B12" s="286">
        <v>0</v>
      </c>
      <c r="D12" s="6">
        <f>B15*1.45/D2</f>
        <v>22.154473684210526</v>
      </c>
      <c r="E12" s="6">
        <f>B15*1.7/D2</f>
        <v>25.97421052631579</v>
      </c>
      <c r="F12" s="6">
        <f>B15*1.8/D2</f>
        <v>27.502105263157894</v>
      </c>
    </row>
    <row r="13" spans="1:8" ht="18.75" x14ac:dyDescent="0.3">
      <c r="A13" s="287" t="s">
        <v>16</v>
      </c>
      <c r="B13" s="286">
        <v>350</v>
      </c>
    </row>
    <row r="14" spans="1:8" ht="19.5" thickBot="1" x14ac:dyDescent="0.35">
      <c r="A14" s="287" t="s">
        <v>18</v>
      </c>
      <c r="B14" s="291">
        <v>4000</v>
      </c>
    </row>
    <row r="15" spans="1:8" ht="18.75" x14ac:dyDescent="0.3">
      <c r="A15" s="287"/>
      <c r="B15" s="286">
        <f>SUM(B4:B14)</f>
        <v>58060</v>
      </c>
    </row>
    <row r="17" spans="1:6" ht="18.75" x14ac:dyDescent="0.3">
      <c r="D17" s="295"/>
    </row>
    <row r="18" spans="1:6" ht="28.5" x14ac:dyDescent="0.45">
      <c r="A18" s="15" t="s">
        <v>278</v>
      </c>
      <c r="B18" s="91"/>
    </row>
    <row r="19" spans="1:6" ht="18.75" x14ac:dyDescent="0.3">
      <c r="A19" s="287" t="s">
        <v>9</v>
      </c>
      <c r="B19" s="286">
        <f>3*1.5*D2</f>
        <v>17100</v>
      </c>
    </row>
    <row r="20" spans="1:6" ht="18.75" x14ac:dyDescent="0.3">
      <c r="A20" s="287" t="s">
        <v>282</v>
      </c>
      <c r="B20" s="286">
        <f>3*1.7/12*D2</f>
        <v>1615</v>
      </c>
    </row>
    <row r="21" spans="1:6" ht="23.25" x14ac:dyDescent="0.3">
      <c r="A21" s="287" t="s">
        <v>279</v>
      </c>
      <c r="B21" s="286">
        <v>8000</v>
      </c>
      <c r="D21" s="1035" t="s">
        <v>291</v>
      </c>
      <c r="E21" s="1035"/>
      <c r="F21" s="1035"/>
    </row>
    <row r="22" spans="1:6" ht="18.75" x14ac:dyDescent="0.3">
      <c r="A22" s="288" t="s">
        <v>280</v>
      </c>
      <c r="B22" s="289">
        <f>17000*3/2</f>
        <v>25500</v>
      </c>
      <c r="D22" s="426">
        <f>D27</f>
        <v>22.645</v>
      </c>
      <c r="E22" s="426">
        <f>E27</f>
        <v>27.497499999999999</v>
      </c>
      <c r="F22" s="426">
        <f>F27</f>
        <v>32.188250000000004</v>
      </c>
    </row>
    <row r="23" spans="1:6" ht="18.75" x14ac:dyDescent="0.3">
      <c r="A23" s="288" t="s">
        <v>281</v>
      </c>
      <c r="B23" s="289">
        <v>4500</v>
      </c>
    </row>
    <row r="24" spans="1:6" ht="18.75" x14ac:dyDescent="0.3">
      <c r="A24" s="288" t="s">
        <v>1</v>
      </c>
      <c r="B24" s="289">
        <v>700</v>
      </c>
    </row>
    <row r="25" spans="1:6" ht="18.75" x14ac:dyDescent="0.3">
      <c r="A25" s="287" t="s">
        <v>11</v>
      </c>
      <c r="B25" s="286">
        <v>0</v>
      </c>
    </row>
    <row r="26" spans="1:6" ht="18.75" x14ac:dyDescent="0.3">
      <c r="A26" s="287" t="s">
        <v>12</v>
      </c>
      <c r="B26" s="286">
        <v>0</v>
      </c>
      <c r="D26" s="6" t="s">
        <v>22</v>
      </c>
      <c r="E26" s="6" t="s">
        <v>23</v>
      </c>
      <c r="F26" s="6" t="s">
        <v>24</v>
      </c>
    </row>
    <row r="27" spans="1:6" ht="18.75" x14ac:dyDescent="0.3">
      <c r="A27" s="287" t="s">
        <v>28</v>
      </c>
      <c r="B27" s="286">
        <v>0</v>
      </c>
      <c r="D27" s="6">
        <f>B30*1.4</f>
        <v>22.645</v>
      </c>
      <c r="E27" s="6">
        <f>B30*1.7</f>
        <v>27.497499999999999</v>
      </c>
      <c r="F27" s="6">
        <f>B30*1.99</f>
        <v>32.188250000000004</v>
      </c>
    </row>
    <row r="28" spans="1:6" ht="18.75" x14ac:dyDescent="0.3">
      <c r="A28" s="287" t="s">
        <v>16</v>
      </c>
      <c r="B28" s="286">
        <v>350</v>
      </c>
    </row>
    <row r="29" spans="1:6" ht="19.5" thickBot="1" x14ac:dyDescent="0.35">
      <c r="A29" s="287" t="s">
        <v>18</v>
      </c>
      <c r="B29" s="291">
        <v>3700</v>
      </c>
    </row>
    <row r="30" spans="1:6" ht="20.100000000000001" customHeight="1" x14ac:dyDescent="0.3">
      <c r="A30" s="287"/>
      <c r="B30" s="286">
        <f>SUM(B19:B29)/D2</f>
        <v>16.175000000000001</v>
      </c>
    </row>
    <row r="31" spans="1:6" ht="20.100000000000001" customHeight="1" x14ac:dyDescent="0.25"/>
    <row r="32" spans="1:6" ht="20.100000000000001" customHeight="1" x14ac:dyDescent="0.45">
      <c r="A32" s="15"/>
      <c r="B32" s="91"/>
      <c r="C32" s="3"/>
      <c r="D32" s="3"/>
      <c r="E32" s="3"/>
      <c r="F32" s="3"/>
    </row>
    <row r="33" spans="1:6" ht="20.100000000000001" customHeight="1" x14ac:dyDescent="0.35">
      <c r="A33" s="287"/>
      <c r="B33" s="456">
        <f>14*2.05</f>
        <v>28.699999999999996</v>
      </c>
      <c r="C33" s="456">
        <f>B33*13000</f>
        <v>373099.99999999994</v>
      </c>
      <c r="D33" s="456">
        <f>C33/4000</f>
        <v>93.274999999999991</v>
      </c>
      <c r="E33" s="459" t="s">
        <v>332</v>
      </c>
      <c r="F33" s="457"/>
    </row>
    <row r="34" spans="1:6" ht="20.100000000000001" customHeight="1" x14ac:dyDescent="0.35">
      <c r="A34" s="287"/>
      <c r="B34" s="456">
        <f>28*3*500</f>
        <v>42000</v>
      </c>
      <c r="D34" s="457">
        <f>B34/4000</f>
        <v>10.5</v>
      </c>
      <c r="E34" s="454" t="s">
        <v>333</v>
      </c>
      <c r="F34" s="457"/>
    </row>
    <row r="35" spans="1:6" ht="20.100000000000001" customHeight="1" x14ac:dyDescent="0.35">
      <c r="A35" s="287"/>
      <c r="B35" s="456">
        <f>14*2.05</f>
        <v>28.699999999999996</v>
      </c>
      <c r="C35" s="457"/>
      <c r="D35" s="458">
        <f>B35*1.5</f>
        <v>43.05</v>
      </c>
      <c r="E35" s="460" t="s">
        <v>334</v>
      </c>
      <c r="F35" s="458"/>
    </row>
    <row r="36" spans="1:6" ht="21.75" thickBot="1" x14ac:dyDescent="0.4">
      <c r="A36" s="287"/>
      <c r="B36" s="456"/>
      <c r="C36" s="457"/>
      <c r="D36" s="461">
        <f>3*1.6</f>
        <v>4.8000000000000007</v>
      </c>
      <c r="E36" s="455" t="s">
        <v>335</v>
      </c>
      <c r="F36" s="456"/>
    </row>
    <row r="37" spans="1:6" ht="21.75" thickTop="1" x14ac:dyDescent="0.35">
      <c r="A37" s="287"/>
      <c r="B37" s="456"/>
      <c r="C37" s="457"/>
      <c r="D37" s="456">
        <f>SUM(D33:D36)</f>
        <v>151.625</v>
      </c>
      <c r="E37" s="457"/>
      <c r="F37" s="457"/>
    </row>
    <row r="38" spans="1:6" ht="18.75" x14ac:dyDescent="0.3">
      <c r="A38" s="287"/>
      <c r="B38" s="286"/>
      <c r="C38" s="3"/>
      <c r="D38" s="3"/>
      <c r="E38" s="3"/>
      <c r="F38" s="3"/>
    </row>
    <row r="39" spans="1:6" ht="18.75" x14ac:dyDescent="0.3">
      <c r="A39" s="287"/>
      <c r="B39" s="286"/>
      <c r="C39" s="3"/>
      <c r="D39" s="3"/>
      <c r="E39" s="3"/>
      <c r="F39" s="3"/>
    </row>
    <row r="40" spans="1:6" ht="18.75" x14ac:dyDescent="0.3">
      <c r="A40" s="287"/>
      <c r="B40" s="286"/>
      <c r="C40" s="3"/>
      <c r="D40" s="6"/>
      <c r="E40" s="6"/>
      <c r="F40" s="6"/>
    </row>
    <row r="41" spans="1:6" ht="18.75" x14ac:dyDescent="0.3">
      <c r="A41" s="287"/>
      <c r="B41" s="286"/>
      <c r="C41" s="3"/>
      <c r="D41" s="6"/>
      <c r="E41" s="6"/>
      <c r="F41" s="6"/>
    </row>
    <row r="42" spans="1:6" ht="18.75" x14ac:dyDescent="0.3">
      <c r="A42" s="287"/>
      <c r="B42" s="286"/>
      <c r="C42" s="3"/>
      <c r="D42" s="3"/>
      <c r="E42" s="3"/>
      <c r="F42" s="3"/>
    </row>
    <row r="43" spans="1:6" ht="18.75" x14ac:dyDescent="0.3">
      <c r="A43" s="287"/>
      <c r="B43" s="286"/>
      <c r="C43" s="3"/>
      <c r="D43" s="3"/>
      <c r="E43" s="3"/>
      <c r="F43" s="3"/>
    </row>
    <row r="44" spans="1:6" ht="18.75" x14ac:dyDescent="0.3">
      <c r="A44" s="287"/>
      <c r="B44" s="286"/>
      <c r="C44" s="3"/>
      <c r="D44" s="3"/>
      <c r="E44" s="3"/>
      <c r="F44" s="3"/>
    </row>
    <row r="45" spans="1:6" x14ac:dyDescent="0.25">
      <c r="A45" s="3"/>
      <c r="B45" s="3"/>
      <c r="C45" s="3"/>
      <c r="D45" s="3"/>
      <c r="E45" s="3"/>
      <c r="F45" s="3"/>
    </row>
  </sheetData>
  <mergeCells count="2">
    <mergeCell ref="D6:F6"/>
    <mergeCell ref="D21:F21"/>
  </mergeCells>
  <pageMargins left="0.7" right="0.7" top="0.75" bottom="0.75" header="0.3" footer="0.3"/>
  <pageSetup paperSize="9" orientation="portrait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F5161-5B76-459F-B663-DFBB870341B7}">
  <dimension ref="A2:I24"/>
  <sheetViews>
    <sheetView topLeftCell="A4" workbookViewId="0">
      <selection activeCell="I18" sqref="I18"/>
    </sheetView>
  </sheetViews>
  <sheetFormatPr baseColWidth="10" defaultRowHeight="15" x14ac:dyDescent="0.25"/>
  <cols>
    <col min="1" max="1" width="31.28515625" customWidth="1"/>
    <col min="2" max="2" width="16.140625" customWidth="1"/>
    <col min="4" max="4" width="14.28515625" customWidth="1"/>
    <col min="5" max="5" width="12.7109375" customWidth="1"/>
    <col min="6" max="6" width="13.5703125" customWidth="1"/>
    <col min="7" max="7" width="14" customWidth="1"/>
    <col min="8" max="8" width="15.7109375" customWidth="1"/>
    <col min="9" max="9" width="15.140625" customWidth="1"/>
  </cols>
  <sheetData>
    <row r="2" spans="1:9" ht="18.75" x14ac:dyDescent="0.3">
      <c r="D2" s="295">
        <v>3800</v>
      </c>
    </row>
    <row r="3" spans="1:9" ht="28.5" x14ac:dyDescent="0.45">
      <c r="A3" s="15" t="s">
        <v>445</v>
      </c>
      <c r="B3" s="91"/>
      <c r="G3" s="697" t="s">
        <v>502</v>
      </c>
      <c r="H3" s="697" t="s">
        <v>507</v>
      </c>
      <c r="I3" s="697" t="s">
        <v>506</v>
      </c>
    </row>
    <row r="4" spans="1:9" ht="20.100000000000001" customHeight="1" x14ac:dyDescent="0.3">
      <c r="A4" s="287" t="s">
        <v>446</v>
      </c>
      <c r="B4" s="286">
        <f>1*1*D2/3</f>
        <v>1266.6666666666667</v>
      </c>
      <c r="G4" s="662" t="s">
        <v>503</v>
      </c>
      <c r="H4" s="662" t="s">
        <v>504</v>
      </c>
      <c r="I4" s="662">
        <v>160</v>
      </c>
    </row>
    <row r="5" spans="1:9" ht="20.100000000000001" customHeight="1" x14ac:dyDescent="0.3">
      <c r="A5" s="287" t="s">
        <v>282</v>
      </c>
      <c r="B5" s="286">
        <f>1*1.8/18*D2</f>
        <v>380</v>
      </c>
      <c r="G5" s="662"/>
      <c r="H5" s="662" t="s">
        <v>505</v>
      </c>
      <c r="I5" s="662">
        <v>200</v>
      </c>
    </row>
    <row r="6" spans="1:9" ht="20.100000000000001" customHeight="1" x14ac:dyDescent="0.3">
      <c r="A6" s="290" t="s">
        <v>447</v>
      </c>
      <c r="B6" s="286">
        <v>800</v>
      </c>
      <c r="D6" s="1035" t="s">
        <v>448</v>
      </c>
      <c r="E6" s="1035"/>
      <c r="F6" s="1035"/>
      <c r="G6" s="662"/>
      <c r="H6" s="662"/>
      <c r="I6" s="662"/>
    </row>
    <row r="7" spans="1:9" ht="20.100000000000001" customHeight="1" x14ac:dyDescent="0.3">
      <c r="A7" s="288" t="s">
        <v>281</v>
      </c>
      <c r="B7" s="289">
        <v>1000</v>
      </c>
      <c r="D7" s="6" t="s">
        <v>22</v>
      </c>
      <c r="E7" s="6" t="s">
        <v>23</v>
      </c>
      <c r="F7" s="6" t="s">
        <v>24</v>
      </c>
      <c r="G7" s="662" t="s">
        <v>508</v>
      </c>
      <c r="H7" s="662" t="s">
        <v>509</v>
      </c>
      <c r="I7" s="662">
        <v>120</v>
      </c>
    </row>
    <row r="8" spans="1:9" ht="20.100000000000001" customHeight="1" x14ac:dyDescent="0.3">
      <c r="A8" s="288" t="s">
        <v>1</v>
      </c>
      <c r="B8" s="289">
        <v>700</v>
      </c>
      <c r="D8" s="6">
        <f>B14*1.45</f>
        <v>4.5776754385964917</v>
      </c>
      <c r="E8" s="6">
        <f>B14*1.6</f>
        <v>5.0512280701754397</v>
      </c>
      <c r="F8" s="6">
        <f>B14*1.8</f>
        <v>5.6826315789473689</v>
      </c>
      <c r="G8" s="662"/>
      <c r="H8" s="662" t="s">
        <v>505</v>
      </c>
      <c r="I8" s="662">
        <v>160</v>
      </c>
    </row>
    <row r="9" spans="1:9" ht="20.100000000000001" customHeight="1" x14ac:dyDescent="0.3">
      <c r="A9" s="287" t="s">
        <v>11</v>
      </c>
      <c r="B9" s="286">
        <v>1500</v>
      </c>
      <c r="G9" s="662"/>
      <c r="H9" s="662"/>
      <c r="I9" s="662"/>
    </row>
    <row r="10" spans="1:9" ht="20.100000000000001" customHeight="1" x14ac:dyDescent="0.3">
      <c r="A10" s="287" t="s">
        <v>12</v>
      </c>
      <c r="B10" s="286">
        <v>2000</v>
      </c>
      <c r="G10" s="662" t="s">
        <v>510</v>
      </c>
      <c r="H10" s="662" t="s">
        <v>504</v>
      </c>
      <c r="I10" s="662">
        <v>90</v>
      </c>
    </row>
    <row r="11" spans="1:9" ht="20.100000000000001" customHeight="1" x14ac:dyDescent="0.3">
      <c r="A11" s="287" t="s">
        <v>28</v>
      </c>
      <c r="B11" s="286">
        <v>0</v>
      </c>
      <c r="G11" s="662"/>
      <c r="H11" s="662" t="s">
        <v>511</v>
      </c>
      <c r="I11" s="662">
        <v>130</v>
      </c>
    </row>
    <row r="12" spans="1:9" ht="20.100000000000001" customHeight="1" x14ac:dyDescent="0.3">
      <c r="A12" s="287" t="s">
        <v>16</v>
      </c>
      <c r="B12" s="286">
        <v>350</v>
      </c>
      <c r="G12" s="662"/>
      <c r="H12" s="662"/>
      <c r="I12" s="662"/>
    </row>
    <row r="13" spans="1:9" ht="20.100000000000001" customHeight="1" thickBot="1" x14ac:dyDescent="0.35">
      <c r="A13" s="287" t="s">
        <v>18</v>
      </c>
      <c r="B13" s="291">
        <v>4000</v>
      </c>
      <c r="G13" s="662"/>
      <c r="H13" s="662"/>
      <c r="I13" s="662"/>
    </row>
    <row r="14" spans="1:9" ht="20.100000000000001" customHeight="1" x14ac:dyDescent="0.3">
      <c r="A14" s="287"/>
      <c r="B14" s="286">
        <f>SUM(B4:B13)/D2</f>
        <v>3.1570175438596495</v>
      </c>
    </row>
    <row r="15" spans="1:9" ht="38.25" customHeight="1" x14ac:dyDescent="0.25">
      <c r="D15" s="708" t="s">
        <v>578</v>
      </c>
      <c r="E15" s="708" t="s">
        <v>579</v>
      </c>
      <c r="F15" s="729" t="s">
        <v>581</v>
      </c>
      <c r="G15" s="664" t="s">
        <v>580</v>
      </c>
    </row>
    <row r="16" spans="1:9" ht="24.95" customHeight="1" x14ac:dyDescent="0.25">
      <c r="D16" s="727" t="s">
        <v>503</v>
      </c>
      <c r="E16" s="727">
        <v>1800</v>
      </c>
      <c r="F16" s="2">
        <f>E16*100</f>
        <v>180000</v>
      </c>
      <c r="G16" s="728">
        <f>F16/4000</f>
        <v>45</v>
      </c>
    </row>
    <row r="17" spans="4:7" ht="24.95" customHeight="1" x14ac:dyDescent="0.25">
      <c r="D17" s="727" t="s">
        <v>508</v>
      </c>
      <c r="E17" s="727">
        <v>1600</v>
      </c>
      <c r="F17" s="2">
        <f>E17*100</f>
        <v>160000</v>
      </c>
      <c r="G17" s="728">
        <f>F17/4000</f>
        <v>40</v>
      </c>
    </row>
    <row r="18" spans="4:7" ht="24.95" customHeight="1" x14ac:dyDescent="0.25">
      <c r="D18" s="727" t="s">
        <v>510</v>
      </c>
      <c r="E18" s="727">
        <v>1400</v>
      </c>
      <c r="F18" s="2">
        <f>E18*100</f>
        <v>140000</v>
      </c>
      <c r="G18" s="728">
        <f>F18/4000</f>
        <v>35</v>
      </c>
    </row>
    <row r="19" spans="4:7" ht="24.95" customHeight="1" x14ac:dyDescent="0.25">
      <c r="D19" s="727"/>
      <c r="E19" s="727"/>
    </row>
    <row r="20" spans="4:7" ht="30.75" customHeight="1" x14ac:dyDescent="0.25">
      <c r="D20" s="708" t="s">
        <v>578</v>
      </c>
      <c r="E20" s="708" t="s">
        <v>579</v>
      </c>
      <c r="F20" s="729" t="s">
        <v>582</v>
      </c>
      <c r="G20" s="664" t="s">
        <v>580</v>
      </c>
    </row>
    <row r="21" spans="4:7" ht="24.95" customHeight="1" x14ac:dyDescent="0.25">
      <c r="D21" s="727" t="s">
        <v>503</v>
      </c>
      <c r="E21" s="727">
        <f>1800+400</f>
        <v>2200</v>
      </c>
      <c r="F21" s="2">
        <f>E21*100</f>
        <v>220000</v>
      </c>
      <c r="G21" s="728">
        <f>F21/4000</f>
        <v>55</v>
      </c>
    </row>
    <row r="22" spans="4:7" ht="24.95" customHeight="1" x14ac:dyDescent="0.25">
      <c r="D22" s="727" t="s">
        <v>508</v>
      </c>
      <c r="E22" s="727">
        <f>1600+400</f>
        <v>2000</v>
      </c>
      <c r="F22" s="2">
        <f>E22*100</f>
        <v>200000</v>
      </c>
      <c r="G22" s="728">
        <f>F22/4000</f>
        <v>50</v>
      </c>
    </row>
    <row r="23" spans="4:7" ht="24.95" customHeight="1" x14ac:dyDescent="0.25">
      <c r="D23" s="727" t="s">
        <v>510</v>
      </c>
      <c r="E23" s="727">
        <f>1400+400</f>
        <v>1800</v>
      </c>
      <c r="F23" s="2">
        <f>E23*100</f>
        <v>180000</v>
      </c>
      <c r="G23" s="728">
        <f>F23/4000</f>
        <v>45</v>
      </c>
    </row>
    <row r="24" spans="4:7" ht="24.95" customHeight="1" x14ac:dyDescent="0.25"/>
  </sheetData>
  <mergeCells count="1">
    <mergeCell ref="D6:F6"/>
  </mergeCells>
  <pageMargins left="0.7" right="0.7" top="0.75" bottom="0.75" header="0.3" footer="0.3"/>
  <pageSetup paperSize="9" orientation="portrait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AE61"/>
  <sheetViews>
    <sheetView topLeftCell="A7" zoomScale="60" zoomScaleNormal="60" workbookViewId="0">
      <selection activeCell="D51" sqref="D51"/>
    </sheetView>
  </sheetViews>
  <sheetFormatPr baseColWidth="10" defaultRowHeight="15" x14ac:dyDescent="0.25"/>
  <cols>
    <col min="1" max="1" width="35.7109375" customWidth="1"/>
    <col min="2" max="2" width="16" customWidth="1"/>
    <col min="5" max="5" width="15.140625" customWidth="1"/>
    <col min="6" max="6" width="12.42578125" bestFit="1" customWidth="1"/>
    <col min="9" max="9" width="37.5703125" customWidth="1"/>
    <col min="10" max="10" width="14.140625" bestFit="1" customWidth="1"/>
    <col min="14" max="14" width="12.5703125" bestFit="1" customWidth="1"/>
    <col min="17" max="17" width="35.140625" customWidth="1"/>
    <col min="18" max="18" width="14.140625" bestFit="1" customWidth="1"/>
    <col min="22" max="22" width="12.5703125" bestFit="1" customWidth="1"/>
    <col min="25" max="25" width="32.5703125" bestFit="1" customWidth="1"/>
    <col min="26" max="26" width="14.140625" bestFit="1" customWidth="1"/>
    <col min="30" max="30" width="12.5703125" bestFit="1" customWidth="1"/>
  </cols>
  <sheetData>
    <row r="2" spans="1:31" ht="31.5" x14ac:dyDescent="0.35">
      <c r="A2" s="1037" t="s">
        <v>322</v>
      </c>
      <c r="B2" s="1037"/>
      <c r="C2" s="1037"/>
      <c r="D2" s="1037"/>
      <c r="E2" s="1037"/>
      <c r="F2" s="1037"/>
      <c r="G2" s="312"/>
      <c r="I2" s="1037" t="s">
        <v>322</v>
      </c>
      <c r="J2" s="1037"/>
      <c r="K2" s="1037"/>
      <c r="L2" s="1037"/>
      <c r="M2" s="1037"/>
      <c r="N2" s="1037"/>
      <c r="O2" s="312"/>
      <c r="Q2" s="1037" t="s">
        <v>323</v>
      </c>
      <c r="R2" s="1037"/>
      <c r="S2" s="1037"/>
      <c r="T2" s="1037"/>
      <c r="U2" s="1037"/>
      <c r="V2" s="1037"/>
      <c r="W2" s="312"/>
      <c r="Y2" s="1037" t="s">
        <v>323</v>
      </c>
      <c r="Z2" s="1037"/>
      <c r="AA2" s="1037"/>
      <c r="AB2" s="1037"/>
      <c r="AC2" s="1037"/>
      <c r="AD2" s="1037"/>
      <c r="AE2" s="312"/>
    </row>
    <row r="3" spans="1:31" ht="23.25" x14ac:dyDescent="0.35">
      <c r="A3" s="1038" t="s">
        <v>26</v>
      </c>
      <c r="B3" s="1038"/>
      <c r="C3" s="300"/>
      <c r="D3" s="430" t="s">
        <v>52</v>
      </c>
      <c r="E3" s="300"/>
      <c r="F3" s="300">
        <v>3800</v>
      </c>
      <c r="G3" s="301"/>
      <c r="I3" s="1038" t="s">
        <v>26</v>
      </c>
      <c r="J3" s="1038"/>
      <c r="K3" s="300"/>
      <c r="L3" s="430" t="s">
        <v>52</v>
      </c>
      <c r="M3" s="300"/>
      <c r="N3" s="300">
        <v>3800</v>
      </c>
      <c r="O3" s="301"/>
      <c r="Q3" s="1038" t="s">
        <v>26</v>
      </c>
      <c r="R3" s="1038"/>
      <c r="S3" s="300"/>
      <c r="T3" s="445" t="s">
        <v>52</v>
      </c>
      <c r="U3" s="300"/>
      <c r="V3" s="300">
        <v>4000</v>
      </c>
      <c r="W3" s="301"/>
      <c r="Y3" s="1038" t="s">
        <v>26</v>
      </c>
      <c r="Z3" s="1038"/>
      <c r="AA3" s="300"/>
      <c r="AB3" s="445" t="s">
        <v>52</v>
      </c>
      <c r="AC3" s="300"/>
      <c r="AD3" s="300">
        <v>4500</v>
      </c>
      <c r="AE3" s="301"/>
    </row>
    <row r="4" spans="1:31" ht="23.25" x14ac:dyDescent="0.35">
      <c r="A4" s="301" t="s">
        <v>336</v>
      </c>
      <c r="B4" s="303">
        <f>1.4*4*F3</f>
        <v>21280</v>
      </c>
      <c r="C4" s="300"/>
      <c r="D4" s="300"/>
      <c r="E4" s="300"/>
      <c r="F4" s="300"/>
      <c r="G4" s="301"/>
      <c r="I4" s="301" t="s">
        <v>324</v>
      </c>
      <c r="J4" s="303">
        <f>1.1*3.95*N3</f>
        <v>16511.000000000004</v>
      </c>
      <c r="K4" s="300"/>
      <c r="L4" s="300"/>
      <c r="M4" s="300"/>
      <c r="N4" s="300"/>
      <c r="O4" s="301"/>
      <c r="Q4" s="301" t="s">
        <v>366</v>
      </c>
      <c r="R4" s="303">
        <f>1.8*4.5*V3</f>
        <v>32400</v>
      </c>
      <c r="S4" s="300"/>
      <c r="T4" s="300"/>
      <c r="U4" s="300"/>
      <c r="V4" s="300"/>
      <c r="W4" s="301"/>
      <c r="Y4" s="301" t="s">
        <v>301</v>
      </c>
      <c r="Z4" s="303">
        <f>1.8*1.95*AD3</f>
        <v>15794.999999999998</v>
      </c>
      <c r="AA4" s="300"/>
      <c r="AB4" s="300"/>
      <c r="AC4" s="300"/>
      <c r="AD4" s="300"/>
      <c r="AE4" s="301"/>
    </row>
    <row r="5" spans="1:31" ht="23.25" x14ac:dyDescent="0.35">
      <c r="A5" s="301" t="s">
        <v>1</v>
      </c>
      <c r="B5" s="303">
        <v>1000</v>
      </c>
      <c r="C5" s="300"/>
      <c r="D5" s="300"/>
      <c r="E5" s="300"/>
      <c r="F5" s="300"/>
      <c r="G5" s="301"/>
      <c r="I5" s="301" t="s">
        <v>1</v>
      </c>
      <c r="J5" s="303">
        <v>1000</v>
      </c>
      <c r="K5" s="300"/>
      <c r="L5" s="300"/>
      <c r="M5" s="300"/>
      <c r="N5" s="300"/>
      <c r="O5" s="301"/>
      <c r="Q5" s="301" t="s">
        <v>1</v>
      </c>
      <c r="R5" s="303">
        <v>1000</v>
      </c>
      <c r="S5" s="300"/>
      <c r="T5" s="300"/>
      <c r="U5" s="300"/>
      <c r="V5" s="300"/>
      <c r="W5" s="301"/>
      <c r="Y5" s="301" t="s">
        <v>1</v>
      </c>
      <c r="Z5" s="303">
        <v>1000</v>
      </c>
      <c r="AA5" s="300"/>
      <c r="AB5" s="300"/>
      <c r="AC5" s="300"/>
      <c r="AD5" s="300"/>
      <c r="AE5" s="301"/>
    </row>
    <row r="6" spans="1:31" ht="31.5" x14ac:dyDescent="0.5">
      <c r="A6" s="301" t="s">
        <v>276</v>
      </c>
      <c r="B6" s="303">
        <f>150*7</f>
        <v>1050</v>
      </c>
      <c r="C6" s="300"/>
      <c r="D6" s="1036" t="s">
        <v>312</v>
      </c>
      <c r="E6" s="1036"/>
      <c r="F6" s="1036"/>
      <c r="G6" s="301"/>
      <c r="I6" s="301" t="s">
        <v>276</v>
      </c>
      <c r="J6" s="303">
        <v>3000</v>
      </c>
      <c r="K6" s="300"/>
      <c r="L6" s="300"/>
      <c r="M6" s="436" t="s">
        <v>58</v>
      </c>
      <c r="N6" s="300"/>
      <c r="O6" s="301"/>
      <c r="Q6" s="301" t="s">
        <v>276</v>
      </c>
      <c r="R6" s="303">
        <f>500*8</f>
        <v>4000</v>
      </c>
      <c r="S6" s="300"/>
      <c r="T6" s="1036" t="s">
        <v>312</v>
      </c>
      <c r="U6" s="1036"/>
      <c r="V6" s="1036"/>
      <c r="W6" s="301"/>
      <c r="Y6" s="301" t="s">
        <v>276</v>
      </c>
      <c r="Z6" s="303">
        <f>500*8</f>
        <v>4000</v>
      </c>
      <c r="AA6" s="300"/>
      <c r="AB6" s="300"/>
      <c r="AC6" s="436" t="s">
        <v>58</v>
      </c>
      <c r="AD6" s="300"/>
      <c r="AE6" s="301"/>
    </row>
    <row r="7" spans="1:31" ht="23.25" x14ac:dyDescent="0.35">
      <c r="A7" s="301" t="s">
        <v>10</v>
      </c>
      <c r="B7" s="303">
        <v>5000</v>
      </c>
      <c r="C7" s="300"/>
      <c r="D7" s="300"/>
      <c r="E7" s="300"/>
      <c r="F7" s="300"/>
      <c r="G7" s="301"/>
      <c r="I7" s="301" t="s">
        <v>10</v>
      </c>
      <c r="J7" s="303">
        <v>6000</v>
      </c>
      <c r="K7" s="300"/>
      <c r="L7" s="300"/>
      <c r="M7" s="300"/>
      <c r="N7" s="300"/>
      <c r="O7" s="301"/>
      <c r="Q7" s="301" t="s">
        <v>10</v>
      </c>
      <c r="R7" s="303">
        <v>6000</v>
      </c>
      <c r="S7" s="300"/>
      <c r="T7" s="300"/>
      <c r="U7" s="300"/>
      <c r="V7" s="300"/>
      <c r="W7" s="301"/>
      <c r="Y7" s="301" t="s">
        <v>10</v>
      </c>
      <c r="Z7" s="303">
        <v>6000</v>
      </c>
      <c r="AA7" s="300"/>
      <c r="AB7" s="300"/>
      <c r="AC7" s="300"/>
      <c r="AD7" s="300"/>
      <c r="AE7" s="301"/>
    </row>
    <row r="8" spans="1:31" ht="28.5" x14ac:dyDescent="0.45">
      <c r="A8" s="301" t="s">
        <v>337</v>
      </c>
      <c r="B8" s="303">
        <v>5000</v>
      </c>
      <c r="C8" s="300"/>
      <c r="D8" s="309"/>
      <c r="E8" s="309" t="s">
        <v>26</v>
      </c>
      <c r="F8" s="309"/>
      <c r="G8" s="309"/>
      <c r="I8" s="301" t="s">
        <v>58</v>
      </c>
      <c r="J8" s="303">
        <v>3000</v>
      </c>
      <c r="K8" s="300"/>
      <c r="L8" s="309"/>
      <c r="M8" s="309" t="s">
        <v>26</v>
      </c>
      <c r="N8" s="309"/>
      <c r="O8" s="309"/>
      <c r="Q8" s="301" t="s">
        <v>313</v>
      </c>
      <c r="R8" s="303">
        <v>6000</v>
      </c>
      <c r="S8" s="300"/>
      <c r="T8" s="309"/>
      <c r="U8" s="309" t="s">
        <v>26</v>
      </c>
      <c r="V8" s="309"/>
      <c r="W8" s="309"/>
      <c r="Y8" s="301" t="s">
        <v>58</v>
      </c>
      <c r="Z8" s="303">
        <v>5000</v>
      </c>
      <c r="AA8" s="300"/>
      <c r="AB8" s="309"/>
      <c r="AC8" s="309" t="s">
        <v>26</v>
      </c>
      <c r="AD8" s="309"/>
      <c r="AE8" s="309"/>
    </row>
    <row r="9" spans="1:31" ht="23.25" x14ac:dyDescent="0.35">
      <c r="A9" s="301" t="s">
        <v>11</v>
      </c>
      <c r="B9" s="303">
        <v>500</v>
      </c>
      <c r="C9" s="300"/>
      <c r="D9" s="305" t="s">
        <v>22</v>
      </c>
      <c r="E9" s="434" t="s">
        <v>23</v>
      </c>
      <c r="F9" s="305" t="s">
        <v>24</v>
      </c>
      <c r="G9" s="306"/>
      <c r="I9" s="301" t="s">
        <v>45</v>
      </c>
      <c r="J9" s="303">
        <f>0.3*2.5*N3/2</f>
        <v>1425</v>
      </c>
      <c r="K9" s="300"/>
      <c r="L9" s="305" t="s">
        <v>22</v>
      </c>
      <c r="M9" s="434" t="s">
        <v>23</v>
      </c>
      <c r="N9" s="305" t="s">
        <v>24</v>
      </c>
      <c r="O9" s="306"/>
      <c r="Q9" s="301" t="s">
        <v>45</v>
      </c>
      <c r="R9" s="303">
        <f>0.3*2.5*V3/2</f>
        <v>1500</v>
      </c>
      <c r="S9" s="300"/>
      <c r="T9" s="305" t="s">
        <v>22</v>
      </c>
      <c r="U9" s="434" t="s">
        <v>23</v>
      </c>
      <c r="V9" s="305" t="s">
        <v>24</v>
      </c>
      <c r="W9" s="306"/>
      <c r="Y9" s="301" t="s">
        <v>45</v>
      </c>
      <c r="Z9" s="303">
        <f>0.3*2.5*AD3/2</f>
        <v>1687.5</v>
      </c>
      <c r="AA9" s="300"/>
      <c r="AB9" s="305" t="s">
        <v>22</v>
      </c>
      <c r="AC9" s="434" t="s">
        <v>23</v>
      </c>
      <c r="AD9" s="305" t="s">
        <v>24</v>
      </c>
      <c r="AE9" s="306"/>
    </row>
    <row r="10" spans="1:31" ht="23.25" x14ac:dyDescent="0.35">
      <c r="A10" s="301" t="s">
        <v>14</v>
      </c>
      <c r="B10" s="303">
        <v>200</v>
      </c>
      <c r="C10" s="300"/>
      <c r="D10" s="305">
        <f>D13</f>
        <v>15.026578947368421</v>
      </c>
      <c r="E10" s="305">
        <f>E13</f>
        <v>18.135526315789473</v>
      </c>
      <c r="F10" s="305">
        <f>F13</f>
        <v>20.622684210526316</v>
      </c>
      <c r="G10" s="306"/>
      <c r="I10" s="301" t="s">
        <v>11</v>
      </c>
      <c r="J10" s="303">
        <v>1000</v>
      </c>
      <c r="K10" s="300"/>
      <c r="L10" s="305">
        <f>L13</f>
        <v>13.200473684210527</v>
      </c>
      <c r="M10" s="305">
        <f>M13</f>
        <v>16.754447368421051</v>
      </c>
      <c r="N10" s="305">
        <f>N13</f>
        <v>18.277578947368422</v>
      </c>
      <c r="O10" s="306"/>
      <c r="Q10" s="301" t="s">
        <v>11</v>
      </c>
      <c r="R10" s="303">
        <v>1000</v>
      </c>
      <c r="S10" s="300"/>
      <c r="T10" s="305">
        <f>T13</f>
        <v>21.985624999999999</v>
      </c>
      <c r="U10" s="305">
        <f>U13</f>
        <v>26.534375000000001</v>
      </c>
      <c r="V10" s="305">
        <f>V13</f>
        <v>30.173375</v>
      </c>
      <c r="W10" s="306"/>
      <c r="Y10" s="301" t="s">
        <v>11</v>
      </c>
      <c r="Z10" s="303">
        <v>2000</v>
      </c>
      <c r="AA10" s="300"/>
      <c r="AB10" s="305">
        <f>AB13</f>
        <v>13.576027777777778</v>
      </c>
      <c r="AC10" s="305">
        <f>AC13</f>
        <v>16.38486111111111</v>
      </c>
      <c r="AD10" s="305">
        <f>AD13</f>
        <v>18.631927777777779</v>
      </c>
      <c r="AE10" s="306"/>
    </row>
    <row r="11" spans="1:31" ht="23.25" x14ac:dyDescent="0.35">
      <c r="A11" s="301" t="s">
        <v>325</v>
      </c>
      <c r="B11" s="303">
        <v>300</v>
      </c>
      <c r="C11" s="300"/>
      <c r="D11" s="303"/>
      <c r="E11" s="303"/>
      <c r="F11" s="303"/>
      <c r="G11" s="306"/>
      <c r="I11" s="301" t="s">
        <v>12</v>
      </c>
      <c r="J11" s="303">
        <v>1000</v>
      </c>
      <c r="K11" s="300"/>
      <c r="L11" s="303"/>
      <c r="M11" s="303"/>
      <c r="N11" s="303"/>
      <c r="O11" s="306"/>
      <c r="Q11" s="301" t="s">
        <v>314</v>
      </c>
      <c r="R11" s="303">
        <v>3000</v>
      </c>
      <c r="S11" s="300"/>
      <c r="T11" s="303"/>
      <c r="U11" s="303"/>
      <c r="V11" s="303"/>
      <c r="W11" s="306"/>
      <c r="Y11" s="301" t="s">
        <v>12</v>
      </c>
      <c r="Z11" s="303">
        <v>1000</v>
      </c>
      <c r="AA11" s="300"/>
      <c r="AB11" s="303"/>
      <c r="AC11" s="303"/>
      <c r="AD11" s="303"/>
      <c r="AE11" s="306"/>
    </row>
    <row r="12" spans="1:31" ht="23.25" x14ac:dyDescent="0.35">
      <c r="A12" s="301" t="s">
        <v>27</v>
      </c>
      <c r="B12" s="303">
        <v>200</v>
      </c>
      <c r="C12" s="300"/>
      <c r="D12" s="430">
        <v>0.4</v>
      </c>
      <c r="E12" s="430">
        <v>0.55000000000000004</v>
      </c>
      <c r="F12" s="430">
        <v>0.85</v>
      </c>
      <c r="G12" s="301"/>
      <c r="I12" s="301" t="s">
        <v>14</v>
      </c>
      <c r="J12" s="303">
        <v>400</v>
      </c>
      <c r="K12" s="300"/>
      <c r="L12" s="430">
        <v>0.4</v>
      </c>
      <c r="M12" s="430">
        <v>0.55000000000000004</v>
      </c>
      <c r="N12" s="430">
        <v>0.85</v>
      </c>
      <c r="O12" s="301"/>
      <c r="Q12" s="301" t="s">
        <v>14</v>
      </c>
      <c r="R12" s="303">
        <v>400</v>
      </c>
      <c r="S12" s="300"/>
      <c r="T12" s="445">
        <v>0.4</v>
      </c>
      <c r="U12" s="445">
        <v>0.55000000000000004</v>
      </c>
      <c r="V12" s="445">
        <v>0.85</v>
      </c>
      <c r="W12" s="301"/>
      <c r="Y12" s="301" t="s">
        <v>14</v>
      </c>
      <c r="Z12" s="303">
        <v>400</v>
      </c>
      <c r="AA12" s="300"/>
      <c r="AB12" s="445">
        <v>0.4</v>
      </c>
      <c r="AC12" s="445">
        <v>0.55000000000000004</v>
      </c>
      <c r="AD12" s="445">
        <v>0.85</v>
      </c>
      <c r="AE12" s="301"/>
    </row>
    <row r="13" spans="1:31" ht="23.25" x14ac:dyDescent="0.35">
      <c r="A13" s="301" t="s">
        <v>28</v>
      </c>
      <c r="B13" s="303">
        <v>100</v>
      </c>
      <c r="C13" s="300"/>
      <c r="D13" s="430">
        <f>B17*1.45</f>
        <v>15.026578947368421</v>
      </c>
      <c r="E13" s="430">
        <f>B17*1.75</f>
        <v>18.135526315789473</v>
      </c>
      <c r="F13" s="430">
        <f>B17*1.99</f>
        <v>20.622684210526316</v>
      </c>
      <c r="G13" s="301"/>
      <c r="I13" s="301" t="s">
        <v>15</v>
      </c>
      <c r="J13" s="303">
        <v>500</v>
      </c>
      <c r="K13" s="300"/>
      <c r="L13" s="430">
        <f>J19*1.3</f>
        <v>13.200473684210527</v>
      </c>
      <c r="M13" s="430">
        <f>J19*1.65</f>
        <v>16.754447368421051</v>
      </c>
      <c r="N13" s="430">
        <f>J19*1.8</f>
        <v>18.277578947368422</v>
      </c>
      <c r="O13" s="301"/>
      <c r="Q13" s="301" t="s">
        <v>15</v>
      </c>
      <c r="R13" s="303">
        <v>500</v>
      </c>
      <c r="S13" s="300"/>
      <c r="T13" s="445">
        <f>R19*1.45</f>
        <v>21.985624999999999</v>
      </c>
      <c r="U13" s="445">
        <f>R19*1.75</f>
        <v>26.534375000000001</v>
      </c>
      <c r="V13" s="445">
        <f>R19*1.99</f>
        <v>30.173375</v>
      </c>
      <c r="W13" s="301"/>
      <c r="Y13" s="301" t="s">
        <v>15</v>
      </c>
      <c r="Z13" s="303">
        <v>500</v>
      </c>
      <c r="AA13" s="300"/>
      <c r="AB13" s="445">
        <f>Z19*1.45</f>
        <v>13.576027777777778</v>
      </c>
      <c r="AC13" s="445">
        <f>Z19*1.75</f>
        <v>16.38486111111111</v>
      </c>
      <c r="AD13" s="445">
        <f>Z19*1.99</f>
        <v>18.631927777777779</v>
      </c>
      <c r="AE13" s="301"/>
    </row>
    <row r="14" spans="1:31" ht="23.25" x14ac:dyDescent="0.35">
      <c r="A14" s="301" t="s">
        <v>16</v>
      </c>
      <c r="B14" s="303">
        <v>250</v>
      </c>
      <c r="C14" s="300"/>
      <c r="D14" s="300"/>
      <c r="E14" s="300"/>
      <c r="F14" s="300"/>
      <c r="G14" s="301"/>
      <c r="I14" s="301" t="s">
        <v>27</v>
      </c>
      <c r="J14" s="303">
        <v>200</v>
      </c>
      <c r="K14" s="300"/>
      <c r="L14" s="300"/>
      <c r="M14" s="300"/>
      <c r="N14" s="300"/>
      <c r="O14" s="301"/>
      <c r="Q14" s="301" t="s">
        <v>27</v>
      </c>
      <c r="R14" s="303">
        <v>200</v>
      </c>
      <c r="S14" s="300"/>
      <c r="T14" s="300"/>
      <c r="U14" s="300"/>
      <c r="V14" s="300"/>
      <c r="W14" s="301"/>
      <c r="Y14" s="301" t="s">
        <v>27</v>
      </c>
      <c r="Z14" s="303">
        <v>200</v>
      </c>
      <c r="AA14" s="300"/>
      <c r="AB14" s="300"/>
      <c r="AC14" s="300"/>
      <c r="AD14" s="300"/>
      <c r="AE14" s="301"/>
    </row>
    <row r="15" spans="1:31" ht="23.25" x14ac:dyDescent="0.35">
      <c r="A15" s="301" t="s">
        <v>17</v>
      </c>
      <c r="B15" s="303">
        <v>500</v>
      </c>
      <c r="C15" s="300"/>
      <c r="D15" s="300"/>
      <c r="E15" s="300"/>
      <c r="F15" s="300"/>
      <c r="G15" s="301"/>
      <c r="I15" s="301" t="s">
        <v>28</v>
      </c>
      <c r="J15" s="303">
        <v>0</v>
      </c>
      <c r="K15" s="300"/>
      <c r="L15" s="300"/>
      <c r="M15" s="300"/>
      <c r="N15" s="300"/>
      <c r="O15" s="301"/>
      <c r="Q15" s="301" t="s">
        <v>28</v>
      </c>
      <c r="R15" s="303">
        <v>100</v>
      </c>
      <c r="S15" s="300"/>
      <c r="T15" s="300"/>
      <c r="U15" s="300"/>
      <c r="V15" s="300"/>
      <c r="W15" s="301"/>
      <c r="Y15" s="301" t="s">
        <v>28</v>
      </c>
      <c r="Z15" s="303">
        <v>0</v>
      </c>
      <c r="AA15" s="300"/>
      <c r="AB15" s="300"/>
      <c r="AC15" s="300"/>
      <c r="AD15" s="300"/>
      <c r="AE15" s="301"/>
    </row>
    <row r="16" spans="1:31" ht="24" thickBot="1" x14ac:dyDescent="0.4">
      <c r="A16" s="301" t="s">
        <v>18</v>
      </c>
      <c r="B16" s="433">
        <v>4000</v>
      </c>
      <c r="C16" s="300"/>
      <c r="D16" s="300"/>
      <c r="E16" s="300"/>
      <c r="F16" s="300"/>
      <c r="G16" s="301"/>
      <c r="I16" s="301" t="s">
        <v>16</v>
      </c>
      <c r="J16" s="303">
        <v>250</v>
      </c>
      <c r="K16" s="300"/>
      <c r="L16" s="300"/>
      <c r="M16" s="300"/>
      <c r="N16" s="300"/>
      <c r="O16" s="301"/>
      <c r="Q16" s="301" t="s">
        <v>16</v>
      </c>
      <c r="R16" s="303">
        <v>250</v>
      </c>
      <c r="S16" s="300"/>
      <c r="T16" s="300"/>
      <c r="U16" s="300"/>
      <c r="V16" s="300"/>
      <c r="W16" s="301"/>
      <c r="Y16" s="301" t="s">
        <v>16</v>
      </c>
      <c r="Z16" s="303">
        <v>250</v>
      </c>
      <c r="AA16" s="300"/>
      <c r="AB16" s="300"/>
      <c r="AC16" s="300"/>
      <c r="AD16" s="300"/>
      <c r="AE16" s="301"/>
    </row>
    <row r="17" spans="1:31" ht="23.25" x14ac:dyDescent="0.35">
      <c r="A17" s="301"/>
      <c r="B17" s="303">
        <f>SUM(B4:B16)/F3</f>
        <v>10.363157894736842</v>
      </c>
      <c r="C17" s="300"/>
      <c r="D17" s="300"/>
      <c r="E17" s="300"/>
      <c r="F17" s="300"/>
      <c r="G17" s="301"/>
      <c r="I17" s="301" t="s">
        <v>17</v>
      </c>
      <c r="J17" s="303">
        <v>300</v>
      </c>
      <c r="K17" s="300"/>
      <c r="L17" s="300"/>
      <c r="M17" s="300"/>
      <c r="N17" s="300"/>
      <c r="O17" s="301"/>
      <c r="Q17" s="301" t="s">
        <v>17</v>
      </c>
      <c r="R17" s="303">
        <v>300</v>
      </c>
      <c r="S17" s="300"/>
      <c r="T17" s="300"/>
      <c r="U17" s="300"/>
      <c r="V17" s="300"/>
      <c r="W17" s="301"/>
      <c r="Y17" s="301" t="s">
        <v>17</v>
      </c>
      <c r="Z17" s="303">
        <v>300</v>
      </c>
      <c r="AA17" s="300"/>
      <c r="AB17" s="300"/>
      <c r="AC17" s="300"/>
      <c r="AD17" s="300"/>
      <c r="AE17" s="301"/>
    </row>
    <row r="18" spans="1:31" ht="24" thickBot="1" x14ac:dyDescent="0.4">
      <c r="C18" s="300"/>
      <c r="D18" s="300"/>
      <c r="E18" s="300"/>
      <c r="F18" s="303"/>
      <c r="G18" s="301"/>
      <c r="I18" s="301" t="s">
        <v>18</v>
      </c>
      <c r="J18" s="433">
        <v>4000</v>
      </c>
      <c r="K18" s="300"/>
      <c r="L18" s="300"/>
      <c r="M18" s="300"/>
      <c r="N18" s="303"/>
      <c r="O18" s="301"/>
      <c r="Q18" s="301" t="s">
        <v>18</v>
      </c>
      <c r="R18" s="433">
        <v>4000</v>
      </c>
      <c r="S18" s="300"/>
      <c r="T18" s="300"/>
      <c r="U18" s="300"/>
      <c r="V18" s="303"/>
      <c r="W18" s="301"/>
      <c r="Y18" s="301" t="s">
        <v>18</v>
      </c>
      <c r="Z18" s="433">
        <v>4000</v>
      </c>
      <c r="AA18" s="300"/>
      <c r="AB18" s="300"/>
      <c r="AC18" s="300"/>
      <c r="AD18" s="303"/>
      <c r="AE18" s="301"/>
    </row>
    <row r="19" spans="1:31" ht="23.25" x14ac:dyDescent="0.35">
      <c r="C19" s="300"/>
      <c r="D19" s="300"/>
      <c r="E19" s="300"/>
      <c r="F19" s="303"/>
      <c r="G19" s="301"/>
      <c r="I19" s="301"/>
      <c r="J19" s="303">
        <f>SUM(J4:J18)/N3</f>
        <v>10.15421052631579</v>
      </c>
      <c r="K19" s="300"/>
      <c r="L19" s="300"/>
      <c r="M19" s="300"/>
      <c r="N19" s="303"/>
      <c r="O19" s="301"/>
      <c r="Q19" s="301"/>
      <c r="R19" s="303">
        <f>SUM(R4:R18)/V3</f>
        <v>15.1625</v>
      </c>
      <c r="S19" s="300"/>
      <c r="T19" s="300"/>
      <c r="U19" s="300"/>
      <c r="V19" s="303"/>
      <c r="W19" s="301"/>
      <c r="Y19" s="301"/>
      <c r="Z19" s="303">
        <f>SUM(Z4:Z18)/AD3</f>
        <v>9.3627777777777776</v>
      </c>
      <c r="AA19" s="300"/>
      <c r="AB19" s="300"/>
      <c r="AC19" s="300"/>
      <c r="AD19" s="303"/>
      <c r="AE19" s="301"/>
    </row>
    <row r="21" spans="1:31" ht="31.5" x14ac:dyDescent="0.5">
      <c r="A21" s="1037" t="s">
        <v>311</v>
      </c>
      <c r="B21" s="1037"/>
      <c r="C21" s="1041"/>
      <c r="D21" s="1041"/>
      <c r="E21" s="1041"/>
      <c r="F21" s="1041"/>
      <c r="G21" s="312"/>
      <c r="I21" s="1037" t="s">
        <v>311</v>
      </c>
      <c r="J21" s="1037"/>
      <c r="K21" s="1041"/>
      <c r="L21" s="1041"/>
      <c r="M21" s="1041"/>
      <c r="N21" s="1041"/>
      <c r="O21" s="312"/>
      <c r="Q21" s="1037" t="s">
        <v>519</v>
      </c>
      <c r="R21" s="1037"/>
      <c r="S21" s="1037"/>
      <c r="T21" s="1037"/>
      <c r="U21" s="1037"/>
      <c r="V21" s="1037"/>
    </row>
    <row r="22" spans="1:31" ht="23.25" x14ac:dyDescent="0.35">
      <c r="A22" s="1038" t="s">
        <v>26</v>
      </c>
      <c r="B22" s="1038"/>
      <c r="C22" s="300"/>
      <c r="D22" s="430" t="s">
        <v>52</v>
      </c>
      <c r="E22" s="300"/>
      <c r="F22" s="300">
        <v>3800</v>
      </c>
      <c r="G22" s="301"/>
      <c r="I22" s="1038" t="s">
        <v>26</v>
      </c>
      <c r="J22" s="1038"/>
      <c r="K22" s="300"/>
      <c r="L22" s="430" t="s">
        <v>52</v>
      </c>
      <c r="M22" s="300"/>
      <c r="N22" s="300">
        <v>3800</v>
      </c>
      <c r="O22" s="301"/>
      <c r="Q22" s="1038" t="s">
        <v>26</v>
      </c>
      <c r="R22" s="1038"/>
      <c r="S22" s="300"/>
      <c r="T22" s="700" t="s">
        <v>52</v>
      </c>
      <c r="U22" s="300"/>
      <c r="V22" s="300">
        <v>3800</v>
      </c>
    </row>
    <row r="23" spans="1:31" ht="23.25" x14ac:dyDescent="0.35">
      <c r="A23" s="301" t="s">
        <v>301</v>
      </c>
      <c r="B23" s="303">
        <f>1.6*1.3*F22</f>
        <v>7904</v>
      </c>
      <c r="C23" s="300"/>
      <c r="D23" s="300"/>
      <c r="E23" s="300"/>
      <c r="F23" s="300"/>
      <c r="G23" s="301"/>
      <c r="I23" s="301" t="s">
        <v>301</v>
      </c>
      <c r="J23" s="303">
        <f>2*1.95*N22</f>
        <v>14820</v>
      </c>
      <c r="K23" s="300"/>
      <c r="L23" s="300"/>
      <c r="M23" s="300"/>
      <c r="N23" s="300"/>
      <c r="O23" s="301"/>
      <c r="Q23" s="301" t="s">
        <v>366</v>
      </c>
      <c r="R23" s="303">
        <f>1.3*2*V22</f>
        <v>9880</v>
      </c>
      <c r="S23" s="300"/>
      <c r="T23" s="300"/>
      <c r="U23" s="300"/>
      <c r="V23" s="300"/>
    </row>
    <row r="24" spans="1:31" ht="23.25" x14ac:dyDescent="0.35">
      <c r="A24" s="301" t="s">
        <v>1</v>
      </c>
      <c r="B24" s="303">
        <v>1400</v>
      </c>
      <c r="C24" s="300"/>
      <c r="D24" s="300"/>
      <c r="E24" s="300"/>
      <c r="F24" s="300"/>
      <c r="G24" s="301"/>
      <c r="I24" s="301" t="s">
        <v>1</v>
      </c>
      <c r="J24" s="303">
        <v>700</v>
      </c>
      <c r="K24" s="300"/>
      <c r="L24" s="300"/>
      <c r="M24" s="300"/>
      <c r="N24" s="300"/>
      <c r="O24" s="301"/>
      <c r="Q24" s="301" t="s">
        <v>1</v>
      </c>
      <c r="R24" s="303">
        <v>3000</v>
      </c>
      <c r="S24" s="300"/>
      <c r="T24" s="300"/>
      <c r="U24" s="300"/>
      <c r="V24" s="300"/>
    </row>
    <row r="25" spans="1:31" ht="31.5" x14ac:dyDescent="0.5">
      <c r="A25" s="301" t="s">
        <v>276</v>
      </c>
      <c r="B25" s="303">
        <f>6*400</f>
        <v>2400</v>
      </c>
      <c r="C25" s="300"/>
      <c r="D25" s="300"/>
      <c r="E25" s="1036" t="s">
        <v>312</v>
      </c>
      <c r="F25" s="1036"/>
      <c r="G25" s="1036"/>
      <c r="I25" s="301" t="s">
        <v>276</v>
      </c>
      <c r="J25" s="303">
        <v>2500</v>
      </c>
      <c r="K25" s="300"/>
      <c r="L25" s="300"/>
      <c r="M25" s="436" t="s">
        <v>58</v>
      </c>
      <c r="N25" s="300"/>
      <c r="O25" s="301"/>
      <c r="Q25" s="301" t="s">
        <v>276</v>
      </c>
      <c r="R25" s="303">
        <v>3000</v>
      </c>
      <c r="S25" s="300"/>
      <c r="T25" s="1036" t="s">
        <v>312</v>
      </c>
      <c r="U25" s="1036"/>
      <c r="V25" s="1036"/>
    </row>
    <row r="26" spans="1:31" ht="23.25" x14ac:dyDescent="0.35">
      <c r="A26" s="301" t="s">
        <v>10</v>
      </c>
      <c r="B26" s="303">
        <v>15000</v>
      </c>
      <c r="C26" s="300"/>
      <c r="D26" s="300"/>
      <c r="E26" s="300"/>
      <c r="F26" s="300"/>
      <c r="G26" s="301"/>
      <c r="I26" s="301" t="s">
        <v>10</v>
      </c>
      <c r="J26" s="303">
        <v>12000</v>
      </c>
      <c r="K26" s="300"/>
      <c r="L26" s="300"/>
      <c r="M26" s="300"/>
      <c r="N26" s="300"/>
      <c r="O26" s="301"/>
      <c r="Q26" s="301" t="s">
        <v>10</v>
      </c>
      <c r="R26" s="303">
        <v>7000</v>
      </c>
      <c r="S26" s="300"/>
      <c r="T26" s="300"/>
      <c r="U26" s="300"/>
      <c r="V26" s="300"/>
    </row>
    <row r="27" spans="1:31" ht="28.5" x14ac:dyDescent="0.45">
      <c r="A27" s="301" t="s">
        <v>186</v>
      </c>
      <c r="B27" s="303">
        <v>0</v>
      </c>
      <c r="C27" s="300"/>
      <c r="D27" s="309"/>
      <c r="E27" s="309" t="s">
        <v>26</v>
      </c>
      <c r="F27" s="309"/>
      <c r="G27" s="309"/>
      <c r="I27" s="301" t="s">
        <v>58</v>
      </c>
      <c r="J27" s="303">
        <v>2000</v>
      </c>
      <c r="K27" s="300"/>
      <c r="L27" s="309"/>
      <c r="M27" s="309" t="s">
        <v>26</v>
      </c>
      <c r="N27" s="309"/>
      <c r="O27" s="309"/>
      <c r="Q27" s="301" t="s">
        <v>313</v>
      </c>
      <c r="R27" s="303">
        <v>14000</v>
      </c>
      <c r="S27" s="300"/>
      <c r="T27" s="309"/>
      <c r="U27" s="309" t="s">
        <v>26</v>
      </c>
      <c r="V27" s="309"/>
    </row>
    <row r="28" spans="1:31" ht="23.25" x14ac:dyDescent="0.35">
      <c r="A28" s="301" t="s">
        <v>302</v>
      </c>
      <c r="B28" s="303">
        <v>0</v>
      </c>
      <c r="C28" s="300"/>
      <c r="D28" s="305" t="s">
        <v>22</v>
      </c>
      <c r="E28" s="434" t="s">
        <v>23</v>
      </c>
      <c r="F28" s="305" t="s">
        <v>24</v>
      </c>
      <c r="G28" s="306"/>
      <c r="I28" s="301" t="s">
        <v>187</v>
      </c>
      <c r="J28" s="303">
        <v>1000</v>
      </c>
      <c r="K28" s="300"/>
      <c r="L28" s="305" t="s">
        <v>22</v>
      </c>
      <c r="M28" s="434" t="s">
        <v>23</v>
      </c>
      <c r="N28" s="305" t="s">
        <v>24</v>
      </c>
      <c r="O28" s="306"/>
      <c r="Q28" s="301" t="s">
        <v>521</v>
      </c>
      <c r="R28" s="303">
        <v>500</v>
      </c>
      <c r="S28" s="300"/>
      <c r="T28" s="305" t="s">
        <v>22</v>
      </c>
      <c r="U28" s="434" t="s">
        <v>23</v>
      </c>
      <c r="V28" s="305" t="s">
        <v>24</v>
      </c>
    </row>
    <row r="29" spans="1:31" ht="23.25" x14ac:dyDescent="0.35">
      <c r="A29" s="301" t="s">
        <v>11</v>
      </c>
      <c r="B29" s="303">
        <v>0</v>
      </c>
      <c r="C29" s="300"/>
      <c r="D29" s="305">
        <f>D32</f>
        <v>11.946526315789473</v>
      </c>
      <c r="E29" s="305">
        <f>E32</f>
        <v>12.297894736842107</v>
      </c>
      <c r="F29" s="305">
        <f>F32</f>
        <v>13.984463157894737</v>
      </c>
      <c r="G29" s="306"/>
      <c r="I29" s="301" t="s">
        <v>11</v>
      </c>
      <c r="J29" s="303">
        <v>2000</v>
      </c>
      <c r="K29" s="300"/>
      <c r="L29" s="305">
        <f>L32</f>
        <v>15.48065789473684</v>
      </c>
      <c r="M29" s="305">
        <f>M32</f>
        <v>18.683552631578948</v>
      </c>
      <c r="N29" s="305">
        <f>N32</f>
        <v>21.245868421052631</v>
      </c>
      <c r="O29" s="306"/>
      <c r="Q29" s="301" t="s">
        <v>27</v>
      </c>
      <c r="R29" s="303">
        <v>80</v>
      </c>
      <c r="S29" s="300"/>
      <c r="T29" s="305">
        <f>T32</f>
        <v>14.081052631578947</v>
      </c>
      <c r="U29" s="305">
        <f>U32</f>
        <v>18.955263157894734</v>
      </c>
      <c r="V29" s="305">
        <f>V32</f>
        <v>21.554842105263155</v>
      </c>
    </row>
    <row r="30" spans="1:31" ht="23.25" x14ac:dyDescent="0.35">
      <c r="A30" s="301" t="s">
        <v>14</v>
      </c>
      <c r="B30" s="303">
        <v>0</v>
      </c>
      <c r="C30" s="300"/>
      <c r="D30" s="300"/>
      <c r="E30" s="300"/>
      <c r="F30" s="300"/>
      <c r="G30" s="301"/>
      <c r="I30" s="301" t="s">
        <v>14</v>
      </c>
      <c r="J30" s="303">
        <v>200</v>
      </c>
      <c r="K30" s="300"/>
      <c r="L30" s="303"/>
      <c r="M30" s="303"/>
      <c r="N30" s="303"/>
      <c r="O30" s="306"/>
      <c r="Q30" s="301" t="s">
        <v>520</v>
      </c>
      <c r="R30" s="303">
        <v>500</v>
      </c>
      <c r="S30" s="300"/>
      <c r="T30" s="303"/>
      <c r="U30" s="303"/>
      <c r="V30" s="303"/>
    </row>
    <row r="31" spans="1:31" ht="23.25" x14ac:dyDescent="0.35">
      <c r="A31" s="301" t="s">
        <v>15</v>
      </c>
      <c r="B31" s="303">
        <v>0</v>
      </c>
      <c r="C31" s="300"/>
      <c r="D31" s="430">
        <v>0.4</v>
      </c>
      <c r="E31" s="430">
        <v>0.55000000000000004</v>
      </c>
      <c r="F31" s="430">
        <v>0.85</v>
      </c>
      <c r="G31" s="301"/>
      <c r="I31" s="301" t="s">
        <v>15</v>
      </c>
      <c r="J31" s="303">
        <v>500</v>
      </c>
      <c r="K31" s="300"/>
      <c r="L31" s="430">
        <v>0.4</v>
      </c>
      <c r="M31" s="430">
        <v>0.55000000000000004</v>
      </c>
      <c r="N31" s="430">
        <v>0.85</v>
      </c>
      <c r="O31" s="301"/>
      <c r="Q31" s="301" t="s">
        <v>16</v>
      </c>
      <c r="R31" s="303">
        <v>500</v>
      </c>
      <c r="S31" s="300"/>
      <c r="T31" s="700">
        <v>0.4</v>
      </c>
      <c r="U31" s="700">
        <v>0.55000000000000004</v>
      </c>
      <c r="V31" s="700">
        <v>0.85</v>
      </c>
    </row>
    <row r="32" spans="1:31" ht="23.25" x14ac:dyDescent="0.35">
      <c r="A32" s="301" t="s">
        <v>27</v>
      </c>
      <c r="B32" s="303">
        <v>0</v>
      </c>
      <c r="C32" s="300"/>
      <c r="D32" s="430">
        <f>B37*1.7</f>
        <v>11.946526315789473</v>
      </c>
      <c r="E32" s="430">
        <f>B37*1.75</f>
        <v>12.297894736842107</v>
      </c>
      <c r="F32" s="430">
        <f>B37*1.99</f>
        <v>13.984463157894737</v>
      </c>
      <c r="G32" s="301"/>
      <c r="I32" s="301" t="s">
        <v>27</v>
      </c>
      <c r="J32" s="303">
        <v>200</v>
      </c>
      <c r="K32" s="300"/>
      <c r="L32" s="430">
        <f>J37*1.45</f>
        <v>15.48065789473684</v>
      </c>
      <c r="M32" s="430">
        <f>J37*1.75</f>
        <v>18.683552631578948</v>
      </c>
      <c r="N32" s="430">
        <f>J37*1.99</f>
        <v>21.245868421052631</v>
      </c>
      <c r="O32" s="301"/>
      <c r="Q32" s="301" t="s">
        <v>17</v>
      </c>
      <c r="R32" s="303">
        <v>0</v>
      </c>
      <c r="S32" s="300"/>
      <c r="T32" s="700">
        <f>R34*1.3</f>
        <v>14.081052631578947</v>
      </c>
      <c r="U32" s="700">
        <f>R34*1.75</f>
        <v>18.955263157894734</v>
      </c>
      <c r="V32" s="700">
        <f>R34*1.99</f>
        <v>21.554842105263155</v>
      </c>
    </row>
    <row r="33" spans="1:22" ht="24" thickBot="1" x14ac:dyDescent="0.4">
      <c r="A33" s="301" t="s">
        <v>28</v>
      </c>
      <c r="B33" s="303">
        <v>0</v>
      </c>
      <c r="C33" s="300"/>
      <c r="D33" s="300"/>
      <c r="E33" s="300"/>
      <c r="F33" s="300"/>
      <c r="G33" s="301"/>
      <c r="I33" s="301" t="s">
        <v>28</v>
      </c>
      <c r="J33" s="303">
        <v>100</v>
      </c>
      <c r="K33" s="300"/>
      <c r="L33" s="300"/>
      <c r="M33" s="300"/>
      <c r="N33" s="300"/>
      <c r="O33" s="301"/>
      <c r="Q33" s="301" t="s">
        <v>18</v>
      </c>
      <c r="R33" s="433">
        <v>2700</v>
      </c>
      <c r="S33" s="300"/>
      <c r="T33" s="300"/>
      <c r="U33" s="300"/>
      <c r="V33" s="300"/>
    </row>
    <row r="34" spans="1:22" ht="23.25" x14ac:dyDescent="0.35">
      <c r="A34" s="301" t="s">
        <v>16</v>
      </c>
      <c r="B34" s="303">
        <v>0</v>
      </c>
      <c r="C34" s="300"/>
      <c r="D34" s="300"/>
      <c r="E34" s="300"/>
      <c r="F34" s="300"/>
      <c r="G34" s="301"/>
      <c r="I34" s="301" t="s">
        <v>16</v>
      </c>
      <c r="J34" s="303">
        <v>250</v>
      </c>
      <c r="K34" s="300"/>
      <c r="L34" s="300"/>
      <c r="M34" s="300"/>
      <c r="N34" s="300"/>
      <c r="O34" s="301"/>
      <c r="Q34" s="301"/>
      <c r="R34" s="303">
        <f>SUM(R23:R33)/V22</f>
        <v>10.831578947368421</v>
      </c>
      <c r="S34" s="300"/>
      <c r="T34" s="300"/>
      <c r="U34" s="300"/>
      <c r="V34" s="300"/>
    </row>
    <row r="35" spans="1:22" ht="23.25" x14ac:dyDescent="0.35">
      <c r="A35" s="301" t="s">
        <v>17</v>
      </c>
      <c r="B35" s="303">
        <v>0</v>
      </c>
      <c r="C35" s="300"/>
      <c r="D35" s="300"/>
      <c r="E35" s="300"/>
      <c r="F35" s="300"/>
      <c r="G35" s="301"/>
      <c r="I35" s="301" t="s">
        <v>17</v>
      </c>
      <c r="J35" s="303">
        <v>300</v>
      </c>
      <c r="K35" s="300"/>
      <c r="L35" s="300"/>
      <c r="M35" s="300"/>
      <c r="N35" s="300"/>
      <c r="O35" s="301"/>
      <c r="S35" s="300"/>
      <c r="T35" s="300"/>
      <c r="U35" s="300"/>
      <c r="V35" s="300"/>
    </row>
    <row r="36" spans="1:22" ht="24" thickBot="1" x14ac:dyDescent="0.4">
      <c r="A36" s="301" t="s">
        <v>18</v>
      </c>
      <c r="B36" s="433">
        <v>0</v>
      </c>
      <c r="C36" s="300"/>
      <c r="D36" s="300"/>
      <c r="E36" s="300"/>
      <c r="F36" s="303"/>
      <c r="G36" s="301"/>
      <c r="I36" s="301" t="s">
        <v>18</v>
      </c>
      <c r="J36" s="433">
        <v>4000</v>
      </c>
      <c r="K36" s="300"/>
      <c r="L36" s="300"/>
      <c r="M36" s="300"/>
      <c r="N36" s="300"/>
      <c r="O36" s="301"/>
      <c r="S36" s="300"/>
      <c r="T36" s="300"/>
      <c r="U36" s="300"/>
      <c r="V36" s="300"/>
    </row>
    <row r="37" spans="1:22" ht="23.25" x14ac:dyDescent="0.35">
      <c r="A37" s="301"/>
      <c r="B37" s="303">
        <f>SUM(B23:B36)/F22</f>
        <v>7.0273684210526319</v>
      </c>
      <c r="C37" s="300"/>
      <c r="D37" s="300"/>
      <c r="E37" s="300"/>
      <c r="F37" s="303"/>
      <c r="G37" s="301"/>
      <c r="I37" s="301"/>
      <c r="J37" s="303">
        <f>SUM(J23:J36)/N22</f>
        <v>10.676315789473684</v>
      </c>
      <c r="K37" s="300"/>
      <c r="L37" s="300"/>
      <c r="M37" s="300"/>
      <c r="N37" s="303"/>
      <c r="O37" s="301"/>
      <c r="S37" s="300"/>
      <c r="T37" s="300"/>
      <c r="U37" s="300"/>
      <c r="V37" s="303"/>
    </row>
    <row r="38" spans="1:22" ht="23.25" x14ac:dyDescent="0.35">
      <c r="S38" s="300"/>
      <c r="T38" s="300"/>
      <c r="U38" s="300"/>
      <c r="V38" s="303"/>
    </row>
    <row r="39" spans="1:22" ht="31.5" x14ac:dyDescent="0.25">
      <c r="A39" s="999" t="s">
        <v>545</v>
      </c>
      <c r="B39" s="999"/>
      <c r="C39" s="999"/>
      <c r="D39" s="999"/>
      <c r="E39" s="999"/>
      <c r="F39" s="999"/>
      <c r="G39" s="999"/>
    </row>
    <row r="40" spans="1:22" ht="23.25" x14ac:dyDescent="0.35">
      <c r="A40" s="1039"/>
      <c r="B40" s="1039"/>
      <c r="C40" s="563"/>
      <c r="D40" s="710" t="s">
        <v>52</v>
      </c>
      <c r="E40" s="563"/>
      <c r="F40" s="563">
        <v>4000</v>
      </c>
      <c r="G40" s="63"/>
    </row>
    <row r="41" spans="1:22" ht="23.25" x14ac:dyDescent="0.35">
      <c r="A41" s="63" t="s">
        <v>301</v>
      </c>
      <c r="B41" s="569">
        <f>1.3*2*F40</f>
        <v>10400</v>
      </c>
      <c r="C41" s="563"/>
      <c r="D41" s="563"/>
      <c r="E41" s="563"/>
      <c r="F41" s="563"/>
      <c r="G41" s="63"/>
    </row>
    <row r="42" spans="1:22" ht="23.25" x14ac:dyDescent="0.35">
      <c r="A42" s="63" t="s">
        <v>1</v>
      </c>
      <c r="B42" s="569">
        <v>1000</v>
      </c>
      <c r="C42" s="563"/>
      <c r="D42" s="563"/>
      <c r="E42" s="563"/>
      <c r="F42" s="563"/>
      <c r="G42" s="63"/>
    </row>
    <row r="43" spans="1:22" ht="31.5" x14ac:dyDescent="0.5">
      <c r="A43" s="63" t="s">
        <v>276</v>
      </c>
      <c r="B43" s="569">
        <v>2000</v>
      </c>
      <c r="C43" s="563"/>
      <c r="D43" s="563"/>
      <c r="E43" s="1040" t="s">
        <v>312</v>
      </c>
      <c r="F43" s="1040"/>
      <c r="G43" s="1040"/>
    </row>
    <row r="44" spans="1:22" ht="23.25" x14ac:dyDescent="0.35">
      <c r="A44" s="63" t="s">
        <v>10</v>
      </c>
      <c r="B44" s="569">
        <v>8000</v>
      </c>
      <c r="C44" s="563"/>
      <c r="D44" s="563"/>
      <c r="E44" s="563"/>
      <c r="F44" s="563"/>
      <c r="G44" s="63"/>
    </row>
    <row r="45" spans="1:22" ht="28.5" x14ac:dyDescent="0.45">
      <c r="A45" s="63" t="s">
        <v>521</v>
      </c>
      <c r="B45" s="569">
        <f>1000</f>
        <v>1000</v>
      </c>
      <c r="C45" s="563"/>
      <c r="D45" s="672"/>
      <c r="E45" s="672" t="s">
        <v>26</v>
      </c>
      <c r="F45" s="672"/>
      <c r="G45" s="672"/>
    </row>
    <row r="46" spans="1:22" ht="23.25" x14ac:dyDescent="0.35">
      <c r="A46" s="63" t="s">
        <v>11</v>
      </c>
      <c r="B46" s="569">
        <v>0</v>
      </c>
      <c r="C46" s="563"/>
      <c r="D46" s="565" t="s">
        <v>22</v>
      </c>
      <c r="E46" s="711" t="s">
        <v>23</v>
      </c>
      <c r="F46" s="565" t="s">
        <v>24</v>
      </c>
      <c r="G46" s="65"/>
    </row>
    <row r="47" spans="1:22" ht="23.25" x14ac:dyDescent="0.35">
      <c r="A47" s="63" t="s">
        <v>12</v>
      </c>
      <c r="B47" s="569">
        <v>0</v>
      </c>
      <c r="C47" s="563"/>
      <c r="D47" s="565">
        <f>D50</f>
        <v>6.625</v>
      </c>
      <c r="E47" s="565">
        <f>E50</f>
        <v>11.262499999999999</v>
      </c>
      <c r="F47" s="565">
        <f>F50</f>
        <v>12.587499999999999</v>
      </c>
      <c r="G47" s="65"/>
    </row>
    <row r="48" spans="1:22" ht="23.25" x14ac:dyDescent="0.35">
      <c r="A48" s="63"/>
      <c r="B48" s="569">
        <v>0</v>
      </c>
      <c r="C48" s="563"/>
      <c r="D48" s="563"/>
      <c r="E48" s="563"/>
      <c r="F48" s="563"/>
      <c r="G48" s="63"/>
    </row>
    <row r="49" spans="1:7" ht="23.25" x14ac:dyDescent="0.35">
      <c r="A49" s="63" t="s">
        <v>28</v>
      </c>
      <c r="B49" s="569">
        <v>100</v>
      </c>
      <c r="C49" s="563"/>
      <c r="D49" s="710">
        <v>0.4</v>
      </c>
      <c r="E49" s="710">
        <v>0.55000000000000004</v>
      </c>
      <c r="F49" s="710">
        <v>0.85</v>
      </c>
      <c r="G49" s="63"/>
    </row>
    <row r="50" spans="1:7" ht="23.25" x14ac:dyDescent="0.35">
      <c r="A50" s="63" t="s">
        <v>16</v>
      </c>
      <c r="B50" s="569">
        <v>250</v>
      </c>
      <c r="C50" s="563"/>
      <c r="D50" s="710">
        <f>B53*1</f>
        <v>6.625</v>
      </c>
      <c r="E50" s="710">
        <f>B53*1.7</f>
        <v>11.262499999999999</v>
      </c>
      <c r="F50" s="710">
        <f>B53*1.9</f>
        <v>12.587499999999999</v>
      </c>
      <c r="G50" s="63"/>
    </row>
    <row r="51" spans="1:7" ht="23.25" x14ac:dyDescent="0.35">
      <c r="A51" s="63" t="s">
        <v>17</v>
      </c>
      <c r="B51" s="569">
        <v>50</v>
      </c>
      <c r="C51" s="563"/>
      <c r="D51" s="563"/>
      <c r="E51" s="563"/>
      <c r="F51" s="563"/>
      <c r="G51" s="63"/>
    </row>
    <row r="52" spans="1:7" ht="24" thickBot="1" x14ac:dyDescent="0.4">
      <c r="A52" s="63" t="s">
        <v>18</v>
      </c>
      <c r="B52" s="579">
        <v>3700</v>
      </c>
      <c r="C52" s="563"/>
      <c r="D52" s="563"/>
      <c r="E52" s="563"/>
      <c r="F52" s="563"/>
      <c r="G52" s="63"/>
    </row>
    <row r="53" spans="1:7" ht="23.25" x14ac:dyDescent="0.35">
      <c r="A53" s="63"/>
      <c r="B53" s="569">
        <f>SUM(B41:B52)/F40</f>
        <v>6.625</v>
      </c>
      <c r="C53" s="563"/>
      <c r="D53" s="563"/>
      <c r="E53" s="563"/>
      <c r="F53" s="563"/>
      <c r="G53" s="63"/>
    </row>
    <row r="54" spans="1:7" ht="23.25" x14ac:dyDescent="0.35">
      <c r="A54" s="60"/>
      <c r="B54" s="60"/>
      <c r="C54" s="563"/>
      <c r="D54" s="563"/>
      <c r="E54" s="563"/>
      <c r="F54" s="569"/>
      <c r="G54" s="63"/>
    </row>
    <row r="55" spans="1:7" ht="23.25" x14ac:dyDescent="0.35">
      <c r="A55" s="60"/>
      <c r="B55" s="60"/>
      <c r="C55" s="563"/>
      <c r="D55" s="563"/>
      <c r="E55" s="563"/>
      <c r="F55" s="569"/>
      <c r="G55" s="63"/>
    </row>
    <row r="56" spans="1:7" x14ac:dyDescent="0.25">
      <c r="A56" s="60"/>
      <c r="B56" s="60"/>
      <c r="C56" s="60"/>
      <c r="D56" s="60"/>
      <c r="E56" s="60"/>
      <c r="F56" s="60"/>
      <c r="G56" s="60"/>
    </row>
    <row r="57" spans="1:7" x14ac:dyDescent="0.25">
      <c r="A57" s="60"/>
      <c r="B57" s="60"/>
      <c r="C57" s="60"/>
      <c r="D57" s="60"/>
      <c r="E57" s="60"/>
      <c r="F57" s="60"/>
      <c r="G57" s="60"/>
    </row>
    <row r="58" spans="1:7" x14ac:dyDescent="0.25">
      <c r="A58" s="60"/>
      <c r="B58" s="60"/>
      <c r="C58" s="60"/>
      <c r="D58" s="60"/>
      <c r="E58" s="60"/>
      <c r="F58" s="60"/>
      <c r="G58" s="60"/>
    </row>
    <row r="59" spans="1:7" x14ac:dyDescent="0.25">
      <c r="A59" s="60"/>
      <c r="B59" s="60"/>
      <c r="C59" s="60"/>
      <c r="D59" s="60"/>
      <c r="E59" s="60"/>
      <c r="F59" s="60"/>
      <c r="G59" s="60"/>
    </row>
    <row r="60" spans="1:7" x14ac:dyDescent="0.25">
      <c r="A60" s="60"/>
      <c r="B60" s="60"/>
      <c r="C60" s="60"/>
      <c r="D60" s="60"/>
      <c r="E60" s="60"/>
      <c r="F60" s="60"/>
      <c r="G60" s="60"/>
    </row>
    <row r="61" spans="1:7" x14ac:dyDescent="0.25">
      <c r="A61" s="60"/>
      <c r="B61" s="60"/>
      <c r="C61" s="60"/>
      <c r="D61" s="60"/>
      <c r="E61" s="60"/>
      <c r="F61" s="60"/>
      <c r="G61" s="60"/>
    </row>
  </sheetData>
  <mergeCells count="23">
    <mergeCell ref="A40:B40"/>
    <mergeCell ref="E43:G43"/>
    <mergeCell ref="A39:G39"/>
    <mergeCell ref="Q21:V21"/>
    <mergeCell ref="Q22:R22"/>
    <mergeCell ref="T25:V25"/>
    <mergeCell ref="E25:G25"/>
    <mergeCell ref="A22:B22"/>
    <mergeCell ref="I21:J21"/>
    <mergeCell ref="K21:N21"/>
    <mergeCell ref="I22:J22"/>
    <mergeCell ref="A21:B21"/>
    <mergeCell ref="C21:F21"/>
    <mergeCell ref="T6:V6"/>
    <mergeCell ref="Q2:V2"/>
    <mergeCell ref="Y2:AD2"/>
    <mergeCell ref="A2:F2"/>
    <mergeCell ref="I2:N2"/>
    <mergeCell ref="Q3:R3"/>
    <mergeCell ref="Y3:Z3"/>
    <mergeCell ref="I3:J3"/>
    <mergeCell ref="D6:F6"/>
    <mergeCell ref="A3:B3"/>
  </mergeCells>
  <pageMargins left="0.7" right="0.7" top="0.75" bottom="0.75" header="0.3" footer="0.3"/>
  <pageSetup paperSize="9" orientation="portrait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29E8-26AD-471F-B36E-8F461EC93EEE}">
  <dimension ref="A2:G16"/>
  <sheetViews>
    <sheetView workbookViewId="0">
      <selection activeCell="C24" sqref="C24"/>
    </sheetView>
  </sheetViews>
  <sheetFormatPr baseColWidth="10" defaultRowHeight="15" x14ac:dyDescent="0.25"/>
  <cols>
    <col min="1" max="1" width="32.5703125" bestFit="1" customWidth="1"/>
    <col min="2" max="2" width="14.140625" bestFit="1" customWidth="1"/>
    <col min="6" max="6" width="14.5703125" customWidth="1"/>
  </cols>
  <sheetData>
    <row r="2" spans="1:7" ht="31.5" x14ac:dyDescent="0.25">
      <c r="A2" s="999" t="s">
        <v>545</v>
      </c>
      <c r="B2" s="999"/>
      <c r="C2" s="999"/>
      <c r="D2" s="999"/>
      <c r="E2" s="999"/>
      <c r="F2" s="999"/>
      <c r="G2" s="999"/>
    </row>
    <row r="3" spans="1:7" ht="23.25" x14ac:dyDescent="0.35">
      <c r="A3" s="1039"/>
      <c r="B3" s="1039"/>
      <c r="C3" s="563"/>
      <c r="D3" s="710" t="s">
        <v>52</v>
      </c>
      <c r="E3" s="563"/>
      <c r="F3" s="563">
        <v>4000</v>
      </c>
      <c r="G3" s="63"/>
    </row>
    <row r="4" spans="1:7" ht="23.25" x14ac:dyDescent="0.35">
      <c r="A4" s="63" t="s">
        <v>301</v>
      </c>
      <c r="B4" s="569">
        <f>1.5*3.5*F3</f>
        <v>21000</v>
      </c>
      <c r="C4" s="563"/>
      <c r="D4" s="563"/>
      <c r="E4" s="563"/>
      <c r="F4" s="563"/>
      <c r="G4" s="63"/>
    </row>
    <row r="5" spans="1:7" ht="23.25" x14ac:dyDescent="0.35">
      <c r="A5" s="63" t="s">
        <v>1</v>
      </c>
      <c r="B5" s="569">
        <v>3000</v>
      </c>
      <c r="C5" s="563"/>
      <c r="D5" s="563"/>
      <c r="E5" s="563"/>
      <c r="F5" s="563"/>
      <c r="G5" s="63"/>
    </row>
    <row r="6" spans="1:7" ht="31.5" x14ac:dyDescent="0.5">
      <c r="A6" s="63" t="s">
        <v>276</v>
      </c>
      <c r="B6" s="569">
        <v>2800</v>
      </c>
      <c r="C6" s="563"/>
      <c r="D6" s="563"/>
      <c r="E6" s="414"/>
      <c r="F6" s="414"/>
      <c r="G6" s="414"/>
    </row>
    <row r="7" spans="1:7" ht="23.25" x14ac:dyDescent="0.35">
      <c r="A7" s="63" t="s">
        <v>10</v>
      </c>
      <c r="B7" s="569">
        <v>8000</v>
      </c>
      <c r="C7" s="563"/>
      <c r="D7" s="563"/>
      <c r="E7" s="563"/>
      <c r="F7" s="563"/>
      <c r="G7" s="63"/>
    </row>
    <row r="8" spans="1:7" ht="28.5" x14ac:dyDescent="0.45">
      <c r="A8" s="63" t="s">
        <v>280</v>
      </c>
      <c r="B8" s="569">
        <f>1.7*10000</f>
        <v>17000</v>
      </c>
      <c r="C8" s="563"/>
      <c r="D8" s="672"/>
      <c r="E8" s="672" t="s">
        <v>26</v>
      </c>
      <c r="F8" s="672"/>
      <c r="G8" s="672"/>
    </row>
    <row r="9" spans="1:7" ht="23.25" x14ac:dyDescent="0.35">
      <c r="A9" s="63" t="s">
        <v>11</v>
      </c>
      <c r="B9" s="569">
        <v>2500</v>
      </c>
      <c r="C9" s="563"/>
      <c r="D9" s="565" t="s">
        <v>22</v>
      </c>
      <c r="E9" s="711" t="s">
        <v>23</v>
      </c>
      <c r="F9" s="565" t="s">
        <v>24</v>
      </c>
      <c r="G9" s="65"/>
    </row>
    <row r="10" spans="1:7" ht="23.25" x14ac:dyDescent="0.35">
      <c r="A10" s="63" t="s">
        <v>12</v>
      </c>
      <c r="B10" s="569">
        <v>1500</v>
      </c>
      <c r="C10" s="563"/>
      <c r="D10" s="565">
        <f>D13</f>
        <v>21.139999999999997</v>
      </c>
      <c r="E10" s="565">
        <f>E13</f>
        <v>27.18</v>
      </c>
      <c r="F10" s="565">
        <f>F13</f>
        <v>28.689999999999998</v>
      </c>
      <c r="G10" s="65"/>
    </row>
    <row r="11" spans="1:7" ht="23.25" x14ac:dyDescent="0.35">
      <c r="A11" s="63" t="s">
        <v>325</v>
      </c>
      <c r="B11" s="569">
        <v>500</v>
      </c>
      <c r="C11" s="563"/>
      <c r="D11" s="563"/>
      <c r="E11" s="563"/>
      <c r="F11" s="563"/>
      <c r="G11" s="63"/>
    </row>
    <row r="12" spans="1:7" ht="23.25" x14ac:dyDescent="0.35">
      <c r="A12" s="63" t="s">
        <v>28</v>
      </c>
      <c r="B12" s="569">
        <v>100</v>
      </c>
      <c r="C12" s="563"/>
      <c r="D12" s="710">
        <v>0.4</v>
      </c>
      <c r="E12" s="710">
        <v>0.55000000000000004</v>
      </c>
      <c r="F12" s="710">
        <v>0.85</v>
      </c>
      <c r="G12" s="63"/>
    </row>
    <row r="13" spans="1:7" ht="23.25" x14ac:dyDescent="0.35">
      <c r="A13" s="63" t="s">
        <v>16</v>
      </c>
      <c r="B13" s="569">
        <v>250</v>
      </c>
      <c r="C13" s="563"/>
      <c r="D13" s="710">
        <f>B16*1.4</f>
        <v>21.139999999999997</v>
      </c>
      <c r="E13" s="710">
        <f>B16*1.8</f>
        <v>27.18</v>
      </c>
      <c r="F13" s="710">
        <f>B16*1.9</f>
        <v>28.689999999999998</v>
      </c>
      <c r="G13" s="63"/>
    </row>
    <row r="14" spans="1:7" ht="23.25" x14ac:dyDescent="0.35">
      <c r="A14" s="63" t="s">
        <v>17</v>
      </c>
      <c r="B14" s="569">
        <v>50</v>
      </c>
      <c r="C14" s="563"/>
      <c r="D14" s="563"/>
      <c r="E14" s="563"/>
      <c r="F14" s="563"/>
      <c r="G14" s="63"/>
    </row>
    <row r="15" spans="1:7" ht="24" thickBot="1" x14ac:dyDescent="0.4">
      <c r="A15" s="63" t="s">
        <v>18</v>
      </c>
      <c r="B15" s="579">
        <v>3700</v>
      </c>
      <c r="C15" s="563"/>
      <c r="D15" s="563"/>
      <c r="E15" s="563"/>
      <c r="F15" s="563"/>
      <c r="G15" s="63"/>
    </row>
    <row r="16" spans="1:7" ht="23.25" x14ac:dyDescent="0.35">
      <c r="A16" s="63"/>
      <c r="B16" s="569">
        <f>SUM(B4:B15)/F3</f>
        <v>15.1</v>
      </c>
      <c r="C16" s="563"/>
      <c r="D16" s="563"/>
      <c r="E16" s="563"/>
      <c r="F16" s="563"/>
      <c r="G16" s="63"/>
    </row>
  </sheetData>
  <mergeCells count="2">
    <mergeCell ref="A2:G2"/>
    <mergeCell ref="A3:B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7CC4-6A1A-4DDC-B35D-132FE36AEC44}">
  <dimension ref="A4:F6"/>
  <sheetViews>
    <sheetView workbookViewId="0">
      <selection activeCell="C24" sqref="C24"/>
    </sheetView>
  </sheetViews>
  <sheetFormatPr baseColWidth="10" defaultRowHeight="15" x14ac:dyDescent="0.25"/>
  <cols>
    <col min="1" max="1" width="24.28515625" customWidth="1"/>
    <col min="2" max="5" width="11.42578125" style="31"/>
  </cols>
  <sheetData>
    <row r="4" spans="1:6" ht="30" x14ac:dyDescent="0.25">
      <c r="B4" s="31" t="s">
        <v>419</v>
      </c>
      <c r="C4" s="31" t="s">
        <v>481</v>
      </c>
      <c r="D4" s="31" t="s">
        <v>482</v>
      </c>
      <c r="E4" s="692">
        <v>0.7</v>
      </c>
      <c r="F4" s="691" t="s">
        <v>480</v>
      </c>
    </row>
    <row r="5" spans="1:6" x14ac:dyDescent="0.25">
      <c r="A5" t="s">
        <v>478</v>
      </c>
      <c r="B5" s="31">
        <v>9</v>
      </c>
      <c r="C5" s="31">
        <v>5</v>
      </c>
      <c r="D5" s="31">
        <f>C5+B5</f>
        <v>14</v>
      </c>
      <c r="E5" s="31">
        <f>D5*1.7</f>
        <v>23.8</v>
      </c>
      <c r="F5" s="31">
        <v>24</v>
      </c>
    </row>
    <row r="6" spans="1:6" x14ac:dyDescent="0.25">
      <c r="A6" t="s">
        <v>479</v>
      </c>
      <c r="B6" s="31">
        <v>11</v>
      </c>
      <c r="C6" s="31">
        <v>5</v>
      </c>
      <c r="D6" s="31">
        <f>C6+B6</f>
        <v>16</v>
      </c>
      <c r="E6" s="31">
        <f>D6*1.7</f>
        <v>27.2</v>
      </c>
      <c r="F6" s="31">
        <v>28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24D6-BD77-4EEA-B0FD-B6BA2CEAF13B}">
  <dimension ref="A2:G17"/>
  <sheetViews>
    <sheetView workbookViewId="0">
      <selection activeCell="C24" sqref="C24"/>
    </sheetView>
  </sheetViews>
  <sheetFormatPr baseColWidth="10" defaultRowHeight="15" x14ac:dyDescent="0.25"/>
  <cols>
    <col min="1" max="1" width="32.5703125" style="60" bestFit="1" customWidth="1"/>
    <col min="2" max="2" width="14.140625" style="60" bestFit="1" customWidth="1"/>
    <col min="3" max="3" width="11.42578125" style="60"/>
    <col min="4" max="4" width="12.85546875" style="60" customWidth="1"/>
    <col min="5" max="5" width="14" style="60" customWidth="1"/>
    <col min="6" max="6" width="13.28515625" style="60" customWidth="1"/>
    <col min="7" max="7" width="11.42578125" style="60"/>
  </cols>
  <sheetData>
    <row r="2" spans="1:7" ht="31.5" x14ac:dyDescent="0.5">
      <c r="A2" s="999" t="s">
        <v>434</v>
      </c>
      <c r="B2" s="999"/>
      <c r="C2" s="923"/>
      <c r="D2" s="923"/>
      <c r="E2" s="923"/>
      <c r="F2" s="923"/>
      <c r="G2" s="671"/>
    </row>
    <row r="3" spans="1:7" ht="23.25" x14ac:dyDescent="0.35">
      <c r="A3" s="1039"/>
      <c r="B3" s="1039"/>
      <c r="C3" s="563"/>
      <c r="D3" s="670"/>
      <c r="E3" s="563"/>
      <c r="F3" s="563">
        <v>3800</v>
      </c>
      <c r="G3" s="63"/>
    </row>
    <row r="4" spans="1:7" ht="23.25" x14ac:dyDescent="0.35">
      <c r="A4" s="63" t="s">
        <v>301</v>
      </c>
      <c r="B4" s="569">
        <f>2*1.95*F3</f>
        <v>14820</v>
      </c>
      <c r="C4" s="563"/>
      <c r="D4" s="563"/>
      <c r="E4" s="563"/>
      <c r="F4" s="563"/>
      <c r="G4" s="63"/>
    </row>
    <row r="5" spans="1:7" ht="23.25" x14ac:dyDescent="0.35">
      <c r="A5" s="63" t="s">
        <v>1</v>
      </c>
      <c r="B5" s="569">
        <v>700</v>
      </c>
      <c r="C5" s="563"/>
      <c r="D5" s="563"/>
      <c r="E5" s="421" t="s">
        <v>26</v>
      </c>
      <c r="F5" s="563"/>
      <c r="G5" s="63"/>
    </row>
    <row r="6" spans="1:7" ht="23.25" x14ac:dyDescent="0.35">
      <c r="A6" s="63" t="s">
        <v>10</v>
      </c>
      <c r="B6" s="569">
        <v>6000</v>
      </c>
      <c r="C6" s="563"/>
      <c r="D6" s="670">
        <v>0.4</v>
      </c>
      <c r="E6" s="670">
        <v>0.55000000000000004</v>
      </c>
      <c r="F6" s="670">
        <v>0.85</v>
      </c>
      <c r="G6" s="63"/>
    </row>
    <row r="7" spans="1:7" ht="25.5" customHeight="1" x14ac:dyDescent="0.45">
      <c r="A7" s="63" t="s">
        <v>16</v>
      </c>
      <c r="B7" s="569">
        <v>250</v>
      </c>
      <c r="C7" s="563"/>
      <c r="D7" s="670">
        <f>B10*1.5</f>
        <v>10.29078947368421</v>
      </c>
      <c r="E7" s="670">
        <f>B10*1.7</f>
        <v>11.662894736842105</v>
      </c>
      <c r="F7" s="670">
        <f>B10*1.99</f>
        <v>13.652447368421052</v>
      </c>
      <c r="G7" s="672"/>
    </row>
    <row r="8" spans="1:7" ht="23.25" x14ac:dyDescent="0.35">
      <c r="A8" s="63" t="s">
        <v>17</v>
      </c>
      <c r="B8" s="569">
        <v>300</v>
      </c>
      <c r="C8" s="563"/>
      <c r="G8" s="65"/>
    </row>
    <row r="9" spans="1:7" ht="24" thickBot="1" x14ac:dyDescent="0.4">
      <c r="A9" s="63" t="s">
        <v>18</v>
      </c>
      <c r="B9" s="579">
        <v>4000</v>
      </c>
      <c r="C9" s="563"/>
      <c r="G9" s="65"/>
    </row>
    <row r="10" spans="1:7" ht="23.25" x14ac:dyDescent="0.35">
      <c r="A10" s="63"/>
      <c r="B10" s="569">
        <f>SUM(B4:B9)/F3</f>
        <v>6.8605263157894738</v>
      </c>
      <c r="C10" s="563"/>
      <c r="D10" s="563"/>
      <c r="E10" s="563"/>
      <c r="F10" s="563"/>
      <c r="G10" s="63"/>
    </row>
    <row r="11" spans="1:7" ht="23.25" x14ac:dyDescent="0.35">
      <c r="A11" s="63"/>
      <c r="B11" s="569"/>
      <c r="C11" s="563"/>
      <c r="G11" s="63"/>
    </row>
    <row r="12" spans="1:7" ht="23.25" x14ac:dyDescent="0.35">
      <c r="A12" s="63"/>
      <c r="B12" s="569"/>
      <c r="C12" s="563"/>
      <c r="G12" s="63"/>
    </row>
    <row r="13" spans="1:7" ht="23.25" x14ac:dyDescent="0.35">
      <c r="A13" s="63"/>
      <c r="B13" s="569"/>
      <c r="C13" s="563"/>
      <c r="D13" s="563"/>
      <c r="E13" s="563"/>
      <c r="F13" s="563"/>
      <c r="G13" s="63"/>
    </row>
    <row r="14" spans="1:7" ht="23.25" x14ac:dyDescent="0.35">
      <c r="C14" s="563"/>
      <c r="D14" s="563"/>
      <c r="E14" s="563"/>
      <c r="F14" s="563"/>
      <c r="G14" s="63"/>
    </row>
    <row r="15" spans="1:7" ht="23.25" x14ac:dyDescent="0.35">
      <c r="C15" s="563"/>
      <c r="D15" s="563"/>
      <c r="E15" s="563"/>
      <c r="F15" s="563"/>
      <c r="G15" s="63"/>
    </row>
    <row r="16" spans="1:7" ht="23.25" x14ac:dyDescent="0.35">
      <c r="C16" s="563"/>
      <c r="D16" s="563"/>
      <c r="E16" s="563"/>
      <c r="F16" s="569"/>
      <c r="G16" s="63"/>
    </row>
    <row r="17" spans="3:7" ht="23.25" x14ac:dyDescent="0.35">
      <c r="C17" s="563"/>
      <c r="D17" s="563"/>
      <c r="E17" s="563"/>
      <c r="F17" s="569"/>
      <c r="G17" s="63"/>
    </row>
  </sheetData>
  <mergeCells count="3">
    <mergeCell ref="A2:B2"/>
    <mergeCell ref="C2:F2"/>
    <mergeCell ref="A3:B3"/>
  </mergeCells>
  <pageMargins left="0.7" right="0.7" top="0.75" bottom="0.75" header="0.3" footer="0.3"/>
  <pageSetup paperSize="9" orientation="portrait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M31"/>
  <sheetViews>
    <sheetView topLeftCell="A16" workbookViewId="0">
      <selection activeCell="C24" sqref="C24"/>
    </sheetView>
  </sheetViews>
  <sheetFormatPr baseColWidth="10" defaultRowHeight="15" x14ac:dyDescent="0.25"/>
  <cols>
    <col min="1" max="1" width="21.7109375" customWidth="1"/>
    <col min="5" max="5" width="13.5703125" customWidth="1"/>
    <col min="6" max="6" width="12.42578125" customWidth="1"/>
    <col min="8" max="8" width="22" customWidth="1"/>
  </cols>
  <sheetData>
    <row r="2" spans="1:13" x14ac:dyDescent="0.25">
      <c r="A2" s="3"/>
      <c r="B2" s="3"/>
      <c r="C2" s="3"/>
      <c r="D2" s="3"/>
      <c r="E2" s="3"/>
      <c r="F2" s="3"/>
      <c r="G2" s="3"/>
      <c r="H2" s="3"/>
    </row>
    <row r="3" spans="1:13" ht="18.75" customHeight="1" x14ac:dyDescent="0.4">
      <c r="A3" s="275"/>
      <c r="B3" s="262"/>
      <c r="C3" s="264"/>
      <c r="D3" s="264"/>
      <c r="E3" s="264"/>
      <c r="F3" s="262">
        <v>4500</v>
      </c>
      <c r="G3" s="435"/>
      <c r="H3" s="3"/>
    </row>
    <row r="4" spans="1:13" ht="15.75" x14ac:dyDescent="0.25">
      <c r="A4" s="275"/>
      <c r="B4" s="262"/>
      <c r="C4" s="264"/>
      <c r="D4" s="264"/>
      <c r="E4" s="264"/>
      <c r="F4" s="264"/>
      <c r="G4" s="275"/>
      <c r="H4" s="3"/>
    </row>
    <row r="5" spans="1:13" ht="31.5" x14ac:dyDescent="0.5">
      <c r="A5" s="1005" t="s">
        <v>303</v>
      </c>
      <c r="B5" s="1005"/>
      <c r="C5" s="264"/>
      <c r="D5" s="136"/>
      <c r="E5" s="264"/>
      <c r="F5" s="5"/>
      <c r="G5" s="275"/>
      <c r="H5" s="1005" t="s">
        <v>310</v>
      </c>
      <c r="I5" s="1005"/>
      <c r="J5" s="264"/>
      <c r="K5" s="136"/>
      <c r="L5" s="264"/>
      <c r="M5" s="5"/>
    </row>
    <row r="6" spans="1:13" ht="28.5" x14ac:dyDescent="0.45">
      <c r="A6" s="937" t="s">
        <v>25</v>
      </c>
      <c r="B6" s="937"/>
      <c r="C6" s="264"/>
      <c r="D6" s="1010" t="s">
        <v>304</v>
      </c>
      <c r="E6" s="1010"/>
      <c r="F6" s="1010"/>
      <c r="G6" s="275"/>
      <c r="H6" s="937" t="s">
        <v>25</v>
      </c>
      <c r="I6" s="937"/>
      <c r="J6" s="264"/>
      <c r="K6" s="1010" t="s">
        <v>304</v>
      </c>
      <c r="L6" s="1010"/>
      <c r="M6" s="1010"/>
    </row>
    <row r="7" spans="1:13" ht="21" x14ac:dyDescent="0.35">
      <c r="A7" s="275"/>
      <c r="B7" s="262"/>
      <c r="C7" s="264"/>
      <c r="D7" s="264"/>
      <c r="E7" s="432"/>
      <c r="F7" s="432"/>
      <c r="G7" s="275"/>
      <c r="H7" s="275"/>
      <c r="I7" s="262"/>
      <c r="J7" s="264"/>
      <c r="K7" s="264"/>
      <c r="L7" s="432"/>
      <c r="M7" s="432"/>
    </row>
    <row r="8" spans="1:13" ht="21" x14ac:dyDescent="0.35">
      <c r="A8" s="275" t="s">
        <v>306</v>
      </c>
      <c r="B8" s="262">
        <f>4.5*1.8/3*F3</f>
        <v>12149.999999999998</v>
      </c>
      <c r="C8" s="264"/>
      <c r="E8" s="432" t="s">
        <v>305</v>
      </c>
      <c r="F8" s="432"/>
      <c r="G8" s="275"/>
      <c r="H8" s="275" t="s">
        <v>306</v>
      </c>
      <c r="I8" s="262">
        <f>0.7*3/3*F3</f>
        <v>3149.9999999999991</v>
      </c>
      <c r="J8" s="264"/>
      <c r="L8" s="432" t="s">
        <v>305</v>
      </c>
      <c r="M8" s="432"/>
    </row>
    <row r="9" spans="1:13" ht="18.75" x14ac:dyDescent="0.25">
      <c r="A9" s="275" t="s">
        <v>307</v>
      </c>
      <c r="B9" s="262">
        <f>0.2*2.5/3*F3</f>
        <v>750</v>
      </c>
      <c r="C9" s="264"/>
      <c r="D9" s="6" t="s">
        <v>22</v>
      </c>
      <c r="E9" s="6" t="s">
        <v>23</v>
      </c>
      <c r="F9" s="6" t="s">
        <v>24</v>
      </c>
      <c r="G9" s="275"/>
      <c r="H9" s="275" t="s">
        <v>1</v>
      </c>
      <c r="I9" s="262">
        <v>1000</v>
      </c>
      <c r="J9" s="264"/>
      <c r="K9" s="6" t="s">
        <v>22</v>
      </c>
      <c r="L9" s="6" t="s">
        <v>23</v>
      </c>
      <c r="M9" s="6" t="s">
        <v>24</v>
      </c>
    </row>
    <row r="10" spans="1:13" ht="21" x14ac:dyDescent="0.35">
      <c r="A10" s="275" t="s">
        <v>1</v>
      </c>
      <c r="B10" s="262">
        <v>1000</v>
      </c>
      <c r="C10" s="264"/>
      <c r="D10" s="7">
        <f>D14</f>
        <v>7.0566666666666658</v>
      </c>
      <c r="E10" s="7">
        <f>E14</f>
        <v>8.5166666666666657</v>
      </c>
      <c r="F10" s="7">
        <f>F14</f>
        <v>9.684666666666665</v>
      </c>
      <c r="G10" s="275"/>
      <c r="H10" s="275" t="s">
        <v>10</v>
      </c>
      <c r="I10" s="262">
        <v>2500</v>
      </c>
      <c r="J10" s="264"/>
      <c r="K10" s="7">
        <f>K14</f>
        <v>3.5927777777777776</v>
      </c>
      <c r="L10" s="7">
        <f>L14</f>
        <v>4.3361111111111112</v>
      </c>
      <c r="M10" s="7">
        <f>M14</f>
        <v>4.9307777777777781</v>
      </c>
    </row>
    <row r="11" spans="1:13" ht="15.75" x14ac:dyDescent="0.25">
      <c r="A11" s="275" t="s">
        <v>10</v>
      </c>
      <c r="B11" s="262">
        <v>3500</v>
      </c>
      <c r="C11" s="264"/>
      <c r="D11" s="264"/>
      <c r="E11" s="264"/>
      <c r="F11" s="264"/>
      <c r="G11" s="275"/>
      <c r="H11" s="275" t="s">
        <v>16</v>
      </c>
      <c r="I11" s="262">
        <v>500</v>
      </c>
      <c r="J11" s="264"/>
      <c r="K11" s="264"/>
      <c r="L11" s="264"/>
      <c r="M11" s="264"/>
    </row>
    <row r="12" spans="1:13" ht="16.5" thickBot="1" x14ac:dyDescent="0.3">
      <c r="A12" s="275" t="s">
        <v>16</v>
      </c>
      <c r="B12" s="262">
        <v>500</v>
      </c>
      <c r="C12" s="264"/>
      <c r="D12" s="264"/>
      <c r="E12" s="264"/>
      <c r="F12" s="264"/>
      <c r="G12" s="275"/>
      <c r="H12" s="275" t="s">
        <v>18</v>
      </c>
      <c r="I12" s="263">
        <v>4000</v>
      </c>
      <c r="J12" s="264"/>
      <c r="K12" s="264"/>
      <c r="L12" s="264"/>
      <c r="M12" s="264"/>
    </row>
    <row r="13" spans="1:13" ht="19.5" thickBot="1" x14ac:dyDescent="0.35">
      <c r="A13" s="275" t="s">
        <v>18</v>
      </c>
      <c r="B13" s="263">
        <v>4000</v>
      </c>
      <c r="C13" s="264"/>
      <c r="D13" s="431">
        <v>0.35</v>
      </c>
      <c r="E13" s="431">
        <v>0.5</v>
      </c>
      <c r="F13" s="431">
        <v>0.8</v>
      </c>
      <c r="G13" s="275"/>
      <c r="H13" s="275"/>
      <c r="I13" s="262">
        <f>SUM(I8:I12)/F3</f>
        <v>2.4777777777777779</v>
      </c>
      <c r="J13" s="264"/>
      <c r="K13" s="431">
        <v>0.35</v>
      </c>
      <c r="L13" s="431">
        <v>0.5</v>
      </c>
      <c r="M13" s="431">
        <v>0.8</v>
      </c>
    </row>
    <row r="14" spans="1:13" ht="18.75" x14ac:dyDescent="0.3">
      <c r="A14" s="275"/>
      <c r="B14" s="262">
        <f>SUM(B8:B13)/F3</f>
        <v>4.8666666666666663</v>
      </c>
      <c r="C14" s="264"/>
      <c r="D14" s="5">
        <f>B14*1.45</f>
        <v>7.0566666666666658</v>
      </c>
      <c r="E14" s="5">
        <f>B14*1.75</f>
        <v>8.5166666666666657</v>
      </c>
      <c r="F14" s="5">
        <f>B14*1.99</f>
        <v>9.684666666666665</v>
      </c>
      <c r="G14" s="4"/>
      <c r="J14" s="264"/>
      <c r="K14" s="5">
        <f>I13*1.45</f>
        <v>3.5927777777777776</v>
      </c>
      <c r="L14" s="5">
        <f>I13*1.75</f>
        <v>4.3361111111111112</v>
      </c>
      <c r="M14" s="5">
        <f>I13*1.99</f>
        <v>4.9307777777777781</v>
      </c>
    </row>
    <row r="15" spans="1:13" ht="18.75" x14ac:dyDescent="0.3">
      <c r="C15" s="264"/>
      <c r="G15" s="4"/>
      <c r="J15" s="264"/>
    </row>
    <row r="16" spans="1:13" ht="18.75" x14ac:dyDescent="0.3">
      <c r="A16" s="275"/>
      <c r="B16" s="262"/>
      <c r="C16" s="264"/>
      <c r="G16" s="4"/>
      <c r="H16" s="3"/>
    </row>
    <row r="17" spans="1:8" x14ac:dyDescent="0.25">
      <c r="A17" s="3"/>
      <c r="B17" s="3"/>
      <c r="C17" s="3"/>
      <c r="D17" s="3"/>
      <c r="E17" s="3"/>
      <c r="F17" s="3"/>
      <c r="G17" s="3"/>
      <c r="H17" s="3"/>
    </row>
    <row r="18" spans="1:8" ht="31.5" x14ac:dyDescent="0.5">
      <c r="A18" s="941" t="s">
        <v>37</v>
      </c>
      <c r="B18" s="941"/>
      <c r="C18" s="264"/>
      <c r="D18" s="136"/>
      <c r="E18" s="264"/>
      <c r="F18" s="264"/>
    </row>
    <row r="19" spans="1:8" ht="28.5" x14ac:dyDescent="0.45">
      <c r="A19" s="1008" t="s">
        <v>308</v>
      </c>
      <c r="B19" s="937"/>
      <c r="C19" s="264"/>
      <c r="D19" s="264"/>
      <c r="E19" s="264"/>
      <c r="F19" s="264"/>
    </row>
    <row r="20" spans="1:8" ht="23.25" x14ac:dyDescent="0.35">
      <c r="A20" s="273" t="s">
        <v>9</v>
      </c>
      <c r="B20" s="262">
        <f>0.35*1.8*4000/3</f>
        <v>840</v>
      </c>
      <c r="C20" s="264"/>
      <c r="D20" s="23" t="s">
        <v>309</v>
      </c>
      <c r="E20" s="264"/>
      <c r="F20" s="264"/>
    </row>
    <row r="21" spans="1:8" ht="15.75" x14ac:dyDescent="0.25">
      <c r="A21" s="273" t="s">
        <v>1</v>
      </c>
      <c r="B21" s="262">
        <v>1000</v>
      </c>
      <c r="C21" s="264"/>
      <c r="D21" s="264"/>
      <c r="E21" s="264"/>
      <c r="F21" s="264"/>
    </row>
    <row r="22" spans="1:8" ht="15.75" x14ac:dyDescent="0.25">
      <c r="A22" s="273" t="s">
        <v>10</v>
      </c>
      <c r="B22" s="262">
        <v>2500</v>
      </c>
      <c r="C22" s="264"/>
      <c r="D22" s="264"/>
      <c r="E22" s="264"/>
      <c r="F22" s="264"/>
    </row>
    <row r="23" spans="1:8" ht="21" x14ac:dyDescent="0.35">
      <c r="A23" s="273" t="s">
        <v>28</v>
      </c>
      <c r="B23" s="262">
        <v>100</v>
      </c>
      <c r="C23" s="264"/>
      <c r="D23" s="1010" t="s">
        <v>297</v>
      </c>
      <c r="E23" s="1010"/>
      <c r="F23" s="1010"/>
    </row>
    <row r="24" spans="1:8" ht="18.75" x14ac:dyDescent="0.25">
      <c r="A24" s="273" t="s">
        <v>16</v>
      </c>
      <c r="B24" s="262">
        <v>750</v>
      </c>
      <c r="C24" s="264"/>
      <c r="D24" s="6" t="s">
        <v>22</v>
      </c>
      <c r="E24" s="6" t="s">
        <v>23</v>
      </c>
      <c r="F24" s="6" t="s">
        <v>24</v>
      </c>
    </row>
    <row r="25" spans="1:8" ht="19.5" thickBot="1" x14ac:dyDescent="0.3">
      <c r="A25" s="273" t="s">
        <v>18</v>
      </c>
      <c r="B25" s="263">
        <v>4000</v>
      </c>
      <c r="C25" s="264"/>
      <c r="D25" s="6">
        <f>D29</f>
        <v>2.9612222222222222</v>
      </c>
      <c r="E25" s="6">
        <f>E29</f>
        <v>3.5738888888888889</v>
      </c>
      <c r="F25" s="6">
        <f>F29</f>
        <v>4.0640222222222224</v>
      </c>
    </row>
    <row r="26" spans="1:8" ht="21" x14ac:dyDescent="0.35">
      <c r="A26" s="273"/>
      <c r="B26" s="262">
        <f>SUM(B20:B25)/F3</f>
        <v>2.0422222222222222</v>
      </c>
      <c r="C26" s="264"/>
      <c r="D26" s="7"/>
      <c r="E26" s="7"/>
      <c r="F26" s="7"/>
    </row>
    <row r="27" spans="1:8" x14ac:dyDescent="0.25">
      <c r="C27" s="264"/>
      <c r="D27" s="264"/>
      <c r="E27" s="264"/>
      <c r="F27" s="264"/>
    </row>
    <row r="28" spans="1:8" ht="18.75" x14ac:dyDescent="0.3">
      <c r="C28" s="264"/>
      <c r="D28" s="431">
        <v>0.35</v>
      </c>
      <c r="E28" s="431">
        <v>0.5</v>
      </c>
      <c r="F28" s="431">
        <v>0.8</v>
      </c>
    </row>
    <row r="29" spans="1:8" ht="18.75" x14ac:dyDescent="0.3">
      <c r="A29" s="273"/>
      <c r="B29" s="262"/>
      <c r="C29" s="264"/>
      <c r="D29" s="5">
        <f>B26*1.45</f>
        <v>2.9612222222222222</v>
      </c>
      <c r="E29" s="5">
        <f>B26*1.75</f>
        <v>3.5738888888888889</v>
      </c>
      <c r="F29" s="5">
        <f>B26*1.99</f>
        <v>4.0640222222222224</v>
      </c>
    </row>
    <row r="30" spans="1:8" ht="18.75" x14ac:dyDescent="0.3">
      <c r="C30" s="264"/>
      <c r="D30" s="264"/>
      <c r="E30" s="264"/>
      <c r="F30" s="5"/>
    </row>
    <row r="31" spans="1:8" ht="18.75" x14ac:dyDescent="0.3">
      <c r="C31" s="264"/>
      <c r="D31" s="264"/>
      <c r="E31" s="264"/>
      <c r="F31" s="5"/>
    </row>
  </sheetData>
  <mergeCells count="9">
    <mergeCell ref="D23:F23"/>
    <mergeCell ref="H5:I5"/>
    <mergeCell ref="H6:I6"/>
    <mergeCell ref="K6:M6"/>
    <mergeCell ref="A5:B5"/>
    <mergeCell ref="A6:B6"/>
    <mergeCell ref="D6:F6"/>
    <mergeCell ref="A18:B18"/>
    <mergeCell ref="A19:B19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5"/>
  <sheetViews>
    <sheetView workbookViewId="0">
      <selection activeCell="C24" sqref="C24"/>
    </sheetView>
  </sheetViews>
  <sheetFormatPr baseColWidth="10" defaultRowHeight="15" x14ac:dyDescent="0.25"/>
  <cols>
    <col min="1" max="1" width="23.85546875" customWidth="1"/>
    <col min="4" max="4" width="13.7109375" customWidth="1"/>
    <col min="5" max="5" width="15.85546875" customWidth="1"/>
    <col min="6" max="6" width="15.28515625" customWidth="1"/>
  </cols>
  <sheetData>
    <row r="1" spans="1:6" ht="33.75" x14ac:dyDescent="0.5">
      <c r="A1" s="861" t="s">
        <v>326</v>
      </c>
      <c r="B1" s="861"/>
      <c r="C1" s="83"/>
      <c r="D1" s="83"/>
      <c r="E1" s="83"/>
      <c r="F1" s="93"/>
    </row>
    <row r="2" spans="1:6" ht="28.5" x14ac:dyDescent="0.45">
      <c r="A2" s="15" t="s">
        <v>327</v>
      </c>
      <c r="B2" s="85"/>
      <c r="C2" s="83"/>
      <c r="D2" s="83"/>
      <c r="E2" s="83"/>
      <c r="F2" s="7">
        <v>3800</v>
      </c>
    </row>
    <row r="3" spans="1:6" ht="18.75" x14ac:dyDescent="0.25">
      <c r="A3" s="47" t="s">
        <v>9</v>
      </c>
      <c r="B3" s="143">
        <f>0.9*4.5/2</f>
        <v>2.0249999999999999</v>
      </c>
      <c r="C3" s="83"/>
      <c r="D3" s="83"/>
      <c r="E3" s="83"/>
      <c r="F3" s="93"/>
    </row>
    <row r="4" spans="1:6" ht="18.75" x14ac:dyDescent="0.3">
      <c r="A4" s="3" t="s">
        <v>1</v>
      </c>
      <c r="B4" s="5">
        <f>700/F2</f>
        <v>0.18421052631578946</v>
      </c>
      <c r="C4" s="83"/>
      <c r="D4" s="90" t="s">
        <v>22</v>
      </c>
      <c r="E4" s="90" t="s">
        <v>23</v>
      </c>
      <c r="F4" s="6" t="s">
        <v>24</v>
      </c>
    </row>
    <row r="5" spans="1:6" ht="18.75" x14ac:dyDescent="0.3">
      <c r="A5" s="3" t="s">
        <v>10</v>
      </c>
      <c r="B5" s="5">
        <f>3000/F2</f>
        <v>0.78947368421052633</v>
      </c>
      <c r="C5" s="83"/>
      <c r="D5" s="90">
        <f>D8</f>
        <v>9.9639473684210511</v>
      </c>
      <c r="E5" s="90">
        <f>E8</f>
        <v>10.67565789473684</v>
      </c>
      <c r="F5" s="6">
        <f>F8</f>
        <v>14.16303947368421</v>
      </c>
    </row>
    <row r="6" spans="1:6" ht="18.75" x14ac:dyDescent="0.3">
      <c r="A6" s="3" t="s">
        <v>94</v>
      </c>
      <c r="B6" s="5">
        <v>1</v>
      </c>
      <c r="C6" s="83"/>
    </row>
    <row r="7" spans="1:6" ht="18.75" x14ac:dyDescent="0.3">
      <c r="A7" s="3" t="s">
        <v>11</v>
      </c>
      <c r="B7" s="5">
        <f>500/F2</f>
        <v>0.13157894736842105</v>
      </c>
      <c r="C7" s="83"/>
      <c r="D7" s="447">
        <v>45</v>
      </c>
      <c r="E7" s="447">
        <v>75</v>
      </c>
      <c r="F7" s="447">
        <v>99</v>
      </c>
    </row>
    <row r="8" spans="1:6" ht="18.75" x14ac:dyDescent="0.3">
      <c r="A8" s="3" t="s">
        <v>12</v>
      </c>
      <c r="B8" s="5">
        <f>1500/F2</f>
        <v>0.39473684210526316</v>
      </c>
      <c r="C8" s="83"/>
      <c r="D8" s="86">
        <f>B13*1.4</f>
        <v>9.9639473684210511</v>
      </c>
      <c r="E8" s="86">
        <f>B13*1.5</f>
        <v>10.67565789473684</v>
      </c>
      <c r="F8" s="86">
        <f>B13*1.99</f>
        <v>14.16303947368421</v>
      </c>
    </row>
    <row r="9" spans="1:6" ht="18.75" x14ac:dyDescent="0.3">
      <c r="A9" s="3" t="s">
        <v>14</v>
      </c>
      <c r="B9" s="5">
        <f>500/F2</f>
        <v>0.13157894736842105</v>
      </c>
      <c r="C9" s="83"/>
    </row>
    <row r="10" spans="1:6" ht="18.75" x14ac:dyDescent="0.3">
      <c r="A10" s="10" t="s">
        <v>363</v>
      </c>
      <c r="B10" s="5">
        <f>5000/F2</f>
        <v>1.3157894736842106</v>
      </c>
      <c r="C10" s="83"/>
    </row>
    <row r="11" spans="1:6" ht="18.75" x14ac:dyDescent="0.3">
      <c r="A11" s="3" t="s">
        <v>16</v>
      </c>
      <c r="B11" s="5">
        <f>350/F2</f>
        <v>9.2105263157894732E-2</v>
      </c>
      <c r="C11" s="83"/>
    </row>
    <row r="12" spans="1:6" ht="19.5" thickBot="1" x14ac:dyDescent="0.35">
      <c r="A12" s="3" t="s">
        <v>18</v>
      </c>
      <c r="B12" s="46">
        <f>4000/F2</f>
        <v>1.0526315789473684</v>
      </c>
      <c r="C12" s="83"/>
    </row>
    <row r="13" spans="1:6" ht="18.75" x14ac:dyDescent="0.3">
      <c r="A13" s="3"/>
      <c r="B13" s="86">
        <f>SUM(B3:B12)</f>
        <v>7.1171052631578942</v>
      </c>
      <c r="C13" s="83"/>
    </row>
    <row r="14" spans="1:6" ht="18.75" x14ac:dyDescent="0.3">
      <c r="F14" s="5"/>
    </row>
    <row r="15" spans="1:6" ht="18.75" x14ac:dyDescent="0.3">
      <c r="F15" s="5"/>
    </row>
  </sheetData>
  <mergeCells count="1">
    <mergeCell ref="A1:B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644"/>
  <sheetViews>
    <sheetView topLeftCell="A37" zoomScale="55" zoomScaleNormal="55" workbookViewId="0">
      <selection activeCell="C13" sqref="C13"/>
    </sheetView>
  </sheetViews>
  <sheetFormatPr baseColWidth="10" defaultRowHeight="33.75" x14ac:dyDescent="0.5"/>
  <cols>
    <col min="1" max="1" width="35" style="839" bestFit="1" customWidth="1"/>
    <col min="2" max="2" width="21.5703125" style="665" bestFit="1" customWidth="1"/>
    <col min="3" max="3" width="23" style="665" bestFit="1" customWidth="1"/>
    <col min="4" max="4" width="16.7109375" style="665" bestFit="1" customWidth="1"/>
    <col min="5" max="5" width="20.7109375" style="665" bestFit="1" customWidth="1"/>
    <col min="6" max="6" width="44.140625" style="765" bestFit="1" customWidth="1"/>
    <col min="7" max="7" width="21.5703125" style="765" bestFit="1" customWidth="1"/>
    <col min="8" max="8" width="26.42578125" style="665" bestFit="1" customWidth="1"/>
    <col min="9" max="9" width="24.140625" style="665" customWidth="1"/>
    <col min="10" max="10" width="28.85546875" style="665" customWidth="1"/>
  </cols>
  <sheetData>
    <row r="1" spans="1:10" x14ac:dyDescent="0.5">
      <c r="A1" s="838"/>
      <c r="B1" s="393"/>
      <c r="C1" s="393"/>
      <c r="D1" s="393"/>
      <c r="E1" s="393"/>
      <c r="F1" s="756"/>
      <c r="G1" s="756"/>
      <c r="H1" s="393"/>
      <c r="I1" s="393"/>
      <c r="J1" s="393"/>
    </row>
    <row r="2" spans="1:10" ht="92.25" x14ac:dyDescent="1.35">
      <c r="A2" s="1045" t="s">
        <v>328</v>
      </c>
      <c r="B2" s="1045"/>
      <c r="C2" s="1045"/>
      <c r="D2" s="1045"/>
      <c r="E2" s="1045"/>
      <c r="F2" s="1045"/>
      <c r="G2" s="1045"/>
      <c r="H2" s="1045"/>
      <c r="I2" s="1045"/>
      <c r="J2" s="1045"/>
    </row>
    <row r="3" spans="1:10" ht="37.5" customHeight="1" x14ac:dyDescent="0.55000000000000004">
      <c r="A3" s="872" t="s">
        <v>37</v>
      </c>
      <c r="B3" s="872"/>
      <c r="C3" s="394"/>
      <c r="D3" s="394"/>
      <c r="E3" s="394">
        <v>4000</v>
      </c>
      <c r="F3" s="1046" t="s">
        <v>38</v>
      </c>
      <c r="G3" s="1046"/>
      <c r="H3" s="1042"/>
      <c r="I3" s="1042"/>
      <c r="J3" s="1042"/>
    </row>
    <row r="4" spans="1:10" ht="30" customHeight="1" x14ac:dyDescent="0.55000000000000004">
      <c r="A4" s="1047" t="s">
        <v>25</v>
      </c>
      <c r="B4" s="1047"/>
      <c r="C4" s="393"/>
      <c r="D4" s="393"/>
      <c r="E4" s="393"/>
      <c r="F4" s="756"/>
      <c r="G4" s="393"/>
      <c r="H4" s="757"/>
      <c r="I4" s="757"/>
      <c r="J4" s="757"/>
    </row>
    <row r="5" spans="1:10" ht="30" customHeight="1" x14ac:dyDescent="0.5">
      <c r="A5" s="838" t="s">
        <v>9</v>
      </c>
      <c r="B5" s="757">
        <f>0.7*1.8/3*2*E3</f>
        <v>3360</v>
      </c>
      <c r="C5" s="393"/>
      <c r="D5" s="393"/>
      <c r="E5" s="393"/>
      <c r="F5" s="758" t="s">
        <v>25</v>
      </c>
      <c r="G5" s="758"/>
      <c r="H5" s="394"/>
      <c r="I5" s="393"/>
      <c r="J5" s="393"/>
    </row>
    <row r="6" spans="1:10" ht="30" customHeight="1" x14ac:dyDescent="0.5">
      <c r="A6" s="838" t="s">
        <v>1</v>
      </c>
      <c r="B6" s="757">
        <v>700</v>
      </c>
      <c r="C6" s="1042"/>
      <c r="D6" s="1042"/>
      <c r="E6" s="1042"/>
      <c r="F6" s="756" t="s">
        <v>9</v>
      </c>
      <c r="G6" s="757">
        <f>0.7*3/3*2*E3</f>
        <v>5599.9999999999991</v>
      </c>
      <c r="H6" s="393"/>
      <c r="I6" s="393"/>
      <c r="J6" s="393"/>
    </row>
    <row r="7" spans="1:10" ht="30" customHeight="1" x14ac:dyDescent="0.5">
      <c r="A7" s="838" t="s">
        <v>10</v>
      </c>
      <c r="B7" s="757">
        <v>3000</v>
      </c>
      <c r="C7" s="385" t="s">
        <v>22</v>
      </c>
      <c r="D7" s="385" t="s">
        <v>23</v>
      </c>
      <c r="E7" s="385" t="s">
        <v>24</v>
      </c>
      <c r="F7" s="756" t="s">
        <v>1</v>
      </c>
      <c r="G7" s="757">
        <v>700</v>
      </c>
      <c r="H7" s="393"/>
      <c r="I7" s="394"/>
      <c r="J7" s="394"/>
    </row>
    <row r="8" spans="1:10" ht="30" customHeight="1" x14ac:dyDescent="0.5">
      <c r="A8" s="838" t="s">
        <v>27</v>
      </c>
      <c r="B8" s="757">
        <v>200</v>
      </c>
      <c r="C8" s="385">
        <f>C13</f>
        <v>4.7687499999999998</v>
      </c>
      <c r="D8" s="385">
        <f>D13</f>
        <v>6.2947499999999996</v>
      </c>
      <c r="E8" s="385">
        <f>E13</f>
        <v>7.59185</v>
      </c>
      <c r="F8" s="756" t="s">
        <v>10</v>
      </c>
      <c r="G8" s="757">
        <v>2500</v>
      </c>
      <c r="H8" s="385" t="s">
        <v>22</v>
      </c>
      <c r="I8" s="385" t="s">
        <v>23</v>
      </c>
      <c r="J8" s="385" t="s">
        <v>24</v>
      </c>
    </row>
    <row r="9" spans="1:10" ht="30" customHeight="1" x14ac:dyDescent="0.5">
      <c r="A9" s="838" t="s">
        <v>28</v>
      </c>
      <c r="B9" s="757">
        <v>3000</v>
      </c>
      <c r="C9" s="757"/>
      <c r="D9" s="757"/>
      <c r="E9" s="757"/>
      <c r="F9" s="756" t="s">
        <v>27</v>
      </c>
      <c r="G9" s="757">
        <v>200</v>
      </c>
      <c r="H9" s="385">
        <f>H12</f>
        <v>5.1112500000000001</v>
      </c>
      <c r="I9" s="385">
        <f>I12</f>
        <v>6.1687500000000002</v>
      </c>
      <c r="J9" s="385">
        <f>J12</f>
        <v>7.0147499999999994</v>
      </c>
    </row>
    <row r="10" spans="1:10" ht="30" customHeight="1" x14ac:dyDescent="0.5">
      <c r="A10" s="838" t="s">
        <v>106</v>
      </c>
      <c r="B10" s="757">
        <v>750</v>
      </c>
      <c r="C10" s="393"/>
      <c r="D10" s="393"/>
      <c r="E10" s="393"/>
      <c r="F10" s="756" t="s">
        <v>28</v>
      </c>
      <c r="G10" s="757">
        <v>100</v>
      </c>
      <c r="H10" s="757"/>
      <c r="I10" s="757"/>
      <c r="J10" s="757"/>
    </row>
    <row r="11" spans="1:10" ht="30" customHeight="1" x14ac:dyDescent="0.5">
      <c r="A11" s="838" t="s">
        <v>16</v>
      </c>
      <c r="B11" s="757">
        <v>250</v>
      </c>
      <c r="C11" s="393"/>
      <c r="D11" s="1042" t="s">
        <v>21</v>
      </c>
      <c r="E11" s="1042"/>
      <c r="F11" s="756" t="s">
        <v>106</v>
      </c>
      <c r="G11" s="757">
        <v>750</v>
      </c>
      <c r="H11" s="394">
        <v>0.4</v>
      </c>
      <c r="I11" s="394">
        <v>0.55000000000000004</v>
      </c>
      <c r="J11" s="394">
        <v>0.85</v>
      </c>
    </row>
    <row r="12" spans="1:10" ht="30" customHeight="1" x14ac:dyDescent="0.5">
      <c r="A12" s="838" t="s">
        <v>18</v>
      </c>
      <c r="B12" s="757">
        <v>4000</v>
      </c>
      <c r="C12" s="394">
        <v>0.4</v>
      </c>
      <c r="D12" s="394">
        <v>0.65</v>
      </c>
      <c r="E12" s="394">
        <v>0.99</v>
      </c>
      <c r="F12" s="756" t="s">
        <v>16</v>
      </c>
      <c r="G12" s="757">
        <f>B11</f>
        <v>250</v>
      </c>
      <c r="H12" s="757">
        <f>G14*1.45</f>
        <v>5.1112500000000001</v>
      </c>
      <c r="I12" s="757">
        <f>G14*1.75</f>
        <v>6.1687500000000002</v>
      </c>
      <c r="J12" s="757">
        <f>G14*1.99</f>
        <v>7.0147499999999994</v>
      </c>
    </row>
    <row r="13" spans="1:10" ht="30" customHeight="1" x14ac:dyDescent="0.5">
      <c r="A13" s="838"/>
      <c r="B13" s="757">
        <f>SUM(B5:B12)/E3</f>
        <v>3.8149999999999999</v>
      </c>
      <c r="C13" s="394">
        <f>B13*1.25</f>
        <v>4.7687499999999998</v>
      </c>
      <c r="D13" s="394">
        <f>B13*1.65</f>
        <v>6.2947499999999996</v>
      </c>
      <c r="E13" s="394">
        <f>B13*1.99</f>
        <v>7.59185</v>
      </c>
      <c r="F13" s="756" t="s">
        <v>18</v>
      </c>
      <c r="G13" s="757">
        <f>B12</f>
        <v>4000</v>
      </c>
      <c r="H13" s="393"/>
      <c r="I13" s="393"/>
      <c r="J13" s="757"/>
    </row>
    <row r="14" spans="1:10" ht="30" customHeight="1" x14ac:dyDescent="0.5">
      <c r="A14" s="838"/>
      <c r="B14" s="393"/>
      <c r="C14" s="393"/>
      <c r="D14" s="393"/>
      <c r="E14" s="393"/>
      <c r="F14" s="756"/>
      <c r="G14" s="757">
        <f>SUM(G6:G13)/E3</f>
        <v>3.5249999999999999</v>
      </c>
      <c r="H14" s="757"/>
      <c r="I14" s="757"/>
      <c r="J14" s="757"/>
    </row>
    <row r="15" spans="1:10" ht="30" customHeight="1" x14ac:dyDescent="0.5">
      <c r="A15" s="838"/>
      <c r="B15" s="393"/>
      <c r="C15" s="393"/>
      <c r="D15" s="393"/>
      <c r="E15" s="393"/>
      <c r="F15" s="756"/>
      <c r="G15" s="759"/>
      <c r="H15" s="393"/>
      <c r="I15" s="393"/>
      <c r="J15" s="393"/>
    </row>
    <row r="16" spans="1:10" ht="30" customHeight="1" x14ac:dyDescent="0.5">
      <c r="A16" s="838"/>
      <c r="B16" s="393"/>
      <c r="C16" s="393"/>
      <c r="D16" s="393"/>
      <c r="E16" s="393"/>
      <c r="F16" s="756"/>
      <c r="G16" s="759"/>
      <c r="H16" s="393"/>
      <c r="I16" s="393"/>
      <c r="J16" s="393"/>
    </row>
    <row r="17" spans="1:10" ht="30" customHeight="1" x14ac:dyDescent="0.55000000000000004">
      <c r="A17" s="872"/>
      <c r="B17" s="872"/>
      <c r="C17" s="872"/>
      <c r="D17" s="872"/>
      <c r="E17" s="872"/>
      <c r="F17" s="756"/>
      <c r="G17" s="756"/>
      <c r="H17" s="393"/>
      <c r="I17" s="393"/>
      <c r="J17" s="393"/>
    </row>
    <row r="18" spans="1:10" ht="30" customHeight="1" x14ac:dyDescent="0.55000000000000004">
      <c r="A18" s="872" t="s">
        <v>37</v>
      </c>
      <c r="B18" s="872"/>
      <c r="C18" s="394"/>
      <c r="D18" s="394"/>
      <c r="E18" s="394">
        <v>4000</v>
      </c>
      <c r="F18" s="760" t="s">
        <v>38</v>
      </c>
      <c r="G18" s="756"/>
      <c r="H18" s="761"/>
      <c r="I18" s="761"/>
      <c r="J18" s="761"/>
    </row>
    <row r="19" spans="1:10" ht="30" customHeight="1" x14ac:dyDescent="0.5">
      <c r="A19" s="1043" t="s">
        <v>115</v>
      </c>
      <c r="B19" s="1043"/>
      <c r="C19" s="393"/>
      <c r="D19" s="393"/>
      <c r="E19" s="385">
        <v>4000</v>
      </c>
      <c r="F19" s="758" t="s">
        <v>115</v>
      </c>
      <c r="G19" s="758"/>
      <c r="H19" s="394"/>
      <c r="I19" s="393"/>
      <c r="J19" s="393"/>
    </row>
    <row r="20" spans="1:10" ht="30" customHeight="1" x14ac:dyDescent="0.5">
      <c r="A20" s="838" t="s">
        <v>9</v>
      </c>
      <c r="B20" s="762">
        <f>0.6*1.5*E18</f>
        <v>3599.9999999999995</v>
      </c>
      <c r="C20" s="393"/>
      <c r="D20" s="393"/>
      <c r="E20" s="393"/>
      <c r="F20" s="756" t="s">
        <v>9</v>
      </c>
      <c r="G20" s="762">
        <f>0.5*3/4*2*E3</f>
        <v>3000</v>
      </c>
      <c r="H20" s="393"/>
      <c r="I20" s="393"/>
      <c r="J20" s="393"/>
    </row>
    <row r="21" spans="1:10" ht="30" customHeight="1" x14ac:dyDescent="0.5">
      <c r="A21" s="838" t="s">
        <v>1</v>
      </c>
      <c r="B21" s="762">
        <v>700</v>
      </c>
      <c r="C21" s="761"/>
      <c r="D21" s="393"/>
      <c r="E21" s="761"/>
      <c r="F21" s="756" t="s">
        <v>1</v>
      </c>
      <c r="G21" s="762">
        <v>700</v>
      </c>
      <c r="H21" s="761"/>
      <c r="I21" s="761"/>
      <c r="J21" s="761"/>
    </row>
    <row r="22" spans="1:10" ht="30" customHeight="1" x14ac:dyDescent="0.5">
      <c r="A22" s="838" t="s">
        <v>10</v>
      </c>
      <c r="B22" s="762">
        <v>3000</v>
      </c>
      <c r="C22" s="385" t="s">
        <v>22</v>
      </c>
      <c r="D22" s="385" t="s">
        <v>23</v>
      </c>
      <c r="E22" s="385" t="s">
        <v>24</v>
      </c>
      <c r="F22" s="756" t="s">
        <v>10</v>
      </c>
      <c r="G22" s="762">
        <v>2500</v>
      </c>
      <c r="H22" s="385" t="s">
        <v>22</v>
      </c>
      <c r="I22" s="385" t="s">
        <v>23</v>
      </c>
      <c r="J22" s="385" t="s">
        <v>24</v>
      </c>
    </row>
    <row r="23" spans="1:10" ht="30" customHeight="1" x14ac:dyDescent="0.5">
      <c r="A23" s="838" t="s">
        <v>27</v>
      </c>
      <c r="B23" s="762">
        <v>200</v>
      </c>
      <c r="C23" s="385">
        <f>C28</f>
        <v>4.5674999999999999</v>
      </c>
      <c r="D23" s="385">
        <f>D28</f>
        <v>5.5125000000000002</v>
      </c>
      <c r="E23" s="385">
        <f>E28</f>
        <v>6.2684999999999995</v>
      </c>
      <c r="F23" s="756" t="s">
        <v>27</v>
      </c>
      <c r="G23" s="762">
        <v>200</v>
      </c>
      <c r="H23" s="385">
        <f>H27</f>
        <v>4.1687500000000002</v>
      </c>
      <c r="I23" s="385">
        <f>I27</f>
        <v>5.03125</v>
      </c>
      <c r="J23" s="385">
        <f>J27</f>
        <v>5.7212500000000004</v>
      </c>
    </row>
    <row r="24" spans="1:10" ht="30" customHeight="1" x14ac:dyDescent="0.5">
      <c r="A24" s="838" t="s">
        <v>28</v>
      </c>
      <c r="B24" s="762">
        <v>100</v>
      </c>
      <c r="C24" s="757"/>
      <c r="D24" s="757"/>
      <c r="E24" s="757"/>
      <c r="F24" s="756" t="s">
        <v>28</v>
      </c>
      <c r="G24" s="762">
        <v>100</v>
      </c>
      <c r="H24" s="757"/>
      <c r="I24" s="757"/>
      <c r="J24" s="757"/>
    </row>
    <row r="25" spans="1:10" ht="30" customHeight="1" x14ac:dyDescent="0.5">
      <c r="A25" s="838" t="s">
        <v>106</v>
      </c>
      <c r="B25" s="762">
        <v>750</v>
      </c>
      <c r="C25" s="393"/>
      <c r="D25" s="393"/>
      <c r="E25" s="393"/>
      <c r="F25" s="756" t="s">
        <v>106</v>
      </c>
      <c r="G25" s="762">
        <v>750</v>
      </c>
      <c r="H25" s="393"/>
      <c r="I25" s="393"/>
      <c r="J25" s="393"/>
    </row>
    <row r="26" spans="1:10" ht="30" customHeight="1" x14ac:dyDescent="0.5">
      <c r="A26" s="838" t="s">
        <v>16</v>
      </c>
      <c r="B26" s="762">
        <v>250</v>
      </c>
      <c r="C26" s="393"/>
      <c r="D26" s="1042"/>
      <c r="E26" s="1042"/>
      <c r="F26" s="756" t="s">
        <v>16</v>
      </c>
      <c r="G26" s="762">
        <v>250</v>
      </c>
      <c r="H26" s="394">
        <v>0.4</v>
      </c>
      <c r="I26" s="394">
        <v>0.55000000000000004</v>
      </c>
      <c r="J26" s="394">
        <v>0.85</v>
      </c>
    </row>
    <row r="27" spans="1:10" ht="30" customHeight="1" x14ac:dyDescent="0.5">
      <c r="A27" s="838" t="s">
        <v>18</v>
      </c>
      <c r="B27" s="762">
        <v>4000</v>
      </c>
      <c r="C27" s="394">
        <v>0.4</v>
      </c>
      <c r="D27" s="394">
        <v>0.55000000000000004</v>
      </c>
      <c r="E27" s="394">
        <v>0.85</v>
      </c>
      <c r="F27" s="756" t="s">
        <v>18</v>
      </c>
      <c r="G27" s="762">
        <v>4000</v>
      </c>
      <c r="H27" s="757">
        <f>G28*1.45</f>
        <v>4.1687500000000002</v>
      </c>
      <c r="I27" s="757">
        <f>G28*1.75</f>
        <v>5.03125</v>
      </c>
      <c r="J27" s="757">
        <f>G28*1.99</f>
        <v>5.7212500000000004</v>
      </c>
    </row>
    <row r="28" spans="1:10" ht="30" customHeight="1" x14ac:dyDescent="0.5">
      <c r="A28" s="838"/>
      <c r="B28" s="763">
        <f>SUM(B20:B27)/E3</f>
        <v>3.15</v>
      </c>
      <c r="C28" s="757">
        <f>B28*1.45</f>
        <v>4.5674999999999999</v>
      </c>
      <c r="D28" s="757">
        <f>B28*1.75</f>
        <v>5.5125000000000002</v>
      </c>
      <c r="E28" s="757">
        <f>B28*1.99</f>
        <v>6.2684999999999995</v>
      </c>
      <c r="F28" s="756"/>
      <c r="G28" s="763">
        <f>SUM(G20:G27)/E3</f>
        <v>2.875</v>
      </c>
      <c r="H28" s="393"/>
      <c r="I28" s="393"/>
      <c r="J28" s="393"/>
    </row>
    <row r="29" spans="1:10" ht="30" customHeight="1" x14ac:dyDescent="0.5">
      <c r="A29" s="838"/>
      <c r="B29" s="393"/>
      <c r="C29" s="757"/>
      <c r="D29" s="757"/>
      <c r="E29" s="757"/>
      <c r="F29" s="756"/>
      <c r="G29" s="756"/>
      <c r="H29" s="393"/>
      <c r="I29" s="393"/>
      <c r="J29" s="393"/>
    </row>
    <row r="30" spans="1:10" ht="30" customHeight="1" x14ac:dyDescent="0.5">
      <c r="A30" s="838"/>
      <c r="B30" s="393"/>
      <c r="C30" s="393"/>
      <c r="D30" s="393"/>
      <c r="E30" s="393"/>
      <c r="F30" s="756"/>
      <c r="G30" s="756"/>
      <c r="H30" s="393"/>
      <c r="I30" s="393"/>
      <c r="J30" s="393"/>
    </row>
    <row r="31" spans="1:10" ht="30" customHeight="1" x14ac:dyDescent="0.55000000000000004">
      <c r="A31" s="872" t="s">
        <v>37</v>
      </c>
      <c r="B31" s="872"/>
      <c r="C31" s="1044"/>
      <c r="D31" s="1044"/>
      <c r="E31" s="1044"/>
      <c r="F31" s="1046" t="s">
        <v>20</v>
      </c>
      <c r="G31" s="1046"/>
      <c r="H31" s="1044"/>
      <c r="I31" s="1044"/>
      <c r="J31" s="1044"/>
    </row>
    <row r="32" spans="1:10" ht="30" customHeight="1" x14ac:dyDescent="0.55000000000000004">
      <c r="A32" s="1047" t="s">
        <v>26</v>
      </c>
      <c r="B32" s="1047"/>
      <c r="C32" s="394"/>
      <c r="D32" s="393"/>
      <c r="E32" s="393"/>
      <c r="F32" s="1052" t="s">
        <v>26</v>
      </c>
      <c r="G32" s="1052"/>
      <c r="H32" s="394"/>
      <c r="I32" s="393"/>
      <c r="J32" s="393"/>
    </row>
    <row r="33" spans="1:10" ht="30" customHeight="1" x14ac:dyDescent="0.5">
      <c r="A33" s="838" t="s">
        <v>9</v>
      </c>
      <c r="B33" s="757">
        <f>0.8*1.8/3*2*E3</f>
        <v>3840.0000000000005</v>
      </c>
      <c r="C33" s="393"/>
      <c r="D33" s="393"/>
      <c r="E33" s="393"/>
      <c r="F33" s="756" t="s">
        <v>9</v>
      </c>
      <c r="G33" s="757">
        <f>0.8*3/3*2*E3</f>
        <v>6400.0000000000009</v>
      </c>
      <c r="H33" s="393"/>
      <c r="I33" s="393"/>
      <c r="J33" s="393"/>
    </row>
    <row r="34" spans="1:10" ht="30" customHeight="1" x14ac:dyDescent="0.5">
      <c r="A34" s="838" t="s">
        <v>1</v>
      </c>
      <c r="B34" s="757">
        <v>700</v>
      </c>
      <c r="C34" s="761"/>
      <c r="D34" s="761"/>
      <c r="E34" s="761"/>
      <c r="F34" s="756" t="s">
        <v>1</v>
      </c>
      <c r="G34" s="757">
        <v>700</v>
      </c>
      <c r="H34" s="393"/>
      <c r="I34" s="393"/>
      <c r="J34" s="393"/>
    </row>
    <row r="35" spans="1:10" ht="30" customHeight="1" x14ac:dyDescent="0.5">
      <c r="A35" s="838" t="s">
        <v>10</v>
      </c>
      <c r="B35" s="757">
        <v>2500</v>
      </c>
      <c r="C35" s="385" t="s">
        <v>22</v>
      </c>
      <c r="D35" s="385" t="s">
        <v>23</v>
      </c>
      <c r="E35" s="385" t="s">
        <v>24</v>
      </c>
      <c r="F35" s="756" t="s">
        <v>10</v>
      </c>
      <c r="G35" s="757">
        <v>2500</v>
      </c>
      <c r="H35" s="393"/>
      <c r="I35" s="394"/>
      <c r="J35" s="394"/>
    </row>
    <row r="36" spans="1:10" ht="30" customHeight="1" x14ac:dyDescent="0.5">
      <c r="A36" s="838" t="s">
        <v>17</v>
      </c>
      <c r="B36" s="757">
        <v>750</v>
      </c>
      <c r="C36" s="385">
        <f>C40</f>
        <v>4.4732500000000002</v>
      </c>
      <c r="D36" s="385">
        <f>D40</f>
        <v>5.3987499999999997</v>
      </c>
      <c r="E36" s="385">
        <f>E40</f>
        <v>6.1391499999999999</v>
      </c>
      <c r="F36" s="756" t="s">
        <v>106</v>
      </c>
      <c r="G36" s="757">
        <v>750</v>
      </c>
      <c r="H36" s="385" t="s">
        <v>22</v>
      </c>
      <c r="I36" s="385" t="s">
        <v>23</v>
      </c>
      <c r="J36" s="385" t="s">
        <v>24</v>
      </c>
    </row>
    <row r="37" spans="1:10" ht="30" customHeight="1" x14ac:dyDescent="0.5">
      <c r="A37" s="838" t="s">
        <v>27</v>
      </c>
      <c r="B37" s="757">
        <v>200</v>
      </c>
      <c r="C37" s="757"/>
      <c r="D37" s="757"/>
      <c r="E37" s="757"/>
      <c r="F37" s="756" t="s">
        <v>27</v>
      </c>
      <c r="G37" s="757">
        <v>200</v>
      </c>
      <c r="H37" s="385">
        <f>H40</f>
        <v>5.4012500000000001</v>
      </c>
      <c r="I37" s="385">
        <f>I40</f>
        <v>6.5187499999999998</v>
      </c>
      <c r="J37" s="385">
        <f>J40</f>
        <v>7.41275</v>
      </c>
    </row>
    <row r="38" spans="1:10" ht="30" customHeight="1" x14ac:dyDescent="0.5">
      <c r="A38" s="838" t="s">
        <v>28</v>
      </c>
      <c r="B38" s="757">
        <v>100</v>
      </c>
      <c r="C38" s="393"/>
      <c r="D38" s="1042" t="s">
        <v>21</v>
      </c>
      <c r="E38" s="1042"/>
      <c r="F38" s="756" t="s">
        <v>28</v>
      </c>
      <c r="G38" s="757">
        <v>100</v>
      </c>
      <c r="H38" s="393"/>
      <c r="I38" s="393"/>
      <c r="J38" s="393"/>
    </row>
    <row r="39" spans="1:10" ht="30" customHeight="1" x14ac:dyDescent="0.5">
      <c r="A39" s="838" t="s">
        <v>16</v>
      </c>
      <c r="B39" s="757">
        <v>250</v>
      </c>
      <c r="C39" s="394">
        <v>0.4</v>
      </c>
      <c r="D39" s="394">
        <v>0.55000000000000004</v>
      </c>
      <c r="E39" s="394">
        <v>0.85</v>
      </c>
      <c r="F39" s="756" t="s">
        <v>16</v>
      </c>
      <c r="G39" s="757">
        <f>B39</f>
        <v>250</v>
      </c>
      <c r="H39" s="394">
        <v>0.4</v>
      </c>
      <c r="I39" s="394">
        <v>0.55000000000000004</v>
      </c>
      <c r="J39" s="394">
        <v>0.85</v>
      </c>
    </row>
    <row r="40" spans="1:10" ht="30" customHeight="1" x14ac:dyDescent="0.5">
      <c r="A40" s="838" t="s">
        <v>18</v>
      </c>
      <c r="B40" s="757">
        <v>4000</v>
      </c>
      <c r="C40" s="757">
        <f>B41*1.45</f>
        <v>4.4732500000000002</v>
      </c>
      <c r="D40" s="757">
        <f>B41*1.75</f>
        <v>5.3987499999999997</v>
      </c>
      <c r="E40" s="757">
        <f>B41*1.99</f>
        <v>6.1391499999999999</v>
      </c>
      <c r="F40" s="756" t="s">
        <v>18</v>
      </c>
      <c r="G40" s="757">
        <f>B40</f>
        <v>4000</v>
      </c>
      <c r="H40" s="757">
        <f>G41*1.45</f>
        <v>5.4012500000000001</v>
      </c>
      <c r="I40" s="757">
        <f>G41*1.75</f>
        <v>6.5187499999999998</v>
      </c>
      <c r="J40" s="757">
        <f>G41*1.99</f>
        <v>7.41275</v>
      </c>
    </row>
    <row r="41" spans="1:10" ht="30" customHeight="1" x14ac:dyDescent="0.5">
      <c r="A41" s="838"/>
      <c r="B41" s="757">
        <f>SUM(B33:B40)/E3</f>
        <v>3.085</v>
      </c>
      <c r="C41" s="393"/>
      <c r="D41" s="393"/>
      <c r="E41" s="393"/>
      <c r="F41" s="756"/>
      <c r="G41" s="757">
        <f>SUM(G33:G40)/E3</f>
        <v>3.7250000000000001</v>
      </c>
      <c r="H41" s="757"/>
      <c r="I41" s="757"/>
      <c r="J41" s="757"/>
    </row>
    <row r="42" spans="1:10" x14ac:dyDescent="0.5">
      <c r="C42" s="764"/>
      <c r="D42" s="764"/>
      <c r="E42" s="764"/>
    </row>
    <row r="44" spans="1:10" ht="92.25" x14ac:dyDescent="1.35">
      <c r="A44" s="1053" t="s">
        <v>288</v>
      </c>
      <c r="B44" s="1053"/>
      <c r="C44" s="1053"/>
      <c r="D44" s="1053"/>
      <c r="E44" s="1053"/>
      <c r="F44" s="1053"/>
      <c r="G44" s="1053"/>
      <c r="H44" s="1053"/>
      <c r="I44" s="1053"/>
      <c r="J44" s="1053"/>
    </row>
    <row r="45" spans="1:10" x14ac:dyDescent="0.5">
      <c r="A45" s="840" t="s">
        <v>37</v>
      </c>
      <c r="B45" s="766"/>
      <c r="C45" s="767"/>
      <c r="D45" s="767"/>
      <c r="E45" s="767"/>
      <c r="F45" s="766" t="s">
        <v>37</v>
      </c>
      <c r="G45" s="766"/>
      <c r="H45" s="767"/>
      <c r="I45" s="436"/>
      <c r="J45" s="436"/>
    </row>
    <row r="46" spans="1:10" ht="61.5" x14ac:dyDescent="0.9">
      <c r="A46" s="1048" t="s">
        <v>25</v>
      </c>
      <c r="B46" s="1048"/>
      <c r="C46" s="755"/>
      <c r="D46" s="768"/>
      <c r="E46" s="768"/>
      <c r="F46" s="1049" t="s">
        <v>115</v>
      </c>
      <c r="G46" s="1049"/>
      <c r="H46" s="768"/>
      <c r="I46" s="767"/>
      <c r="J46" s="767"/>
    </row>
    <row r="47" spans="1:10" ht="30" customHeight="1" x14ac:dyDescent="0.5">
      <c r="A47" s="841" t="s">
        <v>9</v>
      </c>
      <c r="B47" s="436">
        <f>0.7*1.8/3*2*E3</f>
        <v>3360</v>
      </c>
      <c r="C47" s="768"/>
      <c r="D47" s="768"/>
      <c r="E47" s="768"/>
      <c r="F47" s="769"/>
      <c r="G47" s="769"/>
      <c r="H47" s="755"/>
      <c r="I47" s="768"/>
      <c r="J47" s="768"/>
    </row>
    <row r="48" spans="1:10" ht="30" customHeight="1" x14ac:dyDescent="0.5">
      <c r="A48" s="841" t="s">
        <v>1</v>
      </c>
      <c r="B48" s="436">
        <v>700</v>
      </c>
      <c r="C48" s="768"/>
      <c r="D48" s="768"/>
      <c r="E48" s="768"/>
      <c r="F48" s="769" t="s">
        <v>9</v>
      </c>
      <c r="G48" s="770">
        <f>0.5*1.8/4*2*E19</f>
        <v>1800</v>
      </c>
      <c r="H48" s="768"/>
      <c r="I48" s="768"/>
      <c r="J48" s="768"/>
    </row>
    <row r="49" spans="1:10" ht="30" customHeight="1" x14ac:dyDescent="0.5">
      <c r="A49" s="841" t="s">
        <v>10</v>
      </c>
      <c r="B49" s="436">
        <v>2500</v>
      </c>
      <c r="C49" s="768"/>
      <c r="D49" s="768"/>
      <c r="E49" s="768"/>
      <c r="F49" s="769" t="s">
        <v>1</v>
      </c>
      <c r="G49" s="770">
        <v>700</v>
      </c>
      <c r="H49" s="768"/>
      <c r="I49" s="768"/>
      <c r="J49" s="768"/>
    </row>
    <row r="50" spans="1:10" ht="30" customHeight="1" x14ac:dyDescent="0.5">
      <c r="A50" s="841" t="s">
        <v>11</v>
      </c>
      <c r="B50" s="436">
        <v>1000</v>
      </c>
      <c r="C50" s="768"/>
      <c r="D50" s="768"/>
      <c r="E50" s="768"/>
      <c r="F50" s="769" t="s">
        <v>10</v>
      </c>
      <c r="G50" s="770">
        <v>2500</v>
      </c>
      <c r="H50" s="768"/>
      <c r="I50" s="768"/>
      <c r="J50" s="768"/>
    </row>
    <row r="51" spans="1:10" ht="30" customHeight="1" x14ac:dyDescent="0.5">
      <c r="A51" s="841" t="s">
        <v>13</v>
      </c>
      <c r="B51" s="436">
        <v>1000</v>
      </c>
      <c r="C51" s="1036"/>
      <c r="D51" s="1036"/>
      <c r="E51" s="1036"/>
      <c r="F51" s="769" t="s">
        <v>11</v>
      </c>
      <c r="G51" s="770">
        <v>1000</v>
      </c>
      <c r="H51" s="768"/>
      <c r="I51" s="768"/>
      <c r="J51" s="768"/>
    </row>
    <row r="52" spans="1:10" ht="30" customHeight="1" x14ac:dyDescent="0.5">
      <c r="A52" s="841" t="s">
        <v>12</v>
      </c>
      <c r="B52" s="436">
        <v>1000</v>
      </c>
      <c r="C52" s="771" t="s">
        <v>22</v>
      </c>
      <c r="D52" s="771" t="s">
        <v>23</v>
      </c>
      <c r="E52" s="771" t="s">
        <v>24</v>
      </c>
      <c r="F52" s="769" t="s">
        <v>13</v>
      </c>
      <c r="G52" s="770">
        <v>1000</v>
      </c>
      <c r="H52" s="767"/>
      <c r="I52" s="767"/>
      <c r="J52" s="767"/>
    </row>
    <row r="53" spans="1:10" ht="30" customHeight="1" x14ac:dyDescent="0.5">
      <c r="A53" s="841" t="s">
        <v>14</v>
      </c>
      <c r="B53" s="436">
        <v>200</v>
      </c>
      <c r="C53" s="771">
        <f>C58</f>
        <v>5.5317499999999997</v>
      </c>
      <c r="D53" s="771">
        <f>D58</f>
        <v>6.6762499999999996</v>
      </c>
      <c r="E53" s="771">
        <f>E58</f>
        <v>7.59185</v>
      </c>
      <c r="F53" s="769" t="s">
        <v>12</v>
      </c>
      <c r="G53" s="770">
        <v>1000</v>
      </c>
      <c r="H53" s="771" t="s">
        <v>22</v>
      </c>
      <c r="I53" s="771" t="s">
        <v>23</v>
      </c>
      <c r="J53" s="771" t="s">
        <v>24</v>
      </c>
    </row>
    <row r="54" spans="1:10" ht="30" customHeight="1" x14ac:dyDescent="0.5">
      <c r="A54" s="841" t="s">
        <v>15</v>
      </c>
      <c r="B54" s="436">
        <v>200</v>
      </c>
      <c r="C54" s="436"/>
      <c r="D54" s="436"/>
      <c r="E54" s="436"/>
      <c r="F54" s="769" t="s">
        <v>14</v>
      </c>
      <c r="G54" s="770">
        <v>200</v>
      </c>
      <c r="H54" s="771">
        <f>H60</f>
        <v>4.9662499999999996</v>
      </c>
      <c r="I54" s="771">
        <f>I60</f>
        <v>5.9937499999999995</v>
      </c>
      <c r="J54" s="771">
        <f>J60</f>
        <v>6.8157499999999995</v>
      </c>
    </row>
    <row r="55" spans="1:10" ht="30" customHeight="1" x14ac:dyDescent="0.5">
      <c r="A55" s="841" t="s">
        <v>27</v>
      </c>
      <c r="B55" s="436">
        <v>200</v>
      </c>
      <c r="C55" s="768"/>
      <c r="D55" s="768"/>
      <c r="E55" s="768"/>
      <c r="F55" s="769" t="s">
        <v>15</v>
      </c>
      <c r="G55" s="770">
        <v>200</v>
      </c>
      <c r="H55" s="436"/>
      <c r="I55" s="436"/>
      <c r="J55" s="436"/>
    </row>
    <row r="56" spans="1:10" ht="30" customHeight="1" x14ac:dyDescent="0.5">
      <c r="A56" s="841" t="s">
        <v>28</v>
      </c>
      <c r="B56" s="436">
        <v>100</v>
      </c>
      <c r="C56" s="768"/>
      <c r="D56" s="755" t="s">
        <v>21</v>
      </c>
      <c r="E56" s="755"/>
      <c r="F56" s="769" t="s">
        <v>27</v>
      </c>
      <c r="G56" s="770">
        <v>200</v>
      </c>
      <c r="H56" s="768"/>
      <c r="I56" s="768"/>
      <c r="J56" s="768"/>
    </row>
    <row r="57" spans="1:10" ht="30" customHeight="1" x14ac:dyDescent="0.5">
      <c r="A57" s="841" t="s">
        <v>16</v>
      </c>
      <c r="B57" s="436">
        <v>250</v>
      </c>
      <c r="C57" s="755">
        <v>0.4</v>
      </c>
      <c r="D57" s="755">
        <v>0.55000000000000004</v>
      </c>
      <c r="E57" s="755">
        <v>0.85</v>
      </c>
      <c r="F57" s="769" t="s">
        <v>28</v>
      </c>
      <c r="G57" s="770">
        <v>100</v>
      </c>
      <c r="H57" s="768"/>
      <c r="I57" s="768"/>
      <c r="J57" s="768"/>
    </row>
    <row r="58" spans="1:10" ht="30" customHeight="1" x14ac:dyDescent="0.5">
      <c r="A58" s="841" t="s">
        <v>17</v>
      </c>
      <c r="B58" s="436">
        <v>750</v>
      </c>
      <c r="C58" s="436">
        <f>B60*1.45</f>
        <v>5.5317499999999997</v>
      </c>
      <c r="D58" s="436">
        <f>B60*1.75</f>
        <v>6.6762499999999996</v>
      </c>
      <c r="E58" s="436">
        <f>B60*1.99</f>
        <v>7.59185</v>
      </c>
      <c r="F58" s="769" t="s">
        <v>16</v>
      </c>
      <c r="G58" s="770">
        <v>250</v>
      </c>
      <c r="H58" s="768"/>
      <c r="I58" s="755" t="s">
        <v>21</v>
      </c>
      <c r="J58" s="755"/>
    </row>
    <row r="59" spans="1:10" ht="30" customHeight="1" x14ac:dyDescent="0.5">
      <c r="A59" s="841" t="s">
        <v>18</v>
      </c>
      <c r="B59" s="436">
        <v>4000</v>
      </c>
      <c r="C59" s="768"/>
      <c r="D59" s="768"/>
      <c r="E59" s="436"/>
      <c r="F59" s="769" t="s">
        <v>17</v>
      </c>
      <c r="G59" s="770">
        <v>750</v>
      </c>
      <c r="H59" s="755">
        <v>0.4</v>
      </c>
      <c r="I59" s="755">
        <v>0.55000000000000004</v>
      </c>
      <c r="J59" s="755">
        <v>0.85</v>
      </c>
    </row>
    <row r="60" spans="1:10" ht="30" customHeight="1" x14ac:dyDescent="0.5">
      <c r="A60" s="841"/>
      <c r="B60" s="436">
        <f>SUM(B47:B59)/E3</f>
        <v>3.8149999999999999</v>
      </c>
      <c r="C60" s="768"/>
      <c r="D60" s="768"/>
      <c r="E60" s="436"/>
      <c r="F60" s="769" t="s">
        <v>18</v>
      </c>
      <c r="G60" s="770">
        <v>4000</v>
      </c>
      <c r="H60" s="436">
        <f>G61*1.45</f>
        <v>4.9662499999999996</v>
      </c>
      <c r="I60" s="436">
        <f>G61*1.75</f>
        <v>5.9937499999999995</v>
      </c>
      <c r="J60" s="436">
        <f>G61*1.99</f>
        <v>6.8157499999999995</v>
      </c>
    </row>
    <row r="61" spans="1:10" ht="30" customHeight="1" x14ac:dyDescent="0.5">
      <c r="A61" s="841"/>
      <c r="B61" s="436"/>
      <c r="C61" s="436"/>
      <c r="D61" s="436"/>
      <c r="E61" s="436"/>
      <c r="F61" s="769"/>
      <c r="G61" s="772">
        <f>SUM(G48:G60)/E3</f>
        <v>3.4249999999999998</v>
      </c>
      <c r="H61" s="768"/>
      <c r="I61" s="768"/>
      <c r="J61" s="768"/>
    </row>
    <row r="62" spans="1:10" ht="30" customHeight="1" x14ac:dyDescent="0.5">
      <c r="A62" s="841"/>
      <c r="B62" s="768"/>
      <c r="C62" s="436"/>
      <c r="D62" s="436"/>
      <c r="E62" s="436"/>
      <c r="F62" s="769"/>
      <c r="G62" s="770"/>
      <c r="H62" s="436"/>
      <c r="I62" s="436"/>
      <c r="J62" s="436"/>
    </row>
    <row r="63" spans="1:10" ht="30" customHeight="1" x14ac:dyDescent="0.5">
      <c r="A63" s="842"/>
      <c r="B63" s="773"/>
      <c r="C63" s="1036"/>
      <c r="D63" s="1036"/>
      <c r="E63" s="1036"/>
      <c r="F63" s="769"/>
      <c r="G63" s="774"/>
      <c r="H63" s="436"/>
      <c r="I63" s="436"/>
      <c r="J63" s="436"/>
    </row>
    <row r="64" spans="1:10" ht="39.75" customHeight="1" x14ac:dyDescent="0.5">
      <c r="A64" s="1050" t="s">
        <v>93</v>
      </c>
      <c r="B64" s="1050"/>
      <c r="C64" s="755"/>
      <c r="D64" s="768"/>
      <c r="E64" s="768"/>
      <c r="F64" s="1051" t="s">
        <v>158</v>
      </c>
      <c r="G64" s="1051"/>
      <c r="H64" s="1036"/>
      <c r="I64" s="1036"/>
      <c r="J64" s="1036"/>
    </row>
    <row r="65" spans="1:10" ht="30" customHeight="1" x14ac:dyDescent="0.5">
      <c r="A65" s="841" t="s">
        <v>9</v>
      </c>
      <c r="B65" s="436">
        <f>0.7*1.8*E3</f>
        <v>5040</v>
      </c>
      <c r="C65" s="768"/>
      <c r="D65" s="768"/>
      <c r="E65" s="768"/>
      <c r="F65" s="769"/>
      <c r="G65" s="769"/>
      <c r="H65" s="755"/>
      <c r="I65" s="768"/>
      <c r="J65" s="768"/>
    </row>
    <row r="66" spans="1:10" ht="30" customHeight="1" x14ac:dyDescent="0.5">
      <c r="A66" s="841" t="s">
        <v>1</v>
      </c>
      <c r="B66" s="436">
        <v>700</v>
      </c>
      <c r="C66" s="768"/>
      <c r="D66" s="768"/>
      <c r="E66" s="768"/>
      <c r="F66" s="769" t="s">
        <v>9</v>
      </c>
      <c r="G66" s="770">
        <f>0.5*3/4*2*E19</f>
        <v>3000</v>
      </c>
      <c r="H66" s="768"/>
      <c r="I66" s="768"/>
      <c r="J66" s="768"/>
    </row>
    <row r="67" spans="1:10" ht="30" customHeight="1" x14ac:dyDescent="0.5">
      <c r="A67" s="841" t="s">
        <v>10</v>
      </c>
      <c r="B67" s="436">
        <v>2500</v>
      </c>
      <c r="C67" s="768"/>
      <c r="D67" s="768"/>
      <c r="E67" s="768"/>
      <c r="F67" s="769" t="s">
        <v>1</v>
      </c>
      <c r="G67" s="770">
        <v>700</v>
      </c>
      <c r="H67" s="768"/>
      <c r="I67" s="768"/>
      <c r="J67" s="768"/>
    </row>
    <row r="68" spans="1:10" ht="30" customHeight="1" x14ac:dyDescent="0.5">
      <c r="A68" s="841" t="s">
        <v>11</v>
      </c>
      <c r="B68" s="436">
        <v>2000</v>
      </c>
      <c r="C68" s="768"/>
      <c r="D68" s="768"/>
      <c r="E68" s="768"/>
      <c r="F68" s="769" t="s">
        <v>10</v>
      </c>
      <c r="G68" s="770">
        <v>2500</v>
      </c>
      <c r="H68" s="768"/>
      <c r="I68" s="768"/>
      <c r="J68" s="768"/>
    </row>
    <row r="69" spans="1:10" ht="30" customHeight="1" x14ac:dyDescent="0.5">
      <c r="A69" s="841" t="s">
        <v>13</v>
      </c>
      <c r="B69" s="436">
        <v>2500</v>
      </c>
      <c r="C69" s="768"/>
      <c r="D69" s="768"/>
      <c r="E69" s="768"/>
      <c r="F69" s="769" t="s">
        <v>11</v>
      </c>
      <c r="G69" s="770">
        <v>1000</v>
      </c>
      <c r="H69" s="768"/>
      <c r="I69" s="768"/>
      <c r="J69" s="768"/>
    </row>
    <row r="70" spans="1:10" ht="30" customHeight="1" x14ac:dyDescent="0.5">
      <c r="A70" s="841" t="s">
        <v>12</v>
      </c>
      <c r="B70" s="436">
        <f>B52</f>
        <v>1000</v>
      </c>
      <c r="C70" s="1036"/>
      <c r="D70" s="1036"/>
      <c r="E70" s="1036"/>
      <c r="F70" s="769" t="s">
        <v>13</v>
      </c>
      <c r="G70" s="770">
        <f>G52</f>
        <v>1000</v>
      </c>
      <c r="H70" s="768"/>
      <c r="I70" s="768"/>
      <c r="J70" s="768"/>
    </row>
    <row r="71" spans="1:10" ht="30" customHeight="1" x14ac:dyDescent="0.5">
      <c r="A71" s="841" t="s">
        <v>14</v>
      </c>
      <c r="B71" s="436">
        <f>B53</f>
        <v>200</v>
      </c>
      <c r="C71" s="771" t="s">
        <v>22</v>
      </c>
      <c r="D71" s="771" t="s">
        <v>23</v>
      </c>
      <c r="E71" s="771" t="s">
        <v>24</v>
      </c>
      <c r="F71" s="769" t="s">
        <v>12</v>
      </c>
      <c r="G71" s="770">
        <f>G53</f>
        <v>1000</v>
      </c>
      <c r="H71" s="767"/>
      <c r="I71" s="767"/>
      <c r="J71" s="767"/>
    </row>
    <row r="72" spans="1:10" ht="30" customHeight="1" x14ac:dyDescent="0.5">
      <c r="A72" s="841" t="s">
        <v>15</v>
      </c>
      <c r="B72" s="436">
        <v>1000</v>
      </c>
      <c r="C72" s="771">
        <f>C75</f>
        <v>7.2644999999999991</v>
      </c>
      <c r="D72" s="771">
        <f>D75</f>
        <v>9.5189999999999984</v>
      </c>
      <c r="E72" s="771">
        <f>E75</f>
        <v>9.9698999999999991</v>
      </c>
      <c r="F72" s="769" t="s">
        <v>14</v>
      </c>
      <c r="G72" s="770">
        <f>G54</f>
        <v>200</v>
      </c>
      <c r="H72" s="771" t="s">
        <v>22</v>
      </c>
      <c r="I72" s="771" t="s">
        <v>23</v>
      </c>
      <c r="J72" s="771" t="s">
        <v>24</v>
      </c>
    </row>
    <row r="73" spans="1:10" ht="30" customHeight="1" x14ac:dyDescent="0.5">
      <c r="A73" s="841" t="s">
        <v>27</v>
      </c>
      <c r="B73" s="436">
        <v>1000</v>
      </c>
      <c r="C73" s="436"/>
      <c r="D73" s="436"/>
      <c r="E73" s="436"/>
      <c r="F73" s="769" t="s">
        <v>15</v>
      </c>
      <c r="G73" s="770">
        <f>G55</f>
        <v>200</v>
      </c>
      <c r="H73" s="771">
        <f>H76</f>
        <v>5.4012500000000001</v>
      </c>
      <c r="I73" s="771">
        <f>I76</f>
        <v>6.5187499999999998</v>
      </c>
      <c r="J73" s="771">
        <f>J76</f>
        <v>7.41275</v>
      </c>
    </row>
    <row r="74" spans="1:10" ht="30" customHeight="1" x14ac:dyDescent="0.5">
      <c r="A74" s="841" t="s">
        <v>28</v>
      </c>
      <c r="B74" s="436">
        <v>100</v>
      </c>
      <c r="C74" s="755">
        <v>0.4</v>
      </c>
      <c r="D74" s="755">
        <v>0.55000000000000004</v>
      </c>
      <c r="E74" s="755">
        <v>0.85</v>
      </c>
      <c r="F74" s="769" t="s">
        <v>27</v>
      </c>
      <c r="G74" s="770">
        <v>200</v>
      </c>
      <c r="H74" s="436"/>
      <c r="I74" s="436"/>
      <c r="J74" s="436"/>
    </row>
    <row r="75" spans="1:10" ht="30" customHeight="1" x14ac:dyDescent="0.5">
      <c r="A75" s="841" t="s">
        <v>16</v>
      </c>
      <c r="B75" s="436">
        <f t="shared" ref="B75:B76" si="0">B57</f>
        <v>250</v>
      </c>
      <c r="C75" s="436">
        <f>B78*1.45</f>
        <v>7.2644999999999991</v>
      </c>
      <c r="D75" s="436">
        <f>B78*1.9</f>
        <v>9.5189999999999984</v>
      </c>
      <c r="E75" s="436">
        <f>B78*1.99</f>
        <v>9.9698999999999991</v>
      </c>
      <c r="F75" s="769" t="s">
        <v>28</v>
      </c>
      <c r="G75" s="770">
        <v>100</v>
      </c>
      <c r="H75" s="755">
        <v>0.4</v>
      </c>
      <c r="I75" s="755">
        <v>0.55000000000000004</v>
      </c>
      <c r="J75" s="755">
        <v>0.85</v>
      </c>
    </row>
    <row r="76" spans="1:10" ht="30" customHeight="1" x14ac:dyDescent="0.5">
      <c r="A76" s="841" t="s">
        <v>17</v>
      </c>
      <c r="B76" s="436">
        <f t="shared" si="0"/>
        <v>750</v>
      </c>
      <c r="C76" s="768"/>
      <c r="D76" s="768"/>
      <c r="E76" s="768"/>
      <c r="F76" s="769" t="s">
        <v>16</v>
      </c>
      <c r="G76" s="770">
        <f t="shared" ref="G76:G78" si="1">G58</f>
        <v>250</v>
      </c>
      <c r="H76" s="436">
        <f>G79*1.45</f>
        <v>5.4012500000000001</v>
      </c>
      <c r="I76" s="436">
        <f>G79*1.75</f>
        <v>6.5187499999999998</v>
      </c>
      <c r="J76" s="436">
        <f>G79*1.99</f>
        <v>7.41275</v>
      </c>
    </row>
    <row r="77" spans="1:10" ht="30" customHeight="1" x14ac:dyDescent="0.5">
      <c r="A77" s="841" t="s">
        <v>18</v>
      </c>
      <c r="B77" s="436">
        <v>3000</v>
      </c>
      <c r="C77" s="768"/>
      <c r="D77" s="768"/>
      <c r="E77" s="436"/>
      <c r="F77" s="769" t="s">
        <v>17</v>
      </c>
      <c r="G77" s="770">
        <f t="shared" si="1"/>
        <v>750</v>
      </c>
      <c r="H77" s="768"/>
      <c r="I77" s="768"/>
      <c r="J77" s="768"/>
    </row>
    <row r="78" spans="1:10" ht="30" customHeight="1" x14ac:dyDescent="0.5">
      <c r="A78" s="841"/>
      <c r="B78" s="436">
        <f>SUM(B65:B77)/E3</f>
        <v>5.01</v>
      </c>
      <c r="C78" s="768"/>
      <c r="D78" s="768"/>
      <c r="E78" s="436"/>
      <c r="F78" s="769" t="s">
        <v>18</v>
      </c>
      <c r="G78" s="770">
        <f t="shared" si="1"/>
        <v>4000</v>
      </c>
      <c r="H78" s="768"/>
      <c r="I78" s="768"/>
      <c r="J78" s="768"/>
    </row>
    <row r="79" spans="1:10" ht="30" customHeight="1" x14ac:dyDescent="0.5">
      <c r="A79" s="841"/>
      <c r="B79" s="436"/>
      <c r="C79" s="436"/>
      <c r="D79" s="436"/>
      <c r="E79" s="436"/>
      <c r="F79" s="769"/>
      <c r="G79" s="772">
        <f>SUM(G66:G78)/E3</f>
        <v>3.7250000000000001</v>
      </c>
      <c r="H79" s="768"/>
      <c r="I79" s="768"/>
      <c r="J79" s="768"/>
    </row>
    <row r="80" spans="1:10" ht="30" customHeight="1" x14ac:dyDescent="0.5">
      <c r="A80" s="841"/>
      <c r="B80" s="768"/>
      <c r="C80" s="768"/>
      <c r="D80" s="768"/>
      <c r="E80" s="768"/>
      <c r="F80" s="769"/>
      <c r="G80" s="774"/>
      <c r="H80" s="436"/>
      <c r="I80" s="436"/>
      <c r="J80" s="436"/>
    </row>
    <row r="81" spans="1:10" ht="101.25" customHeight="1" x14ac:dyDescent="1.35">
      <c r="A81" s="1057" t="s">
        <v>26</v>
      </c>
      <c r="B81" s="1057"/>
      <c r="C81" s="1057"/>
      <c r="D81" s="1057"/>
      <c r="E81" s="1057"/>
      <c r="F81" s="1057"/>
      <c r="G81" s="1057"/>
      <c r="H81" s="1057"/>
      <c r="I81" s="1057"/>
      <c r="J81" s="1057"/>
    </row>
    <row r="82" spans="1:10" x14ac:dyDescent="0.5">
      <c r="A82" s="843" t="s">
        <v>166</v>
      </c>
      <c r="B82" s="768"/>
      <c r="C82" s="755"/>
      <c r="D82" s="768"/>
      <c r="E82" s="768"/>
      <c r="F82" s="1037" t="s">
        <v>20</v>
      </c>
      <c r="G82" s="1037"/>
      <c r="H82" s="1041"/>
      <c r="I82" s="1041"/>
      <c r="J82" s="1041"/>
    </row>
    <row r="83" spans="1:10" ht="30" customHeight="1" x14ac:dyDescent="0.5">
      <c r="A83" s="841" t="s">
        <v>9</v>
      </c>
      <c r="B83" s="436">
        <f>0.8*1.8*3800</f>
        <v>5472.0000000000009</v>
      </c>
      <c r="C83" s="768"/>
      <c r="D83" s="768"/>
      <c r="E83" s="768"/>
      <c r="F83" s="1051" t="s">
        <v>26</v>
      </c>
      <c r="G83" s="1051"/>
      <c r="H83" s="755"/>
      <c r="I83" s="768"/>
      <c r="J83" s="768"/>
    </row>
    <row r="84" spans="1:10" ht="30" customHeight="1" x14ac:dyDescent="0.5">
      <c r="A84" s="841" t="s">
        <v>1</v>
      </c>
      <c r="B84" s="436">
        <v>700</v>
      </c>
      <c r="C84" s="768"/>
      <c r="D84" s="768"/>
      <c r="E84" s="768"/>
      <c r="F84" s="769" t="s">
        <v>9</v>
      </c>
      <c r="G84" s="436">
        <f>0.8*3/3*2*E3</f>
        <v>6400.0000000000009</v>
      </c>
      <c r="H84" s="768"/>
      <c r="I84" s="768"/>
      <c r="J84" s="768"/>
    </row>
    <row r="85" spans="1:10" ht="30" customHeight="1" x14ac:dyDescent="0.5">
      <c r="A85" s="841" t="s">
        <v>10</v>
      </c>
      <c r="B85" s="436">
        <v>2500</v>
      </c>
      <c r="C85" s="768"/>
      <c r="D85" s="768"/>
      <c r="E85" s="768"/>
      <c r="F85" s="769" t="s">
        <v>1</v>
      </c>
      <c r="G85" s="436">
        <v>700</v>
      </c>
      <c r="H85" s="768"/>
      <c r="I85" s="768"/>
      <c r="J85" s="768"/>
    </row>
    <row r="86" spans="1:10" ht="30" customHeight="1" x14ac:dyDescent="0.5">
      <c r="A86" s="841" t="s">
        <v>11</v>
      </c>
      <c r="B86" s="436">
        <v>1000</v>
      </c>
      <c r="C86" s="1036"/>
      <c r="D86" s="1036"/>
      <c r="E86" s="1036"/>
      <c r="F86" s="769" t="s">
        <v>10</v>
      </c>
      <c r="G86" s="436">
        <v>2500</v>
      </c>
      <c r="H86" s="768"/>
      <c r="I86" s="768"/>
      <c r="J86" s="768"/>
    </row>
    <row r="87" spans="1:10" ht="30" customHeight="1" x14ac:dyDescent="0.5">
      <c r="A87" s="841" t="s">
        <v>13</v>
      </c>
      <c r="B87" s="436">
        <v>2000</v>
      </c>
      <c r="C87" s="771" t="s">
        <v>22</v>
      </c>
      <c r="D87" s="771" t="s">
        <v>23</v>
      </c>
      <c r="E87" s="771" t="s">
        <v>24</v>
      </c>
      <c r="F87" s="769" t="s">
        <v>58</v>
      </c>
      <c r="G87" s="436">
        <v>1000</v>
      </c>
      <c r="H87" s="768"/>
      <c r="I87" s="768"/>
      <c r="J87" s="768"/>
    </row>
    <row r="88" spans="1:10" ht="30" customHeight="1" x14ac:dyDescent="0.5">
      <c r="A88" s="841" t="s">
        <v>12</v>
      </c>
      <c r="B88" s="436">
        <v>1000</v>
      </c>
      <c r="C88" s="771">
        <f>C92</f>
        <v>6.6598499999999996</v>
      </c>
      <c r="D88" s="771">
        <f>D92</f>
        <v>8.0377499999999991</v>
      </c>
      <c r="E88" s="771">
        <f>E92</f>
        <v>9.1400699999999997</v>
      </c>
      <c r="F88" s="769" t="s">
        <v>11</v>
      </c>
      <c r="G88" s="436">
        <v>1000</v>
      </c>
      <c r="H88" s="768"/>
      <c r="I88" s="768"/>
      <c r="J88" s="768"/>
    </row>
    <row r="89" spans="1:10" ht="30" customHeight="1" x14ac:dyDescent="0.5">
      <c r="A89" s="841" t="s">
        <v>14</v>
      </c>
      <c r="B89" s="436">
        <v>200</v>
      </c>
      <c r="C89" s="436"/>
      <c r="D89" s="436"/>
      <c r="E89" s="436"/>
      <c r="F89" s="769" t="s">
        <v>12</v>
      </c>
      <c r="G89" s="436">
        <v>1000</v>
      </c>
      <c r="H89" s="1036"/>
      <c r="I89" s="1036"/>
      <c r="J89" s="1036"/>
    </row>
    <row r="90" spans="1:10" ht="30" customHeight="1" x14ac:dyDescent="0.5">
      <c r="A90" s="841" t="s">
        <v>15</v>
      </c>
      <c r="B90" s="436">
        <v>200</v>
      </c>
      <c r="C90" s="768"/>
      <c r="D90" s="1036" t="s">
        <v>21</v>
      </c>
      <c r="E90" s="1036"/>
      <c r="F90" s="769" t="s">
        <v>14</v>
      </c>
      <c r="G90" s="436">
        <v>200</v>
      </c>
      <c r="H90" s="771" t="s">
        <v>22</v>
      </c>
      <c r="I90" s="771" t="s">
        <v>23</v>
      </c>
      <c r="J90" s="771" t="s">
        <v>24</v>
      </c>
    </row>
    <row r="91" spans="1:10" ht="30" customHeight="1" x14ac:dyDescent="0.5">
      <c r="A91" s="841" t="s">
        <v>27</v>
      </c>
      <c r="B91" s="436">
        <v>200</v>
      </c>
      <c r="C91" s="755">
        <v>0.4</v>
      </c>
      <c r="D91" s="755">
        <v>0.55000000000000004</v>
      </c>
      <c r="E91" s="755">
        <v>0.85</v>
      </c>
      <c r="F91" s="769" t="s">
        <v>15</v>
      </c>
      <c r="G91" s="436">
        <f>B89</f>
        <v>200</v>
      </c>
      <c r="H91" s="771">
        <f>H94</f>
        <v>6.63375</v>
      </c>
      <c r="I91" s="771">
        <f>I94</f>
        <v>8.0062499999999996</v>
      </c>
      <c r="J91" s="771">
        <f>J94</f>
        <v>9.1042500000000004</v>
      </c>
    </row>
    <row r="92" spans="1:10" ht="30" customHeight="1" x14ac:dyDescent="0.5">
      <c r="A92" s="841" t="s">
        <v>28</v>
      </c>
      <c r="B92" s="436">
        <v>100</v>
      </c>
      <c r="C92" s="436">
        <f>B96*1.45</f>
        <v>6.6598499999999996</v>
      </c>
      <c r="D92" s="436">
        <f>B96*1.75</f>
        <v>8.0377499999999991</v>
      </c>
      <c r="E92" s="436">
        <f>B96*1.99</f>
        <v>9.1400699999999997</v>
      </c>
      <c r="F92" s="769" t="s">
        <v>27</v>
      </c>
      <c r="G92" s="436">
        <v>200</v>
      </c>
      <c r="H92" s="436"/>
      <c r="I92" s="436"/>
      <c r="J92" s="436"/>
    </row>
    <row r="93" spans="1:10" ht="30" customHeight="1" x14ac:dyDescent="0.5">
      <c r="A93" s="841" t="s">
        <v>16</v>
      </c>
      <c r="B93" s="436">
        <v>250</v>
      </c>
      <c r="C93" s="768"/>
      <c r="D93" s="768"/>
      <c r="E93" s="768"/>
      <c r="F93" s="769" t="s">
        <v>28</v>
      </c>
      <c r="G93" s="436">
        <v>100</v>
      </c>
      <c r="H93" s="755">
        <v>0.4</v>
      </c>
      <c r="I93" s="755">
        <v>0.55000000000000004</v>
      </c>
      <c r="J93" s="755">
        <v>0.85</v>
      </c>
    </row>
    <row r="94" spans="1:10" ht="30" customHeight="1" x14ac:dyDescent="0.5">
      <c r="A94" s="841" t="s">
        <v>17</v>
      </c>
      <c r="B94" s="436">
        <v>750</v>
      </c>
      <c r="C94" s="768"/>
      <c r="D94" s="768"/>
      <c r="E94" s="436"/>
      <c r="F94" s="769" t="s">
        <v>16</v>
      </c>
      <c r="G94" s="436">
        <v>250</v>
      </c>
      <c r="H94" s="436">
        <f>G97*1.45</f>
        <v>6.63375</v>
      </c>
      <c r="I94" s="436">
        <f>G97*1.75</f>
        <v>8.0062499999999996</v>
      </c>
      <c r="J94" s="436">
        <f>G97*1.99</f>
        <v>9.1042500000000004</v>
      </c>
    </row>
    <row r="95" spans="1:10" ht="30" customHeight="1" x14ac:dyDescent="0.5">
      <c r="A95" s="841" t="s">
        <v>18</v>
      </c>
      <c r="B95" s="436">
        <v>4000</v>
      </c>
      <c r="C95" s="768"/>
      <c r="D95" s="768"/>
      <c r="E95" s="436"/>
      <c r="F95" s="769" t="s">
        <v>17</v>
      </c>
      <c r="G95" s="436">
        <v>750</v>
      </c>
      <c r="H95" s="768"/>
      <c r="I95" s="768"/>
      <c r="J95" s="768"/>
    </row>
    <row r="96" spans="1:10" ht="30" customHeight="1" x14ac:dyDescent="0.5">
      <c r="A96" s="841"/>
      <c r="B96" s="436">
        <f>SUM(B83:B95)/E3</f>
        <v>4.593</v>
      </c>
      <c r="C96" s="436"/>
      <c r="D96" s="436"/>
      <c r="E96" s="436"/>
      <c r="F96" s="769" t="s">
        <v>18</v>
      </c>
      <c r="G96" s="436">
        <v>4000</v>
      </c>
      <c r="H96" s="768"/>
      <c r="I96" s="768"/>
      <c r="J96" s="436"/>
    </row>
    <row r="97" spans="1:10" ht="30" customHeight="1" x14ac:dyDescent="0.5">
      <c r="A97" s="841"/>
      <c r="B97" s="768"/>
      <c r="C97" s="436"/>
      <c r="D97" s="436"/>
      <c r="E97" s="436"/>
      <c r="F97" s="769"/>
      <c r="G97" s="436">
        <f>SUM(G84:G96)/E3</f>
        <v>4.5750000000000002</v>
      </c>
      <c r="H97" s="768"/>
      <c r="I97" s="768"/>
      <c r="J97" s="436"/>
    </row>
    <row r="98" spans="1:10" ht="30" customHeight="1" x14ac:dyDescent="0.5">
      <c r="C98" s="764"/>
      <c r="D98" s="764"/>
      <c r="E98" s="764"/>
    </row>
    <row r="99" spans="1:10" ht="30" customHeight="1" x14ac:dyDescent="0.5">
      <c r="C99" s="764"/>
      <c r="D99" s="764"/>
      <c r="E99" s="764"/>
    </row>
    <row r="100" spans="1:10" ht="30" customHeight="1" x14ac:dyDescent="0.5"/>
    <row r="101" spans="1:10" ht="31.5" x14ac:dyDescent="0.5">
      <c r="A101" s="1054" t="s">
        <v>166</v>
      </c>
      <c r="B101" s="1054"/>
      <c r="C101" s="775"/>
      <c r="D101" s="775"/>
      <c r="E101" s="775"/>
      <c r="F101" s="1055" t="s">
        <v>166</v>
      </c>
      <c r="G101" s="1055"/>
      <c r="H101" s="1056"/>
      <c r="I101" s="1056"/>
      <c r="J101" s="1056"/>
    </row>
    <row r="102" spans="1:10" ht="30" customHeight="1" x14ac:dyDescent="0.5">
      <c r="A102" s="875" t="s">
        <v>25</v>
      </c>
      <c r="B102" s="875"/>
      <c r="C102" s="776"/>
      <c r="D102" s="777"/>
      <c r="E102" s="777"/>
      <c r="F102" s="1059" t="s">
        <v>116</v>
      </c>
      <c r="G102" s="1059"/>
      <c r="H102" s="776"/>
      <c r="I102" s="777"/>
      <c r="J102" s="777"/>
    </row>
    <row r="103" spans="1:10" ht="30" customHeight="1" x14ac:dyDescent="0.5">
      <c r="A103" s="844" t="s">
        <v>9</v>
      </c>
      <c r="B103" s="778">
        <f>0.7*1.8/3*2*E3</f>
        <v>3360</v>
      </c>
      <c r="C103" s="777"/>
      <c r="D103" s="777"/>
      <c r="E103" s="777"/>
      <c r="F103" s="779" t="s">
        <v>9</v>
      </c>
      <c r="G103" s="780">
        <f>0.5*1.8/3*2*E18</f>
        <v>2400</v>
      </c>
      <c r="H103" s="777"/>
      <c r="I103" s="777"/>
      <c r="J103" s="777"/>
    </row>
    <row r="104" spans="1:10" ht="30" customHeight="1" x14ac:dyDescent="0.5">
      <c r="A104" s="844" t="s">
        <v>1</v>
      </c>
      <c r="B104" s="778">
        <v>700</v>
      </c>
      <c r="C104" s="1056"/>
      <c r="D104" s="1056"/>
      <c r="E104" s="1056"/>
      <c r="F104" s="779" t="s">
        <v>1</v>
      </c>
      <c r="G104" s="780">
        <v>700</v>
      </c>
      <c r="H104" s="1056"/>
      <c r="I104" s="1056"/>
      <c r="J104" s="1056"/>
    </row>
    <row r="105" spans="1:10" ht="30" customHeight="1" x14ac:dyDescent="0.5">
      <c r="A105" s="844" t="s">
        <v>10</v>
      </c>
      <c r="B105" s="778">
        <v>2500</v>
      </c>
      <c r="C105" s="781" t="s">
        <v>22</v>
      </c>
      <c r="D105" s="781" t="s">
        <v>23</v>
      </c>
      <c r="E105" s="781" t="s">
        <v>24</v>
      </c>
      <c r="F105" s="779" t="s">
        <v>10</v>
      </c>
      <c r="G105" s="780">
        <v>2500</v>
      </c>
      <c r="H105" s="781" t="s">
        <v>22</v>
      </c>
      <c r="I105" s="781" t="s">
        <v>23</v>
      </c>
      <c r="J105" s="781" t="s">
        <v>24</v>
      </c>
    </row>
    <row r="106" spans="1:10" ht="30" customHeight="1" x14ac:dyDescent="0.5">
      <c r="A106" s="844" t="s">
        <v>147</v>
      </c>
      <c r="B106" s="778">
        <f>15000/20</f>
        <v>750</v>
      </c>
      <c r="C106" s="781">
        <f>C109</f>
        <v>5.3323749999999999</v>
      </c>
      <c r="D106" s="781">
        <f>D109</f>
        <v>6.4356249999999999</v>
      </c>
      <c r="E106" s="781">
        <f>E109</f>
        <v>7.318225</v>
      </c>
      <c r="F106" s="779" t="s">
        <v>147</v>
      </c>
      <c r="G106" s="780">
        <v>750</v>
      </c>
      <c r="H106" s="781">
        <f>H111</f>
        <v>4.984375</v>
      </c>
      <c r="I106" s="781">
        <f>I111</f>
        <v>6.015625</v>
      </c>
      <c r="J106" s="781">
        <f>J111</f>
        <v>6.8406250000000002</v>
      </c>
    </row>
    <row r="107" spans="1:10" ht="30" customHeight="1" x14ac:dyDescent="0.5">
      <c r="A107" s="844" t="s">
        <v>12</v>
      </c>
      <c r="B107" s="778">
        <v>1000</v>
      </c>
      <c r="C107" s="778"/>
      <c r="D107" s="778"/>
      <c r="E107" s="778"/>
      <c r="F107" s="779" t="s">
        <v>12</v>
      </c>
      <c r="G107" s="780">
        <v>1000</v>
      </c>
      <c r="H107" s="778"/>
      <c r="I107" s="778"/>
      <c r="J107" s="778"/>
    </row>
    <row r="108" spans="1:10" ht="30" customHeight="1" x14ac:dyDescent="0.5">
      <c r="A108" s="844" t="s">
        <v>11</v>
      </c>
      <c r="B108" s="778">
        <v>1000</v>
      </c>
      <c r="C108" s="776">
        <v>0.4</v>
      </c>
      <c r="D108" s="776">
        <v>0.55000000000000004</v>
      </c>
      <c r="E108" s="776">
        <v>0.85</v>
      </c>
      <c r="F108" s="779" t="s">
        <v>11</v>
      </c>
      <c r="G108" s="780">
        <v>1000</v>
      </c>
      <c r="H108" s="777"/>
      <c r="I108" s="777"/>
      <c r="J108" s="777"/>
    </row>
    <row r="109" spans="1:10" ht="30" customHeight="1" x14ac:dyDescent="0.5">
      <c r="A109" s="844" t="s">
        <v>27</v>
      </c>
      <c r="B109" s="778">
        <v>200</v>
      </c>
      <c r="C109" s="778">
        <f>B114*1.45</f>
        <v>5.3323749999999999</v>
      </c>
      <c r="D109" s="778">
        <f>B114*1.75</f>
        <v>6.4356249999999999</v>
      </c>
      <c r="E109" s="778">
        <f>B114*1.99</f>
        <v>7.318225</v>
      </c>
      <c r="F109" s="779" t="s">
        <v>27</v>
      </c>
      <c r="G109" s="780">
        <v>200</v>
      </c>
      <c r="H109" s="777"/>
      <c r="I109" s="777"/>
      <c r="J109" s="777"/>
    </row>
    <row r="110" spans="1:10" ht="30" customHeight="1" x14ac:dyDescent="0.5">
      <c r="A110" s="844" t="s">
        <v>28</v>
      </c>
      <c r="B110" s="778">
        <v>100</v>
      </c>
      <c r="C110" s="777"/>
      <c r="D110" s="777"/>
      <c r="E110" s="778"/>
      <c r="F110" s="779" t="s">
        <v>28</v>
      </c>
      <c r="G110" s="780">
        <v>100</v>
      </c>
      <c r="H110" s="776">
        <v>0.4</v>
      </c>
      <c r="I110" s="776">
        <v>0.55000000000000004</v>
      </c>
      <c r="J110" s="776">
        <v>0.85</v>
      </c>
    </row>
    <row r="111" spans="1:10" ht="30" customHeight="1" x14ac:dyDescent="0.5">
      <c r="A111" s="844" t="s">
        <v>106</v>
      </c>
      <c r="B111" s="778">
        <v>750</v>
      </c>
      <c r="C111" s="777"/>
      <c r="D111" s="777"/>
      <c r="E111" s="778"/>
      <c r="F111" s="779" t="s">
        <v>106</v>
      </c>
      <c r="G111" s="780">
        <v>750</v>
      </c>
      <c r="H111" s="778">
        <f>G114*1.45</f>
        <v>4.984375</v>
      </c>
      <c r="I111" s="778">
        <f>G114*1.75</f>
        <v>6.015625</v>
      </c>
      <c r="J111" s="778">
        <f>G114*1.99</f>
        <v>6.8406250000000002</v>
      </c>
    </row>
    <row r="112" spans="1:10" ht="30" customHeight="1" x14ac:dyDescent="0.5">
      <c r="A112" s="844" t="s">
        <v>16</v>
      </c>
      <c r="B112" s="778">
        <v>350</v>
      </c>
      <c r="C112" s="778"/>
      <c r="D112" s="778"/>
      <c r="E112" s="778"/>
      <c r="F112" s="779" t="s">
        <v>16</v>
      </c>
      <c r="G112" s="780">
        <v>350</v>
      </c>
      <c r="H112" s="778"/>
      <c r="I112" s="778"/>
      <c r="J112" s="778"/>
    </row>
    <row r="113" spans="1:10" ht="30" customHeight="1" x14ac:dyDescent="0.5">
      <c r="A113" s="844" t="s">
        <v>18</v>
      </c>
      <c r="B113" s="778">
        <v>4000</v>
      </c>
      <c r="C113" s="778"/>
      <c r="D113" s="778"/>
      <c r="E113" s="778"/>
      <c r="F113" s="779" t="s">
        <v>18</v>
      </c>
      <c r="G113" s="780">
        <v>4000</v>
      </c>
      <c r="H113" s="778"/>
      <c r="I113" s="778"/>
      <c r="J113" s="778"/>
    </row>
    <row r="114" spans="1:10" ht="30" customHeight="1" x14ac:dyDescent="0.5">
      <c r="A114" s="844"/>
      <c r="B114" s="778">
        <f>SUM(B103:B113)/E3</f>
        <v>3.6775000000000002</v>
      </c>
      <c r="C114" s="777"/>
      <c r="D114" s="777"/>
      <c r="E114" s="777"/>
      <c r="F114" s="779"/>
      <c r="G114" s="782">
        <f>SUM(G103:G113)/E3</f>
        <v>3.4375</v>
      </c>
      <c r="H114" s="777"/>
      <c r="I114" s="777"/>
      <c r="J114" s="777"/>
    </row>
    <row r="115" spans="1:10" ht="30" customHeight="1" x14ac:dyDescent="0.5">
      <c r="A115" s="844"/>
      <c r="B115" s="777"/>
      <c r="C115" s="777"/>
      <c r="D115" s="777"/>
      <c r="E115" s="777"/>
      <c r="F115" s="779"/>
      <c r="G115" s="783"/>
      <c r="H115" s="777"/>
      <c r="I115" s="777"/>
      <c r="J115" s="777"/>
    </row>
    <row r="116" spans="1:10" x14ac:dyDescent="0.5">
      <c r="A116" s="845" t="s">
        <v>38</v>
      </c>
      <c r="B116" s="1058" t="s">
        <v>146</v>
      </c>
      <c r="C116" s="1058"/>
      <c r="D116" s="1058"/>
      <c r="E116" s="1058"/>
      <c r="F116" s="784" t="s">
        <v>38</v>
      </c>
      <c r="G116" s="1058" t="s">
        <v>146</v>
      </c>
      <c r="H116" s="1058"/>
      <c r="I116" s="1058"/>
      <c r="J116" s="1058"/>
    </row>
    <row r="117" spans="1:10" ht="30" customHeight="1" x14ac:dyDescent="0.5">
      <c r="A117" s="846" t="s">
        <v>25</v>
      </c>
      <c r="B117" s="785"/>
      <c r="C117" s="776"/>
      <c r="D117" s="777"/>
      <c r="E117" s="777"/>
      <c r="F117" s="786" t="s">
        <v>115</v>
      </c>
      <c r="G117" s="786"/>
      <c r="H117" s="776"/>
      <c r="I117" s="777"/>
      <c r="J117" s="777"/>
    </row>
    <row r="118" spans="1:10" ht="30" customHeight="1" x14ac:dyDescent="0.5">
      <c r="A118" s="844" t="s">
        <v>9</v>
      </c>
      <c r="B118" s="778">
        <f>0.8*3/3*2*E3</f>
        <v>6400.0000000000009</v>
      </c>
      <c r="C118" s="777"/>
      <c r="D118" s="777"/>
      <c r="E118" s="777"/>
      <c r="F118" s="779" t="s">
        <v>9</v>
      </c>
      <c r="G118" s="780">
        <f>0.5*3/3*2*E18</f>
        <v>4000</v>
      </c>
      <c r="H118" s="777"/>
      <c r="I118" s="777"/>
      <c r="J118" s="777"/>
    </row>
    <row r="119" spans="1:10" ht="30" customHeight="1" x14ac:dyDescent="0.5">
      <c r="A119" s="844" t="s">
        <v>1</v>
      </c>
      <c r="B119" s="778">
        <v>700</v>
      </c>
      <c r="C119" s="777"/>
      <c r="D119" s="777"/>
      <c r="E119" s="777"/>
      <c r="F119" s="779" t="s">
        <v>1</v>
      </c>
      <c r="G119" s="780">
        <v>700</v>
      </c>
      <c r="H119" s="777"/>
      <c r="I119" s="777"/>
      <c r="J119" s="777"/>
    </row>
    <row r="120" spans="1:10" ht="30" customHeight="1" x14ac:dyDescent="0.5">
      <c r="A120" s="844" t="s">
        <v>10</v>
      </c>
      <c r="B120" s="778">
        <v>2500</v>
      </c>
      <c r="C120" s="1056"/>
      <c r="D120" s="1056"/>
      <c r="E120" s="1056"/>
      <c r="F120" s="779" t="s">
        <v>10</v>
      </c>
      <c r="G120" s="780">
        <v>2500</v>
      </c>
      <c r="H120" s="1056"/>
      <c r="I120" s="1056"/>
      <c r="J120" s="1056"/>
    </row>
    <row r="121" spans="1:10" ht="30" customHeight="1" x14ac:dyDescent="0.5">
      <c r="A121" s="844" t="s">
        <v>147</v>
      </c>
      <c r="B121" s="778">
        <v>750</v>
      </c>
      <c r="C121" s="781" t="s">
        <v>22</v>
      </c>
      <c r="D121" s="781" t="s">
        <v>23</v>
      </c>
      <c r="E121" s="781" t="s">
        <v>24</v>
      </c>
      <c r="F121" s="779" t="s">
        <v>147</v>
      </c>
      <c r="G121" s="780">
        <v>750</v>
      </c>
      <c r="H121" s="781" t="s">
        <v>22</v>
      </c>
      <c r="I121" s="781" t="s">
        <v>23</v>
      </c>
      <c r="J121" s="781" t="s">
        <v>24</v>
      </c>
    </row>
    <row r="122" spans="1:10" ht="30" customHeight="1" x14ac:dyDescent="0.5">
      <c r="A122" s="844" t="s">
        <v>12</v>
      </c>
      <c r="B122" s="778">
        <v>1000</v>
      </c>
      <c r="C122" s="781">
        <f>C126</f>
        <v>6.4343750000000002</v>
      </c>
      <c r="D122" s="781">
        <f>D126</f>
        <v>7.765625</v>
      </c>
      <c r="E122" s="781">
        <f>E126</f>
        <v>8.8306249999999995</v>
      </c>
      <c r="F122" s="779" t="s">
        <v>12</v>
      </c>
      <c r="G122" s="780">
        <v>1000</v>
      </c>
      <c r="H122" s="781">
        <f>H127</f>
        <v>5.5643750000000001</v>
      </c>
      <c r="I122" s="781">
        <f>I127</f>
        <v>6.7156250000000002</v>
      </c>
      <c r="J122" s="781">
        <f>J127</f>
        <v>7.6366249999999996</v>
      </c>
    </row>
    <row r="123" spans="1:10" ht="30" customHeight="1" x14ac:dyDescent="0.5">
      <c r="A123" s="844" t="s">
        <v>11</v>
      </c>
      <c r="B123" s="778">
        <v>1000</v>
      </c>
      <c r="C123" s="778"/>
      <c r="D123" s="778"/>
      <c r="E123" s="778"/>
      <c r="F123" s="779" t="s">
        <v>11</v>
      </c>
      <c r="G123" s="780">
        <v>1000</v>
      </c>
      <c r="H123" s="778"/>
      <c r="I123" s="778"/>
      <c r="J123" s="778"/>
    </row>
    <row r="124" spans="1:10" ht="30" customHeight="1" x14ac:dyDescent="0.5">
      <c r="A124" s="844" t="s">
        <v>27</v>
      </c>
      <c r="B124" s="778">
        <v>200</v>
      </c>
      <c r="C124" s="777"/>
      <c r="D124" s="777"/>
      <c r="E124" s="777"/>
      <c r="F124" s="779" t="s">
        <v>27</v>
      </c>
      <c r="G124" s="780">
        <v>200</v>
      </c>
      <c r="H124" s="777"/>
      <c r="I124" s="777"/>
      <c r="J124" s="777"/>
    </row>
    <row r="125" spans="1:10" ht="30" customHeight="1" x14ac:dyDescent="0.5">
      <c r="A125" s="844" t="s">
        <v>28</v>
      </c>
      <c r="B125" s="778">
        <v>100</v>
      </c>
      <c r="C125" s="776">
        <v>0.4</v>
      </c>
      <c r="D125" s="776">
        <v>0.55000000000000004</v>
      </c>
      <c r="E125" s="776">
        <v>0.85</v>
      </c>
      <c r="F125" s="779" t="s">
        <v>28</v>
      </c>
      <c r="G125" s="780">
        <v>100</v>
      </c>
      <c r="H125" s="777"/>
      <c r="I125" s="777"/>
      <c r="J125" s="777"/>
    </row>
    <row r="126" spans="1:10" ht="30" customHeight="1" x14ac:dyDescent="0.5">
      <c r="A126" s="844" t="s">
        <v>106</v>
      </c>
      <c r="B126" s="778">
        <v>750</v>
      </c>
      <c r="C126" s="778">
        <f>B129*1.45</f>
        <v>6.4343750000000002</v>
      </c>
      <c r="D126" s="778">
        <f>B129*1.75</f>
        <v>7.765625</v>
      </c>
      <c r="E126" s="778">
        <f>B129*1.99</f>
        <v>8.8306249999999995</v>
      </c>
      <c r="F126" s="779" t="s">
        <v>106</v>
      </c>
      <c r="G126" s="780">
        <v>750</v>
      </c>
      <c r="H126" s="776">
        <v>0.4</v>
      </c>
      <c r="I126" s="776">
        <v>0.55000000000000004</v>
      </c>
      <c r="J126" s="776">
        <v>0.85</v>
      </c>
    </row>
    <row r="127" spans="1:10" ht="30" customHeight="1" x14ac:dyDescent="0.5">
      <c r="A127" s="844" t="s">
        <v>16</v>
      </c>
      <c r="B127" s="778">
        <v>350</v>
      </c>
      <c r="C127" s="777"/>
      <c r="D127" s="777"/>
      <c r="E127" s="778"/>
      <c r="F127" s="779" t="s">
        <v>16</v>
      </c>
      <c r="G127" s="780">
        <v>350</v>
      </c>
      <c r="H127" s="778">
        <f>G129*1.45</f>
        <v>5.5643750000000001</v>
      </c>
      <c r="I127" s="778">
        <f>G129*1.75</f>
        <v>6.7156250000000002</v>
      </c>
      <c r="J127" s="778">
        <f>G129*1.99</f>
        <v>7.6366249999999996</v>
      </c>
    </row>
    <row r="128" spans="1:10" ht="30" customHeight="1" x14ac:dyDescent="0.5">
      <c r="A128" s="844" t="s">
        <v>18</v>
      </c>
      <c r="B128" s="778">
        <v>4000</v>
      </c>
      <c r="C128" s="778"/>
      <c r="D128" s="778"/>
      <c r="E128" s="778"/>
      <c r="F128" s="779" t="s">
        <v>18</v>
      </c>
      <c r="G128" s="780">
        <v>4000</v>
      </c>
      <c r="H128" s="778"/>
      <c r="I128" s="778"/>
      <c r="J128" s="778"/>
    </row>
    <row r="129" spans="1:10" ht="30" customHeight="1" x14ac:dyDescent="0.5">
      <c r="A129" s="844"/>
      <c r="B129" s="778">
        <f>SUM(B118:B128)/E3</f>
        <v>4.4375</v>
      </c>
      <c r="C129" s="778"/>
      <c r="D129" s="778"/>
      <c r="E129" s="778"/>
      <c r="F129" s="779"/>
      <c r="G129" s="782">
        <f>SUM(G118:G128)/E3</f>
        <v>3.8374999999999999</v>
      </c>
      <c r="H129" s="778"/>
      <c r="I129" s="778"/>
      <c r="J129" s="778"/>
    </row>
    <row r="130" spans="1:10" ht="30" customHeight="1" x14ac:dyDescent="0.5">
      <c r="A130" s="844"/>
      <c r="B130" s="777"/>
      <c r="C130" s="777"/>
      <c r="D130" s="777"/>
      <c r="E130" s="777"/>
      <c r="F130" s="779"/>
      <c r="G130" s="783"/>
      <c r="H130" s="777"/>
      <c r="I130" s="777"/>
      <c r="J130" s="777"/>
    </row>
    <row r="131" spans="1:10" x14ac:dyDescent="0.5">
      <c r="A131" s="845" t="s">
        <v>166</v>
      </c>
      <c r="B131" s="1058" t="s">
        <v>146</v>
      </c>
      <c r="C131" s="1058"/>
      <c r="D131" s="1058"/>
      <c r="E131" s="1058"/>
      <c r="F131" s="784" t="s">
        <v>38</v>
      </c>
      <c r="G131" s="1058" t="s">
        <v>146</v>
      </c>
      <c r="H131" s="1058"/>
      <c r="I131" s="1058"/>
      <c r="J131" s="1058"/>
    </row>
    <row r="132" spans="1:10" ht="30" customHeight="1" x14ac:dyDescent="0.5">
      <c r="A132" s="846" t="s">
        <v>113</v>
      </c>
      <c r="B132" s="786"/>
      <c r="C132" s="776"/>
      <c r="D132" s="777"/>
      <c r="E132" s="777"/>
      <c r="F132" s="786" t="s">
        <v>113</v>
      </c>
      <c r="G132" s="785"/>
      <c r="H132" s="776"/>
      <c r="I132" s="777"/>
      <c r="J132" s="777"/>
    </row>
    <row r="133" spans="1:10" ht="30" customHeight="1" x14ac:dyDescent="0.5">
      <c r="A133" s="844" t="s">
        <v>9</v>
      </c>
      <c r="B133" s="780">
        <f>0.8*1.8/3*2*E18</f>
        <v>3840.0000000000005</v>
      </c>
      <c r="C133" s="777"/>
      <c r="D133" s="777"/>
      <c r="E133" s="777"/>
      <c r="F133" s="779" t="s">
        <v>9</v>
      </c>
      <c r="G133" s="778">
        <f>0.8*3/3*2*E3</f>
        <v>6400.0000000000009</v>
      </c>
      <c r="H133" s="777"/>
      <c r="I133" s="777"/>
      <c r="J133" s="777"/>
    </row>
    <row r="134" spans="1:10" ht="30" customHeight="1" x14ac:dyDescent="0.5">
      <c r="A134" s="844" t="s">
        <v>1</v>
      </c>
      <c r="B134" s="780">
        <v>700</v>
      </c>
      <c r="C134" s="777"/>
      <c r="D134" s="777"/>
      <c r="E134" s="777"/>
      <c r="F134" s="779" t="s">
        <v>1</v>
      </c>
      <c r="G134" s="778">
        <v>700</v>
      </c>
      <c r="H134" s="1056"/>
      <c r="I134" s="1056"/>
      <c r="J134" s="1056"/>
    </row>
    <row r="135" spans="1:10" ht="30" customHeight="1" x14ac:dyDescent="0.5">
      <c r="A135" s="844" t="s">
        <v>10</v>
      </c>
      <c r="B135" s="780">
        <v>2500</v>
      </c>
      <c r="C135" s="1056"/>
      <c r="D135" s="1056"/>
      <c r="E135" s="1056"/>
      <c r="F135" s="779" t="s">
        <v>10</v>
      </c>
      <c r="G135" s="778">
        <v>2500</v>
      </c>
      <c r="H135" s="781" t="s">
        <v>22</v>
      </c>
      <c r="I135" s="781" t="s">
        <v>23</v>
      </c>
      <c r="J135" s="781" t="s">
        <v>24</v>
      </c>
    </row>
    <row r="136" spans="1:10" ht="30" customHeight="1" x14ac:dyDescent="0.5">
      <c r="A136" s="844" t="s">
        <v>147</v>
      </c>
      <c r="B136" s="780">
        <v>750</v>
      </c>
      <c r="C136" s="781" t="s">
        <v>22</v>
      </c>
      <c r="D136" s="781" t="s">
        <v>23</v>
      </c>
      <c r="E136" s="781" t="s">
        <v>24</v>
      </c>
      <c r="F136" s="779" t="s">
        <v>147</v>
      </c>
      <c r="G136" s="778">
        <v>750</v>
      </c>
      <c r="H136" s="781">
        <f>H141</f>
        <v>6.4343750000000002</v>
      </c>
      <c r="I136" s="781">
        <f>I141</f>
        <v>7.765625</v>
      </c>
      <c r="J136" s="781">
        <f>J141</f>
        <v>8.8306249999999995</v>
      </c>
    </row>
    <row r="137" spans="1:10" ht="30" customHeight="1" x14ac:dyDescent="0.5">
      <c r="A137" s="844" t="s">
        <v>12</v>
      </c>
      <c r="B137" s="780">
        <v>1000</v>
      </c>
      <c r="C137" s="781">
        <f>C142</f>
        <v>5.5063749999999994</v>
      </c>
      <c r="D137" s="781">
        <f>D142</f>
        <v>6.6456249999999999</v>
      </c>
      <c r="E137" s="781">
        <f>E142</f>
        <v>7.5570249999999994</v>
      </c>
      <c r="F137" s="779" t="s">
        <v>12</v>
      </c>
      <c r="G137" s="778">
        <v>1000</v>
      </c>
      <c r="H137" s="778"/>
      <c r="I137" s="778"/>
      <c r="J137" s="778"/>
    </row>
    <row r="138" spans="1:10" ht="30" customHeight="1" x14ac:dyDescent="0.5">
      <c r="A138" s="844" t="s">
        <v>11</v>
      </c>
      <c r="B138" s="780">
        <v>1000</v>
      </c>
      <c r="C138" s="778"/>
      <c r="D138" s="778"/>
      <c r="E138" s="778"/>
      <c r="F138" s="779" t="s">
        <v>11</v>
      </c>
      <c r="G138" s="778">
        <v>1000</v>
      </c>
      <c r="H138" s="777"/>
      <c r="I138" s="777"/>
      <c r="J138" s="777"/>
    </row>
    <row r="139" spans="1:10" ht="30" customHeight="1" x14ac:dyDescent="0.5">
      <c r="A139" s="844" t="s">
        <v>27</v>
      </c>
      <c r="B139" s="780">
        <v>200</v>
      </c>
      <c r="C139" s="777"/>
      <c r="D139" s="777"/>
      <c r="E139" s="777"/>
      <c r="F139" s="779" t="s">
        <v>27</v>
      </c>
      <c r="G139" s="778">
        <v>200</v>
      </c>
      <c r="H139" s="777"/>
      <c r="I139" s="777"/>
      <c r="J139" s="777"/>
    </row>
    <row r="140" spans="1:10" ht="30" customHeight="1" x14ac:dyDescent="0.5">
      <c r="A140" s="844" t="s">
        <v>28</v>
      </c>
      <c r="B140" s="780">
        <v>100</v>
      </c>
      <c r="C140" s="777"/>
      <c r="D140" s="777"/>
      <c r="E140" s="777"/>
      <c r="F140" s="779" t="s">
        <v>28</v>
      </c>
      <c r="G140" s="778">
        <v>100</v>
      </c>
      <c r="H140" s="776">
        <v>0.4</v>
      </c>
      <c r="I140" s="776">
        <v>0.55000000000000004</v>
      </c>
      <c r="J140" s="776">
        <v>0.85</v>
      </c>
    </row>
    <row r="141" spans="1:10" ht="30" customHeight="1" x14ac:dyDescent="0.5">
      <c r="A141" s="844" t="s">
        <v>106</v>
      </c>
      <c r="B141" s="780">
        <v>750</v>
      </c>
      <c r="C141" s="776">
        <v>0.4</v>
      </c>
      <c r="D141" s="776">
        <v>0.55000000000000004</v>
      </c>
      <c r="E141" s="776">
        <v>0.85</v>
      </c>
      <c r="F141" s="779" t="s">
        <v>106</v>
      </c>
      <c r="G141" s="778">
        <v>750</v>
      </c>
      <c r="H141" s="778">
        <f>G144*1.45</f>
        <v>6.4343750000000002</v>
      </c>
      <c r="I141" s="778">
        <f>G144*1.75</f>
        <v>7.765625</v>
      </c>
      <c r="J141" s="778">
        <f>G144*1.99</f>
        <v>8.8306249999999995</v>
      </c>
    </row>
    <row r="142" spans="1:10" ht="30" customHeight="1" x14ac:dyDescent="0.5">
      <c r="A142" s="844" t="s">
        <v>16</v>
      </c>
      <c r="B142" s="780">
        <v>350</v>
      </c>
      <c r="C142" s="778">
        <f>B144*1.45</f>
        <v>5.5063749999999994</v>
      </c>
      <c r="D142" s="778">
        <f>B144*1.75</f>
        <v>6.6456249999999999</v>
      </c>
      <c r="E142" s="778">
        <f>B144*1.99</f>
        <v>7.5570249999999994</v>
      </c>
      <c r="F142" s="779" t="s">
        <v>16</v>
      </c>
      <c r="G142" s="778">
        <v>350</v>
      </c>
      <c r="H142" s="777"/>
      <c r="I142" s="777"/>
      <c r="J142" s="778"/>
    </row>
    <row r="143" spans="1:10" ht="30" customHeight="1" x14ac:dyDescent="0.5">
      <c r="A143" s="844" t="s">
        <v>18</v>
      </c>
      <c r="B143" s="780">
        <v>4000</v>
      </c>
      <c r="C143" s="778"/>
      <c r="D143" s="778"/>
      <c r="E143" s="778"/>
      <c r="F143" s="779" t="s">
        <v>18</v>
      </c>
      <c r="G143" s="778">
        <v>4000</v>
      </c>
      <c r="H143" s="778"/>
      <c r="I143" s="778"/>
      <c r="J143" s="778"/>
    </row>
    <row r="144" spans="1:10" ht="30" customHeight="1" x14ac:dyDescent="0.5">
      <c r="A144" s="844"/>
      <c r="B144" s="782">
        <f>SUM(B133:B143)/E3</f>
        <v>3.7974999999999999</v>
      </c>
      <c r="C144" s="778"/>
      <c r="D144" s="778"/>
      <c r="E144" s="778"/>
      <c r="F144" s="779"/>
      <c r="G144" s="778">
        <f>SUM(G133:G143)/E3</f>
        <v>4.4375</v>
      </c>
      <c r="H144" s="778"/>
      <c r="I144" s="778"/>
      <c r="J144" s="778"/>
    </row>
    <row r="145" spans="1:10" ht="30" customHeight="1" x14ac:dyDescent="0.5"/>
    <row r="146" spans="1:10" ht="30" customHeight="1" x14ac:dyDescent="0.5"/>
    <row r="147" spans="1:10" ht="31.5" x14ac:dyDescent="0.5">
      <c r="A147" s="1061" t="s">
        <v>166</v>
      </c>
      <c r="B147" s="1061"/>
      <c r="C147" s="1060"/>
      <c r="D147" s="1060"/>
      <c r="E147" s="1060"/>
      <c r="F147" s="1062" t="s">
        <v>166</v>
      </c>
      <c r="G147" s="1062"/>
      <c r="H147" s="1060"/>
      <c r="I147" s="1060"/>
      <c r="J147" s="1060"/>
    </row>
    <row r="148" spans="1:10" ht="30" customHeight="1" x14ac:dyDescent="0.5">
      <c r="A148" s="889" t="s">
        <v>25</v>
      </c>
      <c r="B148" s="889"/>
      <c r="C148" s="787"/>
      <c r="D148" s="788"/>
      <c r="E148" s="788"/>
      <c r="F148" s="1063" t="s">
        <v>116</v>
      </c>
      <c r="G148" s="1063"/>
      <c r="H148" s="787"/>
      <c r="I148" s="788"/>
      <c r="J148" s="788"/>
    </row>
    <row r="149" spans="1:10" ht="30" customHeight="1" x14ac:dyDescent="0.5">
      <c r="A149" s="847" t="s">
        <v>9</v>
      </c>
      <c r="B149" s="789">
        <f>0.7*1.8/3*2*E3</f>
        <v>3360</v>
      </c>
      <c r="C149" s="788"/>
      <c r="D149" s="788"/>
      <c r="E149" s="788"/>
      <c r="F149" s="790" t="s">
        <v>9</v>
      </c>
      <c r="G149" s="791">
        <f>0.5*1.8/4*2*E18</f>
        <v>1800</v>
      </c>
      <c r="H149" s="788"/>
      <c r="I149" s="788"/>
      <c r="J149" s="788"/>
    </row>
    <row r="150" spans="1:10" ht="30" customHeight="1" x14ac:dyDescent="0.5">
      <c r="A150" s="847" t="s">
        <v>1</v>
      </c>
      <c r="B150" s="789">
        <v>700</v>
      </c>
      <c r="C150" s="1060"/>
      <c r="D150" s="1060"/>
      <c r="E150" s="1060"/>
      <c r="F150" s="790" t="s">
        <v>1</v>
      </c>
      <c r="G150" s="791">
        <v>700</v>
      </c>
      <c r="H150" s="1060"/>
      <c r="I150" s="1060"/>
      <c r="J150" s="1060"/>
    </row>
    <row r="151" spans="1:10" ht="30" customHeight="1" x14ac:dyDescent="0.5">
      <c r="A151" s="847" t="s">
        <v>10</v>
      </c>
      <c r="B151" s="789">
        <v>2500</v>
      </c>
      <c r="C151" s="792" t="s">
        <v>22</v>
      </c>
      <c r="D151" s="792" t="s">
        <v>23</v>
      </c>
      <c r="E151" s="792" t="s">
        <v>24</v>
      </c>
      <c r="F151" s="790" t="s">
        <v>10</v>
      </c>
      <c r="G151" s="791">
        <v>2500</v>
      </c>
      <c r="H151" s="792" t="s">
        <v>22</v>
      </c>
      <c r="I151" s="792" t="s">
        <v>23</v>
      </c>
      <c r="J151" s="792" t="s">
        <v>24</v>
      </c>
    </row>
    <row r="152" spans="1:10" ht="30" customHeight="1" x14ac:dyDescent="0.5">
      <c r="A152" s="847" t="s">
        <v>253</v>
      </c>
      <c r="B152" s="789">
        <f>15000*0.3/3</f>
        <v>1500</v>
      </c>
      <c r="C152" s="792">
        <f>C155</f>
        <v>5.6042500000000004</v>
      </c>
      <c r="D152" s="792">
        <f>D155</f>
        <v>6.7637499999999999</v>
      </c>
      <c r="E152" s="792">
        <f>E155</f>
        <v>7.6913500000000008</v>
      </c>
      <c r="F152" s="790" t="s">
        <v>253</v>
      </c>
      <c r="G152" s="791">
        <f>15000*0.3/4</f>
        <v>1125</v>
      </c>
      <c r="H152" s="792">
        <f>H157</f>
        <v>4.9028124999999996</v>
      </c>
      <c r="I152" s="792">
        <f>I157</f>
        <v>5.9171874999999998</v>
      </c>
      <c r="J152" s="792">
        <f>J157</f>
        <v>6.7286875000000004</v>
      </c>
    </row>
    <row r="153" spans="1:10" ht="30" customHeight="1" x14ac:dyDescent="0.5">
      <c r="A153" s="847" t="s">
        <v>12</v>
      </c>
      <c r="B153" s="789">
        <v>1000</v>
      </c>
      <c r="C153" s="789"/>
      <c r="D153" s="789"/>
      <c r="E153" s="789"/>
      <c r="F153" s="790" t="s">
        <v>12</v>
      </c>
      <c r="G153" s="791">
        <v>1000</v>
      </c>
      <c r="H153" s="789"/>
      <c r="I153" s="789"/>
      <c r="J153" s="789"/>
    </row>
    <row r="154" spans="1:10" ht="30" customHeight="1" x14ac:dyDescent="0.5">
      <c r="A154" s="847" t="s">
        <v>11</v>
      </c>
      <c r="B154" s="789">
        <v>1000</v>
      </c>
      <c r="C154" s="787">
        <v>0.4</v>
      </c>
      <c r="D154" s="787">
        <v>0.55000000000000004</v>
      </c>
      <c r="E154" s="787">
        <v>0.85</v>
      </c>
      <c r="F154" s="790" t="s">
        <v>11</v>
      </c>
      <c r="G154" s="791">
        <v>1000</v>
      </c>
      <c r="H154" s="788"/>
      <c r="I154" s="788"/>
      <c r="J154" s="788"/>
    </row>
    <row r="155" spans="1:10" ht="30" customHeight="1" x14ac:dyDescent="0.5">
      <c r="A155" s="847" t="s">
        <v>27</v>
      </c>
      <c r="B155" s="789">
        <v>200</v>
      </c>
      <c r="C155" s="789">
        <f>B160*1.45</f>
        <v>5.6042500000000004</v>
      </c>
      <c r="D155" s="789">
        <f>B160*1.75</f>
        <v>6.7637499999999999</v>
      </c>
      <c r="E155" s="789">
        <f>B160*1.99</f>
        <v>7.6913500000000008</v>
      </c>
      <c r="F155" s="790" t="s">
        <v>27</v>
      </c>
      <c r="G155" s="791">
        <v>200</v>
      </c>
      <c r="H155" s="788"/>
      <c r="I155" s="788"/>
      <c r="J155" s="788"/>
    </row>
    <row r="156" spans="1:10" ht="30" customHeight="1" x14ac:dyDescent="0.5">
      <c r="A156" s="847" t="s">
        <v>28</v>
      </c>
      <c r="B156" s="789">
        <v>100</v>
      </c>
      <c r="C156" s="788"/>
      <c r="D156" s="788"/>
      <c r="E156" s="789"/>
      <c r="F156" s="790" t="s">
        <v>28</v>
      </c>
      <c r="G156" s="791">
        <v>100</v>
      </c>
      <c r="H156" s="787">
        <v>0.4</v>
      </c>
      <c r="I156" s="787">
        <v>0.55000000000000004</v>
      </c>
      <c r="J156" s="787">
        <v>0.85</v>
      </c>
    </row>
    <row r="157" spans="1:10" ht="30" customHeight="1" x14ac:dyDescent="0.5">
      <c r="A157" s="847" t="s">
        <v>106</v>
      </c>
      <c r="B157" s="789">
        <v>750</v>
      </c>
      <c r="C157" s="788"/>
      <c r="D157" s="788"/>
      <c r="E157" s="789"/>
      <c r="F157" s="790" t="s">
        <v>106</v>
      </c>
      <c r="G157" s="791">
        <v>750</v>
      </c>
      <c r="H157" s="789">
        <f>G160*1.45</f>
        <v>4.9028124999999996</v>
      </c>
      <c r="I157" s="789">
        <f>G160*1.75</f>
        <v>5.9171874999999998</v>
      </c>
      <c r="J157" s="789">
        <f>G160*1.99</f>
        <v>6.7286875000000004</v>
      </c>
    </row>
    <row r="158" spans="1:10" ht="30" customHeight="1" x14ac:dyDescent="0.5">
      <c r="A158" s="847" t="s">
        <v>16</v>
      </c>
      <c r="B158" s="789">
        <v>350</v>
      </c>
      <c r="C158" s="789"/>
      <c r="D158" s="789"/>
      <c r="E158" s="789"/>
      <c r="F158" s="790" t="s">
        <v>16</v>
      </c>
      <c r="G158" s="791">
        <v>350</v>
      </c>
      <c r="H158" s="789"/>
      <c r="I158" s="789"/>
      <c r="J158" s="789"/>
    </row>
    <row r="159" spans="1:10" ht="30" customHeight="1" x14ac:dyDescent="0.5">
      <c r="A159" s="847" t="s">
        <v>18</v>
      </c>
      <c r="B159" s="789">
        <v>4000</v>
      </c>
      <c r="C159" s="789"/>
      <c r="D159" s="789"/>
      <c r="E159" s="789"/>
      <c r="F159" s="790" t="s">
        <v>18</v>
      </c>
      <c r="G159" s="791">
        <v>4000</v>
      </c>
      <c r="H159" s="789"/>
      <c r="I159" s="789"/>
      <c r="J159" s="789"/>
    </row>
    <row r="160" spans="1:10" ht="30" customHeight="1" x14ac:dyDescent="0.5">
      <c r="A160" s="847"/>
      <c r="B160" s="789">
        <f>SUM(B149:B159)/E3</f>
        <v>3.8650000000000002</v>
      </c>
      <c r="C160" s="788"/>
      <c r="D160" s="788"/>
      <c r="E160" s="788"/>
      <c r="F160" s="790"/>
      <c r="G160" s="793">
        <f>SUM(G149:G159)/E3</f>
        <v>3.3812500000000001</v>
      </c>
      <c r="H160" s="788"/>
      <c r="I160" s="788"/>
      <c r="J160" s="788"/>
    </row>
    <row r="161" spans="1:10" ht="30" customHeight="1" x14ac:dyDescent="0.5">
      <c r="A161" s="847"/>
      <c r="B161" s="788"/>
      <c r="C161" s="788"/>
      <c r="D161" s="788"/>
      <c r="E161" s="788"/>
      <c r="F161" s="790"/>
      <c r="G161" s="794"/>
      <c r="H161" s="788"/>
      <c r="I161" s="788"/>
      <c r="J161" s="788"/>
    </row>
    <row r="162" spans="1:10" ht="30" customHeight="1" x14ac:dyDescent="0.5">
      <c r="A162" s="848" t="s">
        <v>38</v>
      </c>
      <c r="B162" s="788"/>
      <c r="C162" s="795"/>
      <c r="D162" s="795"/>
      <c r="E162" s="795">
        <v>4500</v>
      </c>
      <c r="F162" s="796" t="s">
        <v>20</v>
      </c>
      <c r="G162" s="794"/>
      <c r="H162" s="795"/>
      <c r="I162" s="795"/>
      <c r="J162" s="795">
        <v>4500</v>
      </c>
    </row>
    <row r="163" spans="1:10" ht="30" customHeight="1" x14ac:dyDescent="0.5">
      <c r="A163" s="849" t="s">
        <v>25</v>
      </c>
      <c r="B163" s="797"/>
      <c r="C163" s="788"/>
      <c r="D163" s="788"/>
      <c r="E163" s="788"/>
      <c r="F163" s="798" t="s">
        <v>115</v>
      </c>
      <c r="G163" s="798"/>
      <c r="H163" s="788"/>
      <c r="I163" s="788"/>
      <c r="J163" s="788"/>
    </row>
    <row r="164" spans="1:10" x14ac:dyDescent="0.5">
      <c r="A164" s="847" t="s">
        <v>9</v>
      </c>
      <c r="B164" s="789">
        <f>0.7*3/3*2*E3</f>
        <v>5599.9999999999991</v>
      </c>
      <c r="C164" s="1060"/>
      <c r="D164" s="1060"/>
      <c r="E164" s="1060"/>
      <c r="F164" s="790" t="s">
        <v>9</v>
      </c>
      <c r="G164" s="791">
        <f>0.5*3/4*2*E18</f>
        <v>3000</v>
      </c>
      <c r="H164" s="1060"/>
      <c r="I164" s="1060"/>
      <c r="J164" s="1060"/>
    </row>
    <row r="165" spans="1:10" ht="30" customHeight="1" x14ac:dyDescent="0.5">
      <c r="A165" s="847" t="s">
        <v>1</v>
      </c>
      <c r="B165" s="789">
        <v>700</v>
      </c>
      <c r="C165" s="787"/>
      <c r="D165" s="788"/>
      <c r="E165" s="788"/>
      <c r="F165" s="790" t="s">
        <v>1</v>
      </c>
      <c r="G165" s="791">
        <v>700</v>
      </c>
      <c r="H165" s="787"/>
      <c r="I165" s="788"/>
      <c r="J165" s="788"/>
    </row>
    <row r="166" spans="1:10" ht="30" customHeight="1" x14ac:dyDescent="0.5">
      <c r="A166" s="847" t="s">
        <v>10</v>
      </c>
      <c r="B166" s="789">
        <v>2500</v>
      </c>
      <c r="C166" s="1060"/>
      <c r="D166" s="1060"/>
      <c r="E166" s="1060"/>
      <c r="F166" s="790" t="s">
        <v>10</v>
      </c>
      <c r="G166" s="791">
        <v>2500</v>
      </c>
      <c r="H166" s="1060"/>
      <c r="I166" s="1060"/>
      <c r="J166" s="1060"/>
    </row>
    <row r="167" spans="1:10" ht="30" customHeight="1" x14ac:dyDescent="0.5">
      <c r="A167" s="847" t="s">
        <v>253</v>
      </c>
      <c r="B167" s="789">
        <f>15000*0.3/3</f>
        <v>1500</v>
      </c>
      <c r="C167" s="792" t="s">
        <v>22</v>
      </c>
      <c r="D167" s="792" t="s">
        <v>23</v>
      </c>
      <c r="E167" s="792" t="s">
        <v>24</v>
      </c>
      <c r="F167" s="790" t="s">
        <v>253</v>
      </c>
      <c r="G167" s="791">
        <f>15000*0.3/4</f>
        <v>1125</v>
      </c>
      <c r="H167" s="792" t="s">
        <v>22</v>
      </c>
      <c r="I167" s="792" t="s">
        <v>23</v>
      </c>
      <c r="J167" s="792" t="s">
        <v>24</v>
      </c>
    </row>
    <row r="168" spans="1:10" ht="30" customHeight="1" x14ac:dyDescent="0.5">
      <c r="A168" s="847" t="s">
        <v>12</v>
      </c>
      <c r="B168" s="789">
        <v>1000</v>
      </c>
      <c r="C168" s="792">
        <f>C171</f>
        <v>6.4162499999999998</v>
      </c>
      <c r="D168" s="792">
        <f>D171</f>
        <v>7.7437499999999995</v>
      </c>
      <c r="E168" s="792">
        <f>E171</f>
        <v>8.8057499999999997</v>
      </c>
      <c r="F168" s="790" t="s">
        <v>12</v>
      </c>
      <c r="G168" s="791">
        <v>1000</v>
      </c>
      <c r="H168" s="792">
        <f>H173</f>
        <v>5.3378125000000001</v>
      </c>
      <c r="I168" s="792">
        <f>I173</f>
        <v>6.4421875000000002</v>
      </c>
      <c r="J168" s="792">
        <f>J173</f>
        <v>7.3256874999999999</v>
      </c>
    </row>
    <row r="169" spans="1:10" ht="30" customHeight="1" x14ac:dyDescent="0.5">
      <c r="A169" s="847" t="s">
        <v>11</v>
      </c>
      <c r="B169" s="789">
        <v>1000</v>
      </c>
      <c r="C169" s="789"/>
      <c r="D169" s="789"/>
      <c r="E169" s="789"/>
      <c r="F169" s="790" t="s">
        <v>11</v>
      </c>
      <c r="G169" s="791">
        <v>1000</v>
      </c>
      <c r="H169" s="789"/>
      <c r="I169" s="789"/>
      <c r="J169" s="789"/>
    </row>
    <row r="170" spans="1:10" ht="30" customHeight="1" x14ac:dyDescent="0.5">
      <c r="A170" s="847" t="s">
        <v>27</v>
      </c>
      <c r="B170" s="789">
        <v>200</v>
      </c>
      <c r="C170" s="787">
        <v>0.4</v>
      </c>
      <c r="D170" s="787">
        <v>0.55000000000000004</v>
      </c>
      <c r="E170" s="787">
        <v>0.85</v>
      </c>
      <c r="F170" s="790" t="s">
        <v>27</v>
      </c>
      <c r="G170" s="791">
        <v>200</v>
      </c>
      <c r="H170" s="788"/>
      <c r="I170" s="788"/>
      <c r="J170" s="788"/>
    </row>
    <row r="171" spans="1:10" ht="30" customHeight="1" x14ac:dyDescent="0.5">
      <c r="A171" s="847" t="s">
        <v>28</v>
      </c>
      <c r="B171" s="789">
        <v>100</v>
      </c>
      <c r="C171" s="789">
        <f>B175*1.45</f>
        <v>6.4162499999999998</v>
      </c>
      <c r="D171" s="789">
        <f>B175*1.75</f>
        <v>7.7437499999999995</v>
      </c>
      <c r="E171" s="789">
        <f>B175*1.99</f>
        <v>8.8057499999999997</v>
      </c>
      <c r="F171" s="790" t="s">
        <v>28</v>
      </c>
      <c r="G171" s="791">
        <v>100</v>
      </c>
      <c r="H171" s="788"/>
      <c r="I171" s="788"/>
      <c r="J171" s="788"/>
    </row>
    <row r="172" spans="1:10" ht="30" customHeight="1" x14ac:dyDescent="0.5">
      <c r="A172" s="847" t="s">
        <v>106</v>
      </c>
      <c r="B172" s="789">
        <v>750</v>
      </c>
      <c r="C172" s="788"/>
      <c r="D172" s="788"/>
      <c r="E172" s="789"/>
      <c r="F172" s="790" t="s">
        <v>106</v>
      </c>
      <c r="G172" s="791">
        <v>750</v>
      </c>
      <c r="H172" s="787">
        <v>0.4</v>
      </c>
      <c r="I172" s="787">
        <v>0.55000000000000004</v>
      </c>
      <c r="J172" s="787">
        <v>0.85</v>
      </c>
    </row>
    <row r="173" spans="1:10" ht="30" customHeight="1" x14ac:dyDescent="0.5">
      <c r="A173" s="847" t="s">
        <v>16</v>
      </c>
      <c r="B173" s="789">
        <v>350</v>
      </c>
      <c r="C173" s="788"/>
      <c r="D173" s="788"/>
      <c r="E173" s="789"/>
      <c r="F173" s="790" t="s">
        <v>16</v>
      </c>
      <c r="G173" s="791">
        <v>350</v>
      </c>
      <c r="H173" s="789">
        <f>G175*1.45</f>
        <v>5.3378125000000001</v>
      </c>
      <c r="I173" s="789">
        <f>G175*1.75</f>
        <v>6.4421875000000002</v>
      </c>
      <c r="J173" s="789">
        <f>G175*1.99</f>
        <v>7.3256874999999999</v>
      </c>
    </row>
    <row r="174" spans="1:10" ht="30" customHeight="1" x14ac:dyDescent="0.5">
      <c r="A174" s="847" t="s">
        <v>18</v>
      </c>
      <c r="B174" s="789">
        <v>4000</v>
      </c>
      <c r="C174" s="789"/>
      <c r="D174" s="789"/>
      <c r="E174" s="789"/>
      <c r="F174" s="790" t="s">
        <v>18</v>
      </c>
      <c r="G174" s="791">
        <v>4000</v>
      </c>
      <c r="H174" s="789"/>
      <c r="I174" s="789"/>
      <c r="J174" s="789"/>
    </row>
    <row r="175" spans="1:10" ht="30" customHeight="1" x14ac:dyDescent="0.5">
      <c r="A175" s="847"/>
      <c r="B175" s="789">
        <f>SUM(B164:B174)/E3</f>
        <v>4.4249999999999998</v>
      </c>
      <c r="C175" s="789"/>
      <c r="D175" s="789"/>
      <c r="E175" s="789"/>
      <c r="F175" s="790"/>
      <c r="G175" s="793">
        <f>SUM(G164:G174)/E3</f>
        <v>3.6812499999999999</v>
      </c>
      <c r="H175" s="789"/>
      <c r="I175" s="789"/>
      <c r="J175" s="789"/>
    </row>
    <row r="176" spans="1:10" ht="30" customHeight="1" x14ac:dyDescent="0.5">
      <c r="A176" s="847"/>
      <c r="B176" s="788"/>
      <c r="C176" s="788"/>
      <c r="D176" s="788"/>
      <c r="E176" s="788"/>
      <c r="F176" s="790"/>
      <c r="G176" s="794"/>
      <c r="H176" s="788"/>
      <c r="I176" s="788"/>
      <c r="J176" s="788"/>
    </row>
    <row r="177" spans="1:10" x14ac:dyDescent="0.5">
      <c r="A177" s="848" t="s">
        <v>166</v>
      </c>
      <c r="B177" s="1067" t="s">
        <v>148</v>
      </c>
      <c r="C177" s="1067"/>
      <c r="D177" s="1067"/>
      <c r="E177" s="1067"/>
      <c r="F177" s="796" t="s">
        <v>38</v>
      </c>
      <c r="G177" s="799" t="s">
        <v>148</v>
      </c>
      <c r="H177" s="799"/>
      <c r="I177" s="799"/>
      <c r="J177" s="799"/>
    </row>
    <row r="178" spans="1:10" ht="30" customHeight="1" x14ac:dyDescent="0.5">
      <c r="A178" s="849" t="s">
        <v>113</v>
      </c>
      <c r="B178" s="798"/>
      <c r="C178" s="787"/>
      <c r="D178" s="788"/>
      <c r="E178" s="788"/>
      <c r="F178" s="798" t="s">
        <v>113</v>
      </c>
      <c r="G178" s="797"/>
      <c r="H178" s="787"/>
      <c r="I178" s="788"/>
      <c r="J178" s="788"/>
    </row>
    <row r="179" spans="1:10" ht="30" customHeight="1" x14ac:dyDescent="0.5">
      <c r="A179" s="847" t="s">
        <v>9</v>
      </c>
      <c r="B179" s="791">
        <f>0.8*1.8/3*2*E18</f>
        <v>3840.0000000000005</v>
      </c>
      <c r="C179" s="788"/>
      <c r="D179" s="788"/>
      <c r="E179" s="788"/>
      <c r="F179" s="790" t="s">
        <v>9</v>
      </c>
      <c r="G179" s="789">
        <f>0.8*3/3*2*E3</f>
        <v>6400.0000000000009</v>
      </c>
      <c r="H179" s="788"/>
      <c r="I179" s="788"/>
      <c r="J179" s="788"/>
    </row>
    <row r="180" spans="1:10" ht="30" customHeight="1" x14ac:dyDescent="0.5">
      <c r="A180" s="847" t="s">
        <v>1</v>
      </c>
      <c r="B180" s="791">
        <v>700</v>
      </c>
      <c r="C180" s="788"/>
      <c r="D180" s="788"/>
      <c r="E180" s="788"/>
      <c r="F180" s="790" t="s">
        <v>1</v>
      </c>
      <c r="G180" s="789">
        <v>700</v>
      </c>
      <c r="H180" s="788"/>
      <c r="I180" s="788"/>
      <c r="J180" s="788"/>
    </row>
    <row r="181" spans="1:10" ht="30" customHeight="1" x14ac:dyDescent="0.5">
      <c r="A181" s="847" t="s">
        <v>10</v>
      </c>
      <c r="B181" s="791">
        <v>2500</v>
      </c>
      <c r="C181" s="1060"/>
      <c r="D181" s="1060"/>
      <c r="E181" s="1060"/>
      <c r="F181" s="790" t="s">
        <v>10</v>
      </c>
      <c r="G181" s="789">
        <v>2500</v>
      </c>
      <c r="H181" s="1060"/>
      <c r="I181" s="1060"/>
      <c r="J181" s="1060"/>
    </row>
    <row r="182" spans="1:10" ht="30" customHeight="1" x14ac:dyDescent="0.5">
      <c r="A182" s="847" t="s">
        <v>253</v>
      </c>
      <c r="B182" s="791">
        <f>15000*0.3/3</f>
        <v>1500</v>
      </c>
      <c r="C182" s="792" t="s">
        <v>22</v>
      </c>
      <c r="D182" s="792" t="s">
        <v>23</v>
      </c>
      <c r="E182" s="792" t="s">
        <v>24</v>
      </c>
      <c r="F182" s="790" t="s">
        <v>253</v>
      </c>
      <c r="G182" s="789">
        <f>15000*0.3/3</f>
        <v>1500</v>
      </c>
      <c r="H182" s="792" t="s">
        <v>22</v>
      </c>
      <c r="I182" s="792" t="s">
        <v>23</v>
      </c>
      <c r="J182" s="792" t="s">
        <v>24</v>
      </c>
    </row>
    <row r="183" spans="1:10" ht="30" customHeight="1" x14ac:dyDescent="0.5">
      <c r="A183" s="847" t="s">
        <v>12</v>
      </c>
      <c r="B183" s="791">
        <v>1000</v>
      </c>
      <c r="C183" s="792">
        <f>C186</f>
        <v>5.7782499999999999</v>
      </c>
      <c r="D183" s="792">
        <f>D186</f>
        <v>6.9737499999999999</v>
      </c>
      <c r="E183" s="792">
        <f>E186</f>
        <v>7.9301499999999994</v>
      </c>
      <c r="F183" s="790" t="s">
        <v>12</v>
      </c>
      <c r="G183" s="789">
        <v>1000</v>
      </c>
      <c r="H183" s="792">
        <f>H186</f>
        <v>6.7062499999999998</v>
      </c>
      <c r="I183" s="792">
        <f>I186</f>
        <v>8.09375</v>
      </c>
      <c r="J183" s="792">
        <f>J186</f>
        <v>9.2037499999999994</v>
      </c>
    </row>
    <row r="184" spans="1:10" ht="30" customHeight="1" x14ac:dyDescent="0.5">
      <c r="A184" s="847" t="s">
        <v>11</v>
      </c>
      <c r="B184" s="791">
        <v>1000</v>
      </c>
      <c r="C184" s="789"/>
      <c r="D184" s="789"/>
      <c r="E184" s="789"/>
      <c r="F184" s="790" t="s">
        <v>11</v>
      </c>
      <c r="G184" s="789">
        <v>1000</v>
      </c>
      <c r="H184" s="789"/>
      <c r="I184" s="789"/>
      <c r="J184" s="789"/>
    </row>
    <row r="185" spans="1:10" ht="30" customHeight="1" x14ac:dyDescent="0.5">
      <c r="A185" s="847" t="s">
        <v>27</v>
      </c>
      <c r="B185" s="791">
        <v>200</v>
      </c>
      <c r="C185" s="787">
        <v>0.4</v>
      </c>
      <c r="D185" s="787">
        <v>0.55000000000000004</v>
      </c>
      <c r="E185" s="787">
        <v>0.85</v>
      </c>
      <c r="F185" s="790" t="s">
        <v>27</v>
      </c>
      <c r="G185" s="789">
        <v>200</v>
      </c>
      <c r="H185" s="787">
        <v>0.4</v>
      </c>
      <c r="I185" s="787">
        <v>0.55000000000000004</v>
      </c>
      <c r="J185" s="787">
        <v>0.85</v>
      </c>
    </row>
    <row r="186" spans="1:10" ht="30" customHeight="1" x14ac:dyDescent="0.5">
      <c r="A186" s="847" t="s">
        <v>28</v>
      </c>
      <c r="B186" s="791">
        <v>100</v>
      </c>
      <c r="C186" s="789">
        <f>B190*1.45</f>
        <v>5.7782499999999999</v>
      </c>
      <c r="D186" s="789">
        <f>B190*1.75</f>
        <v>6.9737499999999999</v>
      </c>
      <c r="E186" s="789">
        <f>B190*1.99</f>
        <v>7.9301499999999994</v>
      </c>
      <c r="F186" s="790" t="s">
        <v>28</v>
      </c>
      <c r="G186" s="789">
        <v>100</v>
      </c>
      <c r="H186" s="789">
        <f>G190*1.45</f>
        <v>6.7062499999999998</v>
      </c>
      <c r="I186" s="789">
        <f>G190*1.75</f>
        <v>8.09375</v>
      </c>
      <c r="J186" s="789">
        <f>G190*1.99</f>
        <v>9.2037499999999994</v>
      </c>
    </row>
    <row r="187" spans="1:10" ht="30" customHeight="1" x14ac:dyDescent="0.5">
      <c r="A187" s="847" t="s">
        <v>106</v>
      </c>
      <c r="B187" s="791">
        <v>750</v>
      </c>
      <c r="C187" s="788"/>
      <c r="D187" s="788"/>
      <c r="E187" s="788"/>
      <c r="F187" s="790" t="s">
        <v>106</v>
      </c>
      <c r="G187" s="789">
        <v>750</v>
      </c>
      <c r="H187" s="788"/>
      <c r="I187" s="788"/>
      <c r="J187" s="789"/>
    </row>
    <row r="188" spans="1:10" ht="30" customHeight="1" x14ac:dyDescent="0.5">
      <c r="A188" s="847" t="s">
        <v>16</v>
      </c>
      <c r="B188" s="791">
        <v>350</v>
      </c>
      <c r="C188" s="788"/>
      <c r="D188" s="788"/>
      <c r="E188" s="788"/>
      <c r="F188" s="790" t="s">
        <v>16</v>
      </c>
      <c r="G188" s="789">
        <v>350</v>
      </c>
      <c r="H188" s="788"/>
      <c r="I188" s="788"/>
      <c r="J188" s="789"/>
    </row>
    <row r="189" spans="1:10" ht="30" customHeight="1" x14ac:dyDescent="0.5">
      <c r="A189" s="847" t="s">
        <v>18</v>
      </c>
      <c r="B189" s="791">
        <v>4000</v>
      </c>
      <c r="C189" s="789"/>
      <c r="D189" s="789"/>
      <c r="E189" s="789"/>
      <c r="F189" s="790" t="s">
        <v>18</v>
      </c>
      <c r="G189" s="789">
        <v>4000</v>
      </c>
      <c r="H189" s="789"/>
      <c r="I189" s="789"/>
      <c r="J189" s="789"/>
    </row>
    <row r="190" spans="1:10" ht="30" customHeight="1" x14ac:dyDescent="0.5">
      <c r="A190" s="847"/>
      <c r="B190" s="793">
        <f>SUM(B179:B189)/E3</f>
        <v>3.9849999999999999</v>
      </c>
      <c r="C190" s="789"/>
      <c r="D190" s="789"/>
      <c r="E190" s="789"/>
      <c r="F190" s="790"/>
      <c r="G190" s="789">
        <f>SUM(G179:G189)/E3</f>
        <v>4.625</v>
      </c>
      <c r="H190" s="789"/>
      <c r="I190" s="789"/>
      <c r="J190" s="789"/>
    </row>
    <row r="191" spans="1:10" ht="30" customHeight="1" x14ac:dyDescent="0.5">
      <c r="G191" s="800"/>
    </row>
    <row r="192" spans="1:10" ht="30" customHeight="1" x14ac:dyDescent="0.5"/>
    <row r="193" spans="1:10" x14ac:dyDescent="0.5">
      <c r="A193" s="850" t="s">
        <v>166</v>
      </c>
      <c r="B193" s="801" t="s">
        <v>254</v>
      </c>
      <c r="C193" s="802"/>
      <c r="D193" s="802"/>
      <c r="E193" s="802"/>
      <c r="F193" s="1066" t="s">
        <v>166</v>
      </c>
      <c r="G193" s="1066"/>
      <c r="H193" s="1065"/>
      <c r="I193" s="1065"/>
      <c r="J193" s="1065"/>
    </row>
    <row r="194" spans="1:10" ht="30" customHeight="1" x14ac:dyDescent="0.5">
      <c r="A194" s="851" t="s">
        <v>25</v>
      </c>
      <c r="B194" s="803"/>
      <c r="C194" s="802"/>
      <c r="D194" s="804"/>
      <c r="E194" s="802"/>
      <c r="F194" s="1064" t="s">
        <v>116</v>
      </c>
      <c r="G194" s="1064"/>
      <c r="H194" s="804"/>
      <c r="I194" s="802"/>
      <c r="J194" s="802"/>
    </row>
    <row r="195" spans="1:10" ht="30" customHeight="1" x14ac:dyDescent="0.5">
      <c r="A195" s="852" t="s">
        <v>9</v>
      </c>
      <c r="B195" s="805">
        <f>0.7*1.8/3*2*E18</f>
        <v>3360</v>
      </c>
      <c r="C195" s="802"/>
      <c r="D195" s="802"/>
      <c r="E195" s="802"/>
      <c r="F195" s="806" t="s">
        <v>9</v>
      </c>
      <c r="G195" s="805">
        <f>0.5*1.8/3*2*E18</f>
        <v>2400</v>
      </c>
      <c r="H195" s="802"/>
      <c r="I195" s="802"/>
      <c r="J195" s="802"/>
    </row>
    <row r="196" spans="1:10" ht="30" customHeight="1" x14ac:dyDescent="0.5">
      <c r="A196" s="852" t="s">
        <v>1</v>
      </c>
      <c r="B196" s="805">
        <v>700</v>
      </c>
      <c r="C196" s="802"/>
      <c r="D196" s="802"/>
      <c r="E196" s="802"/>
      <c r="F196" s="806" t="s">
        <v>1</v>
      </c>
      <c r="G196" s="805">
        <v>700</v>
      </c>
      <c r="H196" s="1065"/>
      <c r="I196" s="1065"/>
      <c r="J196" s="1065"/>
    </row>
    <row r="197" spans="1:10" ht="30" customHeight="1" x14ac:dyDescent="0.5">
      <c r="A197" s="852" t="s">
        <v>10</v>
      </c>
      <c r="B197" s="805">
        <v>2500</v>
      </c>
      <c r="C197" s="807"/>
      <c r="D197" s="807"/>
      <c r="E197" s="807"/>
      <c r="F197" s="806" t="s">
        <v>10</v>
      </c>
      <c r="G197" s="805">
        <v>2500</v>
      </c>
      <c r="H197" s="808" t="s">
        <v>22</v>
      </c>
      <c r="I197" s="808" t="s">
        <v>23</v>
      </c>
      <c r="J197" s="808" t="s">
        <v>24</v>
      </c>
    </row>
    <row r="198" spans="1:10" ht="30" customHeight="1" x14ac:dyDescent="0.5">
      <c r="A198" s="852" t="s">
        <v>94</v>
      </c>
      <c r="B198" s="805">
        <v>2500</v>
      </c>
      <c r="C198" s="808" t="s">
        <v>22</v>
      </c>
      <c r="D198" s="808" t="s">
        <v>23</v>
      </c>
      <c r="E198" s="808" t="s">
        <v>24</v>
      </c>
      <c r="F198" s="806" t="s">
        <v>94</v>
      </c>
      <c r="G198" s="805">
        <f>15000/6</f>
        <v>2500</v>
      </c>
      <c r="H198" s="808">
        <f>H202</f>
        <v>5.6187499999999995</v>
      </c>
      <c r="I198" s="808">
        <f>I202</f>
        <v>6.78125</v>
      </c>
      <c r="J198" s="808">
        <f>J202</f>
        <v>7.7112499999999997</v>
      </c>
    </row>
    <row r="199" spans="1:10" ht="30" customHeight="1" x14ac:dyDescent="0.5">
      <c r="A199" s="852" t="s">
        <v>12</v>
      </c>
      <c r="B199" s="805">
        <v>1000</v>
      </c>
      <c r="C199" s="808">
        <f>C203</f>
        <v>5.9667500000000002</v>
      </c>
      <c r="D199" s="808">
        <f>D203</f>
        <v>7.2012499999999999</v>
      </c>
      <c r="E199" s="808">
        <f>E203</f>
        <v>8.1888500000000004</v>
      </c>
      <c r="F199" s="806" t="s">
        <v>12</v>
      </c>
      <c r="G199" s="805">
        <v>1000</v>
      </c>
      <c r="H199" s="809"/>
      <c r="I199" s="809"/>
      <c r="J199" s="809"/>
    </row>
    <row r="200" spans="1:10" ht="30" customHeight="1" x14ac:dyDescent="0.5">
      <c r="A200" s="852" t="s">
        <v>11</v>
      </c>
      <c r="B200" s="805">
        <v>1000</v>
      </c>
      <c r="C200" s="809"/>
      <c r="D200" s="809"/>
      <c r="E200" s="809"/>
      <c r="F200" s="806" t="s">
        <v>11</v>
      </c>
      <c r="G200" s="805">
        <v>1000</v>
      </c>
      <c r="H200" s="802"/>
      <c r="I200" s="802"/>
      <c r="J200" s="802"/>
    </row>
    <row r="201" spans="1:10" ht="30" customHeight="1" x14ac:dyDescent="0.5">
      <c r="A201" s="852" t="s">
        <v>27</v>
      </c>
      <c r="B201" s="805">
        <v>200</v>
      </c>
      <c r="C201" s="802"/>
      <c r="D201" s="802"/>
      <c r="E201" s="802"/>
      <c r="F201" s="806" t="s">
        <v>27</v>
      </c>
      <c r="G201" s="805">
        <v>200</v>
      </c>
      <c r="H201" s="804">
        <v>0.4</v>
      </c>
      <c r="I201" s="804">
        <v>0.55000000000000004</v>
      </c>
      <c r="J201" s="804">
        <v>0.85</v>
      </c>
    </row>
    <row r="202" spans="1:10" ht="30" customHeight="1" x14ac:dyDescent="0.5">
      <c r="A202" s="852" t="s">
        <v>28</v>
      </c>
      <c r="B202" s="805">
        <v>100</v>
      </c>
      <c r="C202" s="804">
        <v>0.4</v>
      </c>
      <c r="D202" s="804">
        <v>0.55000000000000004</v>
      </c>
      <c r="E202" s="804">
        <v>0.85</v>
      </c>
      <c r="F202" s="806" t="s">
        <v>28</v>
      </c>
      <c r="G202" s="805">
        <v>100</v>
      </c>
      <c r="H202" s="809">
        <f>G206*1.45</f>
        <v>5.6187499999999995</v>
      </c>
      <c r="I202" s="809">
        <f>G206*1.75</f>
        <v>6.78125</v>
      </c>
      <c r="J202" s="809">
        <f>G206*1.99</f>
        <v>7.7112499999999997</v>
      </c>
    </row>
    <row r="203" spans="1:10" ht="30" customHeight="1" x14ac:dyDescent="0.5">
      <c r="A203" s="852" t="s">
        <v>106</v>
      </c>
      <c r="B203" s="805">
        <v>750</v>
      </c>
      <c r="C203" s="809">
        <f>B206*1.45</f>
        <v>5.9667500000000002</v>
      </c>
      <c r="D203" s="809">
        <f>B206*1.75</f>
        <v>7.2012499999999999</v>
      </c>
      <c r="E203" s="809">
        <f>B206*1.99</f>
        <v>8.1888500000000004</v>
      </c>
      <c r="F203" s="806" t="s">
        <v>106</v>
      </c>
      <c r="G203" s="805">
        <v>750</v>
      </c>
      <c r="H203" s="802"/>
      <c r="I203" s="802"/>
      <c r="J203" s="802"/>
    </row>
    <row r="204" spans="1:10" ht="30" customHeight="1" x14ac:dyDescent="0.5">
      <c r="A204" s="852" t="s">
        <v>16</v>
      </c>
      <c r="B204" s="805">
        <v>350</v>
      </c>
      <c r="C204" s="802"/>
      <c r="D204" s="802"/>
      <c r="E204" s="802"/>
      <c r="F204" s="806" t="s">
        <v>16</v>
      </c>
      <c r="G204" s="805">
        <v>350</v>
      </c>
      <c r="H204" s="809"/>
      <c r="I204" s="809"/>
      <c r="J204" s="809"/>
    </row>
    <row r="205" spans="1:10" ht="30" customHeight="1" x14ac:dyDescent="0.5">
      <c r="A205" s="852" t="s">
        <v>18</v>
      </c>
      <c r="B205" s="805">
        <v>4000</v>
      </c>
      <c r="C205" s="809"/>
      <c r="D205" s="809"/>
      <c r="E205" s="809"/>
      <c r="F205" s="806" t="s">
        <v>18</v>
      </c>
      <c r="G205" s="805">
        <v>4000</v>
      </c>
      <c r="H205" s="809"/>
      <c r="I205" s="809"/>
      <c r="J205" s="809"/>
    </row>
    <row r="206" spans="1:10" ht="30" customHeight="1" x14ac:dyDescent="0.5">
      <c r="A206" s="852"/>
      <c r="B206" s="810">
        <f>SUM(B195:B205)/E3</f>
        <v>4.1150000000000002</v>
      </c>
      <c r="C206" s="809"/>
      <c r="D206" s="809"/>
      <c r="E206" s="809"/>
      <c r="F206" s="806"/>
      <c r="G206" s="810">
        <f>SUM(G195:G205)/E3</f>
        <v>3.875</v>
      </c>
      <c r="H206" s="802"/>
      <c r="I206" s="802"/>
      <c r="J206" s="802"/>
    </row>
    <row r="207" spans="1:10" ht="30" customHeight="1" x14ac:dyDescent="0.5">
      <c r="A207" s="852"/>
      <c r="B207" s="802"/>
      <c r="C207" s="802"/>
      <c r="D207" s="802"/>
      <c r="E207" s="802"/>
      <c r="F207" s="806"/>
      <c r="G207" s="811"/>
      <c r="H207" s="802"/>
      <c r="I207" s="802"/>
      <c r="J207" s="802"/>
    </row>
    <row r="208" spans="1:10" x14ac:dyDescent="0.5">
      <c r="A208" s="850" t="s">
        <v>38</v>
      </c>
      <c r="B208" s="801" t="s">
        <v>254</v>
      </c>
      <c r="C208" s="801"/>
      <c r="D208" s="801"/>
      <c r="E208" s="801"/>
      <c r="F208" s="1066" t="s">
        <v>38</v>
      </c>
      <c r="G208" s="1066"/>
      <c r="H208" s="1065"/>
      <c r="I208" s="1065"/>
      <c r="J208" s="1065"/>
    </row>
    <row r="209" spans="1:10" ht="52.5" customHeight="1" x14ac:dyDescent="0.5">
      <c r="A209" s="851" t="s">
        <v>25</v>
      </c>
      <c r="B209" s="812" t="s">
        <v>38</v>
      </c>
      <c r="C209" s="804" t="s">
        <v>25</v>
      </c>
      <c r="D209" s="802"/>
      <c r="E209" s="802"/>
      <c r="F209" s="1064" t="s">
        <v>116</v>
      </c>
      <c r="G209" s="1064"/>
      <c r="H209" s="804"/>
      <c r="I209" s="802"/>
      <c r="J209" s="802"/>
    </row>
    <row r="210" spans="1:10" ht="30" customHeight="1" x14ac:dyDescent="0.5">
      <c r="A210" s="852" t="s">
        <v>9</v>
      </c>
      <c r="B210" s="809">
        <f>0.7*3/3*2*E3</f>
        <v>5599.9999999999991</v>
      </c>
      <c r="C210" s="802"/>
      <c r="D210" s="802"/>
      <c r="E210" s="802"/>
      <c r="F210" s="806" t="s">
        <v>9</v>
      </c>
      <c r="G210" s="809">
        <f>0.5*3/4*2*E3</f>
        <v>3000</v>
      </c>
      <c r="H210" s="802"/>
      <c r="I210" s="802"/>
      <c r="J210" s="802"/>
    </row>
    <row r="211" spans="1:10" ht="30" customHeight="1" x14ac:dyDescent="0.5">
      <c r="A211" s="852" t="s">
        <v>1</v>
      </c>
      <c r="B211" s="809">
        <v>700</v>
      </c>
      <c r="C211" s="802"/>
      <c r="D211" s="802"/>
      <c r="E211" s="802"/>
      <c r="F211" s="806" t="s">
        <v>1</v>
      </c>
      <c r="G211" s="809">
        <v>700</v>
      </c>
      <c r="H211" s="1065"/>
      <c r="I211" s="1065"/>
      <c r="J211" s="1065"/>
    </row>
    <row r="212" spans="1:10" ht="30" customHeight="1" x14ac:dyDescent="0.5">
      <c r="A212" s="852" t="s">
        <v>10</v>
      </c>
      <c r="B212" s="809">
        <v>2500</v>
      </c>
      <c r="C212" s="1065"/>
      <c r="D212" s="1065"/>
      <c r="E212" s="1065"/>
      <c r="F212" s="806" t="s">
        <v>10</v>
      </c>
      <c r="G212" s="809">
        <v>2500</v>
      </c>
      <c r="H212" s="808" t="s">
        <v>22</v>
      </c>
      <c r="I212" s="808" t="s">
        <v>23</v>
      </c>
      <c r="J212" s="808" t="s">
        <v>24</v>
      </c>
    </row>
    <row r="213" spans="1:10" ht="30" customHeight="1" x14ac:dyDescent="0.5">
      <c r="A213" s="852" t="s">
        <v>94</v>
      </c>
      <c r="B213" s="809">
        <v>3750</v>
      </c>
      <c r="C213" s="808" t="s">
        <v>22</v>
      </c>
      <c r="D213" s="808" t="s">
        <v>23</v>
      </c>
      <c r="E213" s="808" t="s">
        <v>24</v>
      </c>
      <c r="F213" s="806" t="s">
        <v>94</v>
      </c>
      <c r="G213" s="809">
        <f>15000/4</f>
        <v>3750</v>
      </c>
      <c r="H213" s="808">
        <f>H216</f>
        <v>6.2893750000000006</v>
      </c>
      <c r="I213" s="808">
        <f>I216</f>
        <v>7.5906250000000011</v>
      </c>
      <c r="J213" s="808">
        <f>J216</f>
        <v>8.6316250000000014</v>
      </c>
    </row>
    <row r="214" spans="1:10" ht="30" customHeight="1" x14ac:dyDescent="0.5">
      <c r="A214" s="852" t="s">
        <v>12</v>
      </c>
      <c r="B214" s="809">
        <v>1000</v>
      </c>
      <c r="C214" s="808">
        <f>C218</f>
        <v>7.2318749999999996</v>
      </c>
      <c r="D214" s="808">
        <f>D218</f>
        <v>8.7281250000000004</v>
      </c>
      <c r="E214" s="808">
        <f>E218</f>
        <v>9.9251249999999995</v>
      </c>
      <c r="F214" s="806" t="s">
        <v>12</v>
      </c>
      <c r="G214" s="809">
        <v>1000</v>
      </c>
      <c r="H214" s="809"/>
      <c r="I214" s="809"/>
      <c r="J214" s="809"/>
    </row>
    <row r="215" spans="1:10" ht="30" customHeight="1" x14ac:dyDescent="0.5">
      <c r="A215" s="852" t="s">
        <v>11</v>
      </c>
      <c r="B215" s="809">
        <v>1000</v>
      </c>
      <c r="C215" s="809"/>
      <c r="D215" s="809"/>
      <c r="E215" s="809"/>
      <c r="F215" s="806" t="s">
        <v>11</v>
      </c>
      <c r="G215" s="809">
        <v>1000</v>
      </c>
      <c r="H215" s="804">
        <v>0.4</v>
      </c>
      <c r="I215" s="804">
        <v>0.55000000000000004</v>
      </c>
      <c r="J215" s="804">
        <v>0.85</v>
      </c>
    </row>
    <row r="216" spans="1:10" ht="30" customHeight="1" x14ac:dyDescent="0.5">
      <c r="A216" s="852" t="s">
        <v>27</v>
      </c>
      <c r="B216" s="809">
        <v>200</v>
      </c>
      <c r="C216" s="802"/>
      <c r="D216" s="802"/>
      <c r="E216" s="802"/>
      <c r="F216" s="806" t="s">
        <v>27</v>
      </c>
      <c r="G216" s="809">
        <v>200</v>
      </c>
      <c r="H216" s="809">
        <f>G221*1.45</f>
        <v>6.2893750000000006</v>
      </c>
      <c r="I216" s="809">
        <f>G221*1.75</f>
        <v>7.5906250000000011</v>
      </c>
      <c r="J216" s="809">
        <f>G221*1.99</f>
        <v>8.6316250000000014</v>
      </c>
    </row>
    <row r="217" spans="1:10" ht="30" customHeight="1" x14ac:dyDescent="0.5">
      <c r="A217" s="852" t="s">
        <v>28</v>
      </c>
      <c r="B217" s="809">
        <v>100</v>
      </c>
      <c r="C217" s="804">
        <v>0.4</v>
      </c>
      <c r="D217" s="804">
        <v>0.55000000000000004</v>
      </c>
      <c r="E217" s="804">
        <v>0.85</v>
      </c>
      <c r="F217" s="806" t="s">
        <v>28</v>
      </c>
      <c r="G217" s="809">
        <v>100</v>
      </c>
      <c r="H217" s="802"/>
      <c r="I217" s="802"/>
      <c r="J217" s="809"/>
    </row>
    <row r="218" spans="1:10" ht="30" customHeight="1" x14ac:dyDescent="0.5">
      <c r="A218" s="852" t="s">
        <v>106</v>
      </c>
      <c r="B218" s="809">
        <v>750</v>
      </c>
      <c r="C218" s="809">
        <f>B221*1.45</f>
        <v>7.2318749999999996</v>
      </c>
      <c r="D218" s="809">
        <f>B221*1.75</f>
        <v>8.7281250000000004</v>
      </c>
      <c r="E218" s="809">
        <f>B221*1.99</f>
        <v>9.9251249999999995</v>
      </c>
      <c r="F218" s="806" t="s">
        <v>106</v>
      </c>
      <c r="G218" s="809">
        <v>750</v>
      </c>
      <c r="H218" s="802"/>
      <c r="I218" s="802"/>
      <c r="J218" s="809"/>
    </row>
    <row r="219" spans="1:10" ht="30" customHeight="1" x14ac:dyDescent="0.5">
      <c r="A219" s="852" t="s">
        <v>16</v>
      </c>
      <c r="B219" s="809">
        <v>350</v>
      </c>
      <c r="C219" s="802"/>
      <c r="D219" s="802"/>
      <c r="E219" s="809"/>
      <c r="F219" s="806" t="s">
        <v>16</v>
      </c>
      <c r="G219" s="809">
        <v>350</v>
      </c>
      <c r="H219" s="809"/>
      <c r="I219" s="809"/>
      <c r="J219" s="809"/>
    </row>
    <row r="220" spans="1:10" ht="30" customHeight="1" x14ac:dyDescent="0.5">
      <c r="A220" s="852" t="s">
        <v>18</v>
      </c>
      <c r="B220" s="809">
        <v>4000</v>
      </c>
      <c r="C220" s="809"/>
      <c r="D220" s="809"/>
      <c r="E220" s="809"/>
      <c r="F220" s="806" t="s">
        <v>18</v>
      </c>
      <c r="G220" s="809">
        <v>4000</v>
      </c>
      <c r="H220" s="809"/>
      <c r="I220" s="809"/>
      <c r="J220" s="809"/>
    </row>
    <row r="221" spans="1:10" ht="30" customHeight="1" x14ac:dyDescent="0.5">
      <c r="A221" s="852"/>
      <c r="B221" s="809">
        <f>SUM(B210:B220)/E3</f>
        <v>4.9874999999999998</v>
      </c>
      <c r="C221" s="809"/>
      <c r="D221" s="809"/>
      <c r="E221" s="809"/>
      <c r="F221" s="806"/>
      <c r="G221" s="809">
        <f>SUM(G210:G220)/E3</f>
        <v>4.3375000000000004</v>
      </c>
      <c r="H221" s="802"/>
      <c r="I221" s="802"/>
      <c r="J221" s="802"/>
    </row>
    <row r="222" spans="1:10" ht="30" customHeight="1" x14ac:dyDescent="0.5">
      <c r="A222" s="852"/>
      <c r="B222" s="802"/>
      <c r="C222" s="802"/>
      <c r="D222" s="802"/>
      <c r="E222" s="802"/>
      <c r="F222" s="806"/>
      <c r="G222" s="811"/>
      <c r="H222" s="802"/>
      <c r="I222" s="802"/>
      <c r="J222" s="802"/>
    </row>
    <row r="223" spans="1:10" x14ac:dyDescent="0.5">
      <c r="A223" s="850" t="s">
        <v>38</v>
      </c>
      <c r="B223" s="1072" t="s">
        <v>254</v>
      </c>
      <c r="C223" s="1072"/>
      <c r="D223" s="1072"/>
      <c r="E223" s="1072"/>
      <c r="F223" s="812" t="s">
        <v>166</v>
      </c>
      <c r="G223" s="1072" t="s">
        <v>254</v>
      </c>
      <c r="H223" s="1072"/>
      <c r="I223" s="1072"/>
      <c r="J223" s="1072"/>
    </row>
    <row r="224" spans="1:10" ht="30" customHeight="1" x14ac:dyDescent="0.5">
      <c r="A224" s="851" t="s">
        <v>113</v>
      </c>
      <c r="B224" s="813"/>
      <c r="C224" s="804"/>
      <c r="D224" s="802"/>
      <c r="E224" s="802"/>
      <c r="F224" s="803" t="s">
        <v>113</v>
      </c>
      <c r="G224" s="803"/>
      <c r="H224" s="804"/>
      <c r="I224" s="802"/>
      <c r="J224" s="802"/>
    </row>
    <row r="225" spans="1:10" ht="30" customHeight="1" x14ac:dyDescent="0.5">
      <c r="A225" s="852" t="s">
        <v>9</v>
      </c>
      <c r="B225" s="809">
        <f>0.8*3/3*2*E3</f>
        <v>6400.0000000000009</v>
      </c>
      <c r="C225" s="802"/>
      <c r="D225" s="802"/>
      <c r="E225" s="802"/>
      <c r="F225" s="806" t="s">
        <v>9</v>
      </c>
      <c r="G225" s="805">
        <f>0.8*1.8/3*2*E3</f>
        <v>3840.0000000000005</v>
      </c>
      <c r="H225" s="802"/>
      <c r="I225" s="802"/>
      <c r="J225" s="802"/>
    </row>
    <row r="226" spans="1:10" ht="30" customHeight="1" x14ac:dyDescent="0.5">
      <c r="A226" s="852" t="s">
        <v>1</v>
      </c>
      <c r="B226" s="809">
        <v>700</v>
      </c>
      <c r="C226" s="802"/>
      <c r="D226" s="802"/>
      <c r="E226" s="802"/>
      <c r="F226" s="806" t="s">
        <v>1</v>
      </c>
      <c r="G226" s="805">
        <v>700</v>
      </c>
      <c r="H226" s="802"/>
      <c r="I226" s="802"/>
      <c r="J226" s="802"/>
    </row>
    <row r="227" spans="1:10" ht="30" customHeight="1" x14ac:dyDescent="0.5">
      <c r="A227" s="852" t="s">
        <v>10</v>
      </c>
      <c r="B227" s="809">
        <v>2500</v>
      </c>
      <c r="C227" s="1065"/>
      <c r="D227" s="1065"/>
      <c r="E227" s="1065"/>
      <c r="F227" s="806" t="s">
        <v>10</v>
      </c>
      <c r="G227" s="805">
        <v>2500</v>
      </c>
      <c r="H227" s="1065"/>
      <c r="I227" s="1065"/>
      <c r="J227" s="1065"/>
    </row>
    <row r="228" spans="1:10" ht="30" customHeight="1" x14ac:dyDescent="0.5">
      <c r="A228" s="852" t="s">
        <v>94</v>
      </c>
      <c r="B228" s="809">
        <f>15000/4</f>
        <v>3750</v>
      </c>
      <c r="C228" s="808" t="s">
        <v>22</v>
      </c>
      <c r="D228" s="808" t="s">
        <v>23</v>
      </c>
      <c r="E228" s="808" t="s">
        <v>24</v>
      </c>
      <c r="F228" s="806" t="s">
        <v>94</v>
      </c>
      <c r="G228" s="805">
        <f>15000/4</f>
        <v>3750</v>
      </c>
      <c r="H228" s="808" t="s">
        <v>22</v>
      </c>
      <c r="I228" s="808" t="s">
        <v>23</v>
      </c>
      <c r="J228" s="808" t="s">
        <v>24</v>
      </c>
    </row>
    <row r="229" spans="1:10" ht="30" customHeight="1" x14ac:dyDescent="0.5">
      <c r="A229" s="852" t="s">
        <v>12</v>
      </c>
      <c r="B229" s="809">
        <v>1000</v>
      </c>
      <c r="C229" s="808">
        <f>C233</f>
        <v>7.8843749999999995</v>
      </c>
      <c r="D229" s="808">
        <f>D233</f>
        <v>9.515625</v>
      </c>
      <c r="E229" s="808">
        <f>E233</f>
        <v>10.820625</v>
      </c>
      <c r="F229" s="806" t="s">
        <v>12</v>
      </c>
      <c r="G229" s="805">
        <v>1000</v>
      </c>
      <c r="H229" s="808">
        <f>H234</f>
        <v>6.5938750000000006</v>
      </c>
      <c r="I229" s="808">
        <f>I234</f>
        <v>7.9581250000000008</v>
      </c>
      <c r="J229" s="808">
        <f>J234</f>
        <v>9.0495250000000009</v>
      </c>
    </row>
    <row r="230" spans="1:10" ht="30" customHeight="1" x14ac:dyDescent="0.5">
      <c r="A230" s="852" t="s">
        <v>11</v>
      </c>
      <c r="B230" s="809">
        <v>2000</v>
      </c>
      <c r="C230" s="809"/>
      <c r="D230" s="809"/>
      <c r="E230" s="809"/>
      <c r="F230" s="806" t="s">
        <v>11</v>
      </c>
      <c r="G230" s="805">
        <v>1000</v>
      </c>
      <c r="H230" s="809"/>
      <c r="I230" s="809"/>
      <c r="J230" s="809"/>
    </row>
    <row r="231" spans="1:10" ht="30" customHeight="1" x14ac:dyDescent="0.5">
      <c r="A231" s="852" t="s">
        <v>27</v>
      </c>
      <c r="B231" s="809">
        <v>200</v>
      </c>
      <c r="C231" s="802"/>
      <c r="D231" s="802"/>
      <c r="E231" s="802"/>
      <c r="F231" s="806" t="s">
        <v>27</v>
      </c>
      <c r="G231" s="805">
        <v>200</v>
      </c>
      <c r="H231" s="802"/>
      <c r="I231" s="802"/>
      <c r="J231" s="802"/>
    </row>
    <row r="232" spans="1:10" ht="30" customHeight="1" x14ac:dyDescent="0.5">
      <c r="A232" s="852" t="s">
        <v>28</v>
      </c>
      <c r="B232" s="809">
        <v>100</v>
      </c>
      <c r="C232" s="804">
        <v>0.4</v>
      </c>
      <c r="D232" s="804">
        <v>0.55000000000000004</v>
      </c>
      <c r="E232" s="804">
        <v>0.85</v>
      </c>
      <c r="F232" s="806" t="s">
        <v>28</v>
      </c>
      <c r="G232" s="805">
        <v>100</v>
      </c>
      <c r="H232" s="802"/>
      <c r="I232" s="802"/>
      <c r="J232" s="802"/>
    </row>
    <row r="233" spans="1:10" ht="30" customHeight="1" x14ac:dyDescent="0.5">
      <c r="A233" s="852" t="s">
        <v>106</v>
      </c>
      <c r="B233" s="809">
        <v>750</v>
      </c>
      <c r="C233" s="809">
        <f>B236*1.45</f>
        <v>7.8843749999999995</v>
      </c>
      <c r="D233" s="809">
        <f>B236*1.75</f>
        <v>9.515625</v>
      </c>
      <c r="E233" s="809">
        <f>B236*1.99</f>
        <v>10.820625</v>
      </c>
      <c r="F233" s="806" t="s">
        <v>106</v>
      </c>
      <c r="G233" s="805">
        <v>750</v>
      </c>
      <c r="H233" s="804">
        <v>0.4</v>
      </c>
      <c r="I233" s="804">
        <v>0.55000000000000004</v>
      </c>
      <c r="J233" s="804">
        <v>0.85</v>
      </c>
    </row>
    <row r="234" spans="1:10" ht="30" customHeight="1" x14ac:dyDescent="0.5">
      <c r="A234" s="852" t="s">
        <v>16</v>
      </c>
      <c r="B234" s="809">
        <v>350</v>
      </c>
      <c r="C234" s="802"/>
      <c r="D234" s="802"/>
      <c r="E234" s="809"/>
      <c r="F234" s="806" t="s">
        <v>16</v>
      </c>
      <c r="G234" s="805">
        <v>350</v>
      </c>
      <c r="H234" s="809">
        <f>G236*1.45</f>
        <v>6.5938750000000006</v>
      </c>
      <c r="I234" s="809">
        <f>G236*1.75</f>
        <v>7.9581250000000008</v>
      </c>
      <c r="J234" s="809">
        <f>G236*1.99</f>
        <v>9.0495250000000009</v>
      </c>
    </row>
    <row r="235" spans="1:10" ht="30" customHeight="1" x14ac:dyDescent="0.5">
      <c r="A235" s="852" t="s">
        <v>18</v>
      </c>
      <c r="B235" s="809">
        <v>4000</v>
      </c>
      <c r="C235" s="809"/>
      <c r="D235" s="809"/>
      <c r="E235" s="809"/>
      <c r="F235" s="806" t="s">
        <v>18</v>
      </c>
      <c r="G235" s="805">
        <v>4000</v>
      </c>
      <c r="H235" s="809"/>
      <c r="I235" s="809"/>
      <c r="J235" s="809"/>
    </row>
    <row r="236" spans="1:10" ht="30" customHeight="1" x14ac:dyDescent="0.5">
      <c r="A236" s="852"/>
      <c r="B236" s="809">
        <f>SUM(B225:B235)/E3</f>
        <v>5.4375</v>
      </c>
      <c r="C236" s="809"/>
      <c r="D236" s="809"/>
      <c r="E236" s="809"/>
      <c r="F236" s="806"/>
      <c r="G236" s="810">
        <f>SUM(G225:G235)/E3</f>
        <v>4.5475000000000003</v>
      </c>
      <c r="H236" s="809"/>
      <c r="I236" s="809"/>
      <c r="J236" s="809"/>
    </row>
    <row r="237" spans="1:10" ht="30" customHeight="1" x14ac:dyDescent="0.5"/>
    <row r="238" spans="1:10" ht="30" customHeight="1" x14ac:dyDescent="0.5">
      <c r="C238" s="764"/>
      <c r="D238" s="764"/>
      <c r="E238" s="764"/>
    </row>
    <row r="239" spans="1:10" ht="30" customHeight="1" x14ac:dyDescent="0.5"/>
    <row r="240" spans="1:10" ht="31.5" x14ac:dyDescent="0.5">
      <c r="A240" s="1068" t="s">
        <v>38</v>
      </c>
      <c r="B240" s="1068"/>
      <c r="C240" s="1069"/>
      <c r="D240" s="1069"/>
      <c r="E240" s="1069"/>
      <c r="F240" s="1070" t="s">
        <v>166</v>
      </c>
      <c r="G240" s="1070"/>
      <c r="H240" s="1069"/>
      <c r="I240" s="1069"/>
      <c r="J240" s="1069"/>
    </row>
    <row r="241" spans="1:10" ht="30" customHeight="1" x14ac:dyDescent="0.5">
      <c r="A241" s="863" t="s">
        <v>116</v>
      </c>
      <c r="B241" s="863"/>
      <c r="C241" s="814"/>
      <c r="D241" s="815"/>
      <c r="E241" s="815"/>
      <c r="F241" s="1071" t="s">
        <v>116</v>
      </c>
      <c r="G241" s="1071"/>
      <c r="H241" s="814"/>
      <c r="I241" s="815"/>
      <c r="J241" s="815"/>
    </row>
    <row r="242" spans="1:10" ht="30" customHeight="1" x14ac:dyDescent="0.5">
      <c r="A242" s="853" t="s">
        <v>9</v>
      </c>
      <c r="B242" s="816">
        <f>0.5*3/4*2*E3</f>
        <v>3000</v>
      </c>
      <c r="C242" s="815"/>
      <c r="D242" s="815"/>
      <c r="E242" s="815"/>
      <c r="F242" s="817" t="s">
        <v>9</v>
      </c>
      <c r="G242" s="818">
        <f>0.5*1.8/4*2*E3</f>
        <v>1800</v>
      </c>
      <c r="H242" s="815"/>
      <c r="I242" s="815"/>
      <c r="J242" s="815"/>
    </row>
    <row r="243" spans="1:10" ht="30" customHeight="1" x14ac:dyDescent="0.5">
      <c r="A243" s="853" t="s">
        <v>1</v>
      </c>
      <c r="B243" s="816">
        <v>700</v>
      </c>
      <c r="C243" s="1069"/>
      <c r="D243" s="1069"/>
      <c r="E243" s="1069"/>
      <c r="F243" s="817" t="s">
        <v>1</v>
      </c>
      <c r="G243" s="818">
        <v>700</v>
      </c>
      <c r="H243" s="1069"/>
      <c r="I243" s="1069"/>
      <c r="J243" s="1069"/>
    </row>
    <row r="244" spans="1:10" ht="30" customHeight="1" x14ac:dyDescent="0.5">
      <c r="A244" s="853" t="s">
        <v>10</v>
      </c>
      <c r="B244" s="816">
        <v>2500</v>
      </c>
      <c r="C244" s="819" t="s">
        <v>22</v>
      </c>
      <c r="D244" s="819" t="s">
        <v>23</v>
      </c>
      <c r="E244" s="819" t="s">
        <v>24</v>
      </c>
      <c r="F244" s="817" t="s">
        <v>10</v>
      </c>
      <c r="G244" s="818">
        <v>2500</v>
      </c>
      <c r="H244" s="819" t="s">
        <v>22</v>
      </c>
      <c r="I244" s="819" t="s">
        <v>23</v>
      </c>
      <c r="J244" s="819" t="s">
        <v>24</v>
      </c>
    </row>
    <row r="245" spans="1:10" ht="30" customHeight="1" x14ac:dyDescent="0.5">
      <c r="A245" s="853" t="s">
        <v>94</v>
      </c>
      <c r="B245" s="816">
        <f>15000/1.7</f>
        <v>8823.5294117647063</v>
      </c>
      <c r="C245" s="819">
        <f>C248</f>
        <v>8.4910294117647069</v>
      </c>
      <c r="D245" s="819">
        <f>D248</f>
        <v>10.247794117647059</v>
      </c>
      <c r="E245" s="819">
        <f>E248</f>
        <v>11.653205882352943</v>
      </c>
      <c r="F245" s="817" t="s">
        <v>94</v>
      </c>
      <c r="G245" s="818">
        <f>13000/2</f>
        <v>6500</v>
      </c>
      <c r="H245" s="819">
        <f>H250</f>
        <v>7.123124999999999</v>
      </c>
      <c r="I245" s="819">
        <f>I250</f>
        <v>8.5968749999999989</v>
      </c>
      <c r="J245" s="819">
        <f>J250</f>
        <v>9.7758749999999992</v>
      </c>
    </row>
    <row r="246" spans="1:10" ht="30" customHeight="1" x14ac:dyDescent="0.5">
      <c r="A246" s="853" t="s">
        <v>12</v>
      </c>
      <c r="B246" s="816">
        <v>2000</v>
      </c>
      <c r="C246" s="816"/>
      <c r="D246" s="816"/>
      <c r="E246" s="816"/>
      <c r="F246" s="817" t="s">
        <v>12</v>
      </c>
      <c r="G246" s="818">
        <v>2000</v>
      </c>
      <c r="H246" s="816"/>
      <c r="I246" s="816"/>
      <c r="J246" s="816"/>
    </row>
    <row r="247" spans="1:10" ht="30" customHeight="1" x14ac:dyDescent="0.5">
      <c r="A247" s="853" t="s">
        <v>11</v>
      </c>
      <c r="B247" s="816">
        <v>1000</v>
      </c>
      <c r="C247" s="814">
        <v>0.4</v>
      </c>
      <c r="D247" s="814">
        <v>0.55000000000000004</v>
      </c>
      <c r="E247" s="814">
        <v>0.85</v>
      </c>
      <c r="F247" s="817" t="s">
        <v>11</v>
      </c>
      <c r="G247" s="818">
        <v>1000</v>
      </c>
      <c r="H247" s="815"/>
      <c r="I247" s="815"/>
      <c r="J247" s="815"/>
    </row>
    <row r="248" spans="1:10" ht="30" customHeight="1" x14ac:dyDescent="0.5">
      <c r="A248" s="853" t="s">
        <v>27</v>
      </c>
      <c r="B248" s="816">
        <v>200</v>
      </c>
      <c r="C248" s="816">
        <f>B253*1.45</f>
        <v>8.4910294117647069</v>
      </c>
      <c r="D248" s="816">
        <f>B253*1.75</f>
        <v>10.247794117647059</v>
      </c>
      <c r="E248" s="816">
        <f>B253*1.99</f>
        <v>11.653205882352943</v>
      </c>
      <c r="F248" s="817" t="s">
        <v>27</v>
      </c>
      <c r="G248" s="818">
        <v>200</v>
      </c>
      <c r="H248" s="815"/>
      <c r="I248" s="815"/>
      <c r="J248" s="815"/>
    </row>
    <row r="249" spans="1:10" ht="30" customHeight="1" x14ac:dyDescent="0.5">
      <c r="A249" s="853" t="s">
        <v>28</v>
      </c>
      <c r="B249" s="816">
        <v>100</v>
      </c>
      <c r="C249" s="815"/>
      <c r="D249" s="815"/>
      <c r="E249" s="816"/>
      <c r="F249" s="817" t="s">
        <v>28</v>
      </c>
      <c r="G249" s="818">
        <v>100</v>
      </c>
      <c r="H249" s="814">
        <v>0.4</v>
      </c>
      <c r="I249" s="814">
        <v>0.55000000000000004</v>
      </c>
      <c r="J249" s="814">
        <v>0.85</v>
      </c>
    </row>
    <row r="250" spans="1:10" ht="30" customHeight="1" x14ac:dyDescent="0.5">
      <c r="A250" s="853" t="s">
        <v>106</v>
      </c>
      <c r="B250" s="816">
        <v>750</v>
      </c>
      <c r="C250" s="815"/>
      <c r="D250" s="815"/>
      <c r="E250" s="816"/>
      <c r="F250" s="817" t="s">
        <v>106</v>
      </c>
      <c r="G250" s="818">
        <v>500</v>
      </c>
      <c r="H250" s="816">
        <f>G253*1.45</f>
        <v>7.123124999999999</v>
      </c>
      <c r="I250" s="816">
        <f>G253*1.75</f>
        <v>8.5968749999999989</v>
      </c>
      <c r="J250" s="816">
        <f>G253*1.99</f>
        <v>9.7758749999999992</v>
      </c>
    </row>
    <row r="251" spans="1:10" ht="30" customHeight="1" x14ac:dyDescent="0.5">
      <c r="A251" s="853" t="s">
        <v>16</v>
      </c>
      <c r="B251" s="816">
        <v>350</v>
      </c>
      <c r="C251" s="816"/>
      <c r="D251" s="816"/>
      <c r="E251" s="816"/>
      <c r="F251" s="817" t="s">
        <v>16</v>
      </c>
      <c r="G251" s="818">
        <v>350</v>
      </c>
      <c r="H251" s="816"/>
      <c r="I251" s="816"/>
      <c r="J251" s="816"/>
    </row>
    <row r="252" spans="1:10" ht="30" customHeight="1" x14ac:dyDescent="0.5">
      <c r="A252" s="853" t="s">
        <v>18</v>
      </c>
      <c r="B252" s="820">
        <v>4000</v>
      </c>
      <c r="C252" s="816"/>
      <c r="D252" s="816"/>
      <c r="E252" s="816"/>
      <c r="F252" s="817" t="s">
        <v>18</v>
      </c>
      <c r="G252" s="821">
        <v>4000</v>
      </c>
      <c r="H252" s="816"/>
      <c r="I252" s="816"/>
      <c r="J252" s="816"/>
    </row>
    <row r="253" spans="1:10" ht="30" customHeight="1" x14ac:dyDescent="0.5">
      <c r="A253" s="853"/>
      <c r="B253" s="816">
        <f>SUM(B242:B252)/E3</f>
        <v>5.855882352941177</v>
      </c>
      <c r="C253" s="815"/>
      <c r="D253" s="815"/>
      <c r="E253" s="815"/>
      <c r="F253" s="817"/>
      <c r="G253" s="822">
        <f>SUM(G242:G252)/E3</f>
        <v>4.9124999999999996</v>
      </c>
      <c r="H253" s="815"/>
      <c r="I253" s="815"/>
      <c r="J253" s="815"/>
    </row>
    <row r="254" spans="1:10" ht="30" customHeight="1" x14ac:dyDescent="0.5">
      <c r="A254" s="853"/>
      <c r="B254" s="815"/>
      <c r="C254" s="815"/>
      <c r="D254" s="815"/>
      <c r="E254" s="815"/>
      <c r="F254" s="817"/>
      <c r="G254" s="823"/>
      <c r="H254" s="815"/>
      <c r="I254" s="815"/>
      <c r="J254" s="815"/>
    </row>
    <row r="255" spans="1:10" x14ac:dyDescent="0.5">
      <c r="A255" s="854" t="s">
        <v>38</v>
      </c>
      <c r="B255" s="1073" t="s">
        <v>188</v>
      </c>
      <c r="C255" s="1073"/>
      <c r="D255" s="1073"/>
      <c r="E255" s="1073"/>
      <c r="F255" s="824" t="s">
        <v>166</v>
      </c>
      <c r="G255" s="1073" t="s">
        <v>188</v>
      </c>
      <c r="H255" s="1073"/>
      <c r="I255" s="1073"/>
      <c r="J255" s="1073"/>
    </row>
    <row r="256" spans="1:10" ht="30" customHeight="1" x14ac:dyDescent="0.5">
      <c r="A256" s="855" t="s">
        <v>25</v>
      </c>
      <c r="B256" s="825"/>
      <c r="C256" s="814"/>
      <c r="D256" s="815"/>
      <c r="E256" s="815"/>
      <c r="F256" s="826" t="s">
        <v>25</v>
      </c>
      <c r="G256" s="826"/>
      <c r="H256" s="814"/>
      <c r="I256" s="815"/>
      <c r="J256" s="815"/>
    </row>
    <row r="257" spans="1:10" ht="30" customHeight="1" x14ac:dyDescent="0.5">
      <c r="A257" s="853" t="s">
        <v>9</v>
      </c>
      <c r="B257" s="816">
        <f>0.7*3/3*2*E3</f>
        <v>5599.9999999999991</v>
      </c>
      <c r="C257" s="815"/>
      <c r="D257" s="815"/>
      <c r="E257" s="815"/>
      <c r="F257" s="817" t="s">
        <v>9</v>
      </c>
      <c r="G257" s="818">
        <f>0.7*1.8/3*2*E3</f>
        <v>3360</v>
      </c>
      <c r="H257" s="815"/>
      <c r="I257" s="815"/>
      <c r="J257" s="815"/>
    </row>
    <row r="258" spans="1:10" ht="30" customHeight="1" x14ac:dyDescent="0.5">
      <c r="A258" s="853" t="s">
        <v>1</v>
      </c>
      <c r="B258" s="816">
        <v>700</v>
      </c>
      <c r="C258" s="815"/>
      <c r="D258" s="815"/>
      <c r="E258" s="815"/>
      <c r="F258" s="817" t="s">
        <v>1</v>
      </c>
      <c r="G258" s="818">
        <v>700</v>
      </c>
      <c r="H258" s="815"/>
      <c r="I258" s="815"/>
      <c r="J258" s="815"/>
    </row>
    <row r="259" spans="1:10" ht="30" customHeight="1" x14ac:dyDescent="0.5">
      <c r="A259" s="853" t="s">
        <v>10</v>
      </c>
      <c r="B259" s="816">
        <v>2500</v>
      </c>
      <c r="C259" s="1069"/>
      <c r="D259" s="1069"/>
      <c r="E259" s="1069"/>
      <c r="F259" s="817" t="s">
        <v>10</v>
      </c>
      <c r="G259" s="818">
        <v>2500</v>
      </c>
      <c r="H259" s="1069"/>
      <c r="I259" s="1069"/>
      <c r="J259" s="1069"/>
    </row>
    <row r="260" spans="1:10" ht="30" customHeight="1" x14ac:dyDescent="0.5">
      <c r="A260" s="853" t="s">
        <v>94</v>
      </c>
      <c r="B260" s="816">
        <f>15000/1.5</f>
        <v>10000</v>
      </c>
      <c r="C260" s="819" t="s">
        <v>22</v>
      </c>
      <c r="D260" s="819" t="s">
        <v>23</v>
      </c>
      <c r="E260" s="819" t="s">
        <v>24</v>
      </c>
      <c r="F260" s="817" t="s">
        <v>94</v>
      </c>
      <c r="G260" s="818">
        <f>13000/1.5</f>
        <v>8666.6666666666661</v>
      </c>
      <c r="H260" s="819" t="s">
        <v>22</v>
      </c>
      <c r="I260" s="819" t="s">
        <v>23</v>
      </c>
      <c r="J260" s="819" t="s">
        <v>24</v>
      </c>
    </row>
    <row r="261" spans="1:10" ht="30" customHeight="1" x14ac:dyDescent="0.5">
      <c r="A261" s="853" t="s">
        <v>12</v>
      </c>
      <c r="B261" s="816">
        <v>2000</v>
      </c>
      <c r="C261" s="819">
        <f>C265</f>
        <v>11.05625</v>
      </c>
      <c r="D261" s="819">
        <f>D265</f>
        <v>13.34375</v>
      </c>
      <c r="E261" s="819">
        <f>E265</f>
        <v>15.17375</v>
      </c>
      <c r="F261" s="817" t="s">
        <v>12</v>
      </c>
      <c r="G261" s="818">
        <v>2000</v>
      </c>
      <c r="H261" s="819">
        <f>H266</f>
        <v>8.8365416666666654</v>
      </c>
      <c r="I261" s="819">
        <f>I266</f>
        <v>10.664791666666666</v>
      </c>
      <c r="J261" s="819">
        <f>J266</f>
        <v>12.127391666666666</v>
      </c>
    </row>
    <row r="262" spans="1:10" ht="30" customHeight="1" x14ac:dyDescent="0.5">
      <c r="A262" s="853" t="s">
        <v>11</v>
      </c>
      <c r="B262" s="816">
        <v>2000</v>
      </c>
      <c r="C262" s="816"/>
      <c r="D262" s="816"/>
      <c r="E262" s="816"/>
      <c r="F262" s="817" t="s">
        <v>11</v>
      </c>
      <c r="G262" s="818">
        <v>2000</v>
      </c>
      <c r="H262" s="816"/>
      <c r="I262" s="816"/>
      <c r="J262" s="816"/>
    </row>
    <row r="263" spans="1:10" ht="30" customHeight="1" x14ac:dyDescent="0.5">
      <c r="A263" s="853" t="s">
        <v>27</v>
      </c>
      <c r="B263" s="816">
        <v>2500</v>
      </c>
      <c r="C263" s="815"/>
      <c r="D263" s="815"/>
      <c r="E263" s="815"/>
      <c r="F263" s="817" t="s">
        <v>27</v>
      </c>
      <c r="G263" s="818">
        <v>200</v>
      </c>
      <c r="H263" s="815"/>
      <c r="I263" s="815"/>
      <c r="J263" s="815"/>
    </row>
    <row r="264" spans="1:10" ht="30" customHeight="1" x14ac:dyDescent="0.5">
      <c r="A264" s="853" t="s">
        <v>28</v>
      </c>
      <c r="B264" s="816">
        <v>100</v>
      </c>
      <c r="C264" s="814">
        <v>0.4</v>
      </c>
      <c r="D264" s="814">
        <v>0.55000000000000004</v>
      </c>
      <c r="E264" s="814">
        <v>0.85</v>
      </c>
      <c r="F264" s="817" t="s">
        <v>28</v>
      </c>
      <c r="G264" s="818">
        <v>100</v>
      </c>
      <c r="H264" s="815"/>
      <c r="I264" s="815"/>
      <c r="J264" s="815"/>
    </row>
    <row r="265" spans="1:10" ht="30" customHeight="1" x14ac:dyDescent="0.5">
      <c r="A265" s="853" t="s">
        <v>106</v>
      </c>
      <c r="B265" s="816">
        <v>750</v>
      </c>
      <c r="C265" s="816">
        <f>B268*1.45</f>
        <v>11.05625</v>
      </c>
      <c r="D265" s="816">
        <f>B268*1.75</f>
        <v>13.34375</v>
      </c>
      <c r="E265" s="816">
        <f>B268*1.99</f>
        <v>15.17375</v>
      </c>
      <c r="F265" s="817" t="s">
        <v>106</v>
      </c>
      <c r="G265" s="818">
        <v>500</v>
      </c>
      <c r="H265" s="814">
        <v>0.4</v>
      </c>
      <c r="I265" s="814">
        <v>0.55000000000000004</v>
      </c>
      <c r="J265" s="814">
        <v>0.85</v>
      </c>
    </row>
    <row r="266" spans="1:10" ht="30" customHeight="1" x14ac:dyDescent="0.5">
      <c r="A266" s="853" t="s">
        <v>16</v>
      </c>
      <c r="B266" s="816">
        <v>350</v>
      </c>
      <c r="C266" s="815"/>
      <c r="D266" s="815"/>
      <c r="E266" s="816"/>
      <c r="F266" s="817" t="s">
        <v>16</v>
      </c>
      <c r="G266" s="818">
        <v>350</v>
      </c>
      <c r="H266" s="816">
        <f>G268*1.45</f>
        <v>8.8365416666666654</v>
      </c>
      <c r="I266" s="816">
        <f>G268*1.75</f>
        <v>10.664791666666666</v>
      </c>
      <c r="J266" s="816">
        <f>G268*1.99</f>
        <v>12.127391666666666</v>
      </c>
    </row>
    <row r="267" spans="1:10" ht="30" customHeight="1" x14ac:dyDescent="0.5">
      <c r="A267" s="853" t="s">
        <v>18</v>
      </c>
      <c r="B267" s="820">
        <v>4000</v>
      </c>
      <c r="C267" s="816"/>
      <c r="D267" s="816"/>
      <c r="E267" s="816"/>
      <c r="F267" s="817" t="s">
        <v>18</v>
      </c>
      <c r="G267" s="821">
        <v>4000</v>
      </c>
      <c r="H267" s="816"/>
      <c r="I267" s="816"/>
      <c r="J267" s="816"/>
    </row>
    <row r="268" spans="1:10" ht="30" customHeight="1" x14ac:dyDescent="0.5">
      <c r="A268" s="853"/>
      <c r="B268" s="816">
        <f>SUM(B257:B267)/E3</f>
        <v>7.625</v>
      </c>
      <c r="C268" s="816"/>
      <c r="D268" s="816"/>
      <c r="E268" s="816"/>
      <c r="F268" s="817"/>
      <c r="G268" s="822">
        <f>SUM(G257:G267)/E3</f>
        <v>6.0941666666666663</v>
      </c>
      <c r="H268" s="816"/>
      <c r="I268" s="816"/>
      <c r="J268" s="816"/>
    </row>
    <row r="269" spans="1:10" ht="30" customHeight="1" x14ac:dyDescent="0.5">
      <c r="A269" s="853"/>
      <c r="B269" s="815"/>
      <c r="C269" s="815"/>
      <c r="D269" s="815"/>
      <c r="E269" s="815"/>
      <c r="F269" s="817"/>
      <c r="G269" s="823"/>
      <c r="H269" s="815"/>
      <c r="I269" s="815"/>
      <c r="J269" s="815"/>
    </row>
    <row r="270" spans="1:10" x14ac:dyDescent="0.5">
      <c r="A270" s="854" t="s">
        <v>38</v>
      </c>
      <c r="B270" s="1073" t="s">
        <v>188</v>
      </c>
      <c r="C270" s="1073"/>
      <c r="D270" s="1073"/>
      <c r="E270" s="1073"/>
      <c r="F270" s="824" t="s">
        <v>166</v>
      </c>
      <c r="G270" s="827" t="s">
        <v>188</v>
      </c>
      <c r="H270" s="827"/>
      <c r="I270" s="827"/>
      <c r="J270" s="827"/>
    </row>
    <row r="271" spans="1:10" ht="30" customHeight="1" x14ac:dyDescent="0.5">
      <c r="A271" s="855" t="s">
        <v>113</v>
      </c>
      <c r="B271" s="825"/>
      <c r="C271" s="814"/>
      <c r="D271" s="815"/>
      <c r="E271" s="815"/>
      <c r="F271" s="826" t="s">
        <v>113</v>
      </c>
      <c r="G271" s="826"/>
      <c r="H271" s="814"/>
      <c r="I271" s="815"/>
      <c r="J271" s="815"/>
    </row>
    <row r="272" spans="1:10" ht="30" customHeight="1" x14ac:dyDescent="0.5">
      <c r="A272" s="853" t="s">
        <v>9</v>
      </c>
      <c r="B272" s="816">
        <f>0.8*3/3*2*E3</f>
        <v>6400.0000000000009</v>
      </c>
      <c r="C272" s="815"/>
      <c r="D272" s="815"/>
      <c r="E272" s="815"/>
      <c r="F272" s="817" t="s">
        <v>9</v>
      </c>
      <c r="G272" s="818">
        <f>0.8*1.8/3*2*E3</f>
        <v>3840.0000000000005</v>
      </c>
      <c r="H272" s="815"/>
      <c r="I272" s="815"/>
      <c r="J272" s="815"/>
    </row>
    <row r="273" spans="1:10" ht="30" customHeight="1" x14ac:dyDescent="0.5">
      <c r="A273" s="853" t="s">
        <v>1</v>
      </c>
      <c r="B273" s="816">
        <v>700</v>
      </c>
      <c r="C273" s="815"/>
      <c r="D273" s="815"/>
      <c r="E273" s="815"/>
      <c r="F273" s="817" t="s">
        <v>1</v>
      </c>
      <c r="G273" s="818">
        <v>700</v>
      </c>
      <c r="H273" s="815"/>
      <c r="I273" s="815"/>
      <c r="J273" s="815"/>
    </row>
    <row r="274" spans="1:10" ht="30" customHeight="1" x14ac:dyDescent="0.5">
      <c r="A274" s="853" t="s">
        <v>10</v>
      </c>
      <c r="B274" s="816">
        <v>2500</v>
      </c>
      <c r="C274" s="1069"/>
      <c r="D274" s="1069"/>
      <c r="E274" s="1069"/>
      <c r="F274" s="817" t="s">
        <v>10</v>
      </c>
      <c r="G274" s="818">
        <v>2500</v>
      </c>
      <c r="H274" s="1069"/>
      <c r="I274" s="1069"/>
      <c r="J274" s="1069"/>
    </row>
    <row r="275" spans="1:10" ht="30" customHeight="1" x14ac:dyDescent="0.5">
      <c r="A275" s="853" t="s">
        <v>94</v>
      </c>
      <c r="B275" s="816">
        <v>13000</v>
      </c>
      <c r="C275" s="819" t="s">
        <v>22</v>
      </c>
      <c r="D275" s="819" t="s">
        <v>23</v>
      </c>
      <c r="E275" s="819" t="s">
        <v>24</v>
      </c>
      <c r="F275" s="817" t="s">
        <v>94</v>
      </c>
      <c r="G275" s="818">
        <v>13000</v>
      </c>
      <c r="H275" s="819" t="s">
        <v>22</v>
      </c>
      <c r="I275" s="819" t="s">
        <v>23</v>
      </c>
      <c r="J275" s="819" t="s">
        <v>24</v>
      </c>
    </row>
    <row r="276" spans="1:10" ht="30" customHeight="1" x14ac:dyDescent="0.5">
      <c r="A276" s="853" t="s">
        <v>12</v>
      </c>
      <c r="B276" s="816">
        <v>2000</v>
      </c>
      <c r="C276" s="819">
        <f>C280</f>
        <v>11.9625</v>
      </c>
      <c r="D276" s="819">
        <f>D280</f>
        <v>14.4375</v>
      </c>
      <c r="E276" s="819">
        <f>E280</f>
        <v>16.4175</v>
      </c>
      <c r="F276" s="817" t="s">
        <v>12</v>
      </c>
      <c r="G276" s="818">
        <v>2000</v>
      </c>
      <c r="H276" s="819">
        <f>H280</f>
        <v>11.0345</v>
      </c>
      <c r="I276" s="819">
        <f>I280</f>
        <v>12.176000000000002</v>
      </c>
      <c r="J276" s="819">
        <f>J280</f>
        <v>15.1439</v>
      </c>
    </row>
    <row r="277" spans="1:10" ht="30" customHeight="1" x14ac:dyDescent="0.5">
      <c r="A277" s="853" t="s">
        <v>11</v>
      </c>
      <c r="B277" s="816">
        <v>3000</v>
      </c>
      <c r="C277" s="816"/>
      <c r="D277" s="816"/>
      <c r="E277" s="816"/>
      <c r="F277" s="817" t="s">
        <v>11</v>
      </c>
      <c r="G277" s="818">
        <v>3000</v>
      </c>
      <c r="H277" s="816"/>
      <c r="I277" s="816"/>
      <c r="J277" s="816"/>
    </row>
    <row r="278" spans="1:10" ht="30" customHeight="1" x14ac:dyDescent="0.5">
      <c r="A278" s="853" t="s">
        <v>27</v>
      </c>
      <c r="B278" s="816">
        <v>200</v>
      </c>
      <c r="C278" s="815"/>
      <c r="D278" s="815"/>
      <c r="E278" s="815"/>
      <c r="F278" s="817" t="s">
        <v>27</v>
      </c>
      <c r="G278" s="818">
        <v>200</v>
      </c>
      <c r="H278" s="815"/>
      <c r="I278" s="815"/>
      <c r="J278" s="815"/>
    </row>
    <row r="279" spans="1:10" ht="30" customHeight="1" x14ac:dyDescent="0.5">
      <c r="A279" s="853" t="s">
        <v>28</v>
      </c>
      <c r="B279" s="816">
        <v>100</v>
      </c>
      <c r="C279" s="814">
        <v>0.4</v>
      </c>
      <c r="D279" s="814">
        <v>0.55000000000000004</v>
      </c>
      <c r="E279" s="814">
        <v>0.85</v>
      </c>
      <c r="F279" s="817" t="s">
        <v>28</v>
      </c>
      <c r="G279" s="818">
        <v>100</v>
      </c>
      <c r="H279" s="814">
        <v>0.4</v>
      </c>
      <c r="I279" s="814">
        <v>0.55000000000000004</v>
      </c>
      <c r="J279" s="814">
        <v>0.85</v>
      </c>
    </row>
    <row r="280" spans="1:10" ht="30" customHeight="1" x14ac:dyDescent="0.5">
      <c r="A280" s="853" t="s">
        <v>106</v>
      </c>
      <c r="B280" s="816">
        <v>750</v>
      </c>
      <c r="C280" s="816">
        <f>B283*1.45</f>
        <v>11.9625</v>
      </c>
      <c r="D280" s="816">
        <f>B283*1.75</f>
        <v>14.4375</v>
      </c>
      <c r="E280" s="816">
        <f>B283*1.99</f>
        <v>16.4175</v>
      </c>
      <c r="F280" s="817" t="s">
        <v>106</v>
      </c>
      <c r="G280" s="818">
        <v>750</v>
      </c>
      <c r="H280" s="816">
        <f>G283*1.45</f>
        <v>11.0345</v>
      </c>
      <c r="I280" s="816">
        <f>G283*1.6</f>
        <v>12.176000000000002</v>
      </c>
      <c r="J280" s="816">
        <f>G283*1.99</f>
        <v>15.1439</v>
      </c>
    </row>
    <row r="281" spans="1:10" ht="30" customHeight="1" x14ac:dyDescent="0.5">
      <c r="A281" s="853" t="s">
        <v>16</v>
      </c>
      <c r="B281" s="816">
        <v>350</v>
      </c>
      <c r="C281" s="815"/>
      <c r="D281" s="815"/>
      <c r="E281" s="816"/>
      <c r="F281" s="817" t="s">
        <v>16</v>
      </c>
      <c r="G281" s="818">
        <v>350</v>
      </c>
      <c r="H281" s="815"/>
      <c r="I281" s="815"/>
      <c r="J281" s="815"/>
    </row>
    <row r="282" spans="1:10" ht="30" customHeight="1" x14ac:dyDescent="0.5">
      <c r="A282" s="853" t="s">
        <v>18</v>
      </c>
      <c r="B282" s="820">
        <v>4000</v>
      </c>
      <c r="C282" s="816"/>
      <c r="D282" s="816"/>
      <c r="E282" s="816"/>
      <c r="F282" s="817" t="s">
        <v>18</v>
      </c>
      <c r="G282" s="821">
        <v>4000</v>
      </c>
      <c r="H282" s="816"/>
      <c r="I282" s="816"/>
      <c r="J282" s="816"/>
    </row>
    <row r="283" spans="1:10" ht="30" customHeight="1" x14ac:dyDescent="0.5">
      <c r="A283" s="853"/>
      <c r="B283" s="816">
        <f>SUM(B272:B282)/E3</f>
        <v>8.25</v>
      </c>
      <c r="C283" s="816"/>
      <c r="D283" s="816"/>
      <c r="E283" s="816"/>
      <c r="F283" s="817"/>
      <c r="G283" s="822">
        <f>SUM(G272:G282)/E3</f>
        <v>7.61</v>
      </c>
      <c r="H283" s="816"/>
      <c r="I283" s="816"/>
      <c r="J283" s="816"/>
    </row>
    <row r="284" spans="1:10" ht="30" customHeight="1" x14ac:dyDescent="0.5"/>
    <row r="285" spans="1:10" ht="30" customHeight="1" x14ac:dyDescent="0.5">
      <c r="F285" s="17"/>
    </row>
    <row r="286" spans="1:10" ht="36" x14ac:dyDescent="0.55000000000000004">
      <c r="A286" s="900" t="s">
        <v>37</v>
      </c>
      <c r="B286" s="900"/>
      <c r="C286" s="1074"/>
      <c r="D286" s="1074"/>
      <c r="E286" s="1074"/>
      <c r="F286" s="828"/>
      <c r="G286" s="829"/>
      <c r="H286" s="830"/>
      <c r="I286" s="830"/>
      <c r="J286" s="830"/>
    </row>
    <row r="287" spans="1:10" ht="30" customHeight="1" x14ac:dyDescent="0.55000000000000004">
      <c r="A287" s="898" t="s">
        <v>25</v>
      </c>
      <c r="B287" s="898"/>
      <c r="C287" s="831"/>
      <c r="D287" s="832"/>
      <c r="E287" s="832"/>
      <c r="F287" s="1077" t="s">
        <v>37</v>
      </c>
      <c r="G287" s="1077"/>
      <c r="H287" s="833" t="s">
        <v>163</v>
      </c>
      <c r="I287" s="833"/>
      <c r="J287" s="833"/>
    </row>
    <row r="288" spans="1:10" ht="30" customHeight="1" x14ac:dyDescent="0.5">
      <c r="A288" s="856" t="s">
        <v>9</v>
      </c>
      <c r="B288" s="830">
        <f>0.7*1.8/3*2*E162</f>
        <v>3780</v>
      </c>
      <c r="C288" s="832"/>
      <c r="D288" s="832"/>
      <c r="E288" s="832"/>
      <c r="F288" s="1078" t="s">
        <v>115</v>
      </c>
      <c r="G288" s="1078"/>
      <c r="H288" s="831"/>
      <c r="I288" s="832"/>
      <c r="J288" s="832"/>
    </row>
    <row r="289" spans="1:10" ht="30" customHeight="1" x14ac:dyDescent="0.5">
      <c r="A289" s="856" t="s">
        <v>1</v>
      </c>
      <c r="B289" s="830">
        <v>700</v>
      </c>
      <c r="C289" s="831"/>
      <c r="D289" s="831"/>
      <c r="E289" s="832"/>
      <c r="F289" s="828" t="s">
        <v>9</v>
      </c>
      <c r="G289" s="834">
        <f>0.5*1.8/4*2*E3</f>
        <v>1800</v>
      </c>
      <c r="H289" s="832"/>
      <c r="I289" s="832"/>
      <c r="J289" s="832"/>
    </row>
    <row r="290" spans="1:10" ht="30" customHeight="1" x14ac:dyDescent="0.5">
      <c r="A290" s="856" t="s">
        <v>10</v>
      </c>
      <c r="B290" s="830">
        <v>2500</v>
      </c>
      <c r="C290" s="832"/>
      <c r="D290" s="832"/>
      <c r="E290" s="832"/>
      <c r="F290" s="828" t="s">
        <v>1</v>
      </c>
      <c r="G290" s="834">
        <v>700</v>
      </c>
      <c r="H290" s="832"/>
      <c r="I290" s="832"/>
      <c r="J290" s="832"/>
    </row>
    <row r="291" spans="1:10" ht="30" customHeight="1" x14ac:dyDescent="0.5">
      <c r="A291" s="856" t="s">
        <v>11</v>
      </c>
      <c r="B291" s="830">
        <v>1000</v>
      </c>
      <c r="C291" s="832"/>
      <c r="D291" s="831"/>
      <c r="E291" s="832"/>
      <c r="F291" s="828" t="s">
        <v>10</v>
      </c>
      <c r="G291" s="834">
        <v>2500</v>
      </c>
      <c r="H291" s="1074"/>
      <c r="I291" s="1074"/>
      <c r="J291" s="1074"/>
    </row>
    <row r="292" spans="1:10" ht="30" customHeight="1" x14ac:dyDescent="0.5">
      <c r="A292" s="856" t="s">
        <v>165</v>
      </c>
      <c r="B292" s="830">
        <v>3000</v>
      </c>
      <c r="C292" s="835" t="s">
        <v>22</v>
      </c>
      <c r="D292" s="835" t="s">
        <v>23</v>
      </c>
      <c r="E292" s="835" t="s">
        <v>24</v>
      </c>
      <c r="F292" s="828" t="s">
        <v>11</v>
      </c>
      <c r="G292" s="834">
        <v>1000</v>
      </c>
      <c r="H292" s="835" t="s">
        <v>22</v>
      </c>
      <c r="I292" s="835" t="s">
        <v>23</v>
      </c>
      <c r="J292" s="835" t="s">
        <v>24</v>
      </c>
    </row>
    <row r="293" spans="1:10" ht="30" customHeight="1" x14ac:dyDescent="0.5">
      <c r="A293" s="856" t="s">
        <v>12</v>
      </c>
      <c r="B293" s="830">
        <v>2000</v>
      </c>
      <c r="C293" s="835">
        <f>C297</f>
        <v>6.7714999999999996</v>
      </c>
      <c r="D293" s="835">
        <f>D297</f>
        <v>8.1724999999999994</v>
      </c>
      <c r="E293" s="835">
        <f>E297</f>
        <v>9.2933000000000003</v>
      </c>
      <c r="F293" s="828" t="s">
        <v>164</v>
      </c>
      <c r="G293" s="834">
        <v>2500</v>
      </c>
      <c r="H293" s="835">
        <f>H297</f>
        <v>5.8724999999999996</v>
      </c>
      <c r="I293" s="835">
        <f>I297</f>
        <v>7.0874999999999995</v>
      </c>
      <c r="J293" s="835">
        <f>J297</f>
        <v>8.0594999999999999</v>
      </c>
    </row>
    <row r="294" spans="1:10" ht="30" customHeight="1" x14ac:dyDescent="0.5">
      <c r="A294" s="856" t="s">
        <v>14</v>
      </c>
      <c r="B294" s="830">
        <v>200</v>
      </c>
      <c r="C294" s="832"/>
      <c r="D294" s="832"/>
      <c r="E294" s="832"/>
      <c r="F294" s="828" t="s">
        <v>12</v>
      </c>
      <c r="G294" s="834">
        <v>2000</v>
      </c>
      <c r="H294" s="832"/>
      <c r="I294" s="832"/>
      <c r="J294" s="832"/>
    </row>
    <row r="295" spans="1:10" ht="30" customHeight="1" x14ac:dyDescent="0.5">
      <c r="A295" s="856" t="s">
        <v>15</v>
      </c>
      <c r="B295" s="830">
        <v>200</v>
      </c>
      <c r="C295" s="832"/>
      <c r="D295" s="831" t="s">
        <v>21</v>
      </c>
      <c r="E295" s="831"/>
      <c r="F295" s="828" t="s">
        <v>14</v>
      </c>
      <c r="G295" s="834">
        <v>200</v>
      </c>
      <c r="H295" s="832"/>
      <c r="I295" s="831" t="s">
        <v>21</v>
      </c>
      <c r="J295" s="831"/>
    </row>
    <row r="296" spans="1:10" ht="30" customHeight="1" x14ac:dyDescent="0.5">
      <c r="A296" s="856" t="s">
        <v>27</v>
      </c>
      <c r="B296" s="830">
        <v>200</v>
      </c>
      <c r="C296" s="831">
        <v>0.4</v>
      </c>
      <c r="D296" s="831">
        <v>0.55000000000000004</v>
      </c>
      <c r="E296" s="831">
        <v>0.85</v>
      </c>
      <c r="F296" s="828" t="s">
        <v>15</v>
      </c>
      <c r="G296" s="834">
        <v>200</v>
      </c>
      <c r="H296" s="831">
        <v>0.4</v>
      </c>
      <c r="I296" s="831">
        <v>0.55000000000000004</v>
      </c>
      <c r="J296" s="831">
        <v>0.85</v>
      </c>
    </row>
    <row r="297" spans="1:10" ht="30" customHeight="1" x14ac:dyDescent="0.5">
      <c r="A297" s="856" t="s">
        <v>28</v>
      </c>
      <c r="B297" s="830">
        <v>100</v>
      </c>
      <c r="C297" s="830">
        <f>B301*1.45</f>
        <v>6.7714999999999996</v>
      </c>
      <c r="D297" s="830">
        <f>B301*1.75</f>
        <v>8.1724999999999994</v>
      </c>
      <c r="E297" s="830">
        <f>B301*1.99</f>
        <v>9.2933000000000003</v>
      </c>
      <c r="F297" s="828" t="s">
        <v>27</v>
      </c>
      <c r="G297" s="834">
        <v>200</v>
      </c>
      <c r="H297" s="830">
        <f>G302*1.45</f>
        <v>5.8724999999999996</v>
      </c>
      <c r="I297" s="830">
        <f>G302*1.75</f>
        <v>7.0874999999999995</v>
      </c>
      <c r="J297" s="830">
        <f>G302*1.99</f>
        <v>8.0594999999999999</v>
      </c>
    </row>
    <row r="298" spans="1:10" ht="30" customHeight="1" x14ac:dyDescent="0.5">
      <c r="A298" s="856" t="s">
        <v>16</v>
      </c>
      <c r="B298" s="830">
        <v>250</v>
      </c>
      <c r="C298" s="832"/>
      <c r="D298" s="832"/>
      <c r="E298" s="830"/>
      <c r="F298" s="828" t="s">
        <v>28</v>
      </c>
      <c r="G298" s="834">
        <v>100</v>
      </c>
      <c r="H298" s="832"/>
      <c r="I298" s="832"/>
      <c r="J298" s="832"/>
    </row>
    <row r="299" spans="1:10" ht="30" customHeight="1" x14ac:dyDescent="0.5">
      <c r="A299" s="856" t="s">
        <v>17</v>
      </c>
      <c r="B299" s="830">
        <v>750</v>
      </c>
      <c r="C299" s="830"/>
      <c r="D299" s="830"/>
      <c r="E299" s="830"/>
      <c r="F299" s="828" t="s">
        <v>16</v>
      </c>
      <c r="G299" s="834">
        <v>250</v>
      </c>
      <c r="H299" s="832"/>
      <c r="I299" s="832"/>
      <c r="J299" s="832"/>
    </row>
    <row r="300" spans="1:10" ht="30" customHeight="1" x14ac:dyDescent="0.5">
      <c r="A300" s="856" t="s">
        <v>18</v>
      </c>
      <c r="B300" s="830">
        <v>4000</v>
      </c>
      <c r="C300" s="830"/>
      <c r="D300" s="830"/>
      <c r="E300" s="830"/>
      <c r="F300" s="828" t="s">
        <v>17</v>
      </c>
      <c r="G300" s="834">
        <v>750</v>
      </c>
      <c r="H300" s="830"/>
      <c r="I300" s="830"/>
      <c r="J300" s="830"/>
    </row>
    <row r="301" spans="1:10" ht="30" customHeight="1" x14ac:dyDescent="0.5">
      <c r="A301" s="856"/>
      <c r="B301" s="830">
        <f>SUM(B288:B300)/E3</f>
        <v>4.67</v>
      </c>
      <c r="C301" s="832"/>
      <c r="D301" s="832"/>
      <c r="E301" s="832"/>
      <c r="F301" s="828" t="s">
        <v>18</v>
      </c>
      <c r="G301" s="834">
        <v>4000</v>
      </c>
      <c r="H301" s="830"/>
      <c r="I301" s="830"/>
      <c r="J301" s="830"/>
    </row>
    <row r="302" spans="1:10" ht="30" customHeight="1" x14ac:dyDescent="0.5">
      <c r="A302" s="856"/>
      <c r="B302" s="830"/>
      <c r="C302" s="832"/>
      <c r="D302" s="832"/>
      <c r="E302" s="832"/>
      <c r="F302" s="828"/>
      <c r="G302" s="836">
        <f>SUM(G289:G301)/E3</f>
        <v>4.05</v>
      </c>
      <c r="H302" s="832"/>
      <c r="I302" s="832"/>
      <c r="J302" s="832"/>
    </row>
    <row r="303" spans="1:10" ht="30" customHeight="1" x14ac:dyDescent="0.5">
      <c r="A303" s="856"/>
      <c r="B303" s="832"/>
      <c r="C303" s="832"/>
      <c r="D303" s="832"/>
      <c r="E303" s="832"/>
      <c r="F303" s="828"/>
      <c r="G303" s="834"/>
      <c r="H303" s="832"/>
      <c r="I303" s="832"/>
      <c r="J303" s="832"/>
    </row>
    <row r="304" spans="1:10" x14ac:dyDescent="0.5">
      <c r="A304" s="857"/>
      <c r="B304" s="1074" t="s">
        <v>162</v>
      </c>
      <c r="C304" s="1074"/>
      <c r="D304" s="1074"/>
      <c r="E304" s="1074"/>
      <c r="F304" s="828"/>
      <c r="G304" s="829"/>
      <c r="H304" s="832"/>
      <c r="I304" s="832"/>
      <c r="J304" s="832"/>
    </row>
    <row r="305" spans="1:10" ht="31.5" x14ac:dyDescent="0.5">
      <c r="A305" s="901" t="s">
        <v>93</v>
      </c>
      <c r="B305" s="901"/>
      <c r="C305" s="831"/>
      <c r="D305" s="832"/>
      <c r="E305" s="832"/>
      <c r="F305" s="1074" t="s">
        <v>163</v>
      </c>
      <c r="G305" s="1074"/>
      <c r="H305" s="1074"/>
      <c r="I305" s="1074"/>
      <c r="J305" s="1074"/>
    </row>
    <row r="306" spans="1:10" ht="30" customHeight="1" x14ac:dyDescent="0.5">
      <c r="A306" s="856" t="s">
        <v>9</v>
      </c>
      <c r="B306" s="830">
        <f>0.7*3/3*2*E162</f>
        <v>6299.9999999999982</v>
      </c>
      <c r="C306" s="832"/>
      <c r="D306" s="832"/>
      <c r="E306" s="832"/>
      <c r="F306" s="1075" t="s">
        <v>158</v>
      </c>
      <c r="G306" s="1075"/>
      <c r="H306" s="831"/>
      <c r="I306" s="832"/>
      <c r="J306" s="832"/>
    </row>
    <row r="307" spans="1:10" ht="30" customHeight="1" x14ac:dyDescent="0.5">
      <c r="A307" s="856" t="s">
        <v>1</v>
      </c>
      <c r="B307" s="830">
        <v>700</v>
      </c>
      <c r="C307" s="1074"/>
      <c r="D307" s="1074"/>
      <c r="E307" s="1074"/>
      <c r="F307" s="828" t="s">
        <v>9</v>
      </c>
      <c r="G307" s="834">
        <f>0.5*3/4*2*E3</f>
        <v>3000</v>
      </c>
      <c r="H307" s="832"/>
      <c r="I307" s="832"/>
      <c r="J307" s="832"/>
    </row>
    <row r="308" spans="1:10" ht="30" customHeight="1" x14ac:dyDescent="0.5">
      <c r="A308" s="856" t="s">
        <v>10</v>
      </c>
      <c r="B308" s="830">
        <v>2500</v>
      </c>
      <c r="C308" s="835" t="s">
        <v>22</v>
      </c>
      <c r="D308" s="835" t="s">
        <v>23</v>
      </c>
      <c r="E308" s="835" t="s">
        <v>24</v>
      </c>
      <c r="F308" s="828" t="s">
        <v>1</v>
      </c>
      <c r="G308" s="834">
        <v>700</v>
      </c>
      <c r="H308" s="832"/>
      <c r="I308" s="832"/>
      <c r="J308" s="832"/>
    </row>
    <row r="309" spans="1:10" ht="30" customHeight="1" x14ac:dyDescent="0.5">
      <c r="A309" s="856" t="s">
        <v>11</v>
      </c>
      <c r="B309" s="830">
        <v>1000</v>
      </c>
      <c r="C309" s="835">
        <f>C313</f>
        <v>7.6849999999999996</v>
      </c>
      <c r="D309" s="835">
        <f>D313</f>
        <v>9.2750000000000004</v>
      </c>
      <c r="E309" s="835">
        <f>E313</f>
        <v>10.546999999999999</v>
      </c>
      <c r="F309" s="828" t="s">
        <v>10</v>
      </c>
      <c r="G309" s="834">
        <v>2500</v>
      </c>
      <c r="H309" s="1074"/>
      <c r="I309" s="1074"/>
      <c r="J309" s="1074"/>
    </row>
    <row r="310" spans="1:10" ht="30" customHeight="1" x14ac:dyDescent="0.5">
      <c r="A310" s="856" t="s">
        <v>165</v>
      </c>
      <c r="B310" s="830">
        <f>B292</f>
        <v>3000</v>
      </c>
      <c r="C310" s="830"/>
      <c r="D310" s="830"/>
      <c r="E310" s="830"/>
      <c r="F310" s="828" t="s">
        <v>11</v>
      </c>
      <c r="G310" s="834">
        <v>1000</v>
      </c>
      <c r="H310" s="835" t="s">
        <v>22</v>
      </c>
      <c r="I310" s="835" t="s">
        <v>23</v>
      </c>
      <c r="J310" s="835" t="s">
        <v>24</v>
      </c>
    </row>
    <row r="311" spans="1:10" ht="30" customHeight="1" x14ac:dyDescent="0.5">
      <c r="A311" s="856" t="s">
        <v>12</v>
      </c>
      <c r="B311" s="830">
        <f>B293</f>
        <v>2000</v>
      </c>
      <c r="C311" s="832"/>
      <c r="D311" s="832"/>
      <c r="E311" s="832"/>
      <c r="F311" s="828" t="s">
        <v>164</v>
      </c>
      <c r="G311" s="834">
        <f>G293</f>
        <v>2500</v>
      </c>
      <c r="H311" s="835">
        <f>H315</f>
        <v>6.3074999999999992</v>
      </c>
      <c r="I311" s="835">
        <f>I315</f>
        <v>7.6124999999999989</v>
      </c>
      <c r="J311" s="835">
        <f>J315</f>
        <v>8.6564999999999994</v>
      </c>
    </row>
    <row r="312" spans="1:10" ht="30" customHeight="1" x14ac:dyDescent="0.5">
      <c r="A312" s="856" t="s">
        <v>14</v>
      </c>
      <c r="B312" s="830">
        <f>B294</f>
        <v>200</v>
      </c>
      <c r="C312" s="831">
        <v>0.4</v>
      </c>
      <c r="D312" s="831">
        <v>0.55000000000000004</v>
      </c>
      <c r="E312" s="831">
        <v>0.85</v>
      </c>
      <c r="F312" s="828" t="s">
        <v>12</v>
      </c>
      <c r="G312" s="834">
        <f>G294</f>
        <v>2000</v>
      </c>
      <c r="H312" s="830"/>
      <c r="I312" s="830"/>
      <c r="J312" s="830"/>
    </row>
    <row r="313" spans="1:10" ht="30" customHeight="1" x14ac:dyDescent="0.5">
      <c r="A313" s="856" t="s">
        <v>15</v>
      </c>
      <c r="B313" s="830">
        <f>B295</f>
        <v>200</v>
      </c>
      <c r="C313" s="830">
        <f>B319*1.45</f>
        <v>7.6849999999999996</v>
      </c>
      <c r="D313" s="830">
        <f>B319*1.75</f>
        <v>9.2750000000000004</v>
      </c>
      <c r="E313" s="830">
        <f>B319*1.99</f>
        <v>10.546999999999999</v>
      </c>
      <c r="F313" s="828" t="s">
        <v>14</v>
      </c>
      <c r="G313" s="834">
        <f>G295</f>
        <v>200</v>
      </c>
      <c r="H313" s="832"/>
      <c r="I313" s="832"/>
      <c r="J313" s="832"/>
    </row>
    <row r="314" spans="1:10" ht="30" customHeight="1" x14ac:dyDescent="0.5">
      <c r="A314" s="856" t="s">
        <v>27</v>
      </c>
      <c r="B314" s="830">
        <v>200</v>
      </c>
      <c r="C314" s="832"/>
      <c r="D314" s="832"/>
      <c r="E314" s="832"/>
      <c r="F314" s="828" t="s">
        <v>15</v>
      </c>
      <c r="G314" s="834">
        <f>G296</f>
        <v>200</v>
      </c>
      <c r="H314" s="831">
        <v>0.4</v>
      </c>
      <c r="I314" s="831">
        <v>0.55000000000000004</v>
      </c>
      <c r="J314" s="831">
        <v>0.85</v>
      </c>
    </row>
    <row r="315" spans="1:10" ht="30" customHeight="1" x14ac:dyDescent="0.5">
      <c r="A315" s="856" t="s">
        <v>28</v>
      </c>
      <c r="B315" s="830">
        <v>100</v>
      </c>
      <c r="C315" s="832"/>
      <c r="D315" s="832"/>
      <c r="E315" s="832"/>
      <c r="F315" s="828" t="s">
        <v>27</v>
      </c>
      <c r="G315" s="834">
        <v>200</v>
      </c>
      <c r="H315" s="830">
        <f>G320*1.45</f>
        <v>6.3074999999999992</v>
      </c>
      <c r="I315" s="830">
        <f>G320*1.75</f>
        <v>7.6124999999999989</v>
      </c>
      <c r="J315" s="830">
        <f>G320*1.99</f>
        <v>8.6564999999999994</v>
      </c>
    </row>
    <row r="316" spans="1:10" ht="30" customHeight="1" x14ac:dyDescent="0.5">
      <c r="A316" s="856" t="s">
        <v>16</v>
      </c>
      <c r="B316" s="830">
        <f t="shared" ref="B316:B318" si="2">B298</f>
        <v>250</v>
      </c>
      <c r="C316" s="830"/>
      <c r="D316" s="830"/>
      <c r="E316" s="830"/>
      <c r="F316" s="828" t="s">
        <v>28</v>
      </c>
      <c r="G316" s="834">
        <v>100</v>
      </c>
      <c r="H316" s="832"/>
      <c r="I316" s="832"/>
      <c r="J316" s="832"/>
    </row>
    <row r="317" spans="1:10" ht="30" customHeight="1" x14ac:dyDescent="0.5">
      <c r="A317" s="856" t="s">
        <v>17</v>
      </c>
      <c r="B317" s="830">
        <f t="shared" si="2"/>
        <v>750</v>
      </c>
      <c r="C317" s="830"/>
      <c r="D317" s="830"/>
      <c r="E317" s="830"/>
      <c r="F317" s="828" t="s">
        <v>16</v>
      </c>
      <c r="G317" s="834">
        <f t="shared" ref="G317:G319" si="3">G299</f>
        <v>250</v>
      </c>
      <c r="H317" s="832"/>
      <c r="I317" s="832"/>
      <c r="J317" s="832"/>
    </row>
    <row r="318" spans="1:10" ht="30" customHeight="1" x14ac:dyDescent="0.5">
      <c r="A318" s="856" t="s">
        <v>18</v>
      </c>
      <c r="B318" s="837">
        <f t="shared" si="2"/>
        <v>4000</v>
      </c>
      <c r="C318" s="830"/>
      <c r="D318" s="830"/>
      <c r="E318" s="830"/>
      <c r="F318" s="828" t="s">
        <v>17</v>
      </c>
      <c r="G318" s="834">
        <f t="shared" si="3"/>
        <v>750</v>
      </c>
      <c r="H318" s="830"/>
      <c r="I318" s="830"/>
      <c r="J318" s="830"/>
    </row>
    <row r="319" spans="1:10" ht="30" customHeight="1" x14ac:dyDescent="0.5">
      <c r="A319" s="856"/>
      <c r="B319" s="830">
        <f>SUM(B306:B318)/E3</f>
        <v>5.3</v>
      </c>
      <c r="C319" s="832"/>
      <c r="D319" s="832"/>
      <c r="E319" s="832"/>
      <c r="F319" s="828" t="s">
        <v>18</v>
      </c>
      <c r="G319" s="834">
        <f t="shared" si="3"/>
        <v>4000</v>
      </c>
      <c r="H319" s="830"/>
      <c r="I319" s="830"/>
      <c r="J319" s="830"/>
    </row>
    <row r="320" spans="1:10" ht="30" customHeight="1" x14ac:dyDescent="0.5">
      <c r="A320" s="856"/>
      <c r="B320" s="830"/>
      <c r="C320" s="832"/>
      <c r="D320" s="832"/>
      <c r="E320" s="832"/>
      <c r="F320" s="828"/>
      <c r="G320" s="836">
        <f>SUM(G307:G319)/E3</f>
        <v>4.3499999999999996</v>
      </c>
      <c r="H320" s="832"/>
      <c r="I320" s="832"/>
      <c r="J320" s="832"/>
    </row>
    <row r="321" spans="1:10" ht="30" customHeight="1" x14ac:dyDescent="0.5">
      <c r="A321" s="856"/>
      <c r="B321" s="832"/>
      <c r="C321" s="832"/>
      <c r="D321" s="832"/>
      <c r="E321" s="832"/>
      <c r="F321" s="828"/>
      <c r="G321" s="829"/>
      <c r="H321" s="832"/>
      <c r="I321" s="832"/>
      <c r="J321" s="832"/>
    </row>
    <row r="322" spans="1:10" ht="30" customHeight="1" x14ac:dyDescent="0.55000000000000004">
      <c r="A322" s="900" t="s">
        <v>37</v>
      </c>
      <c r="B322" s="900"/>
      <c r="C322" s="833"/>
      <c r="D322" s="833"/>
      <c r="E322" s="833"/>
      <c r="F322" s="1076" t="s">
        <v>20</v>
      </c>
      <c r="G322" s="1076"/>
      <c r="H322" s="833" t="s">
        <v>162</v>
      </c>
      <c r="I322" s="833"/>
      <c r="J322" s="833"/>
    </row>
    <row r="323" spans="1:10" ht="30" customHeight="1" x14ac:dyDescent="0.55000000000000004">
      <c r="A323" s="898" t="s">
        <v>26</v>
      </c>
      <c r="B323" s="898"/>
      <c r="C323" s="831"/>
      <c r="D323" s="832"/>
      <c r="E323" s="832"/>
      <c r="F323" s="1075" t="s">
        <v>26</v>
      </c>
      <c r="G323" s="1075"/>
      <c r="H323" s="831"/>
      <c r="I323" s="832"/>
      <c r="J323" s="832"/>
    </row>
    <row r="324" spans="1:10" ht="30" customHeight="1" x14ac:dyDescent="0.5">
      <c r="A324" s="856" t="s">
        <v>9</v>
      </c>
      <c r="B324" s="830">
        <f>0.8*1.8/3*2*E162</f>
        <v>4320</v>
      </c>
      <c r="C324" s="832"/>
      <c r="D324" s="832"/>
      <c r="E324" s="832"/>
      <c r="F324" s="828" t="s">
        <v>9</v>
      </c>
      <c r="G324" s="830">
        <f>0.8*3/3*2*E162</f>
        <v>7200.0000000000018</v>
      </c>
      <c r="H324" s="832"/>
      <c r="I324" s="832"/>
      <c r="J324" s="832"/>
    </row>
    <row r="325" spans="1:10" ht="30" customHeight="1" x14ac:dyDescent="0.5">
      <c r="A325" s="856" t="s">
        <v>1</v>
      </c>
      <c r="B325" s="830">
        <v>700</v>
      </c>
      <c r="C325" s="832"/>
      <c r="D325" s="831"/>
      <c r="E325" s="831"/>
      <c r="F325" s="828" t="s">
        <v>1</v>
      </c>
      <c r="G325" s="830">
        <v>700</v>
      </c>
      <c r="H325" s="832"/>
      <c r="I325" s="833"/>
      <c r="J325" s="833"/>
    </row>
    <row r="326" spans="1:10" ht="30" customHeight="1" x14ac:dyDescent="0.5">
      <c r="A326" s="856" t="s">
        <v>10</v>
      </c>
      <c r="B326" s="830">
        <v>2500</v>
      </c>
      <c r="C326" s="835" t="s">
        <v>22</v>
      </c>
      <c r="D326" s="835" t="s">
        <v>23</v>
      </c>
      <c r="E326" s="835" t="s">
        <v>24</v>
      </c>
      <c r="F326" s="828" t="s">
        <v>10</v>
      </c>
      <c r="G326" s="830">
        <v>2500</v>
      </c>
      <c r="H326" s="835" t="s">
        <v>22</v>
      </c>
      <c r="I326" s="835" t="s">
        <v>23</v>
      </c>
      <c r="J326" s="835" t="s">
        <v>24</v>
      </c>
    </row>
    <row r="327" spans="1:10" ht="30" customHeight="1" x14ac:dyDescent="0.5">
      <c r="A327" s="856" t="s">
        <v>11</v>
      </c>
      <c r="B327" s="830">
        <v>1000</v>
      </c>
      <c r="C327" s="835">
        <f>C332</f>
        <v>7.3297499999999998</v>
      </c>
      <c r="D327" s="835">
        <f>D332</f>
        <v>8.8462499999999995</v>
      </c>
      <c r="E327" s="835">
        <f>E332</f>
        <v>10.05945</v>
      </c>
      <c r="F327" s="828" t="s">
        <v>165</v>
      </c>
      <c r="G327" s="830">
        <v>4000</v>
      </c>
      <c r="H327" s="835">
        <f>H331</f>
        <v>8.3737500000000011</v>
      </c>
      <c r="I327" s="835">
        <f>I331</f>
        <v>10.106250000000001</v>
      </c>
      <c r="J327" s="835">
        <f>J331</f>
        <v>11.49225</v>
      </c>
    </row>
    <row r="328" spans="1:10" ht="30" customHeight="1" x14ac:dyDescent="0.5">
      <c r="A328" s="856" t="s">
        <v>165</v>
      </c>
      <c r="B328" s="830">
        <v>4000</v>
      </c>
      <c r="C328" s="830"/>
      <c r="D328" s="830"/>
      <c r="E328" s="830"/>
      <c r="F328" s="828" t="s">
        <v>11</v>
      </c>
      <c r="G328" s="830">
        <v>1000</v>
      </c>
      <c r="H328" s="830"/>
      <c r="I328" s="830"/>
      <c r="J328" s="830"/>
    </row>
    <row r="329" spans="1:10" ht="30" customHeight="1" x14ac:dyDescent="0.5">
      <c r="A329" s="856" t="s">
        <v>12</v>
      </c>
      <c r="B329" s="830">
        <v>2000</v>
      </c>
      <c r="C329" s="832"/>
      <c r="D329" s="832"/>
      <c r="E329" s="832"/>
      <c r="F329" s="828" t="s">
        <v>12</v>
      </c>
      <c r="G329" s="830">
        <v>2000</v>
      </c>
      <c r="H329" s="832"/>
      <c r="I329" s="832"/>
      <c r="J329" s="832"/>
    </row>
    <row r="330" spans="1:10" ht="30" customHeight="1" x14ac:dyDescent="0.5">
      <c r="A330" s="856" t="s">
        <v>14</v>
      </c>
      <c r="B330" s="830">
        <v>200</v>
      </c>
      <c r="C330" s="832"/>
      <c r="D330" s="831" t="s">
        <v>21</v>
      </c>
      <c r="E330" s="831"/>
      <c r="F330" s="828" t="s">
        <v>14</v>
      </c>
      <c r="G330" s="830">
        <v>200</v>
      </c>
      <c r="H330" s="831">
        <v>0.4</v>
      </c>
      <c r="I330" s="831">
        <v>0.55000000000000004</v>
      </c>
      <c r="J330" s="831">
        <v>0.85</v>
      </c>
    </row>
    <row r="331" spans="1:10" ht="30" customHeight="1" x14ac:dyDescent="0.5">
      <c r="A331" s="856" t="s">
        <v>15</v>
      </c>
      <c r="B331" s="830">
        <v>200</v>
      </c>
      <c r="C331" s="831">
        <v>0.4</v>
      </c>
      <c r="D331" s="831">
        <v>0.55000000000000004</v>
      </c>
      <c r="E331" s="831">
        <v>0.85</v>
      </c>
      <c r="F331" s="828" t="s">
        <v>15</v>
      </c>
      <c r="G331" s="830">
        <f>B330</f>
        <v>200</v>
      </c>
      <c r="H331" s="830">
        <f>G337*1.45</f>
        <v>8.3737500000000011</v>
      </c>
      <c r="I331" s="830">
        <f>G337*1.75</f>
        <v>10.106250000000001</v>
      </c>
      <c r="J331" s="830">
        <f>G337*1.99</f>
        <v>11.49225</v>
      </c>
    </row>
    <row r="332" spans="1:10" ht="30" customHeight="1" x14ac:dyDescent="0.5">
      <c r="A332" s="856" t="s">
        <v>27</v>
      </c>
      <c r="B332" s="830">
        <v>200</v>
      </c>
      <c r="C332" s="830">
        <f>B337*1.45</f>
        <v>7.3297499999999998</v>
      </c>
      <c r="D332" s="830">
        <f>B337*1.75</f>
        <v>8.8462499999999995</v>
      </c>
      <c r="E332" s="830">
        <f>B337*1.99</f>
        <v>10.05945</v>
      </c>
      <c r="F332" s="828" t="s">
        <v>27</v>
      </c>
      <c r="G332" s="830">
        <v>200</v>
      </c>
      <c r="H332" s="832"/>
      <c r="I332" s="832"/>
      <c r="J332" s="832"/>
    </row>
    <row r="333" spans="1:10" ht="30" customHeight="1" x14ac:dyDescent="0.5">
      <c r="A333" s="856" t="s">
        <v>28</v>
      </c>
      <c r="B333" s="830">
        <v>100</v>
      </c>
      <c r="C333" s="832"/>
      <c r="D333" s="832"/>
      <c r="E333" s="830"/>
      <c r="F333" s="828" t="s">
        <v>28</v>
      </c>
      <c r="G333" s="830">
        <v>100</v>
      </c>
      <c r="H333" s="832"/>
      <c r="I333" s="832"/>
      <c r="J333" s="830"/>
    </row>
    <row r="334" spans="1:10" ht="30" customHeight="1" x14ac:dyDescent="0.5">
      <c r="A334" s="856" t="s">
        <v>16</v>
      </c>
      <c r="B334" s="830">
        <v>250</v>
      </c>
      <c r="C334" s="830"/>
      <c r="D334" s="830"/>
      <c r="E334" s="830"/>
      <c r="F334" s="828" t="s">
        <v>16</v>
      </c>
      <c r="G334" s="830">
        <v>250</v>
      </c>
      <c r="H334" s="832"/>
      <c r="I334" s="832"/>
      <c r="J334" s="830"/>
    </row>
    <row r="335" spans="1:10" ht="30" customHeight="1" x14ac:dyDescent="0.5">
      <c r="A335" s="856" t="s">
        <v>17</v>
      </c>
      <c r="B335" s="830">
        <v>750</v>
      </c>
      <c r="C335" s="830"/>
      <c r="D335" s="830"/>
      <c r="E335" s="830"/>
      <c r="F335" s="828" t="s">
        <v>17</v>
      </c>
      <c r="G335" s="830">
        <v>750</v>
      </c>
      <c r="H335" s="830"/>
      <c r="I335" s="830"/>
      <c r="J335" s="830"/>
    </row>
    <row r="336" spans="1:10" ht="30" customHeight="1" x14ac:dyDescent="0.5">
      <c r="A336" s="856" t="s">
        <v>18</v>
      </c>
      <c r="B336" s="830">
        <v>4000</v>
      </c>
      <c r="C336" s="830"/>
      <c r="D336" s="830"/>
      <c r="E336" s="830"/>
      <c r="F336" s="828" t="s">
        <v>18</v>
      </c>
      <c r="G336" s="830">
        <v>4000</v>
      </c>
      <c r="H336" s="830"/>
      <c r="I336" s="830"/>
      <c r="J336" s="830"/>
    </row>
    <row r="337" spans="1:10" ht="30" customHeight="1" x14ac:dyDescent="0.5">
      <c r="A337" s="856"/>
      <c r="B337" s="830">
        <f>SUM(B324:B336)/E3</f>
        <v>5.0549999999999997</v>
      </c>
      <c r="C337" s="832"/>
      <c r="D337" s="832"/>
      <c r="E337" s="832"/>
      <c r="F337" s="828"/>
      <c r="G337" s="830">
        <f>SUM(G324:G336)/E3</f>
        <v>5.7750000000000004</v>
      </c>
      <c r="H337" s="830"/>
      <c r="I337" s="830"/>
      <c r="J337" s="830"/>
    </row>
    <row r="338" spans="1:10" ht="30" customHeight="1" x14ac:dyDescent="0.5">
      <c r="A338" s="856"/>
      <c r="B338" s="832"/>
      <c r="C338" s="832"/>
      <c r="D338" s="832"/>
      <c r="E338" s="832"/>
      <c r="F338" s="828"/>
      <c r="G338" s="828"/>
      <c r="H338" s="832"/>
      <c r="I338" s="832"/>
      <c r="J338" s="832"/>
    </row>
    <row r="339" spans="1:10" ht="30" customHeight="1" x14ac:dyDescent="0.5"/>
    <row r="340" spans="1:10" ht="30" customHeight="1" x14ac:dyDescent="0.5"/>
    <row r="341" spans="1:10" ht="30" customHeight="1" x14ac:dyDescent="0.5"/>
    <row r="342" spans="1:10" ht="30" customHeight="1" x14ac:dyDescent="0.5"/>
    <row r="343" spans="1:10" ht="30" customHeight="1" x14ac:dyDescent="0.5"/>
    <row r="344" spans="1:10" ht="30" customHeight="1" x14ac:dyDescent="0.5"/>
    <row r="345" spans="1:10" ht="30" customHeight="1" x14ac:dyDescent="0.5"/>
    <row r="346" spans="1:10" ht="30" customHeight="1" x14ac:dyDescent="0.5"/>
    <row r="347" spans="1:10" ht="30" customHeight="1" x14ac:dyDescent="0.5"/>
    <row r="348" spans="1:10" ht="30" customHeight="1" x14ac:dyDescent="0.5"/>
    <row r="349" spans="1:10" ht="30" customHeight="1" x14ac:dyDescent="0.5"/>
    <row r="350" spans="1:10" ht="30" customHeight="1" x14ac:dyDescent="0.5"/>
    <row r="351" spans="1:10" ht="30" customHeight="1" x14ac:dyDescent="0.5"/>
    <row r="352" spans="1:10" ht="30" customHeight="1" x14ac:dyDescent="0.5"/>
    <row r="353" ht="30" customHeight="1" x14ac:dyDescent="0.5"/>
    <row r="354" ht="30" customHeight="1" x14ac:dyDescent="0.5"/>
    <row r="355" ht="30" customHeight="1" x14ac:dyDescent="0.5"/>
    <row r="356" ht="30" customHeight="1" x14ac:dyDescent="0.5"/>
    <row r="357" ht="30" customHeight="1" x14ac:dyDescent="0.5"/>
    <row r="358" ht="30" customHeight="1" x14ac:dyDescent="0.5"/>
    <row r="359" ht="30" customHeight="1" x14ac:dyDescent="0.5"/>
    <row r="360" ht="30" customHeight="1" x14ac:dyDescent="0.5"/>
    <row r="361" ht="30" customHeight="1" x14ac:dyDescent="0.5"/>
    <row r="362" ht="30" customHeight="1" x14ac:dyDescent="0.5"/>
    <row r="363" ht="30" customHeight="1" x14ac:dyDescent="0.5"/>
    <row r="364" ht="30" customHeight="1" x14ac:dyDescent="0.5"/>
    <row r="365" ht="30" customHeight="1" x14ac:dyDescent="0.5"/>
    <row r="366" ht="30" customHeight="1" x14ac:dyDescent="0.5"/>
    <row r="367" ht="30" customHeight="1" x14ac:dyDescent="0.5"/>
    <row r="368" ht="30" customHeight="1" x14ac:dyDescent="0.5"/>
    <row r="369" ht="30" customHeight="1" x14ac:dyDescent="0.5"/>
    <row r="370" ht="30" customHeight="1" x14ac:dyDescent="0.5"/>
    <row r="371" ht="30" customHeight="1" x14ac:dyDescent="0.5"/>
    <row r="372" ht="30" customHeight="1" x14ac:dyDescent="0.5"/>
    <row r="373" ht="30" customHeight="1" x14ac:dyDescent="0.5"/>
    <row r="374" ht="30" customHeight="1" x14ac:dyDescent="0.5"/>
    <row r="375" ht="30" customHeight="1" x14ac:dyDescent="0.5"/>
    <row r="376" ht="30" customHeight="1" x14ac:dyDescent="0.5"/>
    <row r="377" ht="30" customHeight="1" x14ac:dyDescent="0.5"/>
    <row r="378" ht="30" customHeight="1" x14ac:dyDescent="0.5"/>
    <row r="379" ht="30" customHeight="1" x14ac:dyDescent="0.5"/>
    <row r="380" ht="30" customHeight="1" x14ac:dyDescent="0.5"/>
    <row r="381" ht="30" customHeight="1" x14ac:dyDescent="0.5"/>
    <row r="382" ht="30" customHeight="1" x14ac:dyDescent="0.5"/>
    <row r="383" ht="30" customHeight="1" x14ac:dyDescent="0.5"/>
    <row r="384" ht="30" customHeight="1" x14ac:dyDescent="0.5"/>
    <row r="385" ht="30" customHeight="1" x14ac:dyDescent="0.5"/>
    <row r="386" ht="30" customHeight="1" x14ac:dyDescent="0.5"/>
    <row r="387" ht="30" customHeight="1" x14ac:dyDescent="0.5"/>
    <row r="388" ht="30" customHeight="1" x14ac:dyDescent="0.5"/>
    <row r="389" ht="30" customHeight="1" x14ac:dyDescent="0.5"/>
    <row r="390" ht="30" customHeight="1" x14ac:dyDescent="0.5"/>
    <row r="391" ht="30" customHeight="1" x14ac:dyDescent="0.5"/>
    <row r="392" ht="30" customHeight="1" x14ac:dyDescent="0.5"/>
    <row r="393" ht="30" customHeight="1" x14ac:dyDescent="0.5"/>
    <row r="394" ht="30" customHeight="1" x14ac:dyDescent="0.5"/>
    <row r="395" ht="30" customHeight="1" x14ac:dyDescent="0.5"/>
    <row r="396" ht="30" customHeight="1" x14ac:dyDescent="0.5"/>
    <row r="397" ht="30" customHeight="1" x14ac:dyDescent="0.5"/>
    <row r="398" ht="30" customHeight="1" x14ac:dyDescent="0.5"/>
    <row r="399" ht="30" customHeight="1" x14ac:dyDescent="0.5"/>
    <row r="400" ht="30" customHeight="1" x14ac:dyDescent="0.5"/>
    <row r="401" ht="30" customHeight="1" x14ac:dyDescent="0.5"/>
    <row r="402" ht="30" customHeight="1" x14ac:dyDescent="0.5"/>
    <row r="403" ht="30" customHeight="1" x14ac:dyDescent="0.5"/>
    <row r="404" ht="30" customHeight="1" x14ac:dyDescent="0.5"/>
    <row r="405" ht="30" customHeight="1" x14ac:dyDescent="0.5"/>
    <row r="406" ht="30" customHeight="1" x14ac:dyDescent="0.5"/>
    <row r="407" ht="30" customHeight="1" x14ac:dyDescent="0.5"/>
    <row r="408" ht="30" customHeight="1" x14ac:dyDescent="0.5"/>
    <row r="409" ht="30" customHeight="1" x14ac:dyDescent="0.5"/>
    <row r="410" ht="30" customHeight="1" x14ac:dyDescent="0.5"/>
    <row r="411" ht="30" customHeight="1" x14ac:dyDescent="0.5"/>
    <row r="412" ht="30" customHeight="1" x14ac:dyDescent="0.5"/>
    <row r="413" ht="30" customHeight="1" x14ac:dyDescent="0.5"/>
    <row r="414" ht="30" customHeight="1" x14ac:dyDescent="0.5"/>
    <row r="415" ht="30" customHeight="1" x14ac:dyDescent="0.5"/>
    <row r="416" ht="30" customHeight="1" x14ac:dyDescent="0.5"/>
    <row r="417" ht="30" customHeight="1" x14ac:dyDescent="0.5"/>
    <row r="418" ht="30" customHeight="1" x14ac:dyDescent="0.5"/>
    <row r="419" ht="30" customHeight="1" x14ac:dyDescent="0.5"/>
    <row r="420" ht="30" customHeight="1" x14ac:dyDescent="0.5"/>
    <row r="421" ht="30" customHeight="1" x14ac:dyDescent="0.5"/>
    <row r="422" ht="30" customHeight="1" x14ac:dyDescent="0.5"/>
    <row r="423" ht="30" customHeight="1" x14ac:dyDescent="0.5"/>
    <row r="424" ht="30" customHeight="1" x14ac:dyDescent="0.5"/>
    <row r="425" ht="30" customHeight="1" x14ac:dyDescent="0.5"/>
    <row r="426" ht="30" customHeight="1" x14ac:dyDescent="0.5"/>
    <row r="427" ht="30" customHeight="1" x14ac:dyDescent="0.5"/>
    <row r="428" ht="30" customHeight="1" x14ac:dyDescent="0.5"/>
    <row r="429" ht="30" customHeight="1" x14ac:dyDescent="0.5"/>
    <row r="430" ht="30" customHeight="1" x14ac:dyDescent="0.5"/>
    <row r="431" ht="30" customHeight="1" x14ac:dyDescent="0.5"/>
    <row r="432" ht="30" customHeight="1" x14ac:dyDescent="0.5"/>
    <row r="433" ht="30" customHeight="1" x14ac:dyDescent="0.5"/>
    <row r="434" ht="30" customHeight="1" x14ac:dyDescent="0.5"/>
    <row r="435" ht="30" customHeight="1" x14ac:dyDescent="0.5"/>
    <row r="436" ht="30" customHeight="1" x14ac:dyDescent="0.5"/>
    <row r="437" ht="30" customHeight="1" x14ac:dyDescent="0.5"/>
    <row r="438" ht="30" customHeight="1" x14ac:dyDescent="0.5"/>
    <row r="439" ht="30" customHeight="1" x14ac:dyDescent="0.5"/>
    <row r="440" ht="30" customHeight="1" x14ac:dyDescent="0.5"/>
    <row r="441" ht="30" customHeight="1" x14ac:dyDescent="0.5"/>
    <row r="442" ht="30" customHeight="1" x14ac:dyDescent="0.5"/>
    <row r="443" ht="30" customHeight="1" x14ac:dyDescent="0.5"/>
    <row r="444" ht="30" customHeight="1" x14ac:dyDescent="0.5"/>
    <row r="445" ht="30" customHeight="1" x14ac:dyDescent="0.5"/>
    <row r="446" ht="30" customHeight="1" x14ac:dyDescent="0.5"/>
    <row r="447" ht="30" customHeight="1" x14ac:dyDescent="0.5"/>
    <row r="448" ht="30" customHeight="1" x14ac:dyDescent="0.5"/>
    <row r="449" ht="30" customHeight="1" x14ac:dyDescent="0.5"/>
    <row r="450" ht="30" customHeight="1" x14ac:dyDescent="0.5"/>
    <row r="451" ht="30" customHeight="1" x14ac:dyDescent="0.5"/>
    <row r="452" ht="30" customHeight="1" x14ac:dyDescent="0.5"/>
    <row r="453" ht="30" customHeight="1" x14ac:dyDescent="0.5"/>
    <row r="454" ht="30" customHeight="1" x14ac:dyDescent="0.5"/>
    <row r="455" ht="30" customHeight="1" x14ac:dyDescent="0.5"/>
    <row r="456" ht="30" customHeight="1" x14ac:dyDescent="0.5"/>
    <row r="457" ht="30" customHeight="1" x14ac:dyDescent="0.5"/>
    <row r="458" ht="30" customHeight="1" x14ac:dyDescent="0.5"/>
    <row r="459" ht="30" customHeight="1" x14ac:dyDescent="0.5"/>
    <row r="460" ht="30" customHeight="1" x14ac:dyDescent="0.5"/>
    <row r="461" ht="30" customHeight="1" x14ac:dyDescent="0.5"/>
    <row r="462" ht="30" customHeight="1" x14ac:dyDescent="0.5"/>
    <row r="463" ht="30" customHeight="1" x14ac:dyDescent="0.5"/>
    <row r="464" ht="30" customHeight="1" x14ac:dyDescent="0.5"/>
    <row r="465" ht="30" customHeight="1" x14ac:dyDescent="0.5"/>
    <row r="466" ht="30" customHeight="1" x14ac:dyDescent="0.5"/>
    <row r="467" ht="30" customHeight="1" x14ac:dyDescent="0.5"/>
    <row r="468" ht="30" customHeight="1" x14ac:dyDescent="0.5"/>
    <row r="469" ht="30" customHeight="1" x14ac:dyDescent="0.5"/>
    <row r="470" ht="30" customHeight="1" x14ac:dyDescent="0.5"/>
    <row r="471" ht="30" customHeight="1" x14ac:dyDescent="0.5"/>
    <row r="472" ht="30" customHeight="1" x14ac:dyDescent="0.5"/>
    <row r="473" ht="30" customHeight="1" x14ac:dyDescent="0.5"/>
    <row r="474" ht="30" customHeight="1" x14ac:dyDescent="0.5"/>
    <row r="475" ht="30" customHeight="1" x14ac:dyDescent="0.5"/>
    <row r="476" ht="30" customHeight="1" x14ac:dyDescent="0.5"/>
    <row r="477" ht="30" customHeight="1" x14ac:dyDescent="0.5"/>
    <row r="478" ht="30" customHeight="1" x14ac:dyDescent="0.5"/>
    <row r="479" ht="30" customHeight="1" x14ac:dyDescent="0.5"/>
    <row r="480" ht="30" customHeight="1" x14ac:dyDescent="0.5"/>
    <row r="481" ht="30" customHeight="1" x14ac:dyDescent="0.5"/>
    <row r="482" ht="30" customHeight="1" x14ac:dyDescent="0.5"/>
    <row r="483" ht="30" customHeight="1" x14ac:dyDescent="0.5"/>
    <row r="484" ht="30" customHeight="1" x14ac:dyDescent="0.5"/>
    <row r="485" ht="30" customHeight="1" x14ac:dyDescent="0.5"/>
    <row r="486" ht="30" customHeight="1" x14ac:dyDescent="0.5"/>
    <row r="487" ht="30" customHeight="1" x14ac:dyDescent="0.5"/>
    <row r="488" ht="30" customHeight="1" x14ac:dyDescent="0.5"/>
    <row r="489" ht="30" customHeight="1" x14ac:dyDescent="0.5"/>
    <row r="490" ht="30" customHeight="1" x14ac:dyDescent="0.5"/>
    <row r="491" ht="30" customHeight="1" x14ac:dyDescent="0.5"/>
    <row r="492" ht="30" customHeight="1" x14ac:dyDescent="0.5"/>
    <row r="493" ht="30" customHeight="1" x14ac:dyDescent="0.5"/>
    <row r="494" ht="30" customHeight="1" x14ac:dyDescent="0.5"/>
    <row r="495" ht="30" customHeight="1" x14ac:dyDescent="0.5"/>
    <row r="496" ht="30" customHeight="1" x14ac:dyDescent="0.5"/>
    <row r="497" ht="30" customHeight="1" x14ac:dyDescent="0.5"/>
    <row r="498" ht="30" customHeight="1" x14ac:dyDescent="0.5"/>
    <row r="499" ht="30" customHeight="1" x14ac:dyDescent="0.5"/>
    <row r="500" ht="30" customHeight="1" x14ac:dyDescent="0.5"/>
    <row r="501" ht="30" customHeight="1" x14ac:dyDescent="0.5"/>
    <row r="502" ht="30" customHeight="1" x14ac:dyDescent="0.5"/>
    <row r="503" ht="30" customHeight="1" x14ac:dyDescent="0.5"/>
    <row r="504" ht="30" customHeight="1" x14ac:dyDescent="0.5"/>
    <row r="505" ht="30" customHeight="1" x14ac:dyDescent="0.5"/>
    <row r="506" ht="30" customHeight="1" x14ac:dyDescent="0.5"/>
    <row r="507" ht="30" customHeight="1" x14ac:dyDescent="0.5"/>
    <row r="508" ht="30" customHeight="1" x14ac:dyDescent="0.5"/>
    <row r="509" ht="30" customHeight="1" x14ac:dyDescent="0.5"/>
    <row r="510" ht="30" customHeight="1" x14ac:dyDescent="0.5"/>
    <row r="511" ht="30" customHeight="1" x14ac:dyDescent="0.5"/>
    <row r="512" ht="30" customHeight="1" x14ac:dyDescent="0.5"/>
    <row r="513" ht="30" customHeight="1" x14ac:dyDescent="0.5"/>
    <row r="514" ht="30" customHeight="1" x14ac:dyDescent="0.5"/>
    <row r="515" ht="30" customHeight="1" x14ac:dyDescent="0.5"/>
    <row r="516" ht="30" customHeight="1" x14ac:dyDescent="0.5"/>
    <row r="517" ht="30" customHeight="1" x14ac:dyDescent="0.5"/>
    <row r="518" ht="30" customHeight="1" x14ac:dyDescent="0.5"/>
    <row r="519" ht="30" customHeight="1" x14ac:dyDescent="0.5"/>
    <row r="520" ht="30" customHeight="1" x14ac:dyDescent="0.5"/>
    <row r="521" ht="30" customHeight="1" x14ac:dyDescent="0.5"/>
    <row r="522" ht="30" customHeight="1" x14ac:dyDescent="0.5"/>
    <row r="523" ht="30" customHeight="1" x14ac:dyDescent="0.5"/>
    <row r="524" ht="30" customHeight="1" x14ac:dyDescent="0.5"/>
    <row r="525" ht="30" customHeight="1" x14ac:dyDescent="0.5"/>
    <row r="526" ht="30" customHeight="1" x14ac:dyDescent="0.5"/>
    <row r="527" ht="30" customHeight="1" x14ac:dyDescent="0.5"/>
    <row r="528" ht="30" customHeight="1" x14ac:dyDescent="0.5"/>
    <row r="529" ht="30" customHeight="1" x14ac:dyDescent="0.5"/>
    <row r="530" ht="30" customHeight="1" x14ac:dyDescent="0.5"/>
    <row r="531" ht="30" customHeight="1" x14ac:dyDescent="0.5"/>
    <row r="532" ht="30" customHeight="1" x14ac:dyDescent="0.5"/>
    <row r="533" ht="30" customHeight="1" x14ac:dyDescent="0.5"/>
    <row r="534" ht="30" customHeight="1" x14ac:dyDescent="0.5"/>
    <row r="535" ht="30" customHeight="1" x14ac:dyDescent="0.5"/>
    <row r="536" ht="30" customHeight="1" x14ac:dyDescent="0.5"/>
    <row r="537" ht="30" customHeight="1" x14ac:dyDescent="0.5"/>
    <row r="538" ht="30" customHeight="1" x14ac:dyDescent="0.5"/>
    <row r="539" ht="30" customHeight="1" x14ac:dyDescent="0.5"/>
    <row r="540" ht="30" customHeight="1" x14ac:dyDescent="0.5"/>
    <row r="541" ht="30" customHeight="1" x14ac:dyDescent="0.5"/>
    <row r="542" ht="30" customHeight="1" x14ac:dyDescent="0.5"/>
    <row r="543" ht="30" customHeight="1" x14ac:dyDescent="0.5"/>
    <row r="544" ht="30" customHeight="1" x14ac:dyDescent="0.5"/>
    <row r="545" ht="30" customHeight="1" x14ac:dyDescent="0.5"/>
    <row r="546" ht="30" customHeight="1" x14ac:dyDescent="0.5"/>
    <row r="547" ht="30" customHeight="1" x14ac:dyDescent="0.5"/>
    <row r="548" ht="30" customHeight="1" x14ac:dyDescent="0.5"/>
    <row r="549" ht="30" customHeight="1" x14ac:dyDescent="0.5"/>
    <row r="550" ht="30" customHeight="1" x14ac:dyDescent="0.5"/>
    <row r="551" ht="30" customHeight="1" x14ac:dyDescent="0.5"/>
    <row r="552" ht="30" customHeight="1" x14ac:dyDescent="0.5"/>
    <row r="553" ht="30" customHeight="1" x14ac:dyDescent="0.5"/>
    <row r="554" ht="30" customHeight="1" x14ac:dyDescent="0.5"/>
    <row r="555" ht="30" customHeight="1" x14ac:dyDescent="0.5"/>
    <row r="556" ht="30" customHeight="1" x14ac:dyDescent="0.5"/>
    <row r="557" ht="30" customHeight="1" x14ac:dyDescent="0.5"/>
    <row r="558" ht="30" customHeight="1" x14ac:dyDescent="0.5"/>
    <row r="559" ht="30" customHeight="1" x14ac:dyDescent="0.5"/>
    <row r="560" ht="30" customHeight="1" x14ac:dyDescent="0.5"/>
    <row r="561" ht="30" customHeight="1" x14ac:dyDescent="0.5"/>
    <row r="562" ht="30" customHeight="1" x14ac:dyDescent="0.5"/>
    <row r="563" ht="30" customHeight="1" x14ac:dyDescent="0.5"/>
    <row r="564" ht="30" customHeight="1" x14ac:dyDescent="0.5"/>
    <row r="565" ht="30" customHeight="1" x14ac:dyDescent="0.5"/>
    <row r="566" ht="30" customHeight="1" x14ac:dyDescent="0.5"/>
    <row r="567" ht="30" customHeight="1" x14ac:dyDescent="0.5"/>
    <row r="568" ht="30" customHeight="1" x14ac:dyDescent="0.5"/>
    <row r="569" ht="30" customHeight="1" x14ac:dyDescent="0.5"/>
    <row r="570" ht="30" customHeight="1" x14ac:dyDescent="0.5"/>
    <row r="571" ht="30" customHeight="1" x14ac:dyDescent="0.5"/>
    <row r="572" ht="30" customHeight="1" x14ac:dyDescent="0.5"/>
    <row r="573" ht="30" customHeight="1" x14ac:dyDescent="0.5"/>
    <row r="574" ht="30" customHeight="1" x14ac:dyDescent="0.5"/>
    <row r="575" ht="30" customHeight="1" x14ac:dyDescent="0.5"/>
    <row r="576" ht="30" customHeight="1" x14ac:dyDescent="0.5"/>
    <row r="577" ht="30" customHeight="1" x14ac:dyDescent="0.5"/>
    <row r="578" ht="30" customHeight="1" x14ac:dyDescent="0.5"/>
    <row r="579" ht="30" customHeight="1" x14ac:dyDescent="0.5"/>
    <row r="580" ht="30" customHeight="1" x14ac:dyDescent="0.5"/>
    <row r="581" ht="30" customHeight="1" x14ac:dyDescent="0.5"/>
    <row r="582" ht="30" customHeight="1" x14ac:dyDescent="0.5"/>
    <row r="583" ht="30" customHeight="1" x14ac:dyDescent="0.5"/>
    <row r="584" ht="30" customHeight="1" x14ac:dyDescent="0.5"/>
    <row r="585" ht="30" customHeight="1" x14ac:dyDescent="0.5"/>
    <row r="586" ht="30" customHeight="1" x14ac:dyDescent="0.5"/>
    <row r="587" ht="30" customHeight="1" x14ac:dyDescent="0.5"/>
    <row r="588" ht="30" customHeight="1" x14ac:dyDescent="0.5"/>
    <row r="589" ht="30" customHeight="1" x14ac:dyDescent="0.5"/>
    <row r="590" ht="30" customHeight="1" x14ac:dyDescent="0.5"/>
    <row r="591" ht="30" customHeight="1" x14ac:dyDescent="0.5"/>
    <row r="592" ht="30" customHeight="1" x14ac:dyDescent="0.5"/>
    <row r="593" ht="30" customHeight="1" x14ac:dyDescent="0.5"/>
    <row r="594" ht="30" customHeight="1" x14ac:dyDescent="0.5"/>
    <row r="595" ht="30" customHeight="1" x14ac:dyDescent="0.5"/>
    <row r="596" ht="30" customHeight="1" x14ac:dyDescent="0.5"/>
    <row r="597" ht="30" customHeight="1" x14ac:dyDescent="0.5"/>
    <row r="598" ht="30" customHeight="1" x14ac:dyDescent="0.5"/>
    <row r="599" ht="30" customHeight="1" x14ac:dyDescent="0.5"/>
    <row r="600" ht="30" customHeight="1" x14ac:dyDescent="0.5"/>
    <row r="601" ht="30" customHeight="1" x14ac:dyDescent="0.5"/>
    <row r="602" ht="30" customHeight="1" x14ac:dyDescent="0.5"/>
    <row r="603" ht="30" customHeight="1" x14ac:dyDescent="0.5"/>
    <row r="604" ht="30" customHeight="1" x14ac:dyDescent="0.5"/>
    <row r="605" ht="30" customHeight="1" x14ac:dyDescent="0.5"/>
    <row r="606" ht="30" customHeight="1" x14ac:dyDescent="0.5"/>
    <row r="607" ht="30" customHeight="1" x14ac:dyDescent="0.5"/>
    <row r="608" ht="30" customHeight="1" x14ac:dyDescent="0.5"/>
    <row r="609" ht="30" customHeight="1" x14ac:dyDescent="0.5"/>
    <row r="610" ht="30" customHeight="1" x14ac:dyDescent="0.5"/>
    <row r="611" ht="30" customHeight="1" x14ac:dyDescent="0.5"/>
    <row r="612" ht="30" customHeight="1" x14ac:dyDescent="0.5"/>
    <row r="613" ht="30" customHeight="1" x14ac:dyDescent="0.5"/>
    <row r="614" ht="30" customHeight="1" x14ac:dyDescent="0.5"/>
    <row r="615" ht="30" customHeight="1" x14ac:dyDescent="0.5"/>
    <row r="616" ht="30" customHeight="1" x14ac:dyDescent="0.5"/>
    <row r="617" ht="30" customHeight="1" x14ac:dyDescent="0.5"/>
    <row r="618" ht="30" customHeight="1" x14ac:dyDescent="0.5"/>
    <row r="619" ht="30" customHeight="1" x14ac:dyDescent="0.5"/>
    <row r="620" ht="30" customHeight="1" x14ac:dyDescent="0.5"/>
    <row r="621" ht="30" customHeight="1" x14ac:dyDescent="0.5"/>
    <row r="622" ht="30" customHeight="1" x14ac:dyDescent="0.5"/>
    <row r="623" ht="30" customHeight="1" x14ac:dyDescent="0.5"/>
    <row r="624" ht="30" customHeight="1" x14ac:dyDescent="0.5"/>
    <row r="625" ht="30" customHeight="1" x14ac:dyDescent="0.5"/>
    <row r="626" ht="30" customHeight="1" x14ac:dyDescent="0.5"/>
    <row r="627" ht="30" customHeight="1" x14ac:dyDescent="0.5"/>
    <row r="628" ht="30" customHeight="1" x14ac:dyDescent="0.5"/>
    <row r="629" ht="30" customHeight="1" x14ac:dyDescent="0.5"/>
    <row r="630" ht="30" customHeight="1" x14ac:dyDescent="0.5"/>
    <row r="631" ht="30" customHeight="1" x14ac:dyDescent="0.5"/>
    <row r="632" ht="30" customHeight="1" x14ac:dyDescent="0.5"/>
    <row r="633" ht="30" customHeight="1" x14ac:dyDescent="0.5"/>
    <row r="634" ht="30" customHeight="1" x14ac:dyDescent="0.5"/>
    <row r="635" ht="30" customHeight="1" x14ac:dyDescent="0.5"/>
    <row r="636" ht="30" customHeight="1" x14ac:dyDescent="0.5"/>
    <row r="637" ht="30" customHeight="1" x14ac:dyDescent="0.5"/>
    <row r="638" ht="30" customHeight="1" x14ac:dyDescent="0.5"/>
    <row r="639" ht="30" customHeight="1" x14ac:dyDescent="0.5"/>
    <row r="640" ht="30" customHeight="1" x14ac:dyDescent="0.5"/>
    <row r="641" ht="30" customHeight="1" x14ac:dyDescent="0.5"/>
    <row r="642" ht="30" customHeight="1" x14ac:dyDescent="0.5"/>
    <row r="643" ht="30" customHeight="1" x14ac:dyDescent="0.5"/>
    <row r="644" ht="30" customHeight="1" x14ac:dyDescent="0.5"/>
  </sheetData>
  <mergeCells count="108">
    <mergeCell ref="F306:G306"/>
    <mergeCell ref="C307:E307"/>
    <mergeCell ref="H309:J309"/>
    <mergeCell ref="A322:B322"/>
    <mergeCell ref="F322:G322"/>
    <mergeCell ref="A323:B323"/>
    <mergeCell ref="F323:G323"/>
    <mergeCell ref="A287:B287"/>
    <mergeCell ref="F287:G287"/>
    <mergeCell ref="F288:G288"/>
    <mergeCell ref="H291:J291"/>
    <mergeCell ref="B304:E304"/>
    <mergeCell ref="A305:B305"/>
    <mergeCell ref="F305:J305"/>
    <mergeCell ref="B270:E270"/>
    <mergeCell ref="C274:E274"/>
    <mergeCell ref="H274:J274"/>
    <mergeCell ref="A286:B286"/>
    <mergeCell ref="C286:E286"/>
    <mergeCell ref="C243:E243"/>
    <mergeCell ref="H243:J243"/>
    <mergeCell ref="B255:E255"/>
    <mergeCell ref="G255:J255"/>
    <mergeCell ref="C259:E259"/>
    <mergeCell ref="H259:J259"/>
    <mergeCell ref="A240:B240"/>
    <mergeCell ref="C240:E240"/>
    <mergeCell ref="F240:G240"/>
    <mergeCell ref="H240:J240"/>
    <mergeCell ref="A241:B241"/>
    <mergeCell ref="F241:G241"/>
    <mergeCell ref="H211:J211"/>
    <mergeCell ref="C212:E212"/>
    <mergeCell ref="B223:E223"/>
    <mergeCell ref="G223:J223"/>
    <mergeCell ref="C227:E227"/>
    <mergeCell ref="H227:J227"/>
    <mergeCell ref="F194:G194"/>
    <mergeCell ref="H196:J196"/>
    <mergeCell ref="F208:G208"/>
    <mergeCell ref="H208:J208"/>
    <mergeCell ref="F209:G209"/>
    <mergeCell ref="B177:E177"/>
    <mergeCell ref="C181:E181"/>
    <mergeCell ref="H181:J181"/>
    <mergeCell ref="F193:G193"/>
    <mergeCell ref="H193:J193"/>
    <mergeCell ref="C150:E150"/>
    <mergeCell ref="H150:J150"/>
    <mergeCell ref="C164:E164"/>
    <mergeCell ref="H164:J164"/>
    <mergeCell ref="C166:E166"/>
    <mergeCell ref="H166:J166"/>
    <mergeCell ref="A147:B147"/>
    <mergeCell ref="C147:E147"/>
    <mergeCell ref="F147:G147"/>
    <mergeCell ref="H147:J147"/>
    <mergeCell ref="A148:B148"/>
    <mergeCell ref="F148:G148"/>
    <mergeCell ref="C120:E120"/>
    <mergeCell ref="H120:J120"/>
    <mergeCell ref="B131:E131"/>
    <mergeCell ref="G131:J131"/>
    <mergeCell ref="H134:J134"/>
    <mergeCell ref="C135:E135"/>
    <mergeCell ref="A102:B102"/>
    <mergeCell ref="F102:G102"/>
    <mergeCell ref="C104:E104"/>
    <mergeCell ref="H104:J104"/>
    <mergeCell ref="B116:E116"/>
    <mergeCell ref="G116:J116"/>
    <mergeCell ref="C86:E86"/>
    <mergeCell ref="H89:J89"/>
    <mergeCell ref="D90:E90"/>
    <mergeCell ref="A101:B101"/>
    <mergeCell ref="F101:G101"/>
    <mergeCell ref="H101:J101"/>
    <mergeCell ref="H64:J64"/>
    <mergeCell ref="C70:E70"/>
    <mergeCell ref="A81:J81"/>
    <mergeCell ref="F82:G82"/>
    <mergeCell ref="H82:J82"/>
    <mergeCell ref="F83:G83"/>
    <mergeCell ref="A46:B46"/>
    <mergeCell ref="F46:G46"/>
    <mergeCell ref="C51:E51"/>
    <mergeCell ref="C63:E63"/>
    <mergeCell ref="A64:B64"/>
    <mergeCell ref="F64:G64"/>
    <mergeCell ref="F31:G31"/>
    <mergeCell ref="H31:J31"/>
    <mergeCell ref="A32:B32"/>
    <mergeCell ref="F32:G32"/>
    <mergeCell ref="D38:E38"/>
    <mergeCell ref="A44:J44"/>
    <mergeCell ref="D11:E11"/>
    <mergeCell ref="A17:E17"/>
    <mergeCell ref="A18:B18"/>
    <mergeCell ref="A19:B19"/>
    <mergeCell ref="D26:E26"/>
    <mergeCell ref="A31:B31"/>
    <mergeCell ref="C31:E31"/>
    <mergeCell ref="A2:J2"/>
    <mergeCell ref="A3:B3"/>
    <mergeCell ref="F3:G3"/>
    <mergeCell ref="H3:J3"/>
    <mergeCell ref="A4:B4"/>
    <mergeCell ref="C6:E6"/>
  </mergeCells>
  <pageMargins left="0.7" right="0.7" top="0.75" bottom="0.75" header="0.3" footer="0.3"/>
  <pageSetup paperSize="9" orientation="portrait" horizontalDpi="0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F30"/>
  <sheetViews>
    <sheetView workbookViewId="0">
      <selection activeCell="C24" sqref="C24"/>
    </sheetView>
  </sheetViews>
  <sheetFormatPr baseColWidth="10" defaultRowHeight="15" x14ac:dyDescent="0.25"/>
  <cols>
    <col min="1" max="1" width="32.5703125" bestFit="1" customWidth="1"/>
    <col min="2" max="2" width="13.28515625" bestFit="1" customWidth="1"/>
    <col min="3" max="3" width="6.140625" customWidth="1"/>
    <col min="6" max="6" width="12.7109375" bestFit="1" customWidth="1"/>
  </cols>
  <sheetData>
    <row r="2" spans="1:6" ht="29.25" customHeight="1" x14ac:dyDescent="0.55000000000000004">
      <c r="A2" s="1080" t="s">
        <v>361</v>
      </c>
      <c r="B2" s="1080"/>
      <c r="C2" s="550"/>
      <c r="D2" s="550"/>
      <c r="E2" s="550"/>
      <c r="F2" s="556">
        <v>3700</v>
      </c>
    </row>
    <row r="3" spans="1:6" ht="19.5" customHeight="1" x14ac:dyDescent="0.35">
      <c r="A3" s="1080" t="s">
        <v>360</v>
      </c>
      <c r="B3" s="1080"/>
      <c r="C3" s="373"/>
      <c r="D3" s="373"/>
      <c r="E3" s="373"/>
      <c r="F3" s="373"/>
    </row>
    <row r="4" spans="1:6" ht="26.1" customHeight="1" x14ac:dyDescent="0.35">
      <c r="A4" s="372" t="s">
        <v>9</v>
      </c>
      <c r="B4" s="387">
        <f>0.6*6*3700/5</f>
        <v>2663.9999999999995</v>
      </c>
      <c r="C4" s="373"/>
      <c r="D4" s="373"/>
      <c r="E4" s="373"/>
      <c r="F4" s="373"/>
    </row>
    <row r="5" spans="1:6" ht="26.1" customHeight="1" x14ac:dyDescent="0.35">
      <c r="A5" s="372" t="s">
        <v>280</v>
      </c>
      <c r="B5" s="387">
        <f>0.6*13000/5</f>
        <v>1560</v>
      </c>
      <c r="C5" s="373"/>
      <c r="D5" s="373"/>
      <c r="E5" s="373"/>
      <c r="F5" s="373"/>
    </row>
    <row r="6" spans="1:6" ht="26.1" customHeight="1" x14ac:dyDescent="0.35">
      <c r="A6" s="372" t="s">
        <v>139</v>
      </c>
      <c r="B6" s="387">
        <v>1500</v>
      </c>
      <c r="C6" s="373"/>
      <c r="D6" s="373"/>
      <c r="E6" s="373"/>
      <c r="F6" s="373"/>
    </row>
    <row r="7" spans="1:6" ht="26.1" customHeight="1" x14ac:dyDescent="0.35">
      <c r="A7" s="372" t="s">
        <v>187</v>
      </c>
      <c r="B7" s="387">
        <v>1000</v>
      </c>
      <c r="C7" s="373"/>
      <c r="D7" s="373"/>
      <c r="E7" s="373"/>
      <c r="F7" s="373"/>
    </row>
    <row r="8" spans="1:6" ht="26.1" customHeight="1" x14ac:dyDescent="0.55000000000000004">
      <c r="A8" s="372" t="s">
        <v>1</v>
      </c>
      <c r="B8" s="387">
        <v>700</v>
      </c>
      <c r="C8" s="373"/>
      <c r="D8" s="1081"/>
      <c r="E8" s="1081"/>
      <c r="F8" s="1081"/>
    </row>
    <row r="9" spans="1:6" ht="26.1" customHeight="1" x14ac:dyDescent="0.35">
      <c r="A9" s="372" t="s">
        <v>10</v>
      </c>
      <c r="B9" s="387">
        <v>4000</v>
      </c>
      <c r="C9" s="373"/>
      <c r="D9" s="378" t="s">
        <v>22</v>
      </c>
      <c r="E9" s="378" t="s">
        <v>359</v>
      </c>
      <c r="F9" s="378" t="s">
        <v>24</v>
      </c>
    </row>
    <row r="10" spans="1:6" ht="26.1" customHeight="1" x14ac:dyDescent="0.35">
      <c r="A10" s="372" t="s">
        <v>27</v>
      </c>
      <c r="B10" s="387">
        <v>0</v>
      </c>
      <c r="C10" s="373"/>
      <c r="D10" s="502">
        <v>45</v>
      </c>
      <c r="E10" s="502">
        <v>75</v>
      </c>
      <c r="F10" s="502">
        <v>99</v>
      </c>
    </row>
    <row r="11" spans="1:6" ht="26.1" customHeight="1" x14ac:dyDescent="0.35">
      <c r="A11" s="372" t="s">
        <v>44</v>
      </c>
      <c r="B11" s="387">
        <v>200</v>
      </c>
      <c r="C11" s="373"/>
      <c r="D11" s="549">
        <f>B15*1.45</f>
        <v>6.0053513513513508</v>
      </c>
      <c r="E11" s="549">
        <f>B15*1.7</f>
        <v>7.0407567567567559</v>
      </c>
      <c r="F11" s="549">
        <f>B15*1.9</f>
        <v>7.8690810810810801</v>
      </c>
    </row>
    <row r="12" spans="1:6" ht="26.1" customHeight="1" x14ac:dyDescent="0.35">
      <c r="A12" s="372" t="s">
        <v>106</v>
      </c>
      <c r="B12" s="387">
        <v>0</v>
      </c>
      <c r="C12" s="373"/>
      <c r="D12" s="373"/>
      <c r="E12" s="373"/>
      <c r="F12" s="373"/>
    </row>
    <row r="13" spans="1:6" ht="26.1" customHeight="1" x14ac:dyDescent="0.35">
      <c r="A13" s="372" t="s">
        <v>16</v>
      </c>
      <c r="B13" s="387">
        <v>0</v>
      </c>
      <c r="C13" s="373"/>
      <c r="D13" s="373"/>
      <c r="E13" s="1079"/>
      <c r="F13" s="1079"/>
    </row>
    <row r="14" spans="1:6" ht="26.1" customHeight="1" thickBot="1" x14ac:dyDescent="0.4">
      <c r="A14" s="372" t="s">
        <v>18</v>
      </c>
      <c r="B14" s="479">
        <v>3700</v>
      </c>
      <c r="C14" s="373"/>
      <c r="D14" s="373"/>
      <c r="E14" s="1079"/>
      <c r="F14" s="1079"/>
    </row>
    <row r="15" spans="1:6" ht="26.1" customHeight="1" x14ac:dyDescent="0.35">
      <c r="A15" s="372"/>
      <c r="B15" s="377">
        <f>SUM(B4:B14)/F2</f>
        <v>4.1416216216216215</v>
      </c>
      <c r="C15" s="373"/>
      <c r="D15" s="373"/>
      <c r="E15" s="1079"/>
      <c r="F15" s="1079"/>
    </row>
    <row r="16" spans="1:6" ht="26.1" customHeight="1" x14ac:dyDescent="0.35">
      <c r="A16" s="372"/>
      <c r="B16" s="373"/>
      <c r="C16" s="373"/>
      <c r="D16" s="373"/>
      <c r="E16" s="1079"/>
      <c r="F16" s="1079"/>
    </row>
    <row r="18" spans="1:6" ht="36" x14ac:dyDescent="0.55000000000000004">
      <c r="A18" s="1080" t="s">
        <v>362</v>
      </c>
      <c r="B18" s="1080"/>
      <c r="C18" s="552"/>
      <c r="D18" s="552"/>
      <c r="E18" s="552"/>
      <c r="F18" s="556">
        <v>3900</v>
      </c>
    </row>
    <row r="19" spans="1:6" ht="23.25" x14ac:dyDescent="0.35">
      <c r="A19" s="1080" t="s">
        <v>360</v>
      </c>
      <c r="B19" s="1080"/>
      <c r="C19" s="373"/>
      <c r="D19" s="373"/>
      <c r="E19" s="373"/>
      <c r="F19" s="373"/>
    </row>
    <row r="20" spans="1:6" ht="23.25" x14ac:dyDescent="0.35">
      <c r="A20" s="372" t="s">
        <v>9</v>
      </c>
      <c r="B20" s="387">
        <f>1.8/6*F18</f>
        <v>1170</v>
      </c>
      <c r="C20" s="373"/>
      <c r="D20" s="373"/>
      <c r="E20" s="373"/>
      <c r="F20" s="373"/>
    </row>
    <row r="21" spans="1:6" ht="23.25" x14ac:dyDescent="0.35">
      <c r="A21" s="372" t="s">
        <v>139</v>
      </c>
      <c r="B21" s="387">
        <v>500</v>
      </c>
      <c r="C21" s="373"/>
      <c r="D21" s="373"/>
      <c r="E21" s="373"/>
      <c r="F21" s="373"/>
    </row>
    <row r="22" spans="1:6" ht="23.25" x14ac:dyDescent="0.35">
      <c r="A22" s="372" t="s">
        <v>58</v>
      </c>
      <c r="B22" s="387">
        <v>1500</v>
      </c>
      <c r="C22" s="373"/>
      <c r="D22" s="373"/>
      <c r="E22" s="373"/>
      <c r="F22" s="373"/>
    </row>
    <row r="23" spans="1:6" ht="24.75" customHeight="1" x14ac:dyDescent="0.55000000000000004">
      <c r="A23" s="557" t="s">
        <v>1</v>
      </c>
      <c r="B23" s="558">
        <v>300</v>
      </c>
      <c r="C23" s="373"/>
      <c r="D23" s="1081"/>
      <c r="E23" s="1081"/>
      <c r="F23" s="1081"/>
    </row>
    <row r="24" spans="1:6" ht="23.25" x14ac:dyDescent="0.35">
      <c r="A24" s="372" t="s">
        <v>10</v>
      </c>
      <c r="B24" s="387">
        <v>2000</v>
      </c>
      <c r="C24" s="373"/>
      <c r="D24" s="378" t="s">
        <v>22</v>
      </c>
      <c r="E24" s="378" t="s">
        <v>359</v>
      </c>
      <c r="F24" s="378" t="s">
        <v>24</v>
      </c>
    </row>
    <row r="25" spans="1:6" ht="23.25" x14ac:dyDescent="0.35">
      <c r="A25" s="372" t="s">
        <v>27</v>
      </c>
      <c r="B25" s="387">
        <v>200</v>
      </c>
      <c r="C25" s="373"/>
      <c r="D25" s="502">
        <v>45</v>
      </c>
      <c r="E25" s="502">
        <v>75</v>
      </c>
      <c r="F25" s="502">
        <v>99</v>
      </c>
    </row>
    <row r="26" spans="1:6" ht="23.25" x14ac:dyDescent="0.35">
      <c r="A26" s="372" t="s">
        <v>28</v>
      </c>
      <c r="B26" s="387">
        <v>100</v>
      </c>
      <c r="C26" s="373"/>
      <c r="D26" s="551">
        <f>B30*1.45</f>
        <v>3.5580769230769231</v>
      </c>
      <c r="E26" s="551">
        <f>B30*1.75</f>
        <v>4.2942307692307695</v>
      </c>
      <c r="F26" s="551">
        <f>B30*1.99</f>
        <v>4.8831538461538466</v>
      </c>
    </row>
    <row r="27" spans="1:6" ht="23.25" x14ac:dyDescent="0.35">
      <c r="A27" s="372" t="s">
        <v>106</v>
      </c>
      <c r="B27" s="387">
        <v>500</v>
      </c>
      <c r="C27" s="373"/>
      <c r="D27" s="373"/>
      <c r="E27" s="373"/>
      <c r="F27" s="373"/>
    </row>
    <row r="28" spans="1:6" ht="23.25" x14ac:dyDescent="0.35">
      <c r="A28" s="372" t="s">
        <v>16</v>
      </c>
      <c r="B28" s="387">
        <v>300</v>
      </c>
      <c r="C28" s="373"/>
      <c r="D28" s="373"/>
      <c r="E28" s="1079"/>
      <c r="F28" s="1079"/>
    </row>
    <row r="29" spans="1:6" ht="24" thickBot="1" x14ac:dyDescent="0.4">
      <c r="A29" s="372" t="s">
        <v>18</v>
      </c>
      <c r="B29" s="479">
        <v>3000</v>
      </c>
      <c r="C29" s="373"/>
      <c r="D29" s="373"/>
      <c r="E29" s="1079"/>
      <c r="F29" s="1079"/>
    </row>
    <row r="30" spans="1:6" ht="23.25" x14ac:dyDescent="0.35">
      <c r="A30" s="372"/>
      <c r="B30" s="377">
        <f>SUM(B20:B29)/F18</f>
        <v>2.453846153846154</v>
      </c>
      <c r="C30" s="373"/>
      <c r="D30" s="373"/>
      <c r="E30" s="1079"/>
      <c r="F30" s="1079"/>
    </row>
  </sheetData>
  <mergeCells count="13">
    <mergeCell ref="E16:F16"/>
    <mergeCell ref="A2:B2"/>
    <mergeCell ref="A3:B3"/>
    <mergeCell ref="D8:F8"/>
    <mergeCell ref="E13:F13"/>
    <mergeCell ref="E14:F14"/>
    <mergeCell ref="E15:F15"/>
    <mergeCell ref="E30:F30"/>
    <mergeCell ref="A18:B18"/>
    <mergeCell ref="A19:B19"/>
    <mergeCell ref="D23:F23"/>
    <mergeCell ref="E28:F28"/>
    <mergeCell ref="E29:F29"/>
  </mergeCells>
  <pageMargins left="0.7" right="0.7" top="0.75" bottom="0.75" header="0.3" footer="0.3"/>
  <pageSetup paperSize="9" orientation="portrait" horizontalDpi="0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C7CCC-EFB7-4EB0-80E0-986727C6CBD0}">
  <dimension ref="A2:G15"/>
  <sheetViews>
    <sheetView workbookViewId="0">
      <selection activeCell="C24" sqref="C24"/>
    </sheetView>
  </sheetViews>
  <sheetFormatPr baseColWidth="10" defaultRowHeight="15" x14ac:dyDescent="0.25"/>
  <cols>
    <col min="1" max="1" width="33.5703125" style="570" customWidth="1"/>
    <col min="2" max="2" width="14" style="570" customWidth="1"/>
    <col min="3" max="7" width="11.42578125" style="570"/>
  </cols>
  <sheetData>
    <row r="2" spans="1:6" ht="36" x14ac:dyDescent="0.55000000000000004">
      <c r="A2" s="1082" t="s">
        <v>369</v>
      </c>
      <c r="B2" s="1082"/>
      <c r="C2" s="561"/>
      <c r="D2" s="561"/>
      <c r="E2" s="561"/>
      <c r="F2" s="562">
        <v>4000</v>
      </c>
    </row>
    <row r="3" spans="1:6" ht="23.25" x14ac:dyDescent="0.35">
      <c r="A3" s="1082"/>
      <c r="B3" s="1082"/>
      <c r="C3" s="563"/>
      <c r="D3" s="563"/>
      <c r="E3" s="563"/>
      <c r="F3" s="563"/>
    </row>
    <row r="4" spans="1:6" ht="23.25" x14ac:dyDescent="0.35">
      <c r="A4" s="63" t="s">
        <v>368</v>
      </c>
      <c r="B4" s="564">
        <v>9500</v>
      </c>
      <c r="C4" s="563"/>
      <c r="D4" s="563"/>
      <c r="E4" s="563"/>
      <c r="F4" s="563"/>
    </row>
    <row r="5" spans="1:6" ht="23.25" x14ac:dyDescent="0.35">
      <c r="A5" s="63" t="s">
        <v>139</v>
      </c>
      <c r="B5" s="564">
        <v>500</v>
      </c>
      <c r="C5" s="563"/>
      <c r="D5" s="563"/>
      <c r="E5" s="563"/>
      <c r="F5" s="563"/>
    </row>
    <row r="6" spans="1:6" ht="23.25" x14ac:dyDescent="0.35">
      <c r="A6" s="63" t="s">
        <v>370</v>
      </c>
      <c r="B6" s="564">
        <v>1500</v>
      </c>
      <c r="C6" s="563"/>
      <c r="D6" s="563"/>
      <c r="E6" s="563"/>
      <c r="F6" s="563"/>
    </row>
    <row r="7" spans="1:6" ht="23.25" x14ac:dyDescent="0.35">
      <c r="A7" s="63" t="s">
        <v>58</v>
      </c>
      <c r="B7" s="564">
        <v>500</v>
      </c>
      <c r="C7" s="563"/>
      <c r="D7" s="563"/>
      <c r="E7" s="563"/>
      <c r="F7" s="563"/>
    </row>
    <row r="8" spans="1:6" ht="23.25" x14ac:dyDescent="0.35">
      <c r="A8" s="63" t="s">
        <v>27</v>
      </c>
      <c r="B8" s="564">
        <v>200</v>
      </c>
      <c r="C8" s="563"/>
      <c r="D8" s="563"/>
      <c r="E8" s="563"/>
      <c r="F8" s="563"/>
    </row>
    <row r="9" spans="1:6" ht="23.25" x14ac:dyDescent="0.35">
      <c r="A9" s="63" t="s">
        <v>28</v>
      </c>
      <c r="B9" s="564">
        <v>100</v>
      </c>
      <c r="C9" s="563"/>
      <c r="D9" s="565" t="s">
        <v>22</v>
      </c>
      <c r="E9" s="565" t="s">
        <v>359</v>
      </c>
      <c r="F9" s="565" t="s">
        <v>24</v>
      </c>
    </row>
    <row r="10" spans="1:6" ht="23.25" x14ac:dyDescent="0.35">
      <c r="A10" s="63" t="s">
        <v>106</v>
      </c>
      <c r="B10" s="564">
        <v>200</v>
      </c>
      <c r="C10" s="563"/>
      <c r="D10" s="566">
        <v>40</v>
      </c>
      <c r="E10" s="566">
        <v>75</v>
      </c>
      <c r="F10" s="566">
        <v>99</v>
      </c>
    </row>
    <row r="11" spans="1:6" ht="23.25" x14ac:dyDescent="0.35">
      <c r="A11" s="63" t="s">
        <v>16</v>
      </c>
      <c r="B11" s="564">
        <v>300</v>
      </c>
      <c r="C11" s="563"/>
      <c r="D11" s="567">
        <f>B13*1.65</f>
        <v>6.3937499999999998</v>
      </c>
      <c r="E11" s="567"/>
      <c r="F11" s="567">
        <f>B13*1.99</f>
        <v>7.7112499999999997</v>
      </c>
    </row>
    <row r="12" spans="1:6" ht="24" thickBot="1" x14ac:dyDescent="0.4">
      <c r="A12" s="63" t="s">
        <v>18</v>
      </c>
      <c r="B12" s="568">
        <v>2700</v>
      </c>
      <c r="C12" s="563"/>
      <c r="D12" s="563"/>
      <c r="E12" s="563"/>
      <c r="F12" s="563"/>
    </row>
    <row r="13" spans="1:6" ht="23.25" x14ac:dyDescent="0.35">
      <c r="A13" s="63"/>
      <c r="B13" s="569">
        <f>SUM(B4:B12)/F2</f>
        <v>3.875</v>
      </c>
      <c r="C13" s="563"/>
      <c r="D13" s="563"/>
      <c r="E13" s="1083"/>
      <c r="F13" s="1083"/>
    </row>
    <row r="14" spans="1:6" ht="23.25" x14ac:dyDescent="0.35">
      <c r="C14" s="563"/>
      <c r="D14" s="563"/>
      <c r="E14" s="1083"/>
      <c r="F14" s="1083"/>
    </row>
    <row r="15" spans="1:6" ht="23.25" x14ac:dyDescent="0.35">
      <c r="C15" s="563"/>
      <c r="D15" s="563"/>
      <c r="E15" s="1083"/>
      <c r="F15" s="1083"/>
    </row>
  </sheetData>
  <mergeCells count="5">
    <mergeCell ref="A2:B2"/>
    <mergeCell ref="A3:B3"/>
    <mergeCell ref="E13:F13"/>
    <mergeCell ref="E14:F14"/>
    <mergeCell ref="E15:F15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40"/>
  <sheetViews>
    <sheetView zoomScale="70" zoomScaleNormal="70" workbookViewId="0">
      <selection activeCell="C24" sqref="C24"/>
    </sheetView>
  </sheetViews>
  <sheetFormatPr baseColWidth="10" defaultRowHeight="15" x14ac:dyDescent="0.25"/>
  <cols>
    <col min="1" max="1" width="32.5703125" bestFit="1" customWidth="1"/>
    <col min="2" max="2" width="15.7109375" customWidth="1"/>
    <col min="6" max="6" width="17" customWidth="1"/>
    <col min="8" max="8" width="32.5703125" bestFit="1" customWidth="1"/>
    <col min="9" max="9" width="14.85546875" customWidth="1"/>
  </cols>
  <sheetData>
    <row r="1" spans="1:14" ht="92.25" x14ac:dyDescent="1.35">
      <c r="A1" s="1045" t="s">
        <v>328</v>
      </c>
      <c r="B1" s="1045"/>
      <c r="C1" s="1045"/>
      <c r="D1" s="1045"/>
      <c r="E1" s="1045"/>
      <c r="F1" s="1045"/>
      <c r="G1" s="1045"/>
      <c r="H1" s="1045"/>
      <c r="I1" s="1045"/>
      <c r="J1" s="1045"/>
      <c r="K1" s="1045"/>
      <c r="L1" s="1045"/>
      <c r="M1" s="1045"/>
      <c r="N1" s="1045"/>
    </row>
    <row r="2" spans="1:14" ht="46.5" x14ac:dyDescent="0.7">
      <c r="A2" s="872" t="s">
        <v>37</v>
      </c>
      <c r="B2" s="872"/>
      <c r="C2" s="550"/>
      <c r="D2" s="550"/>
      <c r="E2" s="550"/>
      <c r="F2" s="553">
        <v>4500</v>
      </c>
      <c r="G2" s="376"/>
      <c r="H2" s="873" t="s">
        <v>38</v>
      </c>
      <c r="I2" s="873"/>
      <c r="J2" s="874" t="s">
        <v>39</v>
      </c>
      <c r="K2" s="874"/>
      <c r="L2" s="874"/>
      <c r="M2" s="874"/>
      <c r="N2" s="375"/>
    </row>
    <row r="3" spans="1:14" ht="36" x14ac:dyDescent="0.55000000000000004">
      <c r="A3" s="1047" t="s">
        <v>25</v>
      </c>
      <c r="B3" s="1047"/>
      <c r="C3" s="373"/>
      <c r="D3" s="373"/>
      <c r="E3" s="373"/>
      <c r="F3" s="373"/>
      <c r="G3" s="372"/>
      <c r="H3" s="372"/>
      <c r="I3" s="373"/>
      <c r="J3" s="377"/>
      <c r="K3" s="377"/>
      <c r="L3" s="377"/>
      <c r="M3" s="377"/>
      <c r="N3" s="375"/>
    </row>
    <row r="4" spans="1:14" ht="23.25" x14ac:dyDescent="0.35">
      <c r="A4" s="372" t="s">
        <v>9</v>
      </c>
      <c r="B4" s="377">
        <f>0.7*1.8/3*2*F2</f>
        <v>3780</v>
      </c>
      <c r="C4" s="373"/>
      <c r="D4" s="373"/>
      <c r="E4" s="373"/>
      <c r="F4" s="373"/>
      <c r="G4" s="372"/>
      <c r="H4" s="547" t="s">
        <v>25</v>
      </c>
      <c r="I4" s="547"/>
      <c r="J4" s="373"/>
      <c r="K4" s="549"/>
      <c r="L4" s="373"/>
      <c r="M4" s="373"/>
      <c r="N4" s="375"/>
    </row>
    <row r="5" spans="1:14" ht="36" x14ac:dyDescent="0.55000000000000004">
      <c r="A5" s="372" t="s">
        <v>1</v>
      </c>
      <c r="B5" s="377">
        <v>700</v>
      </c>
      <c r="C5" s="373"/>
      <c r="D5" s="1081"/>
      <c r="E5" s="1081"/>
      <c r="F5" s="1081"/>
      <c r="G5" s="372"/>
      <c r="H5" s="372" t="s">
        <v>9</v>
      </c>
      <c r="I5" s="377">
        <f>0.7*3/3*2*F2</f>
        <v>6299.9999999999982</v>
      </c>
      <c r="J5" s="373"/>
      <c r="K5" s="373"/>
      <c r="L5" s="373"/>
      <c r="M5" s="373"/>
      <c r="N5" s="375"/>
    </row>
    <row r="6" spans="1:14" ht="33.75" x14ac:dyDescent="0.5">
      <c r="A6" s="372" t="s">
        <v>10</v>
      </c>
      <c r="B6" s="377">
        <v>2500</v>
      </c>
      <c r="C6" s="373"/>
      <c r="D6" s="378" t="s">
        <v>22</v>
      </c>
      <c r="E6" s="378" t="s">
        <v>23</v>
      </c>
      <c r="F6" s="378" t="s">
        <v>24</v>
      </c>
      <c r="G6" s="379"/>
      <c r="H6" s="372" t="s">
        <v>1</v>
      </c>
      <c r="I6" s="377">
        <v>700</v>
      </c>
      <c r="J6" s="373"/>
      <c r="K6" s="373"/>
      <c r="L6" s="548"/>
      <c r="M6" s="549"/>
      <c r="N6" s="375"/>
    </row>
    <row r="7" spans="1:14" ht="23.25" x14ac:dyDescent="0.35">
      <c r="A7" s="372" t="s">
        <v>27</v>
      </c>
      <c r="B7" s="377">
        <v>200</v>
      </c>
      <c r="C7" s="373"/>
      <c r="D7" s="378">
        <f>D12</f>
        <v>3.9568888888888885</v>
      </c>
      <c r="E7" s="378">
        <f>E12</f>
        <v>4.7755555555555551</v>
      </c>
      <c r="F7" s="378">
        <f>F12</f>
        <v>5.4304888888888883</v>
      </c>
      <c r="G7" s="379"/>
      <c r="H7" s="372" t="s">
        <v>10</v>
      </c>
      <c r="I7" s="377">
        <v>2500</v>
      </c>
      <c r="J7" s="373"/>
      <c r="K7" s="378" t="s">
        <v>22</v>
      </c>
      <c r="L7" s="378" t="s">
        <v>23</v>
      </c>
      <c r="M7" s="378" t="s">
        <v>24</v>
      </c>
      <c r="N7" s="375"/>
    </row>
    <row r="8" spans="1:14" ht="23.25" x14ac:dyDescent="0.35">
      <c r="A8" s="372" t="s">
        <v>28</v>
      </c>
      <c r="B8" s="377">
        <v>100</v>
      </c>
      <c r="C8" s="373"/>
      <c r="D8" s="377"/>
      <c r="E8" s="377"/>
      <c r="F8" s="377"/>
      <c r="G8" s="379"/>
      <c r="H8" s="372" t="s">
        <v>27</v>
      </c>
      <c r="I8" s="377">
        <v>200</v>
      </c>
      <c r="J8" s="373"/>
      <c r="K8" s="378">
        <f>K11</f>
        <v>4.7688888888888883</v>
      </c>
      <c r="L8" s="378">
        <f>L11</f>
        <v>5.7555555555555546</v>
      </c>
      <c r="M8" s="378">
        <f>M11</f>
        <v>6.5448888888888881</v>
      </c>
      <c r="N8" s="375"/>
    </row>
    <row r="9" spans="1:14" ht="23.25" x14ac:dyDescent="0.35">
      <c r="A9" s="372" t="s">
        <v>106</v>
      </c>
      <c r="B9" s="377">
        <v>750</v>
      </c>
      <c r="C9" s="373"/>
      <c r="D9" s="373"/>
      <c r="E9" s="373"/>
      <c r="F9" s="373"/>
      <c r="G9" s="372"/>
      <c r="H9" s="372" t="s">
        <v>28</v>
      </c>
      <c r="I9" s="377">
        <v>100</v>
      </c>
      <c r="J9" s="373"/>
      <c r="K9" s="377"/>
      <c r="L9" s="377"/>
      <c r="M9" s="377"/>
      <c r="N9" s="375"/>
    </row>
    <row r="10" spans="1:14" ht="23.25" x14ac:dyDescent="0.35">
      <c r="A10" s="372" t="s">
        <v>16</v>
      </c>
      <c r="B10" s="377">
        <v>250</v>
      </c>
      <c r="C10" s="373"/>
      <c r="D10" s="373"/>
      <c r="E10" s="382"/>
      <c r="F10" s="382"/>
      <c r="G10" s="373"/>
      <c r="H10" s="372" t="s">
        <v>106</v>
      </c>
      <c r="I10" s="377">
        <v>750</v>
      </c>
      <c r="J10" s="373"/>
      <c r="K10" s="549">
        <v>0.4</v>
      </c>
      <c r="L10" s="549">
        <v>0.55000000000000004</v>
      </c>
      <c r="M10" s="549">
        <v>0.85</v>
      </c>
      <c r="N10" s="375"/>
    </row>
    <row r="11" spans="1:14" ht="23.25" x14ac:dyDescent="0.35">
      <c r="A11" s="372" t="s">
        <v>18</v>
      </c>
      <c r="B11" s="377">
        <v>4000</v>
      </c>
      <c r="C11" s="373"/>
      <c r="D11" s="549">
        <v>0.4</v>
      </c>
      <c r="E11" s="549">
        <v>0.65</v>
      </c>
      <c r="F11" s="549">
        <v>0.99</v>
      </c>
      <c r="G11" s="377"/>
      <c r="H11" s="372" t="s">
        <v>16</v>
      </c>
      <c r="I11" s="377">
        <f>B10</f>
        <v>250</v>
      </c>
      <c r="J11" s="373"/>
      <c r="K11" s="377">
        <f>I13*1.45</f>
        <v>4.7688888888888883</v>
      </c>
      <c r="L11" s="377">
        <f>I13*1.75</f>
        <v>5.7555555555555546</v>
      </c>
      <c r="M11" s="377">
        <f>I13*1.99</f>
        <v>6.5448888888888881</v>
      </c>
      <c r="N11" s="375"/>
    </row>
    <row r="12" spans="1:14" ht="23.25" x14ac:dyDescent="0.35">
      <c r="A12" s="372"/>
      <c r="B12" s="377">
        <f>SUM(B4:B11)/F2</f>
        <v>2.7288888888888887</v>
      </c>
      <c r="C12" s="373"/>
      <c r="D12" s="549">
        <f>B12*1.45</f>
        <v>3.9568888888888885</v>
      </c>
      <c r="E12" s="549">
        <f>B12*1.75</f>
        <v>4.7755555555555551</v>
      </c>
      <c r="F12" s="549">
        <f>B12*1.99</f>
        <v>5.4304888888888883</v>
      </c>
      <c r="G12" s="377"/>
      <c r="H12" s="372" t="s">
        <v>18</v>
      </c>
      <c r="I12" s="377">
        <f>B11</f>
        <v>4000</v>
      </c>
      <c r="J12" s="373"/>
      <c r="K12" s="373"/>
      <c r="L12" s="373"/>
      <c r="M12" s="377"/>
      <c r="N12" s="375"/>
    </row>
    <row r="13" spans="1:14" ht="23.25" x14ac:dyDescent="0.35">
      <c r="A13" s="372"/>
      <c r="B13" s="373"/>
      <c r="C13" s="373"/>
      <c r="D13" s="373"/>
      <c r="E13" s="373"/>
      <c r="F13" s="373"/>
      <c r="G13" s="372"/>
      <c r="H13" s="372"/>
      <c r="I13" s="377">
        <f>SUM(I5:I12)/F2</f>
        <v>3.2888888888888883</v>
      </c>
      <c r="J13" s="377"/>
      <c r="K13" s="377"/>
      <c r="L13" s="377"/>
      <c r="M13" s="377"/>
      <c r="N13" s="373"/>
    </row>
    <row r="14" spans="1:14" ht="23.25" x14ac:dyDescent="0.35">
      <c r="A14" s="372"/>
      <c r="B14" s="373"/>
      <c r="C14" s="373"/>
      <c r="D14" s="373"/>
      <c r="E14" s="373"/>
      <c r="F14" s="373"/>
      <c r="G14" s="372"/>
      <c r="H14" s="372"/>
      <c r="I14" s="380"/>
      <c r="J14" s="375"/>
      <c r="K14" s="375"/>
      <c r="L14" s="375"/>
      <c r="M14" s="375"/>
      <c r="N14" s="373"/>
    </row>
    <row r="15" spans="1:14" ht="23.25" x14ac:dyDescent="0.35">
      <c r="A15" s="372"/>
      <c r="B15" s="373"/>
      <c r="C15" s="373"/>
      <c r="D15" s="373"/>
      <c r="E15" s="373"/>
      <c r="F15" s="373"/>
      <c r="G15" s="372"/>
      <c r="H15" s="372"/>
      <c r="I15" s="380"/>
      <c r="J15" s="375"/>
      <c r="K15" s="375"/>
      <c r="L15" s="375"/>
      <c r="M15" s="375"/>
      <c r="N15" s="373"/>
    </row>
    <row r="16" spans="1:14" ht="46.5" x14ac:dyDescent="0.7">
      <c r="A16" s="872"/>
      <c r="B16" s="872"/>
      <c r="C16" s="872"/>
      <c r="D16" s="872"/>
      <c r="E16" s="872"/>
      <c r="F16" s="872"/>
      <c r="G16" s="872"/>
      <c r="H16" s="372"/>
      <c r="I16" s="374"/>
      <c r="J16" s="381"/>
      <c r="K16" s="375"/>
      <c r="L16" s="375"/>
      <c r="M16" s="375"/>
      <c r="N16" s="382"/>
    </row>
    <row r="17" spans="1:14" ht="46.5" x14ac:dyDescent="0.7">
      <c r="A17" s="872" t="s">
        <v>37</v>
      </c>
      <c r="B17" s="872"/>
      <c r="C17" s="550"/>
      <c r="D17" s="550"/>
      <c r="E17" s="550"/>
      <c r="F17" s="554">
        <v>4500</v>
      </c>
      <c r="G17" s="383"/>
      <c r="H17" s="384" t="s">
        <v>38</v>
      </c>
      <c r="I17" s="374"/>
      <c r="J17" s="375"/>
      <c r="K17" s="381"/>
      <c r="L17" s="381"/>
      <c r="M17" s="381"/>
      <c r="N17" s="375"/>
    </row>
    <row r="18" spans="1:14" ht="36" x14ac:dyDescent="0.35">
      <c r="A18" s="1043" t="s">
        <v>115</v>
      </c>
      <c r="B18" s="1043"/>
      <c r="C18" s="373"/>
      <c r="D18" s="373"/>
      <c r="E18" s="373"/>
      <c r="F18" s="555">
        <v>4500</v>
      </c>
      <c r="G18" s="373"/>
      <c r="H18" s="386" t="s">
        <v>115</v>
      </c>
      <c r="I18" s="547"/>
      <c r="J18" s="373"/>
      <c r="K18" s="549"/>
      <c r="L18" s="373"/>
      <c r="M18" s="373"/>
      <c r="N18" s="375"/>
    </row>
    <row r="19" spans="1:14" ht="23.25" x14ac:dyDescent="0.35">
      <c r="A19" s="372" t="s">
        <v>9</v>
      </c>
      <c r="B19" s="387">
        <f>0.5*1.8/4*2*F17</f>
        <v>2025</v>
      </c>
      <c r="C19" s="373"/>
      <c r="D19" s="373"/>
      <c r="E19" s="373"/>
      <c r="F19" s="373"/>
      <c r="G19" s="373"/>
      <c r="H19" s="372" t="s">
        <v>9</v>
      </c>
      <c r="I19" s="387">
        <f>0.5*3/4*2*F2</f>
        <v>3375</v>
      </c>
      <c r="J19" s="373"/>
      <c r="K19" s="373"/>
      <c r="L19" s="373"/>
      <c r="M19" s="373"/>
      <c r="N19" s="375"/>
    </row>
    <row r="20" spans="1:14" ht="46.5" x14ac:dyDescent="0.7">
      <c r="A20" s="372" t="s">
        <v>1</v>
      </c>
      <c r="B20" s="387">
        <v>700</v>
      </c>
      <c r="C20" s="375"/>
      <c r="D20" s="381"/>
      <c r="E20" s="375"/>
      <c r="F20" s="381"/>
      <c r="G20" s="381"/>
      <c r="H20" s="372" t="s">
        <v>1</v>
      </c>
      <c r="I20" s="387">
        <v>700</v>
      </c>
      <c r="J20" s="375"/>
      <c r="K20" s="388"/>
      <c r="L20" s="388"/>
      <c r="M20" s="388"/>
      <c r="N20" s="375"/>
    </row>
    <row r="21" spans="1:14" ht="23.25" x14ac:dyDescent="0.35">
      <c r="A21" s="372" t="s">
        <v>10</v>
      </c>
      <c r="B21" s="387">
        <v>2500</v>
      </c>
      <c r="C21" s="373"/>
      <c r="D21" s="378" t="s">
        <v>22</v>
      </c>
      <c r="E21" s="378" t="s">
        <v>23</v>
      </c>
      <c r="F21" s="378" t="s">
        <v>24</v>
      </c>
      <c r="G21" s="377"/>
      <c r="H21" s="372" t="s">
        <v>10</v>
      </c>
      <c r="I21" s="387">
        <v>2500</v>
      </c>
      <c r="J21" s="373"/>
      <c r="K21" s="378" t="s">
        <v>22</v>
      </c>
      <c r="L21" s="378" t="s">
        <v>23</v>
      </c>
      <c r="M21" s="378" t="s">
        <v>24</v>
      </c>
      <c r="N21" s="375"/>
    </row>
    <row r="22" spans="1:14" ht="23.25" x14ac:dyDescent="0.35">
      <c r="A22" s="372" t="s">
        <v>27</v>
      </c>
      <c r="B22" s="387">
        <v>200</v>
      </c>
      <c r="C22" s="373"/>
      <c r="D22" s="378">
        <f>D27</f>
        <v>3.3913888888888888</v>
      </c>
      <c r="E22" s="378">
        <f>E27</f>
        <v>4.0930555555555559</v>
      </c>
      <c r="F22" s="378">
        <f>F27</f>
        <v>4.6543888888888887</v>
      </c>
      <c r="G22" s="377"/>
      <c r="H22" s="372" t="s">
        <v>27</v>
      </c>
      <c r="I22" s="387">
        <v>200</v>
      </c>
      <c r="J22" s="373"/>
      <c r="K22" s="378">
        <f>K26</f>
        <v>3.8263888888888888</v>
      </c>
      <c r="L22" s="378">
        <f>L26</f>
        <v>4.6180555555555554</v>
      </c>
      <c r="M22" s="378">
        <f>M26</f>
        <v>5.2513888888888891</v>
      </c>
      <c r="N22" s="375"/>
    </row>
    <row r="23" spans="1:14" ht="23.25" x14ac:dyDescent="0.35">
      <c r="A23" s="372" t="s">
        <v>28</v>
      </c>
      <c r="B23" s="387">
        <v>100</v>
      </c>
      <c r="C23" s="373"/>
      <c r="D23" s="377"/>
      <c r="E23" s="377"/>
      <c r="F23" s="377"/>
      <c r="G23" s="377"/>
      <c r="H23" s="372" t="s">
        <v>28</v>
      </c>
      <c r="I23" s="387">
        <v>100</v>
      </c>
      <c r="J23" s="373"/>
      <c r="K23" s="377"/>
      <c r="L23" s="377"/>
      <c r="M23" s="377"/>
      <c r="N23" s="375"/>
    </row>
    <row r="24" spans="1:14" ht="23.25" x14ac:dyDescent="0.35">
      <c r="A24" s="372" t="s">
        <v>106</v>
      </c>
      <c r="B24" s="387">
        <v>750</v>
      </c>
      <c r="C24" s="373"/>
      <c r="D24" s="373"/>
      <c r="E24" s="373"/>
      <c r="F24" s="373"/>
      <c r="G24" s="373"/>
      <c r="H24" s="372" t="s">
        <v>106</v>
      </c>
      <c r="I24" s="387">
        <v>750</v>
      </c>
      <c r="J24" s="373"/>
      <c r="K24" s="373"/>
      <c r="L24" s="373"/>
      <c r="M24" s="373"/>
      <c r="N24" s="375"/>
    </row>
    <row r="25" spans="1:14" ht="23.25" x14ac:dyDescent="0.35">
      <c r="A25" s="372" t="s">
        <v>16</v>
      </c>
      <c r="B25" s="387">
        <v>250</v>
      </c>
      <c r="C25" s="373"/>
      <c r="D25" s="373"/>
      <c r="E25" s="1079"/>
      <c r="F25" s="1079"/>
      <c r="G25" s="373"/>
      <c r="H25" s="372" t="s">
        <v>16</v>
      </c>
      <c r="I25" s="387">
        <v>250</v>
      </c>
      <c r="J25" s="375"/>
      <c r="K25" s="549">
        <v>0.4</v>
      </c>
      <c r="L25" s="549">
        <v>0.55000000000000004</v>
      </c>
      <c r="M25" s="549">
        <v>0.85</v>
      </c>
      <c r="N25" s="375"/>
    </row>
    <row r="26" spans="1:14" ht="23.25" x14ac:dyDescent="0.35">
      <c r="A26" s="372" t="s">
        <v>18</v>
      </c>
      <c r="B26" s="387">
        <v>4000</v>
      </c>
      <c r="C26" s="373"/>
      <c r="D26" s="549">
        <v>0.4</v>
      </c>
      <c r="E26" s="549">
        <v>0.55000000000000004</v>
      </c>
      <c r="F26" s="549">
        <v>0.85</v>
      </c>
      <c r="G26" s="377"/>
      <c r="H26" s="372" t="s">
        <v>18</v>
      </c>
      <c r="I26" s="387">
        <v>4000</v>
      </c>
      <c r="J26" s="375"/>
      <c r="K26" s="377">
        <f>I27*1.45</f>
        <v>3.8263888888888888</v>
      </c>
      <c r="L26" s="377">
        <f>I27*1.75</f>
        <v>4.6180555555555554</v>
      </c>
      <c r="M26" s="377">
        <f>I27*1.99</f>
        <v>5.2513888888888891</v>
      </c>
      <c r="N26" s="375"/>
    </row>
    <row r="27" spans="1:14" ht="23.25" x14ac:dyDescent="0.35">
      <c r="A27" s="372"/>
      <c r="B27" s="389">
        <f>SUM(B19:B26)/F2</f>
        <v>2.338888888888889</v>
      </c>
      <c r="C27" s="373"/>
      <c r="D27" s="377">
        <f>B27*1.45</f>
        <v>3.3913888888888888</v>
      </c>
      <c r="E27" s="377">
        <f>B27*1.75</f>
        <v>4.0930555555555559</v>
      </c>
      <c r="F27" s="377">
        <f>B27*1.99</f>
        <v>4.6543888888888887</v>
      </c>
      <c r="G27" s="377"/>
      <c r="H27" s="372"/>
      <c r="I27" s="389">
        <f>SUM(I19:I26)/F2</f>
        <v>2.6388888888888888</v>
      </c>
      <c r="J27" s="377"/>
      <c r="K27" s="375"/>
      <c r="L27" s="375"/>
      <c r="M27" s="375"/>
      <c r="N27" s="375"/>
    </row>
    <row r="28" spans="1:14" ht="23.25" x14ac:dyDescent="0.35">
      <c r="A28" s="372"/>
      <c r="B28" s="373"/>
      <c r="C28" s="377"/>
      <c r="D28" s="377"/>
      <c r="E28" s="377"/>
      <c r="F28" s="377"/>
      <c r="G28" s="372"/>
      <c r="H28" s="372"/>
      <c r="I28" s="374"/>
      <c r="J28" s="375"/>
      <c r="K28" s="375"/>
      <c r="L28" s="375"/>
      <c r="M28" s="375"/>
      <c r="N28" s="375"/>
    </row>
    <row r="29" spans="1:14" ht="36" x14ac:dyDescent="0.55000000000000004">
      <c r="A29" s="390"/>
      <c r="B29" s="391"/>
      <c r="C29" s="391"/>
      <c r="D29" s="391"/>
      <c r="E29" s="391"/>
      <c r="F29" s="391"/>
      <c r="G29" s="390"/>
      <c r="H29" s="372"/>
      <c r="I29" s="374"/>
      <c r="J29" s="375"/>
      <c r="K29" s="375"/>
      <c r="L29" s="375"/>
      <c r="M29" s="375"/>
      <c r="N29" s="375"/>
    </row>
    <row r="30" spans="1:14" ht="36" x14ac:dyDescent="0.55000000000000004">
      <c r="A30" s="872" t="s">
        <v>37</v>
      </c>
      <c r="B30" s="872"/>
      <c r="C30" s="872" t="s">
        <v>39</v>
      </c>
      <c r="D30" s="872"/>
      <c r="E30" s="872"/>
      <c r="F30" s="872"/>
      <c r="G30" s="392"/>
      <c r="H30" s="1084" t="s">
        <v>20</v>
      </c>
      <c r="I30" s="1084"/>
      <c r="J30" s="1044" t="s">
        <v>39</v>
      </c>
      <c r="K30" s="1044"/>
      <c r="L30" s="1044"/>
      <c r="M30" s="1044"/>
      <c r="N30" s="375"/>
    </row>
    <row r="31" spans="1:14" ht="36" x14ac:dyDescent="0.55000000000000004">
      <c r="A31" s="1047" t="s">
        <v>26</v>
      </c>
      <c r="B31" s="1047"/>
      <c r="C31" s="391"/>
      <c r="D31" s="550"/>
      <c r="E31" s="391"/>
      <c r="F31" s="391"/>
      <c r="G31" s="390"/>
      <c r="H31" s="881" t="s">
        <v>26</v>
      </c>
      <c r="I31" s="881"/>
      <c r="J31" s="393"/>
      <c r="K31" s="394"/>
      <c r="L31" s="393"/>
      <c r="M31" s="393"/>
      <c r="N31" s="375"/>
    </row>
    <row r="32" spans="1:14" ht="23.25" x14ac:dyDescent="0.35">
      <c r="A32" s="372" t="s">
        <v>9</v>
      </c>
      <c r="B32" s="377">
        <f>0.8*1.8/3*2*F2</f>
        <v>4320</v>
      </c>
      <c r="C32" s="373"/>
      <c r="D32" s="373"/>
      <c r="E32" s="373"/>
      <c r="F32" s="373"/>
      <c r="G32" s="372"/>
      <c r="H32" s="372" t="s">
        <v>9</v>
      </c>
      <c r="I32" s="377">
        <f>0.8*3/3*2*F2</f>
        <v>7200.0000000000018</v>
      </c>
      <c r="J32" s="373"/>
      <c r="K32" s="373"/>
      <c r="L32" s="373"/>
      <c r="M32" s="373"/>
      <c r="N32" s="375"/>
    </row>
    <row r="33" spans="1:14" ht="36" x14ac:dyDescent="0.55000000000000004">
      <c r="A33" s="372" t="s">
        <v>1</v>
      </c>
      <c r="B33" s="377">
        <v>700</v>
      </c>
      <c r="C33" s="373"/>
      <c r="D33" s="395"/>
      <c r="E33" s="382"/>
      <c r="F33" s="382"/>
      <c r="G33" s="372"/>
      <c r="H33" s="372" t="s">
        <v>1</v>
      </c>
      <c r="I33" s="377">
        <v>700</v>
      </c>
      <c r="J33" s="373"/>
      <c r="K33" s="373"/>
      <c r="L33" s="373"/>
      <c r="M33" s="373"/>
      <c r="N33" s="375"/>
    </row>
    <row r="34" spans="1:14" ht="36" x14ac:dyDescent="0.55000000000000004">
      <c r="A34" s="372" t="s">
        <v>10</v>
      </c>
      <c r="B34" s="377">
        <v>2500</v>
      </c>
      <c r="C34" s="373"/>
      <c r="D34" s="378" t="s">
        <v>22</v>
      </c>
      <c r="E34" s="378" t="s">
        <v>23</v>
      </c>
      <c r="F34" s="378" t="s">
        <v>24</v>
      </c>
      <c r="G34" s="372"/>
      <c r="H34" s="372" t="s">
        <v>10</v>
      </c>
      <c r="I34" s="377">
        <v>2500</v>
      </c>
      <c r="J34" s="373"/>
      <c r="K34" s="373"/>
      <c r="L34" s="550"/>
      <c r="M34" s="549"/>
      <c r="N34" s="375"/>
    </row>
    <row r="35" spans="1:14" ht="23.25" x14ac:dyDescent="0.35">
      <c r="A35" s="372" t="s">
        <v>17</v>
      </c>
      <c r="B35" s="377">
        <v>750</v>
      </c>
      <c r="C35" s="373"/>
      <c r="D35" s="378">
        <f>D39</f>
        <v>4.1308888888888884</v>
      </c>
      <c r="E35" s="378">
        <f>E39</f>
        <v>4.9855555555555551</v>
      </c>
      <c r="F35" s="378">
        <f>F39</f>
        <v>5.6692888888888886</v>
      </c>
      <c r="G35" s="372"/>
      <c r="H35" s="372" t="s">
        <v>106</v>
      </c>
      <c r="I35" s="377">
        <v>750</v>
      </c>
      <c r="J35" s="373"/>
      <c r="K35" s="378" t="s">
        <v>22</v>
      </c>
      <c r="L35" s="378" t="s">
        <v>23</v>
      </c>
      <c r="M35" s="378" t="s">
        <v>24</v>
      </c>
      <c r="N35" s="375"/>
    </row>
    <row r="36" spans="1:14" ht="23.25" x14ac:dyDescent="0.35">
      <c r="A36" s="372" t="s">
        <v>27</v>
      </c>
      <c r="B36" s="377">
        <v>200</v>
      </c>
      <c r="C36" s="373"/>
      <c r="D36" s="377"/>
      <c r="E36" s="377"/>
      <c r="F36" s="377"/>
      <c r="G36" s="396"/>
      <c r="H36" s="372" t="s">
        <v>27</v>
      </c>
      <c r="I36" s="377">
        <v>200</v>
      </c>
      <c r="J36" s="373"/>
      <c r="K36" s="378">
        <f>K39</f>
        <v>5.0588888888888892</v>
      </c>
      <c r="L36" s="378">
        <f>L39</f>
        <v>6.1055555555555561</v>
      </c>
      <c r="M36" s="378">
        <f>M39</f>
        <v>6.9428888888888896</v>
      </c>
      <c r="N36" s="375"/>
    </row>
    <row r="37" spans="1:14" ht="33.75" x14ac:dyDescent="0.5">
      <c r="A37" s="372" t="s">
        <v>28</v>
      </c>
      <c r="B37" s="377">
        <v>100</v>
      </c>
      <c r="C37" s="373"/>
      <c r="D37" s="373"/>
      <c r="E37" s="1085" t="s">
        <v>21</v>
      </c>
      <c r="F37" s="1085"/>
      <c r="G37" s="379"/>
      <c r="H37" s="372" t="s">
        <v>28</v>
      </c>
      <c r="I37" s="377">
        <v>100</v>
      </c>
      <c r="J37" s="373"/>
      <c r="K37" s="373"/>
      <c r="L37" s="373"/>
      <c r="M37" s="373"/>
      <c r="N37" s="375"/>
    </row>
    <row r="38" spans="1:14" ht="23.25" x14ac:dyDescent="0.35">
      <c r="A38" s="372" t="s">
        <v>16</v>
      </c>
      <c r="B38" s="377">
        <v>250</v>
      </c>
      <c r="C38" s="373"/>
      <c r="D38" s="549">
        <v>0.4</v>
      </c>
      <c r="E38" s="549">
        <v>0.55000000000000004</v>
      </c>
      <c r="F38" s="549">
        <v>0.85</v>
      </c>
      <c r="G38" s="379"/>
      <c r="H38" s="372" t="s">
        <v>16</v>
      </c>
      <c r="I38" s="377">
        <f>B38</f>
        <v>250</v>
      </c>
      <c r="J38" s="373"/>
      <c r="K38" s="549">
        <v>0.4</v>
      </c>
      <c r="L38" s="549">
        <v>0.55000000000000004</v>
      </c>
      <c r="M38" s="549">
        <v>0.85</v>
      </c>
      <c r="N38" s="375"/>
    </row>
    <row r="39" spans="1:14" ht="23.25" x14ac:dyDescent="0.35">
      <c r="A39" s="372" t="s">
        <v>18</v>
      </c>
      <c r="B39" s="377">
        <v>4000</v>
      </c>
      <c r="C39" s="373"/>
      <c r="D39" s="377">
        <f>B40*1.45</f>
        <v>4.1308888888888884</v>
      </c>
      <c r="E39" s="377">
        <f>B40*1.75</f>
        <v>4.9855555555555551</v>
      </c>
      <c r="F39" s="377">
        <f>B40*1.99</f>
        <v>5.6692888888888886</v>
      </c>
      <c r="G39" s="379"/>
      <c r="H39" s="372" t="s">
        <v>18</v>
      </c>
      <c r="I39" s="377">
        <f>B39</f>
        <v>4000</v>
      </c>
      <c r="J39" s="373"/>
      <c r="K39" s="377">
        <f>I40*1.45</f>
        <v>5.0588888888888892</v>
      </c>
      <c r="L39" s="377">
        <f>I40*1.75</f>
        <v>6.1055555555555561</v>
      </c>
      <c r="M39" s="377">
        <f>I40*1.99</f>
        <v>6.9428888888888896</v>
      </c>
      <c r="N39" s="375"/>
    </row>
    <row r="40" spans="1:14" ht="23.25" x14ac:dyDescent="0.35">
      <c r="A40" s="372"/>
      <c r="B40" s="377">
        <f>SUM(B32:B39)/F2</f>
        <v>2.8488888888888888</v>
      </c>
      <c r="C40" s="373"/>
      <c r="D40" s="373"/>
      <c r="E40" s="373"/>
      <c r="F40" s="373"/>
      <c r="G40" s="372"/>
      <c r="H40" s="372"/>
      <c r="I40" s="377">
        <f>SUM(I32:I39)/F2</f>
        <v>3.4888888888888894</v>
      </c>
      <c r="J40" s="373"/>
      <c r="K40" s="377"/>
      <c r="L40" s="377"/>
      <c r="M40" s="377"/>
      <c r="N40" s="375"/>
    </row>
  </sheetData>
  <mergeCells count="17">
    <mergeCell ref="H30:I30"/>
    <mergeCell ref="J30:M30"/>
    <mergeCell ref="A31:B31"/>
    <mergeCell ref="H31:I31"/>
    <mergeCell ref="E37:F37"/>
    <mergeCell ref="A16:G16"/>
    <mergeCell ref="A17:B17"/>
    <mergeCell ref="A18:B18"/>
    <mergeCell ref="E25:F25"/>
    <mergeCell ref="A30:B30"/>
    <mergeCell ref="C30:F30"/>
    <mergeCell ref="D5:F5"/>
    <mergeCell ref="A1:N1"/>
    <mergeCell ref="A2:B2"/>
    <mergeCell ref="H2:I2"/>
    <mergeCell ref="J2:M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51</vt:i4>
      </vt:variant>
      <vt:variant>
        <vt:lpstr>Rangos con nombre</vt:lpstr>
      </vt:variant>
      <vt:variant>
        <vt:i4>14</vt:i4>
      </vt:variant>
    </vt:vector>
  </HeadingPairs>
  <TitlesOfParts>
    <vt:vector size="65" baseType="lpstr">
      <vt:lpstr>P COSTURA</vt:lpstr>
      <vt:lpstr>COJINES</vt:lpstr>
      <vt:lpstr>FRA MUSE MICR</vt:lpstr>
      <vt:lpstr>VESTIDO PROMOTORA</vt:lpstr>
      <vt:lpstr>WALL MEDIA </vt:lpstr>
      <vt:lpstr>WALL </vt:lpstr>
      <vt:lpstr>LANYARD</vt:lpstr>
      <vt:lpstr>franelas cucuta</vt:lpstr>
      <vt:lpstr>CHALECOS</vt:lpstr>
      <vt:lpstr>FRA ALGODON</vt:lpstr>
      <vt:lpstr>HODDI  MONO</vt:lpstr>
      <vt:lpstr>TAPASOL</vt:lpstr>
      <vt:lpstr>CHAQUETA NORF</vt:lpstr>
      <vt:lpstr>PANTALON MONO</vt:lpstr>
      <vt:lpstr>HODDI TERRY</vt:lpstr>
      <vt:lpstr>SUETER</vt:lpstr>
      <vt:lpstr>BUZO</vt:lpstr>
      <vt:lpstr>FALDA SHORT LICRA</vt:lpstr>
      <vt:lpstr>CROPTOP LICRA</vt:lpstr>
      <vt:lpstr>MANUBRIO</vt:lpstr>
      <vt:lpstr>ESTANDARTE </vt:lpstr>
      <vt:lpstr>SHORT</vt:lpstr>
      <vt:lpstr>CV TASLAN</vt:lpstr>
      <vt:lpstr>MOUSE</vt:lpstr>
      <vt:lpstr>PAÑOLETA</vt:lpstr>
      <vt:lpstr>PROMO</vt:lpstr>
      <vt:lpstr>CV MEMORY</vt:lpstr>
      <vt:lpstr>KSAKAS</vt:lpstr>
      <vt:lpstr>F. SUBLIM 1,3</vt:lpstr>
      <vt:lpstr>UNI FUTBOL</vt:lpstr>
      <vt:lpstr>FULL SUBLI</vt:lpstr>
      <vt:lpstr>LICRAS </vt:lpstr>
      <vt:lpstr>PIJAMAS </vt:lpstr>
      <vt:lpstr>CANILLERAS </vt:lpstr>
      <vt:lpstr>FUNDACANILLERA</vt:lpstr>
      <vt:lpstr>TULA </vt:lpstr>
      <vt:lpstr>CHEMIS </vt:lpstr>
      <vt:lpstr>BRAGA </vt:lpstr>
      <vt:lpstr>BEISBOL</vt:lpstr>
      <vt:lpstr>VELAS </vt:lpstr>
      <vt:lpstr>BOLSAS POP</vt:lpstr>
      <vt:lpstr>CAMISAS </vt:lpstr>
      <vt:lpstr>FILIPINA</vt:lpstr>
      <vt:lpstr>VINILES </vt:lpstr>
      <vt:lpstr>MONO QUIRURGICO</vt:lpstr>
      <vt:lpstr>TUTU </vt:lpstr>
      <vt:lpstr>DELANTAL </vt:lpstr>
      <vt:lpstr>FRANELILLAS </vt:lpstr>
      <vt:lpstr>MANGAS </vt:lpstr>
      <vt:lpstr>GORRA </vt:lpstr>
      <vt:lpstr>TOP DAMA</vt:lpstr>
      <vt:lpstr>BUZO!Área_de_impresión</vt:lpstr>
      <vt:lpstr>'CANILLERAS '!Área_de_impresión</vt:lpstr>
      <vt:lpstr>'CV MEMORY'!Área_de_impresión</vt:lpstr>
      <vt:lpstr>'F. SUBLIM 1,3'!Área_de_impresión</vt:lpstr>
      <vt:lpstr>'FRA ALGODON'!Área_de_impresión</vt:lpstr>
      <vt:lpstr>'FRA MUSE MICR'!Área_de_impresión</vt:lpstr>
      <vt:lpstr>'franelas cucuta'!Área_de_impresión</vt:lpstr>
      <vt:lpstr>'FULL SUBLI'!Área_de_impresión</vt:lpstr>
      <vt:lpstr>'HODDI  MONO'!Área_de_impresión</vt:lpstr>
      <vt:lpstr>'HODDI TERRY'!Área_de_impresión</vt:lpstr>
      <vt:lpstr>'LICRAS '!Área_de_impresión</vt:lpstr>
      <vt:lpstr>SHORT!Área_de_impresión</vt:lpstr>
      <vt:lpstr>SUETER!Área_de_impresión</vt:lpstr>
      <vt:lpstr>'UNI FUTBOL'!Área_de_impresión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Neicy Fortoul</cp:lastModifiedBy>
  <cp:lastPrinted>2023-10-31T16:33:14Z</cp:lastPrinted>
  <dcterms:created xsi:type="dcterms:W3CDTF">2021-10-26T21:50:07Z</dcterms:created>
  <dcterms:modified xsi:type="dcterms:W3CDTF">2025-06-02T13:48:39Z</dcterms:modified>
</cp:coreProperties>
</file>