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BACEAACA1751D43/Documentos/"/>
    </mc:Choice>
  </mc:AlternateContent>
  <xr:revisionPtr revIDLastSave="0" documentId="8_{FD65A1BC-C997-4B48-8BC8-3E5EA9280966}" xr6:coauthVersionLast="47" xr6:coauthVersionMax="47" xr10:uidLastSave="{00000000-0000-0000-0000-000000000000}"/>
  <bookViews>
    <workbookView xWindow="-120" yWindow="-120" windowWidth="29040" windowHeight="15720" xr2:uid="{057C0E72-4FA6-4EE4-AA45-C88ADA45BAB0}"/>
  </bookViews>
  <sheets>
    <sheet name="FRANELA MUSELINA Y MICROFIBRA" sheetId="1" r:id="rId1"/>
  </sheets>
  <definedNames>
    <definedName name="_xlnm.Print_Area" localSheetId="0">'FRANELA MUSELINA Y MICROFIBRA'!$A$1:$K$263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1" i="1" l="1"/>
  <c r="G308" i="1"/>
  <c r="G314" i="1"/>
  <c r="B301" i="1"/>
  <c r="B314" i="1"/>
  <c r="E309" i="1"/>
  <c r="D309" i="1"/>
  <c r="C309" i="1"/>
  <c r="J308" i="1"/>
  <c r="I308" i="1"/>
  <c r="H308" i="1"/>
  <c r="J304" i="1"/>
  <c r="I304" i="1"/>
  <c r="H304" i="1"/>
  <c r="E304" i="1"/>
  <c r="D304" i="1"/>
  <c r="C304" i="1"/>
  <c r="G284" i="1"/>
  <c r="G288" i="1"/>
  <c r="G289" i="1"/>
  <c r="G290" i="1"/>
  <c r="G291" i="1"/>
  <c r="G294" i="1"/>
  <c r="G295" i="1"/>
  <c r="G296" i="1"/>
  <c r="G297" i="1"/>
  <c r="B284" i="1"/>
  <c r="B288" i="1"/>
  <c r="B290" i="1"/>
  <c r="B291" i="1"/>
  <c r="B294" i="1"/>
  <c r="B295" i="1"/>
  <c r="B296" i="1"/>
  <c r="B297" i="1"/>
  <c r="J292" i="1"/>
  <c r="I292" i="1"/>
  <c r="H292" i="1"/>
  <c r="E291" i="1"/>
  <c r="D291" i="1"/>
  <c r="C291" i="1"/>
  <c r="J288" i="1"/>
  <c r="I288" i="1"/>
  <c r="H288" i="1"/>
  <c r="E287" i="1"/>
  <c r="D287" i="1"/>
  <c r="C287" i="1"/>
  <c r="G266" i="1"/>
  <c r="G279" i="1"/>
  <c r="B266" i="1"/>
  <c r="B279" i="1"/>
  <c r="E275" i="1"/>
  <c r="D275" i="1"/>
  <c r="C275" i="1"/>
  <c r="J274" i="1"/>
  <c r="I274" i="1"/>
  <c r="H274" i="1"/>
  <c r="E271" i="1"/>
  <c r="D271" i="1"/>
  <c r="C271" i="1"/>
  <c r="J270" i="1"/>
  <c r="I270" i="1"/>
  <c r="H270" i="1"/>
  <c r="G250" i="1"/>
  <c r="G253" i="1"/>
  <c r="G261" i="1"/>
  <c r="H258" i="1"/>
  <c r="H260" i="1"/>
  <c r="H261" i="1"/>
  <c r="B250" i="1"/>
  <c r="B253" i="1"/>
  <c r="B255" i="1"/>
  <c r="B261" i="1"/>
  <c r="C258" i="1"/>
  <c r="C261" i="1"/>
  <c r="C260" i="1"/>
  <c r="J258" i="1"/>
  <c r="I258" i="1"/>
  <c r="E258" i="1"/>
  <c r="D258" i="1"/>
  <c r="J254" i="1"/>
  <c r="I254" i="1"/>
  <c r="H254" i="1"/>
  <c r="E254" i="1"/>
  <c r="D254" i="1"/>
  <c r="C254" i="1"/>
  <c r="K247" i="1"/>
  <c r="J246" i="1"/>
  <c r="K246" i="1"/>
  <c r="I246" i="1"/>
  <c r="H246" i="1"/>
  <c r="G235" i="1"/>
  <c r="G238" i="1"/>
  <c r="G246" i="1"/>
  <c r="B235" i="1"/>
  <c r="B238" i="1"/>
  <c r="B246" i="1"/>
  <c r="K245" i="1"/>
  <c r="J244" i="1"/>
  <c r="I244" i="1"/>
  <c r="H244" i="1"/>
  <c r="E243" i="1"/>
  <c r="D243" i="1"/>
  <c r="C243" i="1"/>
  <c r="J239" i="1"/>
  <c r="I239" i="1"/>
  <c r="H239" i="1"/>
  <c r="E239" i="1"/>
  <c r="D239" i="1"/>
  <c r="C239" i="1"/>
  <c r="G220" i="1"/>
  <c r="G223" i="1"/>
  <c r="G231" i="1"/>
  <c r="B220" i="1"/>
  <c r="B223" i="1"/>
  <c r="B231" i="1"/>
  <c r="J228" i="1"/>
  <c r="I228" i="1"/>
  <c r="H228" i="1"/>
  <c r="E226" i="1"/>
  <c r="D226" i="1"/>
  <c r="C226" i="1"/>
  <c r="J223" i="1"/>
  <c r="I223" i="1"/>
  <c r="H223" i="1"/>
  <c r="E223" i="1"/>
  <c r="D223" i="1"/>
  <c r="C223" i="1"/>
  <c r="G203" i="1"/>
  <c r="G206" i="1"/>
  <c r="G214" i="1"/>
  <c r="B203" i="1"/>
  <c r="B206" i="1"/>
  <c r="B214" i="1"/>
  <c r="J212" i="1"/>
  <c r="I212" i="1"/>
  <c r="H212" i="1"/>
  <c r="E211" i="1"/>
  <c r="D211" i="1"/>
  <c r="C211" i="1"/>
  <c r="J207" i="1"/>
  <c r="I207" i="1"/>
  <c r="H207" i="1"/>
  <c r="E207" i="1"/>
  <c r="D207" i="1"/>
  <c r="C207" i="1"/>
  <c r="G188" i="1"/>
  <c r="G191" i="1"/>
  <c r="G199" i="1"/>
  <c r="B188" i="1"/>
  <c r="B199" i="1"/>
  <c r="D196" i="1"/>
  <c r="D197" i="1"/>
  <c r="E196" i="1"/>
  <c r="C196" i="1"/>
  <c r="J194" i="1"/>
  <c r="I194" i="1"/>
  <c r="H194" i="1"/>
  <c r="E192" i="1"/>
  <c r="D192" i="1"/>
  <c r="C192" i="1"/>
  <c r="J191" i="1"/>
  <c r="I191" i="1"/>
  <c r="H191" i="1"/>
  <c r="G173" i="1"/>
  <c r="G184" i="1"/>
  <c r="B173" i="1"/>
  <c r="B184" i="1"/>
  <c r="H180" i="1"/>
  <c r="H181" i="1"/>
  <c r="E181" i="1"/>
  <c r="D181" i="1"/>
  <c r="C181" i="1"/>
  <c r="J180" i="1"/>
  <c r="I180" i="1"/>
  <c r="E177" i="1"/>
  <c r="D177" i="1"/>
  <c r="C177" i="1"/>
  <c r="J176" i="1"/>
  <c r="I176" i="1"/>
  <c r="H176" i="1"/>
  <c r="G157" i="1"/>
  <c r="G168" i="1"/>
  <c r="B157" i="1"/>
  <c r="B160" i="1"/>
  <c r="B168" i="1"/>
  <c r="J164" i="1"/>
  <c r="I164" i="1"/>
  <c r="H164" i="1"/>
  <c r="E164" i="1"/>
  <c r="D164" i="1"/>
  <c r="C164" i="1"/>
  <c r="J161" i="1"/>
  <c r="I161" i="1"/>
  <c r="H161" i="1"/>
  <c r="E161" i="1"/>
  <c r="D161" i="1"/>
  <c r="C161" i="1"/>
  <c r="G142" i="1"/>
  <c r="G145" i="1"/>
  <c r="G153" i="1"/>
  <c r="B142" i="1"/>
  <c r="B153" i="1"/>
  <c r="J151" i="1"/>
  <c r="I151" i="1"/>
  <c r="H151" i="1"/>
  <c r="E149" i="1"/>
  <c r="D149" i="1"/>
  <c r="C149" i="1"/>
  <c r="J146" i="1"/>
  <c r="I146" i="1"/>
  <c r="H146" i="1"/>
  <c r="E146" i="1"/>
  <c r="D146" i="1"/>
  <c r="C146" i="1"/>
  <c r="G127" i="1"/>
  <c r="G130" i="1"/>
  <c r="G138" i="1"/>
  <c r="B127" i="1"/>
  <c r="B130" i="1"/>
  <c r="B138" i="1"/>
  <c r="J135" i="1"/>
  <c r="I135" i="1"/>
  <c r="H135" i="1"/>
  <c r="E133" i="1"/>
  <c r="D133" i="1"/>
  <c r="C133" i="1"/>
  <c r="J130" i="1"/>
  <c r="I130" i="1"/>
  <c r="H130" i="1"/>
  <c r="E130" i="1"/>
  <c r="D130" i="1"/>
  <c r="C130" i="1"/>
  <c r="G111" i="1"/>
  <c r="G122" i="1"/>
  <c r="B111" i="1"/>
  <c r="B122" i="1"/>
  <c r="D116" i="1"/>
  <c r="D117" i="1"/>
  <c r="C116" i="1"/>
  <c r="C117" i="1"/>
  <c r="J116" i="1"/>
  <c r="I116" i="1"/>
  <c r="H116" i="1"/>
  <c r="E116" i="1"/>
  <c r="I111" i="1"/>
  <c r="H111" i="1"/>
  <c r="H112" i="1"/>
  <c r="I112" i="1"/>
  <c r="G98" i="1"/>
  <c r="B89" i="1"/>
  <c r="G101" i="1"/>
  <c r="G103" i="1"/>
  <c r="B92" i="1"/>
  <c r="G105" i="1"/>
  <c r="G109" i="1"/>
  <c r="B98" i="1"/>
  <c r="B101" i="1"/>
  <c r="B105" i="1"/>
  <c r="B109" i="1"/>
  <c r="J104" i="1"/>
  <c r="I104" i="1"/>
  <c r="H104" i="1"/>
  <c r="E104" i="1"/>
  <c r="D104" i="1"/>
  <c r="C104" i="1"/>
  <c r="G86" i="1"/>
  <c r="G89" i="1"/>
  <c r="G90" i="1"/>
  <c r="G92" i="1"/>
  <c r="G96" i="1"/>
  <c r="B86" i="1"/>
  <c r="B96" i="1"/>
  <c r="J92" i="1"/>
  <c r="I92" i="1"/>
  <c r="H92" i="1"/>
  <c r="E92" i="1"/>
  <c r="D92" i="1"/>
  <c r="C92" i="1"/>
  <c r="G68" i="1"/>
  <c r="G80" i="1"/>
  <c r="B68" i="1"/>
  <c r="B80" i="1"/>
  <c r="J75" i="1"/>
  <c r="I75" i="1"/>
  <c r="H75" i="1"/>
  <c r="E75" i="1"/>
  <c r="D75" i="1"/>
  <c r="C75" i="1"/>
  <c r="G52" i="1"/>
  <c r="G62" i="1"/>
  <c r="G65" i="1"/>
  <c r="B52" i="1"/>
  <c r="B62" i="1"/>
  <c r="B65" i="1"/>
  <c r="D60" i="1"/>
  <c r="D61" i="1"/>
  <c r="J60" i="1"/>
  <c r="I60" i="1"/>
  <c r="H60" i="1"/>
  <c r="E60" i="1"/>
  <c r="C60" i="1"/>
  <c r="G37" i="1"/>
  <c r="G49" i="1"/>
  <c r="B49" i="1"/>
  <c r="J44" i="1"/>
  <c r="I44" i="1"/>
  <c r="H44" i="1"/>
  <c r="E44" i="1"/>
  <c r="D44" i="1"/>
  <c r="C44" i="1"/>
  <c r="G24" i="1"/>
  <c r="G29" i="1"/>
  <c r="B30" i="1"/>
  <c r="G30" i="1"/>
  <c r="G32" i="1"/>
  <c r="B24" i="1"/>
  <c r="B32" i="1"/>
  <c r="J27" i="1"/>
  <c r="J28" i="1"/>
  <c r="I27" i="1"/>
  <c r="I28" i="1"/>
  <c r="H27" i="1"/>
  <c r="H28" i="1"/>
  <c r="E27" i="1"/>
  <c r="D27" i="1"/>
  <c r="C27" i="1"/>
  <c r="H24" i="1"/>
  <c r="G14" i="1"/>
  <c r="G17" i="1"/>
  <c r="G22" i="1"/>
  <c r="B14" i="1"/>
  <c r="B22" i="1"/>
  <c r="J17" i="1"/>
  <c r="I17" i="1"/>
  <c r="H17" i="1"/>
  <c r="E17" i="1"/>
  <c r="D17" i="1"/>
  <c r="C17" i="1"/>
  <c r="G4" i="1"/>
  <c r="G12" i="1"/>
  <c r="B4" i="1"/>
  <c r="B12" i="1"/>
  <c r="J8" i="1"/>
  <c r="J9" i="1"/>
  <c r="I8" i="1"/>
  <c r="I9" i="1"/>
  <c r="H8" i="1"/>
  <c r="H9" i="1"/>
  <c r="E8" i="1"/>
  <c r="D8" i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B89" authorId="0" shapeId="0" xr:uid="{B1C5E0C9-924C-4B17-8BD2-0DC5A9E76096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salen 15 hojas cartas en 1,58*1 mts </t>
        </r>
      </text>
    </comment>
    <comment ref="B90" authorId="0" shapeId="0" xr:uid="{2BBDF530-555D-45CC-BC8C-B010C2E26E35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 xml:space="preserve">pago sublimacion y vinil a 250*2=500
</t>
        </r>
      </text>
    </comment>
  </commentList>
</comments>
</file>

<file path=xl/sharedStrings.xml><?xml version="1.0" encoding="utf-8"?>
<sst xmlns="http://schemas.openxmlformats.org/spreadsheetml/2006/main" count="736" uniqueCount="88">
  <si>
    <t xml:space="preserve"> FRANELAS EN BLANCO</t>
  </si>
  <si>
    <t>Tipo de Franela</t>
  </si>
  <si>
    <t xml:space="preserve">MUSELINA    DAMA </t>
  </si>
  <si>
    <t xml:space="preserve">MICRO    DAMA </t>
  </si>
  <si>
    <t xml:space="preserve">VINIL MEDIANO/PÑO VINIL 15 CMS </t>
  </si>
  <si>
    <t xml:space="preserve">TELA </t>
  </si>
  <si>
    <t xml:space="preserve">SUBLIMACION TAMAÑO CARTA Y VINIL </t>
  </si>
  <si>
    <t xml:space="preserve">CORTE </t>
  </si>
  <si>
    <t>SUBLIMACION TAMAÑO OFICIO</t>
  </si>
  <si>
    <t>COSTURA</t>
  </si>
  <si>
    <t xml:space="preserve">+5 DOC </t>
  </si>
  <si>
    <t xml:space="preserve">1 A 5 DOC </t>
  </si>
  <si>
    <t xml:space="preserve">DETAL </t>
  </si>
  <si>
    <t>SUBLIMACION DELANTERA TAMAÑO 30*30</t>
  </si>
  <si>
    <t>ETIQUETA</t>
  </si>
  <si>
    <t xml:space="preserve">SUBLIMACION TOTAL </t>
  </si>
  <si>
    <t>BOLSA</t>
  </si>
  <si>
    <t>CON DISEÑO EN VINIL GRANDE 25*30</t>
  </si>
  <si>
    <t>MARQUILLA</t>
  </si>
  <si>
    <t>HILO</t>
  </si>
  <si>
    <t xml:space="preserve">GASTOS OPERATIVOS </t>
  </si>
  <si>
    <t xml:space="preserve">MUSELINA  NIÑO </t>
  </si>
  <si>
    <t xml:space="preserve">MICRO    NIÑO </t>
  </si>
  <si>
    <t xml:space="preserve">MUSELINA    CABALLERO </t>
  </si>
  <si>
    <t>MICRO           CABALLERO</t>
  </si>
  <si>
    <t>BORDADO</t>
  </si>
  <si>
    <t>*0</t>
  </si>
  <si>
    <t>REPLICA DE MARCAS VINIL MEDIANO/PÑO</t>
  </si>
  <si>
    <t xml:space="preserve">MUSELINA    NIÑO </t>
  </si>
  <si>
    <t>PLANCHA</t>
  </si>
  <si>
    <t xml:space="preserve">VINIL 15 CMS </t>
  </si>
  <si>
    <t>CORTE DEL PLOTTER</t>
  </si>
  <si>
    <t xml:space="preserve">DEPILADA </t>
  </si>
  <si>
    <t xml:space="preserve">MARQUILLA </t>
  </si>
  <si>
    <t>MICRO    NIÑO</t>
  </si>
  <si>
    <t>DISEÑO</t>
  </si>
  <si>
    <t xml:space="preserve">MUSE   CABALLERO </t>
  </si>
  <si>
    <t xml:space="preserve">MICRO      CABALLERO </t>
  </si>
  <si>
    <t xml:space="preserve">VINIL </t>
  </si>
  <si>
    <t>MAS DE 20</t>
  </si>
  <si>
    <t>MAS DE 40</t>
  </si>
  <si>
    <t xml:space="preserve">FRANELAS DAMAS </t>
  </si>
  <si>
    <t xml:space="preserve">FRANELAS CAB. </t>
  </si>
  <si>
    <t xml:space="preserve">MUSELINA             DAMA </t>
  </si>
  <si>
    <t xml:space="preserve">MUSELINA              NIÑO </t>
  </si>
  <si>
    <t xml:space="preserve">SUBLIMACION CARTA </t>
  </si>
  <si>
    <t xml:space="preserve">micro    DAMA </t>
  </si>
  <si>
    <t xml:space="preserve"> FRANELAS</t>
  </si>
  <si>
    <t xml:space="preserve"> micro      NIÑO</t>
  </si>
  <si>
    <t xml:space="preserve">DISEÑO </t>
  </si>
  <si>
    <t xml:space="preserve">MUSE      CABALLERO </t>
  </si>
  <si>
    <t xml:space="preserve"> MICRO    CABALLERO </t>
  </si>
  <si>
    <t>MUSE</t>
  </si>
  <si>
    <t xml:space="preserve">DAMA </t>
  </si>
  <si>
    <t xml:space="preserve">NIÑO </t>
  </si>
  <si>
    <t xml:space="preserve">MUSE TAMAÑO OFICIO DAMA </t>
  </si>
  <si>
    <t>MUSE TAMAÑO OFICIO NIÑO</t>
  </si>
  <si>
    <t xml:space="preserve">SUBLIMACION OFICIO </t>
  </si>
  <si>
    <t xml:space="preserve">MICRO </t>
  </si>
  <si>
    <t>MICRO</t>
  </si>
  <si>
    <t>NIÑO</t>
  </si>
  <si>
    <t xml:space="preserve">MICRO TAMAÑO OFICIO DAMA </t>
  </si>
  <si>
    <t>MICRO TAMAÑO OFICIO NIÑO</t>
  </si>
  <si>
    <t xml:space="preserve">CABALLERO </t>
  </si>
  <si>
    <t xml:space="preserve">MUSE TAMAÑO OFICIO CABALLERO </t>
  </si>
  <si>
    <t xml:space="preserve">MICRO TAMAÑO OFICIO CABALLERO </t>
  </si>
  <si>
    <t xml:space="preserve">SUBLIMACION DELANTERA </t>
  </si>
  <si>
    <t xml:space="preserve">MUSE TAMAÑO 30*30 NIÑO </t>
  </si>
  <si>
    <t xml:space="preserve">MUSE TAMAÑO 30*30 DAMA </t>
  </si>
  <si>
    <t xml:space="preserve">SUBLIMACION </t>
  </si>
  <si>
    <t xml:space="preserve">MICRO TAMAÑO 30*30 NIÑO </t>
  </si>
  <si>
    <t xml:space="preserve">MICRO TAMAÑO 30*30 DAMA </t>
  </si>
  <si>
    <t xml:space="preserve">MICRO TAMAÑO 30*30 CABALLERO </t>
  </si>
  <si>
    <t xml:space="preserve">MUSE TAMAÑO 30*30 CABALLERO </t>
  </si>
  <si>
    <t xml:space="preserve">MUSELINA </t>
  </si>
  <si>
    <t xml:space="preserve">BOLSA </t>
  </si>
  <si>
    <t>CON DISEÑO EN VINIL GRANDE 20*20</t>
  </si>
  <si>
    <t xml:space="preserve">FRANELAS </t>
  </si>
  <si>
    <t>MUSELINA  REPLICA NIÑO</t>
  </si>
  <si>
    <t xml:space="preserve">MUSELINA  REPLICA DAMA </t>
  </si>
  <si>
    <t>VINIL 25*30</t>
  </si>
  <si>
    <t>VINIL 20*20</t>
  </si>
  <si>
    <t>MUSELINA</t>
  </si>
  <si>
    <t xml:space="preserve">MICRO REPLICA DAMA </t>
  </si>
  <si>
    <t>MICRO REPLICA NIÑO</t>
  </si>
  <si>
    <t>CABALLERO</t>
  </si>
  <si>
    <t>MUSE REPLICA CABALLERO</t>
  </si>
  <si>
    <t>MICRO REPLICA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</si>
</sst>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indexed="81"/>
      <name val="Tahoma"/>
      <family val="2"/>
    </font>
    <font>
      <sz val="20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FE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D7CD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3" fillId="0" borderId="0" xfId="0" applyFont="1"/>
    <xf numFmtId="0" fontId="5" fillId="2" borderId="4" xfId="0" applyFont="1" applyFill="1" applyBorder="1"/>
    <xf numFmtId="2" fontId="5" fillId="2" borderId="0" xfId="0" applyNumberFormat="1" applyFont="1" applyFill="1"/>
    <xf numFmtId="2" fontId="6" fillId="2" borderId="0" xfId="0" applyNumberFormat="1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5" fillId="2" borderId="0" xfId="0" applyFont="1" applyFill="1"/>
    <xf numFmtId="0" fontId="0" fillId="2" borderId="0" xfId="0" applyFill="1"/>
    <xf numFmtId="2" fontId="0" fillId="2" borderId="5" xfId="0" applyNumberFormat="1" applyFill="1" applyBorder="1"/>
    <xf numFmtId="2" fontId="8" fillId="2" borderId="0" xfId="0" applyNumberFormat="1" applyFont="1" applyFill="1" applyAlignment="1">
      <alignment horizontal="center"/>
    </xf>
    <xf numFmtId="2" fontId="8" fillId="2" borderId="0" xfId="0" applyNumberFormat="1" applyFont="1" applyFill="1"/>
    <xf numFmtId="2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1" fontId="8" fillId="2" borderId="0" xfId="0" applyNumberFormat="1" applyFont="1" applyFill="1" applyAlignment="1">
      <alignment horizontal="center"/>
    </xf>
    <xf numFmtId="2" fontId="8" fillId="2" borderId="6" xfId="0" applyNumberFormat="1" applyFont="1" applyFill="1" applyBorder="1"/>
    <xf numFmtId="2" fontId="9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left"/>
    </xf>
    <xf numFmtId="3" fontId="8" fillId="2" borderId="0" xfId="0" applyNumberFormat="1" applyFont="1" applyFill="1" applyAlignment="1">
      <alignment horizontal="right"/>
    </xf>
    <xf numFmtId="3" fontId="8" fillId="2" borderId="0" xfId="0" applyNumberFormat="1" applyFont="1" applyFill="1"/>
    <xf numFmtId="3" fontId="8" fillId="2" borderId="6" xfId="0" applyNumberFormat="1" applyFont="1" applyFill="1" applyBorder="1" applyAlignment="1">
      <alignment horizontal="right"/>
    </xf>
    <xf numFmtId="3" fontId="8" fillId="2" borderId="6" xfId="0" applyNumberFormat="1" applyFont="1" applyFill="1" applyBorder="1"/>
    <xf numFmtId="4" fontId="8" fillId="2" borderId="0" xfId="0" applyNumberFormat="1" applyFont="1" applyFill="1" applyAlignment="1">
      <alignment horizontal="right"/>
    </xf>
    <xf numFmtId="4" fontId="8" fillId="2" borderId="0" xfId="0" applyNumberFormat="1" applyFont="1" applyFill="1"/>
    <xf numFmtId="0" fontId="8" fillId="2" borderId="0" xfId="0" applyFont="1" applyFill="1" applyAlignment="1">
      <alignment horizontal="right" vertical="center"/>
    </xf>
    <xf numFmtId="0" fontId="5" fillId="2" borderId="7" xfId="0" applyFont="1" applyFill="1" applyBorder="1"/>
    <xf numFmtId="2" fontId="8" fillId="2" borderId="6" xfId="0" applyNumberFormat="1" applyFont="1" applyFill="1" applyBorder="1" applyAlignment="1">
      <alignment horizontal="center"/>
    </xf>
    <xf numFmtId="0" fontId="5" fillId="2" borderId="6" xfId="0" applyFont="1" applyFill="1" applyBorder="1"/>
    <xf numFmtId="2" fontId="0" fillId="2" borderId="8" xfId="0" applyNumberFormat="1" applyFill="1" applyBorder="1"/>
    <xf numFmtId="0" fontId="5" fillId="0" borderId="0" xfId="0" applyFont="1"/>
    <xf numFmtId="2" fontId="5" fillId="0" borderId="0" xfId="0" applyNumberFormat="1" applyFont="1"/>
    <xf numFmtId="2" fontId="8" fillId="0" borderId="0" xfId="0" applyNumberFormat="1" applyFont="1" applyAlignment="1">
      <alignment horizontal="center"/>
    </xf>
    <xf numFmtId="2" fontId="0" fillId="0" borderId="0" xfId="0" applyNumberFormat="1"/>
    <xf numFmtId="0" fontId="2" fillId="4" borderId="4" xfId="0" applyFont="1" applyFill="1" applyBorder="1"/>
    <xf numFmtId="0" fontId="2" fillId="4" borderId="0" xfId="0" applyFont="1" applyFill="1"/>
    <xf numFmtId="2" fontId="3" fillId="4" borderId="5" xfId="0" applyNumberFormat="1" applyFont="1" applyFill="1" applyBorder="1"/>
    <xf numFmtId="0" fontId="5" fillId="4" borderId="4" xfId="0" applyFont="1" applyFill="1" applyBorder="1"/>
    <xf numFmtId="2" fontId="8" fillId="4" borderId="0" xfId="0" applyNumberFormat="1" applyFont="1" applyFill="1"/>
    <xf numFmtId="0" fontId="5" fillId="4" borderId="0" xfId="0" applyFont="1" applyFill="1"/>
    <xf numFmtId="3" fontId="8" fillId="4" borderId="0" xfId="0" applyNumberFormat="1" applyFont="1" applyFill="1"/>
    <xf numFmtId="2" fontId="10" fillId="4" borderId="5" xfId="0" applyNumberFormat="1" applyFont="1" applyFill="1" applyBorder="1"/>
    <xf numFmtId="2" fontId="8" fillId="4" borderId="0" xfId="0" applyNumberFormat="1" applyFont="1" applyFill="1" applyAlignment="1">
      <alignment horizontal="center"/>
    </xf>
    <xf numFmtId="2" fontId="5" fillId="4" borderId="5" xfId="0" applyNumberFormat="1" applyFont="1" applyFill="1" applyBorder="1"/>
    <xf numFmtId="2" fontId="8" fillId="4" borderId="0" xfId="0" applyNumberFormat="1" applyFont="1" applyFill="1" applyAlignment="1">
      <alignment horizontal="center" vertical="center"/>
    </xf>
    <xf numFmtId="2" fontId="8" fillId="4" borderId="5" xfId="0" applyNumberFormat="1" applyFont="1" applyFill="1" applyBorder="1"/>
    <xf numFmtId="2" fontId="8" fillId="4" borderId="6" xfId="0" applyNumberFormat="1" applyFont="1" applyFill="1" applyBorder="1"/>
    <xf numFmtId="3" fontId="8" fillId="4" borderId="6" xfId="0" applyNumberFormat="1" applyFont="1" applyFill="1" applyBorder="1"/>
    <xf numFmtId="4" fontId="8" fillId="4" borderId="0" xfId="0" applyNumberFormat="1" applyFont="1" applyFill="1"/>
    <xf numFmtId="0" fontId="11" fillId="4" borderId="4" xfId="0" applyFont="1" applyFill="1" applyBorder="1" applyAlignment="1">
      <alignment vertical="center"/>
    </xf>
    <xf numFmtId="2" fontId="11" fillId="4" borderId="0" xfId="0" applyNumberFormat="1" applyFont="1" applyFill="1" applyAlignment="1">
      <alignment vertical="center"/>
    </xf>
    <xf numFmtId="3" fontId="5" fillId="4" borderId="0" xfId="0" applyNumberFormat="1" applyFont="1" applyFill="1"/>
    <xf numFmtId="2" fontId="2" fillId="4" borderId="0" xfId="0" applyNumberFormat="1" applyFont="1" applyFill="1" applyAlignment="1">
      <alignment horizontal="center"/>
    </xf>
    <xf numFmtId="2" fontId="2" fillId="4" borderId="5" xfId="0" applyNumberFormat="1" applyFont="1" applyFill="1" applyBorder="1"/>
    <xf numFmtId="2" fontId="4" fillId="4" borderId="5" xfId="0" applyNumberFormat="1" applyFont="1" applyFill="1" applyBorder="1"/>
    <xf numFmtId="0" fontId="13" fillId="4" borderId="0" xfId="0" applyFont="1" applyFill="1"/>
    <xf numFmtId="0" fontId="13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3" fillId="4" borderId="5" xfId="0" applyFont="1" applyFill="1" applyBorder="1"/>
    <xf numFmtId="2" fontId="3" fillId="4" borderId="0" xfId="0" applyNumberFormat="1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5" xfId="0" applyFont="1" applyFill="1" applyBorder="1"/>
    <xf numFmtId="0" fontId="5" fillId="4" borderId="5" xfId="0" applyFont="1" applyFill="1" applyBorder="1"/>
    <xf numFmtId="2" fontId="6" fillId="4" borderId="5" xfId="0" applyNumberFormat="1" applyFont="1" applyFill="1" applyBorder="1" applyAlignment="1">
      <alignment horizontal="center"/>
    </xf>
    <xf numFmtId="0" fontId="8" fillId="4" borderId="5" xfId="0" applyFont="1" applyFill="1" applyBorder="1"/>
    <xf numFmtId="2" fontId="0" fillId="4" borderId="5" xfId="0" applyNumberFormat="1" applyFill="1" applyBorder="1"/>
    <xf numFmtId="0" fontId="5" fillId="4" borderId="7" xfId="0" applyFont="1" applyFill="1" applyBorder="1"/>
    <xf numFmtId="2" fontId="5" fillId="4" borderId="6" xfId="0" applyNumberFormat="1" applyFont="1" applyFill="1" applyBorder="1"/>
    <xf numFmtId="2" fontId="8" fillId="4" borderId="6" xfId="0" applyNumberFormat="1" applyFont="1" applyFill="1" applyBorder="1" applyAlignment="1">
      <alignment horizontal="center"/>
    </xf>
    <xf numFmtId="0" fontId="5" fillId="4" borderId="6" xfId="0" applyFont="1" applyFill="1" applyBorder="1"/>
    <xf numFmtId="0" fontId="0" fillId="4" borderId="6" xfId="0" applyFill="1" applyBorder="1"/>
    <xf numFmtId="0" fontId="5" fillId="4" borderId="8" xfId="0" applyFont="1" applyFill="1" applyBorder="1"/>
    <xf numFmtId="2" fontId="5" fillId="5" borderId="0" xfId="0" applyNumberFormat="1" applyFont="1" applyFill="1"/>
    <xf numFmtId="0" fontId="5" fillId="5" borderId="0" xfId="0" applyFont="1" applyFill="1"/>
    <xf numFmtId="2" fontId="8" fillId="5" borderId="0" xfId="0" applyNumberFormat="1" applyFont="1" applyFill="1"/>
    <xf numFmtId="3" fontId="8" fillId="5" borderId="0" xfId="0" applyNumberFormat="1" applyFont="1" applyFill="1"/>
    <xf numFmtId="2" fontId="8" fillId="5" borderId="0" xfId="0" applyNumberFormat="1" applyFont="1" applyFill="1" applyAlignment="1">
      <alignment horizontal="center"/>
    </xf>
    <xf numFmtId="2" fontId="8" fillId="5" borderId="0" xfId="0" applyNumberFormat="1" applyFont="1" applyFill="1" applyAlignment="1">
      <alignment horizontal="center" vertical="center"/>
    </xf>
    <xf numFmtId="0" fontId="10" fillId="0" borderId="0" xfId="0" applyFont="1"/>
    <xf numFmtId="2" fontId="8" fillId="5" borderId="6" xfId="0" applyNumberFormat="1" applyFont="1" applyFill="1" applyBorder="1"/>
    <xf numFmtId="3" fontId="8" fillId="5" borderId="6" xfId="0" applyNumberFormat="1" applyFont="1" applyFill="1" applyBorder="1"/>
    <xf numFmtId="4" fontId="8" fillId="5" borderId="0" xfId="0" applyNumberFormat="1" applyFont="1" applyFill="1"/>
    <xf numFmtId="0" fontId="6" fillId="5" borderId="0" xfId="0" applyFont="1" applyFill="1" applyAlignment="1">
      <alignment horizontal="right"/>
    </xf>
    <xf numFmtId="2" fontId="6" fillId="5" borderId="0" xfId="0" applyNumberFormat="1" applyFont="1" applyFill="1" applyAlignment="1">
      <alignment horizontal="right"/>
    </xf>
    <xf numFmtId="2" fontId="6" fillId="5" borderId="0" xfId="0" applyNumberFormat="1" applyFont="1" applyFill="1" applyAlignment="1">
      <alignment horizontal="center"/>
    </xf>
    <xf numFmtId="2" fontId="10" fillId="5" borderId="0" xfId="0" applyNumberFormat="1" applyFont="1" applyFill="1"/>
    <xf numFmtId="3" fontId="8" fillId="5" borderId="0" xfId="0" applyNumberFormat="1" applyFont="1" applyFill="1" applyAlignment="1">
      <alignment horizontal="right"/>
    </xf>
    <xf numFmtId="0" fontId="14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2" fontId="8" fillId="5" borderId="0" xfId="0" applyNumberFormat="1" applyFont="1" applyFill="1" applyAlignment="1">
      <alignment horizontal="right" vertical="center"/>
    </xf>
    <xf numFmtId="2" fontId="5" fillId="6" borderId="0" xfId="0" applyNumberFormat="1" applyFont="1" applyFill="1"/>
    <xf numFmtId="0" fontId="5" fillId="6" borderId="0" xfId="0" applyFont="1" applyFill="1"/>
    <xf numFmtId="2" fontId="8" fillId="6" borderId="0" xfId="0" applyNumberFormat="1" applyFont="1" applyFill="1"/>
    <xf numFmtId="3" fontId="8" fillId="6" borderId="0" xfId="0" applyNumberFormat="1" applyFont="1" applyFill="1"/>
    <xf numFmtId="2" fontId="8" fillId="6" borderId="0" xfId="0" applyNumberFormat="1" applyFont="1" applyFill="1" applyAlignment="1">
      <alignment horizontal="center"/>
    </xf>
    <xf numFmtId="2" fontId="8" fillId="6" borderId="0" xfId="0" applyNumberFormat="1" applyFont="1" applyFill="1" applyAlignment="1">
      <alignment horizontal="center" vertical="center"/>
    </xf>
    <xf numFmtId="2" fontId="8" fillId="6" borderId="6" xfId="0" applyNumberFormat="1" applyFont="1" applyFill="1" applyBorder="1"/>
    <xf numFmtId="3" fontId="8" fillId="6" borderId="6" xfId="0" applyNumberFormat="1" applyFont="1" applyFill="1" applyBorder="1"/>
    <xf numFmtId="4" fontId="8" fillId="6" borderId="0" xfId="0" applyNumberFormat="1" applyFont="1" applyFill="1"/>
    <xf numFmtId="3" fontId="5" fillId="6" borderId="0" xfId="0" applyNumberFormat="1" applyFont="1" applyFill="1"/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right" vertical="center"/>
    </xf>
    <xf numFmtId="2" fontId="8" fillId="6" borderId="0" xfId="0" applyNumberFormat="1" applyFont="1" applyFill="1" applyAlignment="1">
      <alignment horizontal="right" vertical="center"/>
    </xf>
    <xf numFmtId="0" fontId="8" fillId="6" borderId="0" xfId="0" applyFont="1" applyFill="1"/>
    <xf numFmtId="2" fontId="1" fillId="6" borderId="0" xfId="0" applyNumberFormat="1" applyFont="1" applyFill="1" applyAlignment="1">
      <alignment horizontal="center"/>
    </xf>
    <xf numFmtId="3" fontId="5" fillId="0" borderId="0" xfId="0" applyNumberFormat="1" applyFont="1"/>
    <xf numFmtId="0" fontId="2" fillId="7" borderId="0" xfId="0" applyFont="1" applyFill="1"/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2" fontId="5" fillId="7" borderId="0" xfId="0" applyNumberFormat="1" applyFont="1" applyFill="1"/>
    <xf numFmtId="0" fontId="5" fillId="7" borderId="0" xfId="0" applyFont="1" applyFill="1"/>
    <xf numFmtId="3" fontId="8" fillId="7" borderId="0" xfId="0" applyNumberFormat="1" applyFont="1" applyFill="1"/>
    <xf numFmtId="2" fontId="8" fillId="7" borderId="0" xfId="0" applyNumberFormat="1" applyFont="1" applyFill="1" applyAlignment="1">
      <alignment horizontal="center"/>
    </xf>
    <xf numFmtId="2" fontId="8" fillId="7" borderId="0" xfId="0" applyNumberFormat="1" applyFont="1" applyFill="1"/>
    <xf numFmtId="2" fontId="8" fillId="7" borderId="0" xfId="0" applyNumberFormat="1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/>
    </xf>
    <xf numFmtId="3" fontId="8" fillId="7" borderId="6" xfId="0" applyNumberFormat="1" applyFont="1" applyFill="1" applyBorder="1"/>
    <xf numFmtId="4" fontId="8" fillId="7" borderId="0" xfId="0" applyNumberFormat="1" applyFont="1" applyFill="1"/>
    <xf numFmtId="3" fontId="5" fillId="7" borderId="0" xfId="0" applyNumberFormat="1" applyFont="1" applyFill="1"/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0" fontId="8" fillId="7" borderId="0" xfId="0" applyFont="1" applyFill="1"/>
    <xf numFmtId="2" fontId="8" fillId="7" borderId="6" xfId="0" applyNumberFormat="1" applyFont="1" applyFill="1" applyBorder="1"/>
    <xf numFmtId="2" fontId="8" fillId="7" borderId="0" xfId="0" applyNumberFormat="1" applyFont="1" applyFill="1" applyAlignment="1">
      <alignment horizontal="right" vertical="center"/>
    </xf>
    <xf numFmtId="2" fontId="2" fillId="8" borderId="0" xfId="0" applyNumberFormat="1" applyFont="1" applyFill="1"/>
    <xf numFmtId="2" fontId="5" fillId="8" borderId="0" xfId="0" applyNumberFormat="1" applyFont="1" applyFill="1"/>
    <xf numFmtId="0" fontId="5" fillId="8" borderId="0" xfId="0" applyFont="1" applyFill="1"/>
    <xf numFmtId="2" fontId="8" fillId="8" borderId="0" xfId="0" applyNumberFormat="1" applyFont="1" applyFill="1"/>
    <xf numFmtId="3" fontId="8" fillId="8" borderId="0" xfId="0" applyNumberFormat="1" applyFont="1" applyFill="1"/>
    <xf numFmtId="2" fontId="8" fillId="8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 vertical="center"/>
    </xf>
    <xf numFmtId="2" fontId="8" fillId="8" borderId="6" xfId="0" applyNumberFormat="1" applyFont="1" applyFill="1" applyBorder="1"/>
    <xf numFmtId="3" fontId="8" fillId="8" borderId="6" xfId="0" applyNumberFormat="1" applyFont="1" applyFill="1" applyBorder="1"/>
    <xf numFmtId="4" fontId="8" fillId="8" borderId="0" xfId="0" applyNumberFormat="1" applyFont="1" applyFill="1"/>
    <xf numFmtId="3" fontId="5" fillId="8" borderId="0" xfId="0" applyNumberFormat="1" applyFont="1" applyFill="1"/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right" vertical="center"/>
    </xf>
    <xf numFmtId="2" fontId="8" fillId="8" borderId="0" xfId="0" applyNumberFormat="1" applyFont="1" applyFill="1" applyAlignment="1">
      <alignment horizontal="right" vertical="center"/>
    </xf>
    <xf numFmtId="0" fontId="2" fillId="8" borderId="0" xfId="0" applyFont="1" applyFill="1"/>
    <xf numFmtId="0" fontId="8" fillId="0" borderId="0" xfId="0" applyFont="1"/>
    <xf numFmtId="2" fontId="6" fillId="9" borderId="0" xfId="0" applyNumberFormat="1" applyFont="1" applyFill="1"/>
    <xf numFmtId="2" fontId="6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right"/>
    </xf>
    <xf numFmtId="2" fontId="5" fillId="9" borderId="0" xfId="0" applyNumberFormat="1" applyFont="1" applyFill="1"/>
    <xf numFmtId="0" fontId="5" fillId="9" borderId="0" xfId="0" applyFont="1" applyFill="1"/>
    <xf numFmtId="2" fontId="8" fillId="9" borderId="0" xfId="0" applyNumberFormat="1" applyFont="1" applyFill="1"/>
    <xf numFmtId="3" fontId="8" fillId="9" borderId="0" xfId="0" applyNumberFormat="1" applyFont="1" applyFill="1"/>
    <xf numFmtId="2" fontId="8" fillId="9" borderId="0" xfId="0" applyNumberFormat="1" applyFont="1" applyFill="1" applyAlignment="1">
      <alignment horizontal="center" vertical="center"/>
    </xf>
    <xf numFmtId="2" fontId="0" fillId="9" borderId="0" xfId="0" applyNumberFormat="1" applyFill="1"/>
    <xf numFmtId="2" fontId="8" fillId="9" borderId="6" xfId="0" applyNumberFormat="1" applyFont="1" applyFill="1" applyBorder="1"/>
    <xf numFmtId="3" fontId="8" fillId="9" borderId="6" xfId="0" applyNumberFormat="1" applyFont="1" applyFill="1" applyBorder="1"/>
    <xf numFmtId="4" fontId="8" fillId="9" borderId="0" xfId="0" applyNumberFormat="1" applyFont="1" applyFill="1"/>
    <xf numFmtId="0" fontId="11" fillId="9" borderId="0" xfId="0" applyFont="1" applyFill="1" applyAlignment="1">
      <alignment vertical="center"/>
    </xf>
    <xf numFmtId="2" fontId="11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right" vertical="center"/>
    </xf>
    <xf numFmtId="2" fontId="11" fillId="9" borderId="0" xfId="0" applyNumberFormat="1" applyFont="1" applyFill="1"/>
    <xf numFmtId="2" fontId="4" fillId="9" borderId="0" xfId="0" applyNumberFormat="1" applyFont="1" applyFill="1"/>
    <xf numFmtId="2" fontId="8" fillId="9" borderId="0" xfId="0" applyNumberFormat="1" applyFont="1" applyFill="1" applyAlignment="1">
      <alignment horizontal="center"/>
    </xf>
    <xf numFmtId="3" fontId="5" fillId="9" borderId="0" xfId="0" applyNumberFormat="1" applyFont="1" applyFill="1"/>
    <xf numFmtId="0" fontId="8" fillId="9" borderId="0" xfId="0" applyFont="1" applyFill="1"/>
    <xf numFmtId="0" fontId="0" fillId="9" borderId="0" xfId="0" applyFill="1"/>
    <xf numFmtId="0" fontId="11" fillId="9" borderId="0" xfId="0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/>
    </xf>
    <xf numFmtId="0" fontId="8" fillId="9" borderId="0" xfId="0" applyFont="1" applyFill="1" applyAlignment="1">
      <alignment horizontal="right" vertical="center"/>
    </xf>
    <xf numFmtId="2" fontId="6" fillId="9" borderId="0" xfId="0" applyNumberFormat="1" applyFont="1" applyFill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8" fillId="8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right"/>
    </xf>
    <xf numFmtId="2" fontId="8" fillId="7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2" fontId="6" fillId="8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/>
    </xf>
    <xf numFmtId="0" fontId="2" fillId="7" borderId="0" xfId="0" applyFont="1" applyFill="1" applyAlignment="1">
      <alignment horizontal="left"/>
    </xf>
    <xf numFmtId="0" fontId="8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8" fillId="6" borderId="0" xfId="0" applyFont="1" applyFill="1" applyAlignment="1">
      <alignment horizontal="right" vertical="center"/>
    </xf>
    <xf numFmtId="2" fontId="2" fillId="6" borderId="0" xfId="0" applyNumberFormat="1" applyFont="1" applyFill="1" applyAlignment="1">
      <alignment horizontal="center"/>
    </xf>
    <xf numFmtId="2" fontId="8" fillId="5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13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right" vertical="center"/>
    </xf>
    <xf numFmtId="2" fontId="2" fillId="4" borderId="1" xfId="0" applyNumberFormat="1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8" fillId="4" borderId="0" xfId="0" applyNumberFormat="1" applyFont="1" applyFill="1" applyAlignment="1">
      <alignment horizontal="center"/>
    </xf>
    <xf numFmtId="2" fontId="12" fillId="4" borderId="0" xfId="0" applyNumberFormat="1" applyFont="1" applyFill="1" applyAlignment="1">
      <alignment horizontal="center"/>
    </xf>
    <xf numFmtId="0" fontId="2" fillId="4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64DABD-C92B-4362-A6CF-0A54F73D7C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41F8-85DA-40A2-BA54-AD9A7B211DF6}">
  <sheetPr codeName="Hoja2"/>
  <dimension ref="A1:S316"/>
  <sheetViews>
    <sheetView tabSelected="1" zoomScale="55" zoomScaleNormal="55" workbookViewId="0">
      <selection activeCell="S1" sqref="S1:S15"/>
    </sheetView>
  </sheetViews>
  <sheetFormatPr defaultColWidth="11.42578125" defaultRowHeight="24"/>
  <cols>
    <col min="1" max="1" width="38.7109375" style="29" customWidth="1"/>
    <col min="2" max="2" width="27.140625" style="30" customWidth="1"/>
    <col min="3" max="3" width="23.140625" style="31" customWidth="1"/>
    <col min="4" max="4" width="25" style="31" customWidth="1"/>
    <col min="5" max="5" width="24.28515625" style="31" customWidth="1"/>
    <col min="6" max="6" width="38.7109375" style="29" customWidth="1"/>
    <col min="7" max="7" width="26.5703125" customWidth="1"/>
    <col min="8" max="8" width="26.42578125" style="31" bestFit="1" customWidth="1"/>
    <col min="9" max="9" width="24.140625" style="31" customWidth="1"/>
    <col min="10" max="10" width="28.85546875" style="31" customWidth="1"/>
    <col min="11" max="11" width="16.42578125" style="32" customWidth="1"/>
    <col min="19" max="19" width="46.42578125" bestFit="1" customWidth="1"/>
  </cols>
  <sheetData>
    <row r="1" spans="1:19" s="1" customFormat="1" ht="60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2"/>
      <c r="S1" s="1" t="s">
        <v>1</v>
      </c>
    </row>
    <row r="2" spans="1:19" ht="48.75" customHeight="1">
      <c r="A2" s="2"/>
      <c r="B2" s="3"/>
      <c r="C2" s="4"/>
      <c r="D2" s="4"/>
      <c r="E2" s="5">
        <v>4000</v>
      </c>
      <c r="F2" s="6"/>
      <c r="G2" s="7"/>
      <c r="H2" s="203"/>
      <c r="I2" s="203"/>
      <c r="J2" s="203"/>
      <c r="K2" s="8"/>
      <c r="S2" t="s">
        <v>0</v>
      </c>
    </row>
    <row r="3" spans="1:19" ht="30" customHeight="1">
      <c r="A3" s="204" t="s">
        <v>2</v>
      </c>
      <c r="B3" s="205"/>
      <c r="C3" s="9"/>
      <c r="D3" s="9"/>
      <c r="E3" s="9"/>
      <c r="F3" s="206" t="s">
        <v>3</v>
      </c>
      <c r="G3" s="206"/>
      <c r="H3" s="9"/>
      <c r="I3" s="9"/>
      <c r="J3" s="9"/>
      <c r="K3" s="8"/>
      <c r="S3" t="s">
        <v>4</v>
      </c>
    </row>
    <row r="4" spans="1:19" ht="30" customHeight="1">
      <c r="A4" s="2" t="s">
        <v>5</v>
      </c>
      <c r="B4" s="10">
        <f>0.8*2.3*E2</f>
        <v>7359.9999999999991</v>
      </c>
      <c r="C4" s="9"/>
      <c r="D4" s="9"/>
      <c r="E4" s="9"/>
      <c r="F4" s="6" t="s">
        <v>5</v>
      </c>
      <c r="G4" s="10">
        <f>0.8*2*E2</f>
        <v>6400</v>
      </c>
      <c r="H4" s="9"/>
      <c r="I4" s="9"/>
      <c r="J4" s="9"/>
      <c r="K4" s="8"/>
      <c r="S4" t="s">
        <v>6</v>
      </c>
    </row>
    <row r="5" spans="1:19" ht="30" customHeight="1">
      <c r="A5" s="2" t="s">
        <v>7</v>
      </c>
      <c r="B5" s="10">
        <v>700</v>
      </c>
      <c r="C5" s="9"/>
      <c r="D5" s="9"/>
      <c r="E5" s="9"/>
      <c r="F5" s="6" t="s">
        <v>7</v>
      </c>
      <c r="G5" s="10">
        <v>700</v>
      </c>
      <c r="H5" s="9"/>
      <c r="I5" s="9"/>
      <c r="J5" s="9"/>
      <c r="K5" s="8"/>
      <c r="S5" t="s">
        <v>8</v>
      </c>
    </row>
    <row r="6" spans="1:19" ht="30" customHeight="1">
      <c r="A6" s="2" t="s">
        <v>9</v>
      </c>
      <c r="B6" s="10">
        <v>2500</v>
      </c>
      <c r="C6" s="11" t="s">
        <v>10</v>
      </c>
      <c r="D6" s="11" t="s">
        <v>11</v>
      </c>
      <c r="E6" s="11" t="s">
        <v>12</v>
      </c>
      <c r="F6" s="6" t="s">
        <v>9</v>
      </c>
      <c r="G6" s="10">
        <v>2500</v>
      </c>
      <c r="H6" s="11" t="s">
        <v>10</v>
      </c>
      <c r="I6" s="11" t="s">
        <v>11</v>
      </c>
      <c r="J6" s="11" t="s">
        <v>12</v>
      </c>
      <c r="K6" s="8"/>
      <c r="S6" t="s">
        <v>13</v>
      </c>
    </row>
    <row r="7" spans="1:19" ht="30" customHeight="1">
      <c r="A7" s="2" t="s">
        <v>14</v>
      </c>
      <c r="B7" s="10">
        <v>200</v>
      </c>
      <c r="C7" s="12">
        <v>30</v>
      </c>
      <c r="D7" s="12">
        <v>50</v>
      </c>
      <c r="E7" s="12">
        <v>99</v>
      </c>
      <c r="F7" s="6" t="s">
        <v>14</v>
      </c>
      <c r="G7" s="10">
        <v>200</v>
      </c>
      <c r="H7" s="13">
        <v>40</v>
      </c>
      <c r="I7" s="13">
        <v>60</v>
      </c>
      <c r="J7" s="13">
        <v>99</v>
      </c>
      <c r="K7" s="8"/>
      <c r="S7" t="s">
        <v>15</v>
      </c>
    </row>
    <row r="8" spans="1:19" ht="30" customHeight="1">
      <c r="A8" s="2" t="s">
        <v>16</v>
      </c>
      <c r="B8" s="10">
        <v>100</v>
      </c>
      <c r="C8" s="9">
        <f>B12*1.4</f>
        <v>5.1134999999999993</v>
      </c>
      <c r="D8" s="9">
        <f>B12*1.6</f>
        <v>5.8440000000000003</v>
      </c>
      <c r="E8" s="9">
        <f>B12*1.99</f>
        <v>7.2684749999999996</v>
      </c>
      <c r="F8" s="6" t="s">
        <v>16</v>
      </c>
      <c r="G8" s="10">
        <v>3000</v>
      </c>
      <c r="H8" s="9">
        <f>G12*1.3</f>
        <v>5.7362500000000001</v>
      </c>
      <c r="I8" s="9">
        <f>G12*1.5</f>
        <v>6.6187499999999995</v>
      </c>
      <c r="J8" s="9">
        <f>G12*1.7</f>
        <v>7.5012499999999989</v>
      </c>
      <c r="K8" s="8"/>
      <c r="S8" t="s">
        <v>17</v>
      </c>
    </row>
    <row r="9" spans="1:19" ht="30" customHeight="1">
      <c r="A9" s="2" t="s">
        <v>18</v>
      </c>
      <c r="B9" s="10">
        <v>500</v>
      </c>
      <c r="C9" s="9"/>
      <c r="D9" s="9"/>
      <c r="E9" s="9"/>
      <c r="F9" s="6" t="s">
        <v>18</v>
      </c>
      <c r="G9" s="10">
        <v>500</v>
      </c>
      <c r="H9" s="9">
        <f>H8*3800</f>
        <v>21797.75</v>
      </c>
      <c r="I9" s="9">
        <f>I8*3800</f>
        <v>25151.249999999996</v>
      </c>
      <c r="J9" s="9">
        <f>J8*3800</f>
        <v>28504.749999999996</v>
      </c>
      <c r="K9" s="8"/>
    </row>
    <row r="10" spans="1:19" ht="30" customHeight="1">
      <c r="A10" s="2" t="s">
        <v>19</v>
      </c>
      <c r="B10" s="10">
        <v>250</v>
      </c>
      <c r="C10" s="9"/>
      <c r="D10" s="9"/>
      <c r="E10" s="9"/>
      <c r="F10" s="6" t="s">
        <v>19</v>
      </c>
      <c r="G10" s="10">
        <v>350</v>
      </c>
      <c r="H10" s="9"/>
      <c r="I10" s="9"/>
      <c r="J10" s="9"/>
      <c r="K10" s="8"/>
    </row>
    <row r="11" spans="1:19" ht="30" customHeight="1" thickBot="1">
      <c r="A11" s="2" t="s">
        <v>20</v>
      </c>
      <c r="B11" s="14">
        <v>3000</v>
      </c>
      <c r="C11" s="9"/>
      <c r="D11" s="9"/>
      <c r="E11" s="9"/>
      <c r="F11" s="6" t="s">
        <v>20</v>
      </c>
      <c r="G11" s="14">
        <v>4000</v>
      </c>
      <c r="H11" s="9"/>
      <c r="I11" s="9"/>
      <c r="J11" s="9"/>
      <c r="K11" s="8"/>
    </row>
    <row r="12" spans="1:19" ht="30" customHeight="1">
      <c r="A12" s="2"/>
      <c r="B12" s="10">
        <f>SUM(B4:B11)/E2</f>
        <v>3.6524999999999999</v>
      </c>
      <c r="C12" s="9"/>
      <c r="D12" s="9"/>
      <c r="E12" s="9"/>
      <c r="F12" s="6"/>
      <c r="G12" s="10">
        <f>SUM(G4:G11)/E2</f>
        <v>4.4124999999999996</v>
      </c>
      <c r="H12" s="9"/>
      <c r="I12" s="9"/>
      <c r="J12" s="9"/>
      <c r="K12" s="8"/>
    </row>
    <row r="13" spans="1:19" ht="30" customHeight="1">
      <c r="A13" s="204" t="s">
        <v>21</v>
      </c>
      <c r="B13" s="205"/>
      <c r="C13" s="9"/>
      <c r="D13" s="9"/>
      <c r="E13" s="15"/>
      <c r="F13" s="16" t="s">
        <v>22</v>
      </c>
      <c r="G13" s="24"/>
      <c r="H13" s="9"/>
      <c r="I13" s="9"/>
      <c r="J13" s="9"/>
      <c r="K13" s="8"/>
    </row>
    <row r="14" spans="1:19" ht="30" customHeight="1">
      <c r="A14" s="17" t="s">
        <v>5</v>
      </c>
      <c r="B14" s="18">
        <f>0.3*1.3*E2</f>
        <v>1560</v>
      </c>
      <c r="C14" s="9"/>
      <c r="D14" s="9"/>
      <c r="E14" s="9"/>
      <c r="F14" s="6" t="s">
        <v>5</v>
      </c>
      <c r="G14" s="19">
        <f>0.6*2*E2</f>
        <v>4800</v>
      </c>
      <c r="H14" s="9"/>
      <c r="I14" s="9"/>
      <c r="J14" s="9"/>
      <c r="K14" s="8"/>
    </row>
    <row r="15" spans="1:19" ht="30" customHeight="1">
      <c r="A15" s="17" t="s">
        <v>7</v>
      </c>
      <c r="B15" s="18">
        <v>500</v>
      </c>
      <c r="C15" s="11" t="s">
        <v>10</v>
      </c>
      <c r="D15" s="11" t="s">
        <v>11</v>
      </c>
      <c r="E15" s="11" t="s">
        <v>12</v>
      </c>
      <c r="F15" s="6" t="s">
        <v>7</v>
      </c>
      <c r="G15" s="19">
        <v>700</v>
      </c>
      <c r="H15" s="11" t="s">
        <v>10</v>
      </c>
      <c r="I15" s="11" t="s">
        <v>11</v>
      </c>
      <c r="J15" s="11" t="s">
        <v>12</v>
      </c>
      <c r="K15" s="8"/>
    </row>
    <row r="16" spans="1:19" ht="30" customHeight="1">
      <c r="A16" s="17" t="s">
        <v>9</v>
      </c>
      <c r="B16" s="18">
        <v>2000</v>
      </c>
      <c r="C16" s="13">
        <v>30</v>
      </c>
      <c r="D16" s="13">
        <v>50</v>
      </c>
      <c r="E16" s="13">
        <v>99</v>
      </c>
      <c r="F16" s="6" t="s">
        <v>9</v>
      </c>
      <c r="G16" s="19">
        <v>3000</v>
      </c>
      <c r="H16" s="13">
        <v>30</v>
      </c>
      <c r="I16" s="13">
        <v>50</v>
      </c>
      <c r="J16" s="13">
        <v>99</v>
      </c>
      <c r="K16" s="8"/>
    </row>
    <row r="17" spans="1:19" ht="30" customHeight="1">
      <c r="A17" s="17" t="s">
        <v>14</v>
      </c>
      <c r="B17" s="18">
        <v>0</v>
      </c>
      <c r="C17" s="9">
        <f>B22*1.3</f>
        <v>2.0507499999999999</v>
      </c>
      <c r="D17" s="9">
        <f>B22*1.5</f>
        <v>2.36625</v>
      </c>
      <c r="E17" s="9">
        <f>B22*1.99</f>
        <v>3.1392249999999997</v>
      </c>
      <c r="F17" s="6" t="s">
        <v>14</v>
      </c>
      <c r="G17" s="19">
        <f>0.6*12000</f>
        <v>7200</v>
      </c>
      <c r="H17" s="9">
        <f>G22*1.4</f>
        <v>5.5824999999999996</v>
      </c>
      <c r="I17" s="9">
        <f>G22*1.6</f>
        <v>6.38</v>
      </c>
      <c r="J17" s="9">
        <f>G22*1.99</f>
        <v>7.9351249999999993</v>
      </c>
      <c r="K17" s="8"/>
    </row>
    <row r="18" spans="1:19" ht="30" customHeight="1">
      <c r="A18" s="17" t="s">
        <v>16</v>
      </c>
      <c r="B18" s="18">
        <v>0</v>
      </c>
      <c r="C18" s="9"/>
      <c r="D18" s="9"/>
      <c r="E18" s="9"/>
      <c r="F18" s="6" t="s">
        <v>16</v>
      </c>
      <c r="G18" s="19">
        <v>0</v>
      </c>
      <c r="H18" s="9"/>
      <c r="I18" s="9"/>
      <c r="J18" s="9"/>
      <c r="K18" s="8"/>
    </row>
    <row r="19" spans="1:19" ht="30" customHeight="1">
      <c r="A19" s="17" t="s">
        <v>18</v>
      </c>
      <c r="B19" s="18">
        <v>0</v>
      </c>
      <c r="C19" s="9"/>
      <c r="D19" s="9"/>
      <c r="E19" s="9"/>
      <c r="F19" s="6" t="s">
        <v>18</v>
      </c>
      <c r="G19" s="19">
        <v>0</v>
      </c>
      <c r="H19" s="9"/>
      <c r="I19" s="9"/>
      <c r="J19" s="9"/>
      <c r="K19" s="8"/>
    </row>
    <row r="20" spans="1:19" ht="30" customHeight="1">
      <c r="A20" s="17" t="s">
        <v>19</v>
      </c>
      <c r="B20" s="18">
        <v>250</v>
      </c>
      <c r="C20" s="9"/>
      <c r="D20" s="9"/>
      <c r="E20" s="9"/>
      <c r="F20" s="6" t="s">
        <v>19</v>
      </c>
      <c r="G20" s="19">
        <v>250</v>
      </c>
      <c r="H20" s="9"/>
      <c r="I20" s="9"/>
      <c r="J20" s="9"/>
      <c r="K20" s="8"/>
    </row>
    <row r="21" spans="1:19" ht="30" customHeight="1" thickBot="1">
      <c r="A21" s="17" t="s">
        <v>20</v>
      </c>
      <c r="B21" s="20">
        <v>2000</v>
      </c>
      <c r="C21" s="9"/>
      <c r="D21" s="9"/>
      <c r="E21" s="9"/>
      <c r="F21" s="6" t="s">
        <v>20</v>
      </c>
      <c r="G21" s="21">
        <v>0</v>
      </c>
      <c r="H21" s="9"/>
      <c r="I21" s="9"/>
      <c r="J21" s="9"/>
      <c r="K21" s="8"/>
    </row>
    <row r="22" spans="1:19" ht="30" customHeight="1">
      <c r="A22" s="17"/>
      <c r="B22" s="22">
        <f>SUM(B14:B21)/E2</f>
        <v>1.5774999999999999</v>
      </c>
      <c r="C22" s="9"/>
      <c r="D22" s="9"/>
      <c r="E22" s="9"/>
      <c r="F22" s="6"/>
      <c r="G22" s="23">
        <f>SUM(G14:G21)/E2</f>
        <v>3.9874999999999998</v>
      </c>
      <c r="H22" s="9"/>
      <c r="I22" s="9"/>
      <c r="J22" s="9"/>
      <c r="K22" s="8"/>
    </row>
    <row r="23" spans="1:19" ht="30" customHeight="1">
      <c r="A23" s="204" t="s">
        <v>23</v>
      </c>
      <c r="B23" s="205"/>
      <c r="C23" s="4"/>
      <c r="D23" s="4"/>
      <c r="E23" s="4"/>
      <c r="F23" s="207" t="s">
        <v>24</v>
      </c>
      <c r="G23" s="207"/>
      <c r="H23" s="9"/>
      <c r="I23" s="9"/>
      <c r="J23" s="9"/>
      <c r="K23" s="8"/>
    </row>
    <row r="24" spans="1:19" ht="30" customHeight="1">
      <c r="A24" s="2" t="s">
        <v>5</v>
      </c>
      <c r="B24" s="10">
        <f>0.9*1.5*E2</f>
        <v>5400</v>
      </c>
      <c r="C24" s="9"/>
      <c r="D24" s="9"/>
      <c r="E24" s="9"/>
      <c r="F24" s="6" t="s">
        <v>5</v>
      </c>
      <c r="G24" s="10">
        <f>1*2.3*E2</f>
        <v>9200</v>
      </c>
      <c r="H24" s="9">
        <f>400*3700/G24</f>
        <v>160.86956521739131</v>
      </c>
      <c r="I24" s="9"/>
      <c r="J24" s="9"/>
      <c r="K24" s="8"/>
    </row>
    <row r="25" spans="1:19" ht="30" customHeight="1">
      <c r="A25" s="2" t="s">
        <v>7</v>
      </c>
      <c r="B25" s="10">
        <v>300</v>
      </c>
      <c r="C25" s="11" t="s">
        <v>10</v>
      </c>
      <c r="D25" s="11" t="s">
        <v>11</v>
      </c>
      <c r="E25" s="11" t="s">
        <v>12</v>
      </c>
      <c r="F25" s="6" t="s">
        <v>7</v>
      </c>
      <c r="G25" s="10">
        <v>700</v>
      </c>
      <c r="H25" s="11" t="s">
        <v>10</v>
      </c>
      <c r="I25" s="11" t="s">
        <v>11</v>
      </c>
      <c r="J25" s="11" t="s">
        <v>12</v>
      </c>
      <c r="K25" s="8"/>
    </row>
    <row r="26" spans="1:19" ht="30" customHeight="1">
      <c r="A26" s="2" t="s">
        <v>9</v>
      </c>
      <c r="B26" s="10">
        <v>1800</v>
      </c>
      <c r="C26" s="13">
        <v>30</v>
      </c>
      <c r="D26" s="13">
        <v>50</v>
      </c>
      <c r="E26" s="13">
        <v>99</v>
      </c>
      <c r="F26" s="6" t="s">
        <v>9</v>
      </c>
      <c r="G26" s="10">
        <v>3500</v>
      </c>
      <c r="H26" s="13">
        <v>40</v>
      </c>
      <c r="I26" s="13">
        <v>60</v>
      </c>
      <c r="J26" s="13">
        <v>99</v>
      </c>
      <c r="K26" s="8"/>
    </row>
    <row r="27" spans="1:19" ht="30" customHeight="1">
      <c r="A27" s="2" t="s">
        <v>25</v>
      </c>
      <c r="B27" s="10">
        <v>2500</v>
      </c>
      <c r="C27" s="9">
        <f>B32*1.4</f>
        <v>3.9724999999999997</v>
      </c>
      <c r="D27" s="9">
        <f>B32*1.6</f>
        <v>4.54</v>
      </c>
      <c r="E27" s="9">
        <f>B32*1.99</f>
        <v>5.6466250000000002</v>
      </c>
      <c r="F27" s="6" t="s">
        <v>18</v>
      </c>
      <c r="G27" s="10">
        <v>200</v>
      </c>
      <c r="H27" s="9">
        <f>G32*1.3</f>
        <v>8.1087500000000006</v>
      </c>
      <c r="I27" s="9">
        <f>G32*1.7</f>
        <v>10.60375</v>
      </c>
      <c r="J27" s="9">
        <f>G32*1.9</f>
        <v>11.851249999999999</v>
      </c>
      <c r="K27" s="8"/>
    </row>
    <row r="28" spans="1:19" ht="30" customHeight="1">
      <c r="A28" s="2" t="s">
        <v>14</v>
      </c>
      <c r="B28" s="10">
        <v>50</v>
      </c>
      <c r="C28" s="9"/>
      <c r="D28" s="9"/>
      <c r="E28" s="9" t="s">
        <v>26</v>
      </c>
      <c r="F28" s="6" t="s">
        <v>14</v>
      </c>
      <c r="G28" s="10">
        <v>100</v>
      </c>
      <c r="H28" s="9">
        <f>H27*3800</f>
        <v>30813.250000000004</v>
      </c>
      <c r="I28" s="9">
        <f>I27*3800</f>
        <v>40294.25</v>
      </c>
      <c r="J28" s="9">
        <f>J27*3800</f>
        <v>45034.749999999993</v>
      </c>
      <c r="K28" s="8"/>
    </row>
    <row r="29" spans="1:19" ht="30" customHeight="1">
      <c r="A29" s="2" t="s">
        <v>16</v>
      </c>
      <c r="B29" s="10">
        <v>50</v>
      </c>
      <c r="C29" s="9"/>
      <c r="D29" s="9"/>
      <c r="E29" s="9"/>
      <c r="F29" s="6" t="s">
        <v>16</v>
      </c>
      <c r="G29" s="10">
        <f>11000</f>
        <v>11000</v>
      </c>
      <c r="H29" s="9"/>
      <c r="I29" s="9"/>
      <c r="J29" s="9"/>
      <c r="K29" s="8"/>
    </row>
    <row r="30" spans="1:19" ht="30" customHeight="1">
      <c r="A30" s="2" t="s">
        <v>19</v>
      </c>
      <c r="B30" s="10">
        <f>B20</f>
        <v>250</v>
      </c>
      <c r="C30" s="9"/>
      <c r="D30" s="9"/>
      <c r="E30" s="9"/>
      <c r="F30" s="6" t="s">
        <v>19</v>
      </c>
      <c r="G30" s="10">
        <f>B30</f>
        <v>250</v>
      </c>
      <c r="H30" s="9"/>
      <c r="I30" s="9"/>
      <c r="J30" s="9"/>
      <c r="K30" s="8"/>
      <c r="S30" s="1"/>
    </row>
    <row r="31" spans="1:19" ht="30" customHeight="1" thickBot="1">
      <c r="A31" s="2" t="s">
        <v>20</v>
      </c>
      <c r="B31" s="14">
        <v>1000</v>
      </c>
      <c r="C31" s="9"/>
      <c r="D31" s="9"/>
      <c r="E31" s="9"/>
      <c r="F31" s="6" t="s">
        <v>20</v>
      </c>
      <c r="G31" s="14">
        <v>0</v>
      </c>
      <c r="H31" s="9"/>
      <c r="I31" s="9"/>
      <c r="J31" s="9"/>
      <c r="K31" s="8"/>
      <c r="S31" s="1"/>
    </row>
    <row r="32" spans="1:19" ht="30" customHeight="1" thickBot="1">
      <c r="A32" s="25"/>
      <c r="B32" s="14">
        <f>SUM(B24:B31)/E2</f>
        <v>2.8374999999999999</v>
      </c>
      <c r="C32" s="26"/>
      <c r="D32" s="26"/>
      <c r="E32" s="26"/>
      <c r="F32" s="27"/>
      <c r="G32" s="14">
        <f>SUM(G24:G31)/E2</f>
        <v>6.2374999999999998</v>
      </c>
      <c r="H32" s="26"/>
      <c r="I32" s="26"/>
      <c r="J32" s="26"/>
      <c r="K32" s="28"/>
    </row>
    <row r="33" spans="1:19" ht="30" customHeight="1"/>
    <row r="34" spans="1:19" ht="30" customHeight="1" thickBot="1"/>
    <row r="35" spans="1:19" s="1" customFormat="1" ht="46.5">
      <c r="A35" s="193" t="s">
        <v>27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5"/>
      <c r="S35"/>
    </row>
    <row r="36" spans="1:19" s="1" customFormat="1" ht="46.5">
      <c r="A36" s="33" t="s">
        <v>2</v>
      </c>
      <c r="B36" s="34"/>
      <c r="C36" s="51"/>
      <c r="D36" s="51"/>
      <c r="E36" s="51"/>
      <c r="F36" s="34" t="s">
        <v>28</v>
      </c>
      <c r="G36" s="34"/>
      <c r="H36" s="41"/>
      <c r="I36" s="41"/>
      <c r="J36" s="41"/>
      <c r="K36" s="35"/>
      <c r="S36"/>
    </row>
    <row r="37" spans="1:19" ht="30" customHeight="1">
      <c r="A37" s="36" t="s">
        <v>5</v>
      </c>
      <c r="B37" s="37">
        <v>0</v>
      </c>
      <c r="C37" s="41"/>
      <c r="D37" s="41"/>
      <c r="E37" s="41"/>
      <c r="F37" s="38" t="s">
        <v>5</v>
      </c>
      <c r="G37" s="39">
        <f>0.8*1.8*4000</f>
        <v>5760.0000000000009</v>
      </c>
      <c r="H37" s="41"/>
      <c r="I37" s="41"/>
      <c r="J37" s="41"/>
      <c r="K37" s="40"/>
    </row>
    <row r="38" spans="1:19" ht="30" customHeight="1">
      <c r="A38" s="36" t="s">
        <v>7</v>
      </c>
      <c r="B38" s="37">
        <v>700</v>
      </c>
      <c r="C38" s="41"/>
      <c r="D38" s="41"/>
      <c r="E38" s="41"/>
      <c r="F38" s="38" t="s">
        <v>7</v>
      </c>
      <c r="G38" s="39">
        <v>700</v>
      </c>
      <c r="H38" s="196"/>
      <c r="I38" s="196"/>
      <c r="J38" s="196"/>
      <c r="K38" s="42"/>
    </row>
    <row r="39" spans="1:19" ht="30" customHeight="1">
      <c r="A39" s="36" t="s">
        <v>9</v>
      </c>
      <c r="B39" s="37">
        <v>2500</v>
      </c>
      <c r="C39" s="41"/>
      <c r="D39" s="41"/>
      <c r="E39" s="41"/>
      <c r="F39" s="38" t="s">
        <v>9</v>
      </c>
      <c r="G39" s="39">
        <v>3500</v>
      </c>
      <c r="H39" s="43"/>
      <c r="I39" s="43"/>
      <c r="J39" s="43"/>
      <c r="K39" s="42"/>
    </row>
    <row r="40" spans="1:19" ht="30" customHeight="1">
      <c r="A40" s="36" t="s">
        <v>29</v>
      </c>
      <c r="B40" s="37">
        <v>1000</v>
      </c>
      <c r="C40" s="41"/>
      <c r="D40" s="41"/>
      <c r="E40" s="41"/>
      <c r="F40" s="38" t="s">
        <v>29</v>
      </c>
      <c r="G40" s="39">
        <v>1000</v>
      </c>
      <c r="H40" s="43"/>
      <c r="I40" s="43"/>
      <c r="J40" s="43"/>
      <c r="K40" s="42"/>
    </row>
    <row r="41" spans="1:19" ht="30" customHeight="1">
      <c r="A41" s="36" t="s">
        <v>30</v>
      </c>
      <c r="B41" s="37">
        <v>5000</v>
      </c>
      <c r="C41" s="41"/>
      <c r="D41" s="41"/>
      <c r="E41" s="41"/>
      <c r="F41" s="38" t="s">
        <v>30</v>
      </c>
      <c r="G41" s="39">
        <v>700</v>
      </c>
      <c r="H41" s="41"/>
      <c r="I41" s="41"/>
      <c r="J41" s="41"/>
      <c r="K41" s="42"/>
    </row>
    <row r="42" spans="1:19" ht="30" customHeight="1">
      <c r="A42" s="36" t="s">
        <v>31</v>
      </c>
      <c r="B42" s="37">
        <v>200</v>
      </c>
      <c r="C42" s="43" t="s">
        <v>10</v>
      </c>
      <c r="D42" s="43" t="s">
        <v>11</v>
      </c>
      <c r="E42" s="43" t="s">
        <v>12</v>
      </c>
      <c r="F42" s="38" t="s">
        <v>31</v>
      </c>
      <c r="G42" s="39">
        <v>0</v>
      </c>
      <c r="H42" s="43" t="s">
        <v>10</v>
      </c>
      <c r="I42" s="43" t="s">
        <v>11</v>
      </c>
      <c r="J42" s="43" t="s">
        <v>12</v>
      </c>
      <c r="K42" s="44"/>
    </row>
    <row r="43" spans="1:19" ht="30" customHeight="1">
      <c r="A43" s="36" t="s">
        <v>32</v>
      </c>
      <c r="B43" s="37">
        <v>500</v>
      </c>
      <c r="C43" s="41">
        <v>30</v>
      </c>
      <c r="D43" s="41">
        <v>50</v>
      </c>
      <c r="E43" s="41">
        <v>99</v>
      </c>
      <c r="F43" s="38" t="s">
        <v>32</v>
      </c>
      <c r="G43" s="39">
        <v>0</v>
      </c>
      <c r="H43" s="41">
        <v>30</v>
      </c>
      <c r="I43" s="41">
        <v>50</v>
      </c>
      <c r="J43" s="41">
        <v>99</v>
      </c>
      <c r="K43" s="44"/>
    </row>
    <row r="44" spans="1:19" ht="30" customHeight="1">
      <c r="A44" s="36" t="s">
        <v>14</v>
      </c>
      <c r="B44" s="37">
        <v>200</v>
      </c>
      <c r="C44" s="41">
        <f>B49*1.35</f>
        <v>4.9106250000000005</v>
      </c>
      <c r="D44" s="41">
        <f>B49*1.65</f>
        <v>6.0018750000000001</v>
      </c>
      <c r="E44" s="41">
        <f>B49*1.99</f>
        <v>7.2386250000000008</v>
      </c>
      <c r="F44" s="38" t="s">
        <v>14</v>
      </c>
      <c r="G44" s="39">
        <v>50</v>
      </c>
      <c r="H44" s="41">
        <f>G49*1.5</f>
        <v>6.0412499999999998</v>
      </c>
      <c r="I44" s="41">
        <f>G49*1.65</f>
        <v>6.6453749999999996</v>
      </c>
      <c r="J44" s="41">
        <f>G49*1.9</f>
        <v>7.6522499999999996</v>
      </c>
      <c r="K44" s="44"/>
    </row>
    <row r="45" spans="1:19" ht="30" customHeight="1">
      <c r="A45" s="36" t="s">
        <v>16</v>
      </c>
      <c r="B45" s="37">
        <v>100</v>
      </c>
      <c r="C45" s="41"/>
      <c r="D45" s="41"/>
      <c r="E45" s="41"/>
      <c r="F45" s="38" t="s">
        <v>16</v>
      </c>
      <c r="G45" s="39">
        <v>100</v>
      </c>
      <c r="H45" s="41"/>
      <c r="I45" s="41"/>
      <c r="J45" s="41"/>
      <c r="K45" s="42"/>
    </row>
    <row r="46" spans="1:19" ht="30" customHeight="1">
      <c r="A46" s="36" t="s">
        <v>19</v>
      </c>
      <c r="B46" s="37">
        <v>250</v>
      </c>
      <c r="C46" s="41"/>
      <c r="D46" s="41"/>
      <c r="E46" s="41"/>
      <c r="F46" s="38" t="s">
        <v>19</v>
      </c>
      <c r="G46" s="39">
        <v>250</v>
      </c>
      <c r="H46" s="41"/>
      <c r="I46" s="41"/>
      <c r="J46" s="41"/>
      <c r="K46" s="42"/>
      <c r="S46" s="1"/>
    </row>
    <row r="47" spans="1:19" ht="30" customHeight="1">
      <c r="A47" s="36" t="s">
        <v>33</v>
      </c>
      <c r="B47" s="37">
        <v>100</v>
      </c>
      <c r="C47" s="41"/>
      <c r="D47" s="41"/>
      <c r="E47" s="41"/>
      <c r="F47" s="38" t="s">
        <v>33</v>
      </c>
      <c r="G47" s="39">
        <v>50</v>
      </c>
      <c r="H47" s="41"/>
      <c r="I47" s="41"/>
      <c r="J47" s="41"/>
      <c r="K47" s="42"/>
    </row>
    <row r="48" spans="1:19" ht="30" customHeight="1" thickBot="1">
      <c r="A48" s="36" t="s">
        <v>20</v>
      </c>
      <c r="B48" s="45">
        <v>4000</v>
      </c>
      <c r="C48" s="41"/>
      <c r="D48" s="41"/>
      <c r="E48" s="41"/>
      <c r="F48" s="38" t="s">
        <v>20</v>
      </c>
      <c r="G48" s="46">
        <v>4000</v>
      </c>
      <c r="H48" s="41"/>
      <c r="I48" s="41"/>
      <c r="J48" s="41"/>
      <c r="K48" s="44"/>
    </row>
    <row r="49" spans="1:19" ht="30" customHeight="1">
      <c r="A49" s="36"/>
      <c r="B49" s="37">
        <f>SUM(B37:B48)/E2</f>
        <v>3.6375000000000002</v>
      </c>
      <c r="C49" s="41"/>
      <c r="D49" s="41"/>
      <c r="E49" s="41"/>
      <c r="F49" s="38"/>
      <c r="G49" s="47">
        <f>SUM(G37:G48)/E2</f>
        <v>4.0274999999999999</v>
      </c>
      <c r="H49" s="41"/>
      <c r="I49" s="41"/>
      <c r="J49" s="41"/>
      <c r="K49" s="44"/>
    </row>
    <row r="50" spans="1:19" ht="30" customHeight="1">
      <c r="A50" s="48"/>
      <c r="B50" s="49"/>
      <c r="C50" s="197"/>
      <c r="D50" s="197"/>
      <c r="E50" s="197"/>
      <c r="F50" s="38"/>
      <c r="G50" s="50"/>
      <c r="H50" s="41"/>
      <c r="I50" s="41"/>
      <c r="J50" s="41"/>
      <c r="K50" s="42"/>
    </row>
    <row r="51" spans="1:19" s="1" customFormat="1" ht="43.5" customHeight="1">
      <c r="A51" s="198" t="s">
        <v>3</v>
      </c>
      <c r="B51" s="199"/>
      <c r="C51" s="51"/>
      <c r="D51" s="51"/>
      <c r="E51" s="51"/>
      <c r="F51" s="199" t="s">
        <v>34</v>
      </c>
      <c r="G51" s="199"/>
      <c r="H51" s="190"/>
      <c r="I51" s="190"/>
      <c r="J51" s="190"/>
      <c r="K51" s="52"/>
      <c r="S51"/>
    </row>
    <row r="52" spans="1:19" ht="30" customHeight="1">
      <c r="A52" s="36" t="s">
        <v>5</v>
      </c>
      <c r="B52" s="37">
        <f>0.8*2.3*E2</f>
        <v>7359.9999999999991</v>
      </c>
      <c r="C52" s="41"/>
      <c r="D52" s="41"/>
      <c r="E52" s="41"/>
      <c r="F52" s="38" t="s">
        <v>5</v>
      </c>
      <c r="G52" s="39">
        <f>0.6*2*E2</f>
        <v>4800</v>
      </c>
      <c r="H52" s="41"/>
      <c r="I52" s="41"/>
      <c r="J52" s="41"/>
      <c r="K52" s="53"/>
    </row>
    <row r="53" spans="1:19" ht="30" customHeight="1">
      <c r="A53" s="36" t="s">
        <v>7</v>
      </c>
      <c r="B53" s="37">
        <v>700</v>
      </c>
      <c r="C53" s="41"/>
      <c r="D53" s="41"/>
      <c r="E53" s="41"/>
      <c r="F53" s="38" t="s">
        <v>7</v>
      </c>
      <c r="G53" s="39">
        <v>700</v>
      </c>
      <c r="H53" s="41"/>
      <c r="I53" s="41"/>
      <c r="J53" s="41"/>
      <c r="K53" s="42"/>
    </row>
    <row r="54" spans="1:19" ht="30" customHeight="1">
      <c r="A54" s="36" t="s">
        <v>9</v>
      </c>
      <c r="B54" s="37">
        <v>2500</v>
      </c>
      <c r="C54" s="41"/>
      <c r="D54" s="41"/>
      <c r="E54" s="41"/>
      <c r="F54" s="38" t="s">
        <v>9</v>
      </c>
      <c r="G54" s="39">
        <v>3500</v>
      </c>
      <c r="H54" s="41"/>
      <c r="I54" s="41"/>
      <c r="J54" s="41"/>
      <c r="K54" s="42"/>
    </row>
    <row r="55" spans="1:19" ht="30" customHeight="1">
      <c r="A55" s="36" t="s">
        <v>35</v>
      </c>
      <c r="B55" s="37">
        <v>1000</v>
      </c>
      <c r="C55" s="41"/>
      <c r="D55" s="41"/>
      <c r="E55" s="41"/>
      <c r="F55" s="38" t="s">
        <v>35</v>
      </c>
      <c r="G55" s="39">
        <v>0</v>
      </c>
      <c r="H55" s="41"/>
      <c r="I55" s="41"/>
      <c r="J55" s="41"/>
      <c r="K55" s="42"/>
    </row>
    <row r="56" spans="1:19" ht="30" customHeight="1">
      <c r="A56" s="36" t="s">
        <v>29</v>
      </c>
      <c r="B56" s="37">
        <v>0</v>
      </c>
      <c r="C56" s="41"/>
      <c r="D56" s="41"/>
      <c r="E56" s="41"/>
      <c r="F56" s="38" t="s">
        <v>29</v>
      </c>
      <c r="G56" s="39">
        <v>1000</v>
      </c>
      <c r="H56" s="41"/>
      <c r="I56" s="41"/>
      <c r="J56" s="41"/>
      <c r="K56" s="42"/>
    </row>
    <row r="57" spans="1:19" ht="30" customHeight="1">
      <c r="A57" s="36" t="s">
        <v>30</v>
      </c>
      <c r="B57" s="37">
        <v>3000</v>
      </c>
      <c r="C57" s="41"/>
      <c r="D57" s="41"/>
      <c r="E57" s="41"/>
      <c r="F57" s="38" t="s">
        <v>30</v>
      </c>
      <c r="G57" s="39">
        <v>8000</v>
      </c>
      <c r="H57" s="41"/>
      <c r="I57" s="41"/>
      <c r="J57" s="41"/>
      <c r="K57" s="42"/>
    </row>
    <row r="58" spans="1:19" ht="30" customHeight="1">
      <c r="A58" s="36" t="s">
        <v>31</v>
      </c>
      <c r="B58" s="37">
        <v>200</v>
      </c>
      <c r="C58" s="43" t="s">
        <v>10</v>
      </c>
      <c r="D58" s="43" t="s">
        <v>11</v>
      </c>
      <c r="E58" s="43" t="s">
        <v>12</v>
      </c>
      <c r="F58" s="38" t="s">
        <v>31</v>
      </c>
      <c r="G58" s="39">
        <v>0</v>
      </c>
      <c r="H58" s="43" t="s">
        <v>10</v>
      </c>
      <c r="I58" s="43" t="s">
        <v>11</v>
      </c>
      <c r="J58" s="43" t="s">
        <v>12</v>
      </c>
      <c r="K58" s="52"/>
    </row>
    <row r="59" spans="1:19" ht="30" customHeight="1">
      <c r="A59" s="36" t="s">
        <v>32</v>
      </c>
      <c r="B59" s="37">
        <v>200</v>
      </c>
      <c r="C59" s="41">
        <v>30</v>
      </c>
      <c r="D59" s="41">
        <v>50</v>
      </c>
      <c r="E59" s="41">
        <v>99</v>
      </c>
      <c r="F59" s="38" t="s">
        <v>32</v>
      </c>
      <c r="G59" s="39">
        <v>0</v>
      </c>
      <c r="H59" s="41">
        <v>30</v>
      </c>
      <c r="I59" s="41">
        <v>50</v>
      </c>
      <c r="J59" s="41">
        <v>0.85</v>
      </c>
      <c r="K59" s="44"/>
    </row>
    <row r="60" spans="1:19" ht="30" customHeight="1">
      <c r="A60" s="36" t="s">
        <v>14</v>
      </c>
      <c r="B60" s="37">
        <v>100</v>
      </c>
      <c r="C60" s="41">
        <f>B65*1.45</f>
        <v>7.108625</v>
      </c>
      <c r="D60" s="41">
        <f>B65*1.7</f>
        <v>8.334249999999999</v>
      </c>
      <c r="E60" s="41">
        <f>B65*1.99</f>
        <v>9.7559749999999994</v>
      </c>
      <c r="F60" s="38" t="s">
        <v>14</v>
      </c>
      <c r="G60" s="39">
        <v>200</v>
      </c>
      <c r="H60" s="41">
        <f>G65*1.3</f>
        <v>7.3937499999999998</v>
      </c>
      <c r="I60" s="41">
        <f>G65*1.5</f>
        <v>8.53125</v>
      </c>
      <c r="J60" s="41">
        <f>G65*1.99</f>
        <v>11.318125</v>
      </c>
      <c r="K60" s="44"/>
    </row>
    <row r="61" spans="1:19" ht="30" customHeight="1">
      <c r="A61" s="36" t="s">
        <v>16</v>
      </c>
      <c r="B61" s="37">
        <v>100</v>
      </c>
      <c r="C61" s="41"/>
      <c r="D61" s="41">
        <f>D60*3900</f>
        <v>32503.574999999997</v>
      </c>
      <c r="E61" s="41"/>
      <c r="F61" s="38" t="s">
        <v>16</v>
      </c>
      <c r="G61" s="39">
        <v>500</v>
      </c>
      <c r="H61" s="41"/>
      <c r="I61" s="41"/>
      <c r="J61" s="41"/>
      <c r="K61" s="44"/>
    </row>
    <row r="62" spans="1:19" ht="30" customHeight="1">
      <c r="A62" s="36" t="s">
        <v>19</v>
      </c>
      <c r="B62" s="37">
        <f>B46</f>
        <v>250</v>
      </c>
      <c r="C62" s="41"/>
      <c r="D62" s="41"/>
      <c r="E62" s="41"/>
      <c r="F62" s="38" t="s">
        <v>19</v>
      </c>
      <c r="G62" s="39">
        <f>G46</f>
        <v>250</v>
      </c>
      <c r="H62" s="41"/>
      <c r="I62" s="41"/>
      <c r="J62" s="41"/>
      <c r="K62" s="42"/>
      <c r="S62" s="1"/>
    </row>
    <row r="63" spans="1:19" ht="30" customHeight="1">
      <c r="A63" s="36" t="s">
        <v>33</v>
      </c>
      <c r="B63" s="37">
        <v>500</v>
      </c>
      <c r="C63" s="41"/>
      <c r="D63" s="41"/>
      <c r="E63" s="41"/>
      <c r="F63" s="38" t="s">
        <v>33</v>
      </c>
      <c r="G63" s="39">
        <v>100</v>
      </c>
      <c r="H63" s="41"/>
      <c r="I63" s="41"/>
      <c r="J63" s="41"/>
      <c r="K63" s="42"/>
    </row>
    <row r="64" spans="1:19" ht="30" customHeight="1" thickBot="1">
      <c r="A64" s="36" t="s">
        <v>20</v>
      </c>
      <c r="B64" s="45">
        <v>3700</v>
      </c>
      <c r="C64" s="41"/>
      <c r="D64" s="41"/>
      <c r="E64" s="41"/>
      <c r="F64" s="38" t="s">
        <v>20</v>
      </c>
      <c r="G64" s="46">
        <v>3700</v>
      </c>
      <c r="H64" s="41"/>
      <c r="I64" s="41"/>
      <c r="J64" s="41"/>
      <c r="K64" s="44"/>
    </row>
    <row r="65" spans="1:19" ht="30" customHeight="1">
      <c r="A65" s="36"/>
      <c r="B65" s="37">
        <f>SUM(B52:B64)/E2</f>
        <v>4.9024999999999999</v>
      </c>
      <c r="C65" s="41"/>
      <c r="D65" s="41"/>
      <c r="E65" s="41"/>
      <c r="F65" s="38"/>
      <c r="G65" s="47">
        <f>SUM(G52:G64)/E2</f>
        <v>5.6875</v>
      </c>
      <c r="H65" s="41"/>
      <c r="I65" s="41"/>
      <c r="J65" s="41"/>
      <c r="K65" s="44"/>
    </row>
    <row r="66" spans="1:19" ht="30" customHeight="1">
      <c r="A66" s="36"/>
      <c r="B66" s="54"/>
      <c r="C66" s="55"/>
      <c r="D66" s="55"/>
      <c r="E66" s="55"/>
      <c r="F66" s="54"/>
      <c r="G66" s="54"/>
      <c r="H66" s="56"/>
      <c r="I66" s="56"/>
      <c r="J66" s="56"/>
      <c r="K66" s="57"/>
    </row>
    <row r="67" spans="1:19" s="1" customFormat="1" ht="46.5">
      <c r="A67" s="33" t="s">
        <v>36</v>
      </c>
      <c r="B67" s="58"/>
      <c r="C67" s="51"/>
      <c r="D67" s="59"/>
      <c r="E67" s="51"/>
      <c r="F67" s="60" t="s">
        <v>37</v>
      </c>
      <c r="G67" s="60"/>
      <c r="H67" s="34"/>
      <c r="I67" s="34"/>
      <c r="J67" s="34"/>
      <c r="K67" s="61"/>
      <c r="S67"/>
    </row>
    <row r="68" spans="1:19" ht="30" customHeight="1">
      <c r="A68" s="36" t="s">
        <v>5</v>
      </c>
      <c r="B68" s="37">
        <f>0.9*1.1*E2</f>
        <v>3960.0000000000005</v>
      </c>
      <c r="C68" s="41"/>
      <c r="D68" s="41"/>
      <c r="E68" s="41"/>
      <c r="F68" s="38" t="s">
        <v>5</v>
      </c>
      <c r="G68" s="37">
        <f>0.8*2*4000</f>
        <v>6400</v>
      </c>
      <c r="H68" s="41"/>
      <c r="I68" s="41"/>
      <c r="J68" s="41"/>
      <c r="K68" s="62"/>
    </row>
    <row r="69" spans="1:19" ht="30" customHeight="1">
      <c r="A69" s="36" t="s">
        <v>7</v>
      </c>
      <c r="B69" s="37">
        <v>700</v>
      </c>
      <c r="C69" s="41"/>
      <c r="D69" s="41"/>
      <c r="E69" s="41"/>
      <c r="F69" s="38" t="s">
        <v>7</v>
      </c>
      <c r="G69" s="37">
        <v>700</v>
      </c>
      <c r="H69" s="41"/>
      <c r="I69" s="41"/>
      <c r="J69" s="41"/>
      <c r="K69" s="62"/>
    </row>
    <row r="70" spans="1:19" ht="30" customHeight="1">
      <c r="A70" s="36" t="s">
        <v>9</v>
      </c>
      <c r="B70" s="37">
        <v>2500</v>
      </c>
      <c r="C70" s="41"/>
      <c r="D70" s="41"/>
      <c r="E70" s="41"/>
      <c r="F70" s="38" t="s">
        <v>9</v>
      </c>
      <c r="G70" s="37">
        <v>3500</v>
      </c>
      <c r="H70" s="41"/>
      <c r="I70" s="41"/>
      <c r="J70" s="41"/>
      <c r="K70" s="62"/>
    </row>
    <row r="71" spans="1:19" ht="30" customHeight="1">
      <c r="A71" s="36" t="s">
        <v>29</v>
      </c>
      <c r="B71" s="37">
        <v>1500</v>
      </c>
      <c r="C71" s="190"/>
      <c r="D71" s="190"/>
      <c r="E71" s="190"/>
      <c r="F71" s="38" t="s">
        <v>38</v>
      </c>
      <c r="G71" s="37">
        <v>10000</v>
      </c>
      <c r="H71" s="43"/>
      <c r="I71" s="43"/>
      <c r="J71" s="43"/>
      <c r="K71" s="63"/>
    </row>
    <row r="72" spans="1:19" ht="30" customHeight="1">
      <c r="A72" s="36" t="s">
        <v>30</v>
      </c>
      <c r="B72" s="37">
        <v>1500</v>
      </c>
      <c r="C72" s="41"/>
      <c r="D72" s="41"/>
      <c r="E72" s="41"/>
      <c r="F72" s="38" t="s">
        <v>29</v>
      </c>
      <c r="G72" s="37">
        <v>1000</v>
      </c>
      <c r="H72" s="43"/>
      <c r="I72" s="43"/>
      <c r="J72" s="43"/>
      <c r="K72" s="64"/>
    </row>
    <row r="73" spans="1:19" ht="30" customHeight="1">
      <c r="A73" s="36" t="s">
        <v>31</v>
      </c>
      <c r="B73" s="37">
        <v>200</v>
      </c>
      <c r="C73" s="43" t="s">
        <v>10</v>
      </c>
      <c r="D73" s="43" t="s">
        <v>11</v>
      </c>
      <c r="E73" s="43" t="s">
        <v>12</v>
      </c>
      <c r="F73" s="38" t="s">
        <v>31</v>
      </c>
      <c r="G73" s="37">
        <v>0</v>
      </c>
      <c r="H73" s="43" t="s">
        <v>10</v>
      </c>
      <c r="I73" s="43" t="s">
        <v>11</v>
      </c>
      <c r="J73" s="43" t="s">
        <v>12</v>
      </c>
      <c r="K73" s="64"/>
    </row>
    <row r="74" spans="1:19" ht="30" customHeight="1">
      <c r="A74" s="36" t="s">
        <v>32</v>
      </c>
      <c r="B74" s="37">
        <v>200</v>
      </c>
      <c r="C74" s="41">
        <v>30</v>
      </c>
      <c r="D74" s="41">
        <v>50</v>
      </c>
      <c r="E74" s="41">
        <v>99</v>
      </c>
      <c r="F74" s="38" t="s">
        <v>32</v>
      </c>
      <c r="G74" s="37">
        <v>0</v>
      </c>
      <c r="H74" s="41">
        <v>30</v>
      </c>
      <c r="I74" s="41">
        <v>50</v>
      </c>
      <c r="J74" s="41">
        <v>99</v>
      </c>
      <c r="K74" s="62"/>
    </row>
    <row r="75" spans="1:19" ht="30" customHeight="1">
      <c r="A75" s="36" t="s">
        <v>14</v>
      </c>
      <c r="B75" s="37">
        <v>200</v>
      </c>
      <c r="C75" s="41">
        <f>B80*1.5</f>
        <v>5.3100000000000005</v>
      </c>
      <c r="D75" s="41">
        <f>B80*1.6</f>
        <v>5.6640000000000006</v>
      </c>
      <c r="E75" s="41">
        <f>B80*1.99</f>
        <v>7.0446</v>
      </c>
      <c r="F75" s="38" t="s">
        <v>14</v>
      </c>
      <c r="G75" s="37">
        <v>50</v>
      </c>
      <c r="H75" s="41">
        <f>G80*1.35</f>
        <v>8.8425000000000011</v>
      </c>
      <c r="I75" s="41">
        <f>G80*1.65</f>
        <v>10.807499999999999</v>
      </c>
      <c r="J75" s="41">
        <f>G80*1.9</f>
        <v>12.444999999999999</v>
      </c>
      <c r="K75" s="62"/>
    </row>
    <row r="76" spans="1:19" ht="30" customHeight="1">
      <c r="A76" s="36" t="s">
        <v>16</v>
      </c>
      <c r="B76" s="37">
        <v>100</v>
      </c>
      <c r="C76" s="41"/>
      <c r="D76" s="41"/>
      <c r="E76" s="41"/>
      <c r="F76" s="38" t="s">
        <v>16</v>
      </c>
      <c r="G76" s="37">
        <v>500</v>
      </c>
      <c r="H76" s="41"/>
      <c r="I76" s="41"/>
      <c r="J76" s="41"/>
      <c r="K76" s="65"/>
    </row>
    <row r="77" spans="1:19" ht="30" customHeight="1">
      <c r="A77" s="36" t="s">
        <v>19</v>
      </c>
      <c r="B77" s="37">
        <v>250</v>
      </c>
      <c r="C77" s="41"/>
      <c r="D77" s="41" t="s">
        <v>39</v>
      </c>
      <c r="E77" s="41" t="s">
        <v>40</v>
      </c>
      <c r="F77" s="38" t="s">
        <v>19</v>
      </c>
      <c r="G77" s="37">
        <v>250</v>
      </c>
      <c r="H77" s="41"/>
      <c r="I77" s="41"/>
      <c r="J77" s="41"/>
      <c r="K77" s="65"/>
    </row>
    <row r="78" spans="1:19" ht="30" customHeight="1">
      <c r="A78" s="36" t="s">
        <v>33</v>
      </c>
      <c r="B78" s="37">
        <v>50</v>
      </c>
      <c r="C78" s="41" t="s">
        <v>41</v>
      </c>
      <c r="D78" s="41">
        <v>10</v>
      </c>
      <c r="E78" s="41">
        <v>9</v>
      </c>
      <c r="F78" s="38" t="s">
        <v>33</v>
      </c>
      <c r="G78" s="37">
        <v>100</v>
      </c>
      <c r="H78" s="41"/>
      <c r="I78" s="41"/>
      <c r="J78" s="41"/>
      <c r="K78" s="65"/>
    </row>
    <row r="79" spans="1:19" ht="30" customHeight="1" thickBot="1">
      <c r="A79" s="36" t="s">
        <v>20</v>
      </c>
      <c r="B79" s="45">
        <v>3000</v>
      </c>
      <c r="C79" s="41" t="s">
        <v>42</v>
      </c>
      <c r="D79" s="41"/>
      <c r="E79" s="41"/>
      <c r="F79" s="38" t="s">
        <v>20</v>
      </c>
      <c r="G79" s="45">
        <v>3700</v>
      </c>
      <c r="H79" s="41"/>
      <c r="I79" s="41"/>
      <c r="J79" s="41"/>
      <c r="K79" s="62"/>
    </row>
    <row r="80" spans="1:19" ht="30" customHeight="1">
      <c r="A80" s="36"/>
      <c r="B80" s="37">
        <f>SUM(B68:B79)/E2</f>
        <v>3.54</v>
      </c>
      <c r="C80" s="41"/>
      <c r="D80" s="41"/>
      <c r="E80" s="41"/>
      <c r="F80" s="38"/>
      <c r="G80" s="37">
        <f>SUM(G68:G79)/E2</f>
        <v>6.55</v>
      </c>
      <c r="H80" s="41"/>
      <c r="I80" s="41"/>
      <c r="J80" s="41"/>
      <c r="K80" s="62"/>
    </row>
    <row r="81" spans="1:19" ht="30" customHeight="1" thickBot="1">
      <c r="A81" s="66"/>
      <c r="B81" s="67"/>
      <c r="C81" s="68"/>
      <c r="D81" s="68"/>
      <c r="E81" s="68"/>
      <c r="F81" s="69"/>
      <c r="G81" s="70"/>
      <c r="H81" s="68"/>
      <c r="I81" s="68"/>
      <c r="J81" s="68"/>
      <c r="K81" s="71"/>
    </row>
    <row r="82" spans="1:19" ht="30" customHeight="1"/>
    <row r="83" spans="1:19" ht="30" customHeight="1"/>
    <row r="84" spans="1:19" ht="63.75">
      <c r="A84" s="191" t="s">
        <v>6</v>
      </c>
      <c r="B84" s="191"/>
      <c r="C84" s="191"/>
      <c r="D84" s="191"/>
      <c r="E84" s="191"/>
      <c r="F84" s="191"/>
      <c r="G84" s="191"/>
      <c r="H84" s="191"/>
      <c r="I84" s="191"/>
      <c r="J84" s="191"/>
      <c r="K84" s="191"/>
    </row>
    <row r="85" spans="1:19" ht="30" customHeight="1">
      <c r="A85" s="192" t="s">
        <v>43</v>
      </c>
      <c r="B85" s="192"/>
      <c r="C85" s="76"/>
      <c r="D85" s="76"/>
      <c r="E85" s="76"/>
      <c r="F85" s="192" t="s">
        <v>44</v>
      </c>
      <c r="G85" s="192"/>
      <c r="H85" s="76"/>
      <c r="I85" s="76"/>
      <c r="J85" s="76"/>
      <c r="K85" s="72"/>
    </row>
    <row r="86" spans="1:19" ht="30" customHeight="1">
      <c r="A86" s="73" t="s">
        <v>5</v>
      </c>
      <c r="B86" s="74">
        <f>0.7*1.6*E2</f>
        <v>4479.9999999999991</v>
      </c>
      <c r="C86" s="76"/>
      <c r="D86" s="76"/>
      <c r="E86" s="76"/>
      <c r="F86" s="73" t="s">
        <v>5</v>
      </c>
      <c r="G86" s="75">
        <f>0.5*1.6*E2</f>
        <v>3200</v>
      </c>
      <c r="H86" s="76"/>
      <c r="I86" s="76"/>
      <c r="J86" s="76"/>
      <c r="K86" s="72"/>
    </row>
    <row r="87" spans="1:19" ht="30" customHeight="1">
      <c r="A87" s="73" t="s">
        <v>7</v>
      </c>
      <c r="B87" s="74">
        <v>300</v>
      </c>
      <c r="C87" s="187"/>
      <c r="D87" s="187"/>
      <c r="E87" s="187"/>
      <c r="F87" s="73" t="s">
        <v>7</v>
      </c>
      <c r="G87" s="75">
        <v>300</v>
      </c>
      <c r="H87" s="187"/>
      <c r="I87" s="187"/>
      <c r="J87" s="187"/>
      <c r="K87" s="74"/>
    </row>
    <row r="88" spans="1:19" ht="30" customHeight="1">
      <c r="A88" s="73" t="s">
        <v>9</v>
      </c>
      <c r="B88" s="74">
        <v>1600</v>
      </c>
      <c r="C88" s="77"/>
      <c r="D88" s="77"/>
      <c r="E88" s="77"/>
      <c r="F88" s="73" t="s">
        <v>9</v>
      </c>
      <c r="G88" s="75">
        <v>1600</v>
      </c>
      <c r="H88" s="77"/>
      <c r="I88" s="77"/>
      <c r="J88" s="77"/>
      <c r="K88" s="74"/>
    </row>
    <row r="89" spans="1:19" ht="30" customHeight="1">
      <c r="A89" s="73" t="s">
        <v>45</v>
      </c>
      <c r="B89" s="74">
        <f>13000/15</f>
        <v>866.66666666666663</v>
      </c>
      <c r="C89" s="77"/>
      <c r="D89" s="77"/>
      <c r="E89" s="77"/>
      <c r="F89" s="73" t="s">
        <v>45</v>
      </c>
      <c r="G89" s="75">
        <f>B89</f>
        <v>866.66666666666663</v>
      </c>
      <c r="H89" s="77"/>
      <c r="I89" s="77"/>
      <c r="J89" s="77"/>
      <c r="K89" s="74"/>
    </row>
    <row r="90" spans="1:19" ht="30" customHeight="1">
      <c r="A90" s="73" t="s">
        <v>29</v>
      </c>
      <c r="B90" s="74">
        <v>500</v>
      </c>
      <c r="C90" s="77" t="s">
        <v>10</v>
      </c>
      <c r="D90" s="77" t="s">
        <v>11</v>
      </c>
      <c r="E90" s="77" t="s">
        <v>12</v>
      </c>
      <c r="F90" s="73" t="s">
        <v>29</v>
      </c>
      <c r="G90" s="75">
        <f>B90</f>
        <v>500</v>
      </c>
      <c r="H90" s="77" t="s">
        <v>10</v>
      </c>
      <c r="I90" s="77" t="s">
        <v>11</v>
      </c>
      <c r="J90" s="77" t="s">
        <v>12</v>
      </c>
      <c r="K90" s="74"/>
    </row>
    <row r="91" spans="1:19" ht="30" customHeight="1">
      <c r="A91" s="73" t="s">
        <v>14</v>
      </c>
      <c r="B91" s="74">
        <v>200</v>
      </c>
      <c r="C91" s="76">
        <v>0.4</v>
      </c>
      <c r="D91" s="76">
        <v>0.55000000000000004</v>
      </c>
      <c r="E91" s="76">
        <v>0.85</v>
      </c>
      <c r="F91" s="73" t="s">
        <v>14</v>
      </c>
      <c r="G91" s="75">
        <v>200</v>
      </c>
      <c r="H91" s="76">
        <v>0.4</v>
      </c>
      <c r="I91" s="76">
        <v>0.55000000000000004</v>
      </c>
      <c r="J91" s="76">
        <v>0.85</v>
      </c>
      <c r="K91" s="72"/>
    </row>
    <row r="92" spans="1:19" ht="30" customHeight="1">
      <c r="A92" s="73" t="s">
        <v>38</v>
      </c>
      <c r="B92" s="74">
        <f>30000/39</f>
        <v>769.23076923076928</v>
      </c>
      <c r="C92" s="76">
        <f>B96*1.45</f>
        <v>4.1926378205128199</v>
      </c>
      <c r="D92" s="76">
        <f>B96*1.75</f>
        <v>5.0600801282051275</v>
      </c>
      <c r="E92" s="76">
        <f>B96*1.99</f>
        <v>5.7540339743589737</v>
      </c>
      <c r="F92" s="73" t="s">
        <v>38</v>
      </c>
      <c r="G92" s="75">
        <f>B92</f>
        <v>769.23076923076928</v>
      </c>
      <c r="H92" s="76">
        <f>G96*1.45</f>
        <v>3.7286378205128208</v>
      </c>
      <c r="I92" s="76">
        <f>G96*1.75</f>
        <v>4.5000801282051288</v>
      </c>
      <c r="J92" s="76">
        <f>G96*1.99</f>
        <v>5.1172339743589754</v>
      </c>
      <c r="K92" s="72"/>
      <c r="S92" s="78"/>
    </row>
    <row r="93" spans="1:19" ht="30" customHeight="1">
      <c r="A93" s="73" t="s">
        <v>18</v>
      </c>
      <c r="B93" s="74">
        <v>500</v>
      </c>
      <c r="C93" s="76"/>
      <c r="D93" s="76"/>
      <c r="E93" s="76"/>
      <c r="F93" s="73" t="s">
        <v>18</v>
      </c>
      <c r="G93" s="75">
        <v>500</v>
      </c>
      <c r="H93" s="76"/>
      <c r="I93" s="76"/>
      <c r="J93" s="76"/>
      <c r="K93" s="74"/>
    </row>
    <row r="94" spans="1:19" ht="30" customHeight="1">
      <c r="A94" s="73" t="s">
        <v>19</v>
      </c>
      <c r="B94" s="74">
        <v>350</v>
      </c>
      <c r="C94" s="76"/>
      <c r="D94" s="76"/>
      <c r="E94" s="76"/>
      <c r="F94" s="73" t="s">
        <v>19</v>
      </c>
      <c r="G94" s="75">
        <v>350</v>
      </c>
      <c r="H94" s="76"/>
      <c r="I94" s="76"/>
      <c r="J94" s="76"/>
      <c r="K94" s="74"/>
    </row>
    <row r="95" spans="1:19" ht="30" customHeight="1" thickBot="1">
      <c r="A95" s="73" t="s">
        <v>20</v>
      </c>
      <c r="B95" s="79">
        <v>2000</v>
      </c>
      <c r="C95" s="76"/>
      <c r="D95" s="76"/>
      <c r="E95" s="76"/>
      <c r="F95" s="73" t="s">
        <v>20</v>
      </c>
      <c r="G95" s="80">
        <v>2000</v>
      </c>
      <c r="H95" s="76"/>
      <c r="I95" s="76"/>
      <c r="J95" s="76"/>
      <c r="K95" s="72"/>
    </row>
    <row r="96" spans="1:19" ht="30" customHeight="1">
      <c r="A96" s="73"/>
      <c r="B96" s="74">
        <f>SUM(B86:B95)/E2</f>
        <v>2.8914743589743588</v>
      </c>
      <c r="C96" s="76"/>
      <c r="D96" s="76"/>
      <c r="E96" s="76"/>
      <c r="F96" s="73"/>
      <c r="G96" s="81">
        <f>SUM(G86:G95)/E2</f>
        <v>2.5714743589743594</v>
      </c>
      <c r="H96" s="76"/>
      <c r="I96" s="76"/>
      <c r="J96" s="76"/>
      <c r="K96" s="72"/>
    </row>
    <row r="97" spans="1:19" s="78" customFormat="1" ht="30" customHeight="1">
      <c r="A97" s="82" t="s">
        <v>46</v>
      </c>
      <c r="B97" s="83"/>
      <c r="C97" s="84" t="s">
        <v>47</v>
      </c>
      <c r="D97" s="84"/>
      <c r="E97" s="84"/>
      <c r="F97" s="82" t="s">
        <v>48</v>
      </c>
      <c r="G97" s="82"/>
      <c r="H97" s="84" t="s">
        <v>47</v>
      </c>
      <c r="I97" s="84"/>
      <c r="J97" s="84"/>
      <c r="K97" s="85"/>
      <c r="S97"/>
    </row>
    <row r="98" spans="1:19" ht="30" customHeight="1">
      <c r="A98" s="73" t="s">
        <v>5</v>
      </c>
      <c r="B98" s="74">
        <f>0.6*1.8*E2</f>
        <v>4320</v>
      </c>
      <c r="C98" s="76"/>
      <c r="D98" s="76"/>
      <c r="E98" s="76"/>
      <c r="F98" s="73" t="s">
        <v>5</v>
      </c>
      <c r="G98" s="86">
        <f>0.7*2.65*E2</f>
        <v>7419.9999999999991</v>
      </c>
      <c r="H98" s="76"/>
      <c r="I98" s="76"/>
      <c r="J98" s="76"/>
      <c r="K98" s="72"/>
    </row>
    <row r="99" spans="1:19" ht="30" customHeight="1">
      <c r="A99" s="73" t="s">
        <v>7</v>
      </c>
      <c r="B99" s="74">
        <v>700</v>
      </c>
      <c r="C99" s="76"/>
      <c r="D99" s="76"/>
      <c r="E99" s="76"/>
      <c r="F99" s="73" t="s">
        <v>7</v>
      </c>
      <c r="G99" s="75">
        <v>300</v>
      </c>
      <c r="H99" s="76"/>
      <c r="I99" s="76"/>
      <c r="J99" s="76"/>
      <c r="K99" s="72"/>
    </row>
    <row r="100" spans="1:19" ht="30" customHeight="1">
      <c r="A100" s="73" t="s">
        <v>9</v>
      </c>
      <c r="B100" s="74">
        <v>2500</v>
      </c>
      <c r="C100" s="187"/>
      <c r="D100" s="187"/>
      <c r="E100" s="187"/>
      <c r="F100" s="73" t="s">
        <v>9</v>
      </c>
      <c r="G100" s="75">
        <v>1600</v>
      </c>
      <c r="H100" s="187"/>
      <c r="I100" s="187"/>
      <c r="J100" s="187"/>
      <c r="K100" s="74"/>
    </row>
    <row r="101" spans="1:19" ht="30" customHeight="1">
      <c r="A101" s="73" t="s">
        <v>45</v>
      </c>
      <c r="B101" s="74">
        <f>4000</f>
        <v>4000</v>
      </c>
      <c r="C101" s="77"/>
      <c r="D101" s="77"/>
      <c r="E101" s="77"/>
      <c r="F101" s="73" t="s">
        <v>45</v>
      </c>
      <c r="G101" s="75">
        <f>B89</f>
        <v>866.66666666666663</v>
      </c>
      <c r="H101" s="77"/>
      <c r="I101" s="77"/>
      <c r="J101" s="77"/>
      <c r="K101" s="74"/>
    </row>
    <row r="102" spans="1:19" ht="30" customHeight="1">
      <c r="A102" s="73" t="s">
        <v>49</v>
      </c>
      <c r="B102" s="74">
        <v>0</v>
      </c>
      <c r="C102" s="77" t="s">
        <v>10</v>
      </c>
      <c r="D102" s="77" t="s">
        <v>11</v>
      </c>
      <c r="E102" s="77" t="s">
        <v>12</v>
      </c>
      <c r="F102" s="73" t="s">
        <v>49</v>
      </c>
      <c r="G102" s="75">
        <v>0</v>
      </c>
      <c r="H102" s="77" t="s">
        <v>10</v>
      </c>
      <c r="I102" s="77" t="s">
        <v>11</v>
      </c>
      <c r="J102" s="77" t="s">
        <v>12</v>
      </c>
      <c r="K102" s="74"/>
    </row>
    <row r="103" spans="1:19" ht="30" customHeight="1">
      <c r="A103" s="73" t="s">
        <v>29</v>
      </c>
      <c r="B103" s="74">
        <v>1000</v>
      </c>
      <c r="C103" s="76">
        <v>0.4</v>
      </c>
      <c r="D103" s="76">
        <v>0.55000000000000004</v>
      </c>
      <c r="E103" s="76">
        <v>0.85</v>
      </c>
      <c r="F103" s="73" t="s">
        <v>29</v>
      </c>
      <c r="G103" s="75">
        <f>B90</f>
        <v>500</v>
      </c>
      <c r="H103" s="76">
        <v>0.4</v>
      </c>
      <c r="I103" s="76">
        <v>0.55000000000000004</v>
      </c>
      <c r="J103" s="76">
        <v>0.85</v>
      </c>
      <c r="K103" s="74"/>
    </row>
    <row r="104" spans="1:19" ht="30" customHeight="1">
      <c r="A104" s="73" t="s">
        <v>14</v>
      </c>
      <c r="B104" s="74">
        <v>200</v>
      </c>
      <c r="C104" s="76">
        <f>B109*1.45</f>
        <v>6.6479711538461537</v>
      </c>
      <c r="D104" s="76">
        <f>B109*1.75</f>
        <v>8.0234134615384622</v>
      </c>
      <c r="E104" s="76">
        <f>B109*1.99</f>
        <v>9.123767307692308</v>
      </c>
      <c r="F104" s="73" t="s">
        <v>14</v>
      </c>
      <c r="G104" s="75">
        <v>200</v>
      </c>
      <c r="H104" s="76">
        <f>G109*1.45</f>
        <v>5.2583878205128203</v>
      </c>
      <c r="I104" s="76">
        <f>G109*1.75</f>
        <v>6.3463301282051283</v>
      </c>
      <c r="J104" s="76">
        <f>G109*1.99</f>
        <v>7.2166839743589746</v>
      </c>
      <c r="K104" s="72"/>
    </row>
    <row r="105" spans="1:19" ht="30" customHeight="1">
      <c r="A105" s="73" t="s">
        <v>38</v>
      </c>
      <c r="B105" s="74">
        <f>B92</f>
        <v>769.23076923076928</v>
      </c>
      <c r="C105" s="76"/>
      <c r="D105" s="76"/>
      <c r="E105" s="76"/>
      <c r="F105" s="73" t="s">
        <v>38</v>
      </c>
      <c r="G105" s="75">
        <f>B92</f>
        <v>769.23076923076928</v>
      </c>
      <c r="H105" s="76"/>
      <c r="I105" s="76"/>
      <c r="J105" s="76"/>
      <c r="K105" s="72"/>
    </row>
    <row r="106" spans="1:19" ht="30" customHeight="1">
      <c r="A106" s="73" t="s">
        <v>18</v>
      </c>
      <c r="B106" s="74">
        <v>500</v>
      </c>
      <c r="C106" s="76"/>
      <c r="D106" s="76"/>
      <c r="E106" s="76"/>
      <c r="F106" s="73" t="s">
        <v>18</v>
      </c>
      <c r="G106" s="75">
        <v>500</v>
      </c>
      <c r="H106" s="76"/>
      <c r="I106" s="76"/>
      <c r="J106" s="76"/>
      <c r="K106" s="74"/>
    </row>
    <row r="107" spans="1:19" ht="30" customHeight="1">
      <c r="A107" s="73" t="s">
        <v>19</v>
      </c>
      <c r="B107" s="74">
        <v>350</v>
      </c>
      <c r="C107" s="76"/>
      <c r="D107" s="76"/>
      <c r="E107" s="76"/>
      <c r="F107" s="73" t="s">
        <v>19</v>
      </c>
      <c r="G107" s="75">
        <v>350</v>
      </c>
      <c r="H107" s="76"/>
      <c r="I107" s="76"/>
      <c r="J107" s="76"/>
      <c r="K107" s="74"/>
    </row>
    <row r="108" spans="1:19" ht="30" customHeight="1" thickBot="1">
      <c r="A108" s="73" t="s">
        <v>20</v>
      </c>
      <c r="B108" s="79">
        <v>4000</v>
      </c>
      <c r="C108" s="76"/>
      <c r="D108" s="76"/>
      <c r="E108" s="76"/>
      <c r="F108" s="73" t="s">
        <v>20</v>
      </c>
      <c r="G108" s="80">
        <v>2000</v>
      </c>
      <c r="H108" s="76"/>
      <c r="I108" s="76"/>
      <c r="J108" s="76"/>
      <c r="K108" s="72"/>
    </row>
    <row r="109" spans="1:19" ht="30" customHeight="1">
      <c r="A109" s="73"/>
      <c r="B109" s="74">
        <f>SUM(B98:B108)/E2</f>
        <v>4.5848076923076926</v>
      </c>
      <c r="C109" s="76"/>
      <c r="D109" s="76"/>
      <c r="E109" s="76"/>
      <c r="F109" s="73"/>
      <c r="G109" s="81">
        <f>SUM(G98:G108)/E2</f>
        <v>3.6264743589743591</v>
      </c>
      <c r="H109" s="76"/>
      <c r="I109" s="76"/>
      <c r="J109" s="76"/>
      <c r="K109" s="72"/>
    </row>
    <row r="110" spans="1:19" ht="30" customHeight="1">
      <c r="A110" s="87" t="s">
        <v>50</v>
      </c>
      <c r="B110" s="88"/>
      <c r="C110" s="76"/>
      <c r="D110" s="76"/>
      <c r="E110" s="76"/>
      <c r="F110" s="87" t="s">
        <v>51</v>
      </c>
      <c r="G110" s="89"/>
      <c r="H110" s="76"/>
      <c r="I110" s="76"/>
      <c r="J110" s="76"/>
      <c r="K110" s="73"/>
    </row>
    <row r="111" spans="1:19" ht="30" customHeight="1">
      <c r="A111" s="73" t="s">
        <v>5</v>
      </c>
      <c r="B111" s="75">
        <f>1*1.2*E2</f>
        <v>4800</v>
      </c>
      <c r="C111" s="76"/>
      <c r="D111" s="76"/>
      <c r="E111" s="76"/>
      <c r="F111" s="73" t="s">
        <v>5</v>
      </c>
      <c r="G111" s="75">
        <f>1*2*3800</f>
        <v>7600</v>
      </c>
      <c r="H111" s="76">
        <f>27*2</f>
        <v>54</v>
      </c>
      <c r="I111" s="76">
        <f>27*2500/4000</f>
        <v>16.875</v>
      </c>
      <c r="J111" s="76"/>
      <c r="K111" s="73"/>
    </row>
    <row r="112" spans="1:19" ht="30" customHeight="1">
      <c r="A112" s="73" t="s">
        <v>7</v>
      </c>
      <c r="B112" s="75">
        <v>500</v>
      </c>
      <c r="C112" s="76"/>
      <c r="D112" s="76"/>
      <c r="E112" s="76"/>
      <c r="F112" s="73" t="s">
        <v>7</v>
      </c>
      <c r="G112" s="74">
        <v>700</v>
      </c>
      <c r="H112" s="74">
        <f>13*11000/4000</f>
        <v>35.75</v>
      </c>
      <c r="I112" s="74">
        <f>I111+H111+H112</f>
        <v>106.625</v>
      </c>
      <c r="J112" s="74">
        <v>3.6</v>
      </c>
      <c r="K112" s="74"/>
    </row>
    <row r="113" spans="1:19" ht="30" customHeight="1">
      <c r="A113" s="73" t="s">
        <v>9</v>
      </c>
      <c r="B113" s="75">
        <v>2000</v>
      </c>
      <c r="C113" s="187"/>
      <c r="D113" s="187"/>
      <c r="E113" s="187"/>
      <c r="F113" s="73" t="s">
        <v>9</v>
      </c>
      <c r="G113" s="74">
        <v>3500</v>
      </c>
      <c r="H113" s="77"/>
      <c r="I113" s="77"/>
      <c r="J113" s="77"/>
      <c r="K113" s="73"/>
    </row>
    <row r="114" spans="1:19" ht="30" customHeight="1">
      <c r="A114" s="73" t="s">
        <v>45</v>
      </c>
      <c r="B114" s="75">
        <v>3000</v>
      </c>
      <c r="C114" s="77" t="s">
        <v>10</v>
      </c>
      <c r="D114" s="77" t="s">
        <v>11</v>
      </c>
      <c r="E114" s="77" t="s">
        <v>12</v>
      </c>
      <c r="F114" s="73" t="s">
        <v>45</v>
      </c>
      <c r="G114" s="74">
        <v>3000</v>
      </c>
      <c r="H114" s="77" t="s">
        <v>10</v>
      </c>
      <c r="I114" s="77" t="s">
        <v>11</v>
      </c>
      <c r="J114" s="77" t="s">
        <v>12</v>
      </c>
      <c r="K114" s="73"/>
    </row>
    <row r="115" spans="1:19" ht="30" customHeight="1">
      <c r="A115" s="73" t="s">
        <v>49</v>
      </c>
      <c r="B115" s="75">
        <v>1000</v>
      </c>
      <c r="C115" s="76">
        <v>0.4</v>
      </c>
      <c r="D115" s="76">
        <v>0.55000000000000004</v>
      </c>
      <c r="E115" s="76">
        <v>0.85</v>
      </c>
      <c r="F115" s="73" t="s">
        <v>49</v>
      </c>
      <c r="G115" s="74">
        <v>1000</v>
      </c>
      <c r="H115" s="76">
        <v>0.4</v>
      </c>
      <c r="I115" s="76">
        <v>0.55000000000000004</v>
      </c>
      <c r="J115" s="76">
        <v>0.85</v>
      </c>
      <c r="K115" s="73"/>
    </row>
    <row r="116" spans="1:19" ht="30" customHeight="1">
      <c r="A116" s="73" t="s">
        <v>29</v>
      </c>
      <c r="B116" s="75">
        <v>1000</v>
      </c>
      <c r="C116" s="76">
        <f>B122*1.35</f>
        <v>5.0962500000000004</v>
      </c>
      <c r="D116" s="76">
        <f>B122*1.7</f>
        <v>6.4174999999999995</v>
      </c>
      <c r="E116" s="76">
        <f>B122*1.9</f>
        <v>7.1724999999999994</v>
      </c>
      <c r="F116" s="73" t="s">
        <v>29</v>
      </c>
      <c r="G116" s="74">
        <v>1000</v>
      </c>
      <c r="H116" s="76">
        <f>G122*1.35</f>
        <v>7.1381249999999996</v>
      </c>
      <c r="I116" s="76">
        <f>G122*1.7</f>
        <v>8.9887499999999996</v>
      </c>
      <c r="J116" s="76">
        <f>G122*1.9</f>
        <v>10.046249999999999</v>
      </c>
      <c r="K116" s="73"/>
    </row>
    <row r="117" spans="1:19" ht="30" customHeight="1">
      <c r="A117" s="73" t="s">
        <v>14</v>
      </c>
      <c r="B117" s="75">
        <v>200</v>
      </c>
      <c r="C117" s="76">
        <f>C116*3700</f>
        <v>18856.125</v>
      </c>
      <c r="D117" s="76">
        <f>D116*3700</f>
        <v>23744.75</v>
      </c>
      <c r="E117" s="76"/>
      <c r="F117" s="73" t="s">
        <v>14</v>
      </c>
      <c r="G117" s="74">
        <v>200</v>
      </c>
      <c r="H117" s="77"/>
      <c r="I117" s="77"/>
      <c r="J117" s="77"/>
      <c r="K117" s="73"/>
    </row>
    <row r="118" spans="1:19" ht="30" customHeight="1">
      <c r="A118" s="73" t="s">
        <v>38</v>
      </c>
      <c r="B118" s="75">
        <v>0</v>
      </c>
      <c r="C118" s="77"/>
      <c r="D118" s="77"/>
      <c r="E118" s="77"/>
      <c r="F118" s="73" t="s">
        <v>38</v>
      </c>
      <c r="G118" s="74">
        <v>0</v>
      </c>
      <c r="H118" s="76"/>
      <c r="I118" s="76"/>
      <c r="J118" s="76"/>
      <c r="K118" s="73"/>
    </row>
    <row r="119" spans="1:19" ht="30" customHeight="1">
      <c r="A119" s="73" t="s">
        <v>18</v>
      </c>
      <c r="B119" s="75">
        <v>250</v>
      </c>
      <c r="C119" s="76"/>
      <c r="D119" s="76"/>
      <c r="E119" s="76"/>
      <c r="F119" s="73" t="s">
        <v>18</v>
      </c>
      <c r="G119" s="74">
        <v>250</v>
      </c>
      <c r="H119" s="76"/>
      <c r="I119" s="76"/>
      <c r="J119" s="76"/>
      <c r="K119" s="73"/>
    </row>
    <row r="120" spans="1:19" ht="30" customHeight="1">
      <c r="A120" s="73" t="s">
        <v>19</v>
      </c>
      <c r="B120" s="75">
        <v>350</v>
      </c>
      <c r="C120" s="76"/>
      <c r="D120" s="76"/>
      <c r="E120" s="76"/>
      <c r="F120" s="73" t="s">
        <v>19</v>
      </c>
      <c r="G120" s="74">
        <v>200</v>
      </c>
      <c r="H120" s="76"/>
      <c r="I120" s="76"/>
      <c r="J120" s="76"/>
      <c r="K120" s="73"/>
      <c r="S120" s="78"/>
    </row>
    <row r="121" spans="1:19" ht="30" customHeight="1" thickBot="1">
      <c r="A121" s="73" t="s">
        <v>20</v>
      </c>
      <c r="B121" s="80">
        <v>2000</v>
      </c>
      <c r="C121" s="76"/>
      <c r="D121" s="76"/>
      <c r="E121" s="76"/>
      <c r="F121" s="73" t="s">
        <v>20</v>
      </c>
      <c r="G121" s="79">
        <v>3700</v>
      </c>
      <c r="H121" s="76"/>
      <c r="I121" s="76"/>
      <c r="J121" s="76"/>
      <c r="K121" s="73"/>
    </row>
    <row r="122" spans="1:19" ht="30" customHeight="1">
      <c r="A122" s="73"/>
      <c r="B122" s="81">
        <f>SUM(B111:B121)/E2</f>
        <v>3.7749999999999999</v>
      </c>
      <c r="C122" s="76"/>
      <c r="D122" s="76"/>
      <c r="E122" s="76"/>
      <c r="F122" s="73"/>
      <c r="G122" s="74">
        <f>SUM(G111:G121)/E2</f>
        <v>5.2874999999999996</v>
      </c>
      <c r="H122" s="76"/>
      <c r="I122" s="76"/>
      <c r="J122" s="76"/>
      <c r="K122" s="73"/>
    </row>
    <row r="123" spans="1:19" ht="30" customHeight="1"/>
    <row r="124" spans="1:19" ht="30" customHeight="1"/>
    <row r="125" spans="1:19" s="78" customFormat="1" ht="30" customHeight="1">
      <c r="A125" s="188" t="s">
        <v>52</v>
      </c>
      <c r="B125" s="188"/>
      <c r="C125" s="189"/>
      <c r="D125" s="189"/>
      <c r="E125" s="189"/>
      <c r="F125" s="188" t="s">
        <v>52</v>
      </c>
      <c r="G125" s="188"/>
      <c r="H125" s="189"/>
      <c r="I125" s="189"/>
      <c r="J125" s="189"/>
      <c r="K125" s="189"/>
      <c r="S125"/>
    </row>
    <row r="126" spans="1:19" ht="30" customHeight="1">
      <c r="A126" s="185" t="s">
        <v>53</v>
      </c>
      <c r="B126" s="185"/>
      <c r="C126" s="94" t="s">
        <v>47</v>
      </c>
      <c r="D126" s="94"/>
      <c r="E126" s="94"/>
      <c r="F126" s="185" t="s">
        <v>54</v>
      </c>
      <c r="G126" s="185"/>
      <c r="H126" s="94" t="s">
        <v>47</v>
      </c>
      <c r="I126" s="94"/>
      <c r="J126" s="94"/>
      <c r="K126" s="90"/>
    </row>
    <row r="127" spans="1:19" ht="30" customHeight="1">
      <c r="A127" s="91" t="s">
        <v>5</v>
      </c>
      <c r="B127" s="92">
        <f>0.8*1.8*E2</f>
        <v>5760.0000000000009</v>
      </c>
      <c r="C127" s="94"/>
      <c r="D127" s="94"/>
      <c r="E127" s="94"/>
      <c r="F127" s="91" t="s">
        <v>5</v>
      </c>
      <c r="G127" s="93">
        <f>0.6*1.8*E2</f>
        <v>4320</v>
      </c>
      <c r="H127" s="94"/>
      <c r="I127" s="94"/>
      <c r="J127" s="94"/>
      <c r="K127" s="90"/>
    </row>
    <row r="128" spans="1:19" ht="30" customHeight="1">
      <c r="A128" s="91" t="s">
        <v>7</v>
      </c>
      <c r="B128" s="92">
        <v>1000</v>
      </c>
      <c r="C128" s="183" t="s">
        <v>55</v>
      </c>
      <c r="D128" s="183"/>
      <c r="E128" s="183"/>
      <c r="F128" s="91" t="s">
        <v>7</v>
      </c>
      <c r="G128" s="93">
        <v>1000</v>
      </c>
      <c r="H128" s="183" t="s">
        <v>56</v>
      </c>
      <c r="I128" s="183"/>
      <c r="J128" s="183"/>
      <c r="K128" s="92"/>
    </row>
    <row r="129" spans="1:11" ht="30" customHeight="1">
      <c r="A129" s="91" t="s">
        <v>9</v>
      </c>
      <c r="B129" s="92">
        <v>2500</v>
      </c>
      <c r="C129" s="95" t="s">
        <v>10</v>
      </c>
      <c r="D129" s="95" t="s">
        <v>11</v>
      </c>
      <c r="E129" s="95" t="s">
        <v>12</v>
      </c>
      <c r="F129" s="91" t="s">
        <v>9</v>
      </c>
      <c r="G129" s="93">
        <v>2500</v>
      </c>
      <c r="H129" s="95" t="s">
        <v>10</v>
      </c>
      <c r="I129" s="95" t="s">
        <v>11</v>
      </c>
      <c r="J129" s="95" t="s">
        <v>12</v>
      </c>
      <c r="K129" s="92"/>
    </row>
    <row r="130" spans="1:11" ht="30" customHeight="1">
      <c r="A130" s="91" t="s">
        <v>57</v>
      </c>
      <c r="B130" s="92">
        <f>15000*0.3/3</f>
        <v>1500</v>
      </c>
      <c r="C130" s="95">
        <f>C133</f>
        <v>6.5830000000000002</v>
      </c>
      <c r="D130" s="95">
        <f>D133</f>
        <v>7.9450000000000003</v>
      </c>
      <c r="E130" s="95">
        <f>E133</f>
        <v>9.0345999999999993</v>
      </c>
      <c r="F130" s="91" t="s">
        <v>57</v>
      </c>
      <c r="G130" s="93">
        <f>15000*0.3/4</f>
        <v>1125</v>
      </c>
      <c r="H130" s="95">
        <f>H135</f>
        <v>5.9250624999999992</v>
      </c>
      <c r="I130" s="95">
        <f>I135</f>
        <v>7.1509374999999995</v>
      </c>
      <c r="J130" s="95">
        <f>J135</f>
        <v>8.1316375000000001</v>
      </c>
      <c r="K130" s="92"/>
    </row>
    <row r="131" spans="1:11" ht="30" customHeight="1">
      <c r="A131" s="91" t="s">
        <v>49</v>
      </c>
      <c r="B131" s="92">
        <v>1000</v>
      </c>
      <c r="C131" s="94"/>
      <c r="D131" s="94"/>
      <c r="E131" s="94"/>
      <c r="F131" s="91" t="s">
        <v>49</v>
      </c>
      <c r="G131" s="93">
        <v>1000</v>
      </c>
      <c r="H131" s="94"/>
      <c r="I131" s="94"/>
      <c r="J131" s="94"/>
      <c r="K131" s="92"/>
    </row>
    <row r="132" spans="1:11" ht="30" customHeight="1">
      <c r="A132" s="91" t="s">
        <v>29</v>
      </c>
      <c r="B132" s="92">
        <v>1000</v>
      </c>
      <c r="C132" s="94">
        <v>0.4</v>
      </c>
      <c r="D132" s="94">
        <v>0.55000000000000004</v>
      </c>
      <c r="E132" s="94">
        <v>0.85</v>
      </c>
      <c r="F132" s="91" t="s">
        <v>29</v>
      </c>
      <c r="G132" s="93">
        <v>1000</v>
      </c>
      <c r="H132" s="94"/>
      <c r="I132" s="94"/>
      <c r="J132" s="94"/>
      <c r="K132" s="90"/>
    </row>
    <row r="133" spans="1:11" ht="30" customHeight="1">
      <c r="A133" s="91" t="s">
        <v>14</v>
      </c>
      <c r="B133" s="92">
        <v>200</v>
      </c>
      <c r="C133" s="94">
        <f>B138*1.45</f>
        <v>6.5830000000000002</v>
      </c>
      <c r="D133" s="94">
        <f>B138*1.75</f>
        <v>7.9450000000000003</v>
      </c>
      <c r="E133" s="94">
        <f>B138*1.99</f>
        <v>9.0345999999999993</v>
      </c>
      <c r="F133" s="91" t="s">
        <v>14</v>
      </c>
      <c r="G133" s="93">
        <v>200</v>
      </c>
      <c r="H133" s="94"/>
      <c r="I133" s="94"/>
      <c r="J133" s="94"/>
      <c r="K133" s="90"/>
    </row>
    <row r="134" spans="1:11" ht="30" customHeight="1">
      <c r="A134" s="91" t="s">
        <v>16</v>
      </c>
      <c r="B134" s="92">
        <v>100</v>
      </c>
      <c r="C134" s="94"/>
      <c r="D134" s="94"/>
      <c r="E134" s="94"/>
      <c r="F134" s="91" t="s">
        <v>16</v>
      </c>
      <c r="G134" s="93">
        <v>100</v>
      </c>
      <c r="H134" s="94">
        <v>0.4</v>
      </c>
      <c r="I134" s="94">
        <v>0.55000000000000004</v>
      </c>
      <c r="J134" s="94">
        <v>0.85</v>
      </c>
      <c r="K134" s="92"/>
    </row>
    <row r="135" spans="1:11" ht="30" customHeight="1">
      <c r="A135" s="91" t="s">
        <v>18</v>
      </c>
      <c r="B135" s="92">
        <v>750</v>
      </c>
      <c r="C135" s="94"/>
      <c r="D135" s="94"/>
      <c r="E135" s="94"/>
      <c r="F135" s="91" t="s">
        <v>18</v>
      </c>
      <c r="G135" s="93">
        <v>750</v>
      </c>
      <c r="H135" s="94">
        <f>G138*1.45</f>
        <v>5.9250624999999992</v>
      </c>
      <c r="I135" s="94">
        <f>G138*1.75</f>
        <v>7.1509374999999995</v>
      </c>
      <c r="J135" s="94">
        <f>G138*1.99</f>
        <v>8.1316375000000001</v>
      </c>
      <c r="K135" s="92"/>
    </row>
    <row r="136" spans="1:11" ht="30" customHeight="1">
      <c r="A136" s="91" t="s">
        <v>19</v>
      </c>
      <c r="B136" s="92">
        <v>350</v>
      </c>
      <c r="C136" s="94"/>
      <c r="D136" s="94"/>
      <c r="E136" s="94"/>
      <c r="F136" s="91" t="s">
        <v>19</v>
      </c>
      <c r="G136" s="93">
        <v>350</v>
      </c>
      <c r="H136" s="94"/>
      <c r="I136" s="94"/>
      <c r="J136" s="94"/>
      <c r="K136" s="90"/>
    </row>
    <row r="137" spans="1:11" ht="30" customHeight="1" thickBot="1">
      <c r="A137" s="91" t="s">
        <v>20</v>
      </c>
      <c r="B137" s="96">
        <v>4000</v>
      </c>
      <c r="C137" s="94"/>
      <c r="D137" s="94"/>
      <c r="E137" s="94"/>
      <c r="F137" s="91" t="s">
        <v>20</v>
      </c>
      <c r="G137" s="97">
        <v>4000</v>
      </c>
      <c r="H137" s="94"/>
      <c r="I137" s="94"/>
      <c r="J137" s="94"/>
      <c r="K137" s="90"/>
    </row>
    <row r="138" spans="1:11" ht="30" customHeight="1">
      <c r="A138" s="91"/>
      <c r="B138" s="92">
        <f>SUM(B127:B137)/E2</f>
        <v>4.54</v>
      </c>
      <c r="C138" s="94"/>
      <c r="D138" s="94"/>
      <c r="E138" s="94"/>
      <c r="F138" s="91"/>
      <c r="G138" s="98">
        <f>SUM(G127:G137)/E2</f>
        <v>4.0862499999999997</v>
      </c>
      <c r="H138" s="94"/>
      <c r="I138" s="94"/>
      <c r="J138" s="94"/>
      <c r="K138" s="90"/>
    </row>
    <row r="139" spans="1:11" ht="30" customHeight="1">
      <c r="A139" s="91"/>
      <c r="B139" s="90"/>
      <c r="C139" s="94"/>
      <c r="D139" s="94"/>
      <c r="E139" s="94"/>
      <c r="F139" s="91"/>
      <c r="G139" s="99"/>
      <c r="H139" s="94"/>
      <c r="I139" s="94"/>
      <c r="J139" s="94"/>
      <c r="K139" s="90"/>
    </row>
    <row r="140" spans="1:11" ht="30" customHeight="1">
      <c r="A140" s="100" t="s">
        <v>58</v>
      </c>
      <c r="B140" s="90"/>
      <c r="C140" s="94"/>
      <c r="D140" s="94"/>
      <c r="E140" s="94">
        <v>4500</v>
      </c>
      <c r="F140" s="100" t="s">
        <v>59</v>
      </c>
      <c r="G140" s="99"/>
      <c r="H140" s="94"/>
      <c r="I140" s="94"/>
      <c r="J140" s="94">
        <v>4500</v>
      </c>
      <c r="K140" s="92"/>
    </row>
    <row r="141" spans="1:11" ht="30" customHeight="1">
      <c r="A141" s="101" t="s">
        <v>53</v>
      </c>
      <c r="B141" s="102"/>
      <c r="C141" s="94"/>
      <c r="D141" s="94"/>
      <c r="E141" s="94"/>
      <c r="F141" s="101" t="s">
        <v>60</v>
      </c>
      <c r="G141" s="101"/>
      <c r="H141" s="94"/>
      <c r="I141" s="94"/>
      <c r="J141" s="94"/>
      <c r="K141" s="90"/>
    </row>
    <row r="142" spans="1:11" ht="30" customHeight="1">
      <c r="A142" s="91" t="s">
        <v>5</v>
      </c>
      <c r="B142" s="92">
        <f>0.8*2.65*E2</f>
        <v>8480</v>
      </c>
      <c r="C142" s="186"/>
      <c r="D142" s="186"/>
      <c r="E142" s="186"/>
      <c r="F142" s="91" t="s">
        <v>5</v>
      </c>
      <c r="G142" s="93">
        <f>0.6*2.4*E2</f>
        <v>5760</v>
      </c>
      <c r="H142" s="186"/>
      <c r="I142" s="186"/>
      <c r="J142" s="186"/>
      <c r="K142" s="186"/>
    </row>
    <row r="143" spans="1:11" ht="30" customHeight="1">
      <c r="A143" s="91" t="s">
        <v>7</v>
      </c>
      <c r="B143" s="92">
        <v>1000</v>
      </c>
      <c r="C143" s="94" t="s">
        <v>47</v>
      </c>
      <c r="D143" s="94"/>
      <c r="E143" s="94"/>
      <c r="F143" s="91" t="s">
        <v>7</v>
      </c>
      <c r="G143" s="93">
        <v>700</v>
      </c>
      <c r="H143" s="94" t="s">
        <v>47</v>
      </c>
      <c r="I143" s="94"/>
      <c r="J143" s="94"/>
      <c r="K143" s="90"/>
    </row>
    <row r="144" spans="1:11" ht="30" customHeight="1">
      <c r="A144" s="91" t="s">
        <v>9</v>
      </c>
      <c r="B144" s="92">
        <v>2500</v>
      </c>
      <c r="C144" s="183" t="s">
        <v>61</v>
      </c>
      <c r="D144" s="183"/>
      <c r="E144" s="183"/>
      <c r="F144" s="91" t="s">
        <v>9</v>
      </c>
      <c r="G144" s="93">
        <v>2500</v>
      </c>
      <c r="H144" s="183" t="s">
        <v>62</v>
      </c>
      <c r="I144" s="183"/>
      <c r="J144" s="183"/>
      <c r="K144" s="92"/>
    </row>
    <row r="145" spans="1:11" ht="30" customHeight="1">
      <c r="A145" s="91" t="s">
        <v>57</v>
      </c>
      <c r="B145" s="92">
        <v>6000</v>
      </c>
      <c r="C145" s="95" t="s">
        <v>10</v>
      </c>
      <c r="D145" s="95" t="s">
        <v>11</v>
      </c>
      <c r="E145" s="95" t="s">
        <v>12</v>
      </c>
      <c r="F145" s="91" t="s">
        <v>57</v>
      </c>
      <c r="G145" s="93">
        <f>11000*0.6</f>
        <v>6600</v>
      </c>
      <c r="H145" s="95" t="s">
        <v>10</v>
      </c>
      <c r="I145" s="95" t="s">
        <v>11</v>
      </c>
      <c r="J145" s="95" t="s">
        <v>12</v>
      </c>
      <c r="K145" s="92"/>
    </row>
    <row r="146" spans="1:11" ht="30" customHeight="1">
      <c r="A146" s="91" t="s">
        <v>49</v>
      </c>
      <c r="B146" s="92">
        <v>2000</v>
      </c>
      <c r="C146" s="95">
        <f>C149</f>
        <v>9.9252500000000001</v>
      </c>
      <c r="D146" s="95">
        <f>D149</f>
        <v>11.97875</v>
      </c>
      <c r="E146" s="95">
        <f>E149</f>
        <v>13.621549999999999</v>
      </c>
      <c r="F146" s="91" t="s">
        <v>49</v>
      </c>
      <c r="G146" s="93">
        <v>1000</v>
      </c>
      <c r="H146" s="95">
        <f>H151</f>
        <v>8.1598749999999995</v>
      </c>
      <c r="I146" s="95">
        <f>I151</f>
        <v>9.8481250000000014</v>
      </c>
      <c r="J146" s="95">
        <f>J151</f>
        <v>11.198725000000001</v>
      </c>
      <c r="K146" s="92"/>
    </row>
    <row r="147" spans="1:11" ht="30" customHeight="1">
      <c r="A147" s="91" t="s">
        <v>29</v>
      </c>
      <c r="B147" s="92">
        <v>2000</v>
      </c>
      <c r="C147" s="94"/>
      <c r="D147" s="94"/>
      <c r="E147" s="94"/>
      <c r="F147" s="91" t="s">
        <v>29</v>
      </c>
      <c r="G147" s="93">
        <v>1500</v>
      </c>
      <c r="H147" s="94"/>
      <c r="I147" s="94"/>
      <c r="J147" s="94"/>
      <c r="K147" s="92"/>
    </row>
    <row r="148" spans="1:11" ht="30" customHeight="1">
      <c r="A148" s="91" t="s">
        <v>14</v>
      </c>
      <c r="B148" s="92">
        <v>200</v>
      </c>
      <c r="C148" s="94">
        <v>0.4</v>
      </c>
      <c r="D148" s="94">
        <v>0.55000000000000004</v>
      </c>
      <c r="E148" s="94">
        <v>0.85</v>
      </c>
      <c r="F148" s="91" t="s">
        <v>14</v>
      </c>
      <c r="G148" s="93">
        <v>0</v>
      </c>
      <c r="H148" s="94"/>
      <c r="I148" s="94"/>
      <c r="J148" s="94"/>
      <c r="K148" s="90"/>
    </row>
    <row r="149" spans="1:11" ht="30" customHeight="1">
      <c r="A149" s="91" t="s">
        <v>16</v>
      </c>
      <c r="B149" s="92">
        <v>100</v>
      </c>
      <c r="C149" s="94">
        <f>B153*1.45</f>
        <v>9.9252500000000001</v>
      </c>
      <c r="D149" s="94">
        <f>B153*1.75</f>
        <v>11.97875</v>
      </c>
      <c r="E149" s="94">
        <f>B153*1.99</f>
        <v>13.621549999999999</v>
      </c>
      <c r="F149" s="91" t="s">
        <v>16</v>
      </c>
      <c r="G149" s="93">
        <v>50</v>
      </c>
      <c r="H149" s="94"/>
      <c r="I149" s="94"/>
      <c r="J149" s="94"/>
      <c r="K149" s="90"/>
    </row>
    <row r="150" spans="1:11" ht="30" customHeight="1">
      <c r="A150" s="91" t="s">
        <v>18</v>
      </c>
      <c r="B150" s="92">
        <v>750</v>
      </c>
      <c r="C150" s="94"/>
      <c r="D150" s="94"/>
      <c r="E150" s="94"/>
      <c r="F150" s="91" t="s">
        <v>18</v>
      </c>
      <c r="G150" s="93">
        <v>50</v>
      </c>
      <c r="H150" s="94">
        <v>0.4</v>
      </c>
      <c r="I150" s="94">
        <v>0.55000000000000004</v>
      </c>
      <c r="J150" s="94">
        <v>0.85</v>
      </c>
      <c r="K150" s="92"/>
    </row>
    <row r="151" spans="1:11" ht="30" customHeight="1">
      <c r="A151" s="91" t="s">
        <v>19</v>
      </c>
      <c r="B151" s="92">
        <v>350</v>
      </c>
      <c r="C151" s="94"/>
      <c r="D151" s="94"/>
      <c r="E151" s="94"/>
      <c r="F151" s="91" t="s">
        <v>19</v>
      </c>
      <c r="G151" s="93">
        <v>350</v>
      </c>
      <c r="H151" s="94">
        <f>G153*1.45</f>
        <v>8.1598749999999995</v>
      </c>
      <c r="I151" s="94">
        <f>G153*1.75</f>
        <v>9.8481250000000014</v>
      </c>
      <c r="J151" s="94">
        <f>G153*1.99</f>
        <v>11.198725000000001</v>
      </c>
      <c r="K151" s="92"/>
    </row>
    <row r="152" spans="1:11" ht="30" customHeight="1" thickBot="1">
      <c r="A152" s="91" t="s">
        <v>20</v>
      </c>
      <c r="B152" s="96">
        <v>4000</v>
      </c>
      <c r="C152" s="94"/>
      <c r="D152" s="94"/>
      <c r="E152" s="94"/>
      <c r="F152" s="91" t="s">
        <v>20</v>
      </c>
      <c r="G152" s="97">
        <v>4000</v>
      </c>
      <c r="H152" s="94"/>
      <c r="I152" s="94"/>
      <c r="J152" s="94"/>
      <c r="K152" s="90"/>
    </row>
    <row r="153" spans="1:11" ht="30" customHeight="1">
      <c r="A153" s="91"/>
      <c r="B153" s="92">
        <f>SUM(B142:B152)/E2</f>
        <v>6.8449999999999998</v>
      </c>
      <c r="C153" s="94"/>
      <c r="D153" s="94"/>
      <c r="E153" s="94"/>
      <c r="F153" s="91"/>
      <c r="G153" s="98">
        <f>SUM(G142:G152)/E2</f>
        <v>5.6275000000000004</v>
      </c>
      <c r="H153" s="94"/>
      <c r="I153" s="94"/>
      <c r="J153" s="94"/>
      <c r="K153" s="90"/>
    </row>
    <row r="154" spans="1:11" ht="30" customHeight="1">
      <c r="A154" s="91"/>
      <c r="B154" s="90"/>
      <c r="C154" s="94"/>
      <c r="D154" s="94"/>
      <c r="E154" s="94"/>
      <c r="F154" s="91"/>
      <c r="G154" s="99"/>
      <c r="H154" s="94"/>
      <c r="I154" s="94"/>
      <c r="J154" s="94"/>
      <c r="K154" s="90"/>
    </row>
    <row r="155" spans="1:11" ht="51" customHeight="1">
      <c r="A155" s="100" t="s">
        <v>52</v>
      </c>
      <c r="B155" s="184" t="s">
        <v>8</v>
      </c>
      <c r="C155" s="184"/>
      <c r="D155" s="184"/>
      <c r="E155" s="184"/>
      <c r="F155" s="100" t="s">
        <v>58</v>
      </c>
      <c r="G155" s="184" t="s">
        <v>8</v>
      </c>
      <c r="H155" s="184"/>
      <c r="I155" s="184"/>
      <c r="J155" s="184"/>
      <c r="K155" s="184"/>
    </row>
    <row r="156" spans="1:11" ht="30" customHeight="1">
      <c r="A156" s="101" t="s">
        <v>63</v>
      </c>
      <c r="B156" s="101"/>
      <c r="C156" s="94" t="s">
        <v>47</v>
      </c>
      <c r="D156" s="94"/>
      <c r="E156" s="94"/>
      <c r="F156" s="101" t="s">
        <v>63</v>
      </c>
      <c r="G156" s="102"/>
      <c r="H156" s="94" t="s">
        <v>47</v>
      </c>
      <c r="I156" s="94"/>
      <c r="J156" s="94"/>
      <c r="K156" s="91"/>
    </row>
    <row r="157" spans="1:11" ht="30" customHeight="1">
      <c r="A157" s="91" t="s">
        <v>5</v>
      </c>
      <c r="B157" s="93">
        <f>1*1*E2</f>
        <v>4000</v>
      </c>
      <c r="C157" s="94"/>
      <c r="D157" s="94"/>
      <c r="E157" s="94"/>
      <c r="F157" s="91" t="s">
        <v>5</v>
      </c>
      <c r="G157" s="92">
        <f>1*1.7*E2</f>
        <v>6800</v>
      </c>
      <c r="H157" s="94"/>
      <c r="I157" s="94"/>
      <c r="J157" s="94"/>
      <c r="K157" s="91"/>
    </row>
    <row r="158" spans="1:11" ht="30" customHeight="1">
      <c r="A158" s="91" t="s">
        <v>7</v>
      </c>
      <c r="B158" s="93">
        <v>700</v>
      </c>
      <c r="C158" s="94"/>
      <c r="D158" s="94"/>
      <c r="E158" s="94"/>
      <c r="F158" s="91" t="s">
        <v>7</v>
      </c>
      <c r="G158" s="92">
        <v>700</v>
      </c>
      <c r="H158" s="94"/>
      <c r="I158" s="94"/>
      <c r="J158" s="94"/>
      <c r="K158" s="91"/>
    </row>
    <row r="159" spans="1:11" ht="30" customHeight="1">
      <c r="A159" s="91" t="s">
        <v>9</v>
      </c>
      <c r="B159" s="93">
        <v>2500</v>
      </c>
      <c r="C159" s="183" t="s">
        <v>64</v>
      </c>
      <c r="D159" s="183"/>
      <c r="E159" s="183"/>
      <c r="F159" s="91" t="s">
        <v>9</v>
      </c>
      <c r="G159" s="92">
        <v>2500</v>
      </c>
      <c r="H159" s="183" t="s">
        <v>65</v>
      </c>
      <c r="I159" s="183"/>
      <c r="J159" s="183"/>
      <c r="K159" s="103"/>
    </row>
    <row r="160" spans="1:11" ht="30" customHeight="1">
      <c r="A160" s="91" t="s">
        <v>57</v>
      </c>
      <c r="B160" s="93">
        <f>1.3*11000</f>
        <v>14300</v>
      </c>
      <c r="C160" s="95" t="s">
        <v>10</v>
      </c>
      <c r="D160" s="95" t="s">
        <v>11</v>
      </c>
      <c r="E160" s="95" t="s">
        <v>12</v>
      </c>
      <c r="F160" s="91" t="s">
        <v>57</v>
      </c>
      <c r="G160" s="92">
        <v>4500</v>
      </c>
      <c r="H160" s="95" t="s">
        <v>10</v>
      </c>
      <c r="I160" s="95" t="s">
        <v>11</v>
      </c>
      <c r="J160" s="95" t="s">
        <v>12</v>
      </c>
      <c r="K160" s="103"/>
    </row>
    <row r="161" spans="1:11" ht="30" customHeight="1">
      <c r="A161" s="91" t="s">
        <v>49</v>
      </c>
      <c r="B161" s="93">
        <v>2000</v>
      </c>
      <c r="C161" s="95">
        <f>C164</f>
        <v>9.0449999999999999</v>
      </c>
      <c r="D161" s="95">
        <f>D164</f>
        <v>11.306249999999999</v>
      </c>
      <c r="E161" s="95">
        <f>E164</f>
        <v>14.999625</v>
      </c>
      <c r="F161" s="91" t="s">
        <v>49</v>
      </c>
      <c r="G161" s="92">
        <v>1000</v>
      </c>
      <c r="H161" s="95">
        <f>H164</f>
        <v>7.6125000000000007</v>
      </c>
      <c r="I161" s="95">
        <f>I164</f>
        <v>7.6125000000000007</v>
      </c>
      <c r="J161" s="95">
        <f>J164</f>
        <v>10.09925</v>
      </c>
      <c r="K161" s="103"/>
    </row>
    <row r="162" spans="1:11" ht="30" customHeight="1">
      <c r="A162" s="91" t="s">
        <v>29</v>
      </c>
      <c r="B162" s="93">
        <v>2000</v>
      </c>
      <c r="C162" s="94"/>
      <c r="D162" s="94"/>
      <c r="E162" s="94"/>
      <c r="F162" s="91" t="s">
        <v>29</v>
      </c>
      <c r="G162" s="92">
        <v>1000</v>
      </c>
      <c r="H162" s="94"/>
      <c r="I162" s="94"/>
      <c r="J162" s="94"/>
      <c r="K162" s="103"/>
    </row>
    <row r="163" spans="1:11" ht="30" customHeight="1">
      <c r="A163" s="91" t="s">
        <v>14</v>
      </c>
      <c r="B163" s="93">
        <v>0</v>
      </c>
      <c r="C163" s="94">
        <v>0.4</v>
      </c>
      <c r="D163" s="94">
        <v>0.55000000000000004</v>
      </c>
      <c r="E163" s="94">
        <v>0.85</v>
      </c>
      <c r="F163" s="91" t="s">
        <v>14</v>
      </c>
      <c r="G163" s="92">
        <v>50</v>
      </c>
      <c r="H163" s="94">
        <v>0.4</v>
      </c>
      <c r="I163" s="94">
        <v>0.55000000000000004</v>
      </c>
      <c r="J163" s="94">
        <v>0.85</v>
      </c>
      <c r="K163" s="91"/>
    </row>
    <row r="164" spans="1:11" ht="30" customHeight="1">
      <c r="A164" s="91" t="s">
        <v>16</v>
      </c>
      <c r="B164" s="93">
        <v>0</v>
      </c>
      <c r="C164" s="94">
        <f>B168*1.2</f>
        <v>9.0449999999999999</v>
      </c>
      <c r="D164" s="94">
        <f>B168*1.5</f>
        <v>11.306249999999999</v>
      </c>
      <c r="E164" s="94">
        <f>B168*1.99</f>
        <v>14.999625</v>
      </c>
      <c r="F164" s="91" t="s">
        <v>16</v>
      </c>
      <c r="G164" s="92">
        <v>100</v>
      </c>
      <c r="H164" s="94">
        <f>G168*1.5</f>
        <v>7.6125000000000007</v>
      </c>
      <c r="I164" s="94">
        <f>G168*1.5</f>
        <v>7.6125000000000007</v>
      </c>
      <c r="J164" s="94">
        <f>G168*1.99</f>
        <v>10.09925</v>
      </c>
      <c r="K164" s="91"/>
    </row>
    <row r="165" spans="1:11" ht="30" customHeight="1">
      <c r="A165" s="91" t="s">
        <v>18</v>
      </c>
      <c r="B165" s="93">
        <v>300</v>
      </c>
      <c r="C165" s="104"/>
      <c r="D165" s="104"/>
      <c r="E165" s="104"/>
      <c r="F165" s="91" t="s">
        <v>18</v>
      </c>
      <c r="G165" s="92">
        <v>300</v>
      </c>
      <c r="H165" s="94"/>
      <c r="I165" s="94"/>
      <c r="J165" s="94"/>
      <c r="K165" s="91"/>
    </row>
    <row r="166" spans="1:11" ht="30" customHeight="1">
      <c r="A166" s="91" t="s">
        <v>19</v>
      </c>
      <c r="B166" s="93">
        <v>350</v>
      </c>
      <c r="C166" s="104"/>
      <c r="D166" s="104"/>
      <c r="E166" s="104"/>
      <c r="F166" s="91" t="s">
        <v>19</v>
      </c>
      <c r="G166" s="92">
        <v>350</v>
      </c>
      <c r="H166" s="94"/>
      <c r="I166" s="94"/>
      <c r="J166" s="94"/>
      <c r="K166" s="91"/>
    </row>
    <row r="167" spans="1:11" ht="30" customHeight="1" thickBot="1">
      <c r="A167" s="91" t="s">
        <v>20</v>
      </c>
      <c r="B167" s="97">
        <v>4000</v>
      </c>
      <c r="C167" s="94"/>
      <c r="D167" s="94"/>
      <c r="E167" s="94"/>
      <c r="F167" s="91" t="s">
        <v>20</v>
      </c>
      <c r="G167" s="96">
        <v>3000</v>
      </c>
      <c r="H167" s="94"/>
      <c r="I167" s="94"/>
      <c r="J167" s="94"/>
      <c r="K167" s="91"/>
    </row>
    <row r="168" spans="1:11" ht="30" customHeight="1">
      <c r="A168" s="91"/>
      <c r="B168" s="98">
        <f>SUM(B157:B167)/E2</f>
        <v>7.5374999999999996</v>
      </c>
      <c r="C168" s="94"/>
      <c r="D168" s="94"/>
      <c r="E168" s="94"/>
      <c r="F168" s="91"/>
      <c r="G168" s="92">
        <f>SUM(G157:G167)/E2</f>
        <v>5.0750000000000002</v>
      </c>
      <c r="H168" s="94"/>
      <c r="I168" s="94"/>
      <c r="J168" s="94"/>
      <c r="K168" s="91"/>
    </row>
    <row r="169" spans="1:11" ht="30" customHeight="1">
      <c r="G169" s="105"/>
      <c r="K169" s="30"/>
    </row>
    <row r="170" spans="1:11" ht="30" customHeight="1"/>
    <row r="171" spans="1:11" ht="54.75" customHeight="1">
      <c r="A171" s="107" t="s">
        <v>52</v>
      </c>
      <c r="B171" s="106" t="s">
        <v>66</v>
      </c>
      <c r="C171" s="113"/>
      <c r="D171" s="113"/>
      <c r="E171" s="113"/>
      <c r="F171" s="180" t="s">
        <v>52</v>
      </c>
      <c r="G171" s="180"/>
      <c r="H171" s="181"/>
      <c r="I171" s="181"/>
      <c r="J171" s="181"/>
      <c r="K171" s="181"/>
    </row>
    <row r="172" spans="1:11" ht="30" customHeight="1">
      <c r="A172" s="109" t="s">
        <v>53</v>
      </c>
      <c r="B172" s="108"/>
      <c r="C172" s="113"/>
      <c r="D172" s="113" t="s">
        <v>47</v>
      </c>
      <c r="E172" s="113"/>
      <c r="F172" s="177" t="s">
        <v>54</v>
      </c>
      <c r="G172" s="177"/>
      <c r="H172" s="113" t="s">
        <v>47</v>
      </c>
      <c r="I172" s="113"/>
      <c r="J172" s="113"/>
      <c r="K172" s="110"/>
    </row>
    <row r="173" spans="1:11" ht="30" customHeight="1">
      <c r="A173" s="111" t="s">
        <v>5</v>
      </c>
      <c r="B173" s="112">
        <f>0.8*1.6*E2</f>
        <v>5120.0000000000009</v>
      </c>
      <c r="C173" s="113"/>
      <c r="D173" s="113"/>
      <c r="E173" s="113"/>
      <c r="F173" s="111" t="s">
        <v>5</v>
      </c>
      <c r="G173" s="112">
        <f>0.7*1.8*E2</f>
        <v>5040</v>
      </c>
      <c r="H173" s="113"/>
      <c r="I173" s="113"/>
      <c r="J173" s="113"/>
      <c r="K173" s="110"/>
    </row>
    <row r="174" spans="1:11" ht="30" customHeight="1">
      <c r="A174" s="111" t="s">
        <v>7</v>
      </c>
      <c r="B174" s="112">
        <v>700</v>
      </c>
      <c r="C174" s="113"/>
      <c r="D174" s="113"/>
      <c r="E174" s="113"/>
      <c r="F174" s="111" t="s">
        <v>7</v>
      </c>
      <c r="G174" s="112">
        <v>700</v>
      </c>
      <c r="H174" s="174" t="s">
        <v>67</v>
      </c>
      <c r="I174" s="174"/>
      <c r="J174" s="174"/>
      <c r="K174" s="114"/>
    </row>
    <row r="175" spans="1:11" ht="30" customHeight="1">
      <c r="A175" s="111" t="s">
        <v>9</v>
      </c>
      <c r="B175" s="112">
        <v>2500</v>
      </c>
      <c r="D175" s="113" t="s">
        <v>68</v>
      </c>
      <c r="E175" s="113"/>
      <c r="F175" s="111" t="s">
        <v>9</v>
      </c>
      <c r="G175" s="112">
        <v>2500</v>
      </c>
      <c r="H175" s="115" t="s">
        <v>10</v>
      </c>
      <c r="I175" s="115" t="s">
        <v>11</v>
      </c>
      <c r="J175" s="115" t="s">
        <v>12</v>
      </c>
      <c r="K175" s="114"/>
    </row>
    <row r="176" spans="1:11" ht="30" customHeight="1">
      <c r="A176" s="111" t="s">
        <v>69</v>
      </c>
      <c r="B176" s="112">
        <v>2500</v>
      </c>
      <c r="C176" s="115" t="s">
        <v>10</v>
      </c>
      <c r="D176" s="115" t="s">
        <v>11</v>
      </c>
      <c r="E176" s="115" t="s">
        <v>12</v>
      </c>
      <c r="F176" s="111" t="s">
        <v>69</v>
      </c>
      <c r="G176" s="112">
        <v>2500</v>
      </c>
      <c r="H176" s="115">
        <f>H180</f>
        <v>6.4850500000000002</v>
      </c>
      <c r="I176" s="115">
        <f>I180</f>
        <v>7.7095000000000002</v>
      </c>
      <c r="J176" s="115">
        <f>J180</f>
        <v>8.1630000000000003</v>
      </c>
      <c r="K176" s="114"/>
    </row>
    <row r="177" spans="1:11" ht="30" customHeight="1">
      <c r="A177" s="111" t="s">
        <v>49</v>
      </c>
      <c r="B177" s="112">
        <v>1000</v>
      </c>
      <c r="C177" s="115">
        <f>C181</f>
        <v>6.6047499999999992</v>
      </c>
      <c r="D177" s="115">
        <f>D181</f>
        <v>7.9712499999999995</v>
      </c>
      <c r="E177" s="115">
        <f>E181</f>
        <v>9.064449999999999</v>
      </c>
      <c r="F177" s="111" t="s">
        <v>49</v>
      </c>
      <c r="G177" s="112">
        <v>1000</v>
      </c>
      <c r="H177" s="113"/>
      <c r="I177" s="113"/>
      <c r="J177" s="113"/>
      <c r="K177" s="114"/>
    </row>
    <row r="178" spans="1:11" ht="30" customHeight="1">
      <c r="A178" s="111" t="s">
        <v>29</v>
      </c>
      <c r="B178" s="112">
        <v>1000</v>
      </c>
      <c r="C178" s="113"/>
      <c r="D178" s="113"/>
      <c r="E178" s="113"/>
      <c r="F178" s="111" t="s">
        <v>29</v>
      </c>
      <c r="G178" s="112">
        <v>1000</v>
      </c>
      <c r="H178" s="113"/>
      <c r="I178" s="113"/>
      <c r="J178" s="113"/>
      <c r="K178" s="110"/>
    </row>
    <row r="179" spans="1:11" ht="30" customHeight="1">
      <c r="A179" s="111" t="s">
        <v>14</v>
      </c>
      <c r="B179" s="112">
        <v>200</v>
      </c>
      <c r="C179" s="113"/>
      <c r="D179" s="113"/>
      <c r="E179" s="113"/>
      <c r="F179" s="111" t="s">
        <v>14</v>
      </c>
      <c r="G179" s="112">
        <v>200</v>
      </c>
      <c r="H179" s="113">
        <v>0.4</v>
      </c>
      <c r="I179" s="113">
        <v>0.55000000000000004</v>
      </c>
      <c r="J179" s="113">
        <v>0.85</v>
      </c>
      <c r="K179" s="110"/>
    </row>
    <row r="180" spans="1:11" ht="30" customHeight="1">
      <c r="A180" s="111" t="s">
        <v>16</v>
      </c>
      <c r="B180" s="112">
        <v>100</v>
      </c>
      <c r="C180" s="113">
        <v>0.4</v>
      </c>
      <c r="D180" s="113">
        <v>0.55000000000000004</v>
      </c>
      <c r="E180" s="113">
        <v>0.85</v>
      </c>
      <c r="F180" s="111" t="s">
        <v>16</v>
      </c>
      <c r="G180" s="112">
        <v>100</v>
      </c>
      <c r="H180" s="113">
        <f>G184*1.43</f>
        <v>6.4850500000000002</v>
      </c>
      <c r="I180" s="113">
        <f>G184*1.7</f>
        <v>7.7095000000000002</v>
      </c>
      <c r="J180" s="113">
        <f>G184*1.8</f>
        <v>8.1630000000000003</v>
      </c>
      <c r="K180" s="114"/>
    </row>
    <row r="181" spans="1:11" ht="30" customHeight="1">
      <c r="A181" s="111" t="s">
        <v>18</v>
      </c>
      <c r="B181" s="112">
        <v>750</v>
      </c>
      <c r="C181" s="113">
        <f>B184*1.45</f>
        <v>6.6047499999999992</v>
      </c>
      <c r="D181" s="113">
        <f>B184*1.75</f>
        <v>7.9712499999999995</v>
      </c>
      <c r="E181" s="113">
        <f>B184*1.99</f>
        <v>9.064449999999999</v>
      </c>
      <c r="F181" s="111" t="s">
        <v>18</v>
      </c>
      <c r="G181" s="112">
        <v>750</v>
      </c>
      <c r="H181" s="113">
        <f>H180*3800</f>
        <v>24643.190000000002</v>
      </c>
      <c r="I181" s="113"/>
      <c r="J181" s="113"/>
      <c r="K181" s="114"/>
    </row>
    <row r="182" spans="1:11" ht="30" customHeight="1">
      <c r="A182" s="111" t="s">
        <v>19</v>
      </c>
      <c r="B182" s="112">
        <v>350</v>
      </c>
      <c r="C182" s="116"/>
      <c r="D182" s="116"/>
      <c r="E182" s="116"/>
      <c r="F182" s="111" t="s">
        <v>19</v>
      </c>
      <c r="G182" s="112">
        <v>350</v>
      </c>
      <c r="H182" s="113"/>
      <c r="I182" s="113"/>
      <c r="J182" s="113"/>
      <c r="K182" s="110"/>
    </row>
    <row r="183" spans="1:11" ht="30" customHeight="1" thickBot="1">
      <c r="A183" s="111" t="s">
        <v>20</v>
      </c>
      <c r="B183" s="117">
        <v>4000</v>
      </c>
      <c r="C183" s="113"/>
      <c r="D183" s="113"/>
      <c r="E183" s="113"/>
      <c r="F183" s="111" t="s">
        <v>20</v>
      </c>
      <c r="G183" s="117">
        <v>4000</v>
      </c>
      <c r="H183" s="113"/>
      <c r="I183" s="113"/>
      <c r="J183" s="113"/>
      <c r="K183" s="110"/>
    </row>
    <row r="184" spans="1:11" ht="30" customHeight="1">
      <c r="A184" s="111"/>
      <c r="B184" s="118">
        <f>SUM(B173:B183)/E2</f>
        <v>4.5549999999999997</v>
      </c>
      <c r="C184" s="113"/>
      <c r="D184" s="113"/>
      <c r="E184" s="113"/>
      <c r="F184" s="111"/>
      <c r="G184" s="118">
        <f>SUM(G173:G183)/E2</f>
        <v>4.5350000000000001</v>
      </c>
      <c r="H184" s="113"/>
      <c r="I184" s="113"/>
      <c r="J184" s="113"/>
      <c r="K184" s="110"/>
    </row>
    <row r="185" spans="1:11" ht="30" customHeight="1">
      <c r="A185" s="111"/>
      <c r="B185" s="110"/>
      <c r="C185" s="113"/>
      <c r="D185" s="113"/>
      <c r="E185" s="113"/>
      <c r="F185" s="111"/>
      <c r="G185" s="119"/>
      <c r="H185" s="113"/>
      <c r="I185" s="113"/>
      <c r="J185" s="113"/>
      <c r="K185" s="110"/>
    </row>
    <row r="186" spans="1:11" ht="48.75" customHeight="1">
      <c r="A186" s="107" t="s">
        <v>58</v>
      </c>
      <c r="B186" s="182" t="s">
        <v>66</v>
      </c>
      <c r="C186" s="182"/>
      <c r="D186" s="182"/>
      <c r="E186" s="182"/>
      <c r="F186" s="180" t="s">
        <v>58</v>
      </c>
      <c r="G186" s="180"/>
      <c r="H186" s="181"/>
      <c r="I186" s="181"/>
      <c r="J186" s="181"/>
      <c r="K186" s="181"/>
    </row>
    <row r="187" spans="1:11" ht="41.25" customHeight="1">
      <c r="A187" s="108" t="s">
        <v>53</v>
      </c>
      <c r="B187" s="120" t="s">
        <v>58</v>
      </c>
      <c r="C187" s="121" t="s">
        <v>53</v>
      </c>
      <c r="D187" s="113"/>
      <c r="E187" s="113"/>
      <c r="F187" s="177" t="s">
        <v>54</v>
      </c>
      <c r="G187" s="177"/>
      <c r="H187" s="113" t="s">
        <v>47</v>
      </c>
      <c r="I187" s="113"/>
      <c r="J187" s="113"/>
      <c r="K187" s="111"/>
    </row>
    <row r="188" spans="1:11" ht="30" customHeight="1">
      <c r="A188" s="111" t="s">
        <v>5</v>
      </c>
      <c r="B188" s="114">
        <f>0.8*2.6*E2</f>
        <v>8320</v>
      </c>
      <c r="C188" s="113"/>
      <c r="D188" s="113"/>
      <c r="E188" s="113"/>
      <c r="F188" s="111" t="s">
        <v>5</v>
      </c>
      <c r="G188" s="114">
        <f>0.6*2.3*E2</f>
        <v>5520</v>
      </c>
      <c r="H188" s="113"/>
      <c r="I188" s="113"/>
      <c r="J188" s="113"/>
      <c r="K188" s="111"/>
    </row>
    <row r="189" spans="1:11" ht="30" customHeight="1">
      <c r="A189" s="111" t="s">
        <v>7</v>
      </c>
      <c r="B189" s="114">
        <v>700</v>
      </c>
      <c r="C189" s="113"/>
      <c r="D189" s="113"/>
      <c r="E189" s="113"/>
      <c r="F189" s="111" t="s">
        <v>7</v>
      </c>
      <c r="G189" s="114">
        <v>700</v>
      </c>
      <c r="H189" s="174" t="s">
        <v>70</v>
      </c>
      <c r="I189" s="174"/>
      <c r="J189" s="174"/>
      <c r="K189" s="122"/>
    </row>
    <row r="190" spans="1:11" ht="30" customHeight="1">
      <c r="A190" s="111" t="s">
        <v>9</v>
      </c>
      <c r="B190" s="114">
        <v>2500</v>
      </c>
      <c r="C190" s="174" t="s">
        <v>71</v>
      </c>
      <c r="D190" s="174"/>
      <c r="E190" s="174"/>
      <c r="F190" s="111" t="s">
        <v>9</v>
      </c>
      <c r="G190" s="114">
        <v>2500</v>
      </c>
      <c r="H190" s="115" t="s">
        <v>10</v>
      </c>
      <c r="I190" s="115" t="s">
        <v>11</v>
      </c>
      <c r="J190" s="115" t="s">
        <v>12</v>
      </c>
      <c r="K190" s="122"/>
    </row>
    <row r="191" spans="1:11" ht="30" customHeight="1">
      <c r="A191" s="111" t="s">
        <v>69</v>
      </c>
      <c r="B191" s="114">
        <v>6000</v>
      </c>
      <c r="C191" s="115" t="s">
        <v>10</v>
      </c>
      <c r="D191" s="115" t="s">
        <v>11</v>
      </c>
      <c r="E191" s="115" t="s">
        <v>12</v>
      </c>
      <c r="F191" s="111" t="s">
        <v>69</v>
      </c>
      <c r="G191" s="114">
        <f>15000/4</f>
        <v>3750</v>
      </c>
      <c r="H191" s="115">
        <f>H194</f>
        <v>6.4577500000000008</v>
      </c>
      <c r="I191" s="115">
        <f>I194</f>
        <v>8.6931250000000002</v>
      </c>
      <c r="J191" s="115">
        <f>J194</f>
        <v>9.8853249999999999</v>
      </c>
      <c r="K191" s="122"/>
    </row>
    <row r="192" spans="1:11" ht="30" customHeight="1">
      <c r="A192" s="111" t="s">
        <v>49</v>
      </c>
      <c r="B192" s="114">
        <v>1000</v>
      </c>
      <c r="C192" s="115">
        <f>C196</f>
        <v>8.6869999999999994</v>
      </c>
      <c r="D192" s="115">
        <f>D196</f>
        <v>9.6177500000000009</v>
      </c>
      <c r="E192" s="115">
        <f>E196</f>
        <v>11.7895</v>
      </c>
      <c r="F192" s="111" t="s">
        <v>49</v>
      </c>
      <c r="G192" s="114">
        <v>1000</v>
      </c>
      <c r="H192" s="113"/>
      <c r="I192" s="113"/>
      <c r="J192" s="113"/>
      <c r="K192" s="122"/>
    </row>
    <row r="193" spans="1:11" ht="30" customHeight="1">
      <c r="A193" s="111" t="s">
        <v>29</v>
      </c>
      <c r="B193" s="114">
        <v>2000</v>
      </c>
      <c r="C193" s="113"/>
      <c r="D193" s="113"/>
      <c r="E193" s="113"/>
      <c r="F193" s="111" t="s">
        <v>29</v>
      </c>
      <c r="G193" s="114">
        <v>1000</v>
      </c>
      <c r="H193" s="113">
        <v>0.4</v>
      </c>
      <c r="I193" s="113">
        <v>0.55000000000000004</v>
      </c>
      <c r="J193" s="113">
        <v>0.85</v>
      </c>
      <c r="K193" s="111"/>
    </row>
    <row r="194" spans="1:11" ht="30" customHeight="1">
      <c r="A194" s="111" t="s">
        <v>14</v>
      </c>
      <c r="B194" s="114">
        <v>0</v>
      </c>
      <c r="C194" s="113"/>
      <c r="D194" s="113"/>
      <c r="E194" s="113"/>
      <c r="F194" s="111" t="s">
        <v>14</v>
      </c>
      <c r="G194" s="114">
        <v>200</v>
      </c>
      <c r="H194" s="113">
        <f>G199*1.3</f>
        <v>6.4577500000000008</v>
      </c>
      <c r="I194" s="113">
        <f>G199*1.75</f>
        <v>8.6931250000000002</v>
      </c>
      <c r="J194" s="113">
        <f>G199*1.99</f>
        <v>9.8853249999999999</v>
      </c>
      <c r="K194" s="111"/>
    </row>
    <row r="195" spans="1:11" ht="30" customHeight="1">
      <c r="A195" s="111" t="s">
        <v>16</v>
      </c>
      <c r="B195" s="114">
        <v>0</v>
      </c>
      <c r="C195" s="113">
        <v>0.4</v>
      </c>
      <c r="D195" s="113">
        <v>0.55000000000000004</v>
      </c>
      <c r="E195" s="113">
        <v>0.85</v>
      </c>
      <c r="F195" s="111" t="s">
        <v>16</v>
      </c>
      <c r="G195" s="114">
        <v>100</v>
      </c>
      <c r="H195" s="113"/>
      <c r="I195" s="113"/>
      <c r="J195" s="113"/>
      <c r="K195" s="111"/>
    </row>
    <row r="196" spans="1:11" ht="30" customHeight="1">
      <c r="A196" s="111" t="s">
        <v>18</v>
      </c>
      <c r="B196" s="114">
        <v>250</v>
      </c>
      <c r="C196" s="113">
        <f>B199*1.4</f>
        <v>8.6869999999999994</v>
      </c>
      <c r="D196" s="113">
        <f>B199*1.55</f>
        <v>9.6177500000000009</v>
      </c>
      <c r="E196" s="113">
        <f>B199*1.9</f>
        <v>11.7895</v>
      </c>
      <c r="F196" s="111" t="s">
        <v>18</v>
      </c>
      <c r="G196" s="114">
        <v>750</v>
      </c>
      <c r="H196" s="113"/>
      <c r="I196" s="113"/>
      <c r="J196" s="113"/>
      <c r="K196" s="111"/>
    </row>
    <row r="197" spans="1:11" ht="30" customHeight="1">
      <c r="A197" s="111" t="s">
        <v>19</v>
      </c>
      <c r="B197" s="114">
        <v>350</v>
      </c>
      <c r="C197" s="113"/>
      <c r="D197" s="113">
        <f>D196*3800</f>
        <v>36547.450000000004</v>
      </c>
      <c r="E197" s="113"/>
      <c r="F197" s="111" t="s">
        <v>19</v>
      </c>
      <c r="G197" s="114">
        <v>350</v>
      </c>
      <c r="H197" s="113"/>
      <c r="I197" s="113"/>
      <c r="J197" s="113"/>
      <c r="K197" s="111"/>
    </row>
    <row r="198" spans="1:11" ht="30" customHeight="1" thickBot="1">
      <c r="A198" s="111" t="s">
        <v>20</v>
      </c>
      <c r="B198" s="123">
        <v>3700</v>
      </c>
      <c r="C198" s="113"/>
      <c r="D198" s="113"/>
      <c r="E198" s="113"/>
      <c r="F198" s="111" t="s">
        <v>20</v>
      </c>
      <c r="G198" s="123">
        <v>4000</v>
      </c>
      <c r="H198" s="113"/>
      <c r="I198" s="113"/>
      <c r="J198" s="113"/>
      <c r="K198" s="111"/>
    </row>
    <row r="199" spans="1:11" ht="30" customHeight="1">
      <c r="A199" s="111"/>
      <c r="B199" s="114">
        <f>SUM(B188:B198)/E2</f>
        <v>6.2050000000000001</v>
      </c>
      <c r="C199" s="113"/>
      <c r="D199" s="113"/>
      <c r="E199" s="113"/>
      <c r="F199" s="111"/>
      <c r="G199" s="114">
        <f>SUM(G188:G198)/E2</f>
        <v>4.9675000000000002</v>
      </c>
      <c r="H199" s="113"/>
      <c r="I199" s="113"/>
      <c r="J199" s="113"/>
      <c r="K199" s="111"/>
    </row>
    <row r="200" spans="1:11" ht="30" customHeight="1">
      <c r="A200" s="111"/>
      <c r="B200" s="110"/>
      <c r="C200" s="113"/>
      <c r="D200" s="113"/>
      <c r="E200" s="113"/>
      <c r="F200" s="111"/>
      <c r="G200" s="119"/>
      <c r="H200" s="113"/>
      <c r="I200" s="113"/>
      <c r="J200" s="113"/>
      <c r="K200" s="110"/>
    </row>
    <row r="201" spans="1:11" ht="47.25" customHeight="1">
      <c r="A201" s="107" t="s">
        <v>58</v>
      </c>
      <c r="B201" s="178" t="s">
        <v>66</v>
      </c>
      <c r="C201" s="178"/>
      <c r="D201" s="178"/>
      <c r="E201" s="178"/>
      <c r="F201" s="107" t="s">
        <v>52</v>
      </c>
      <c r="G201" s="179" t="s">
        <v>66</v>
      </c>
      <c r="H201" s="179"/>
      <c r="I201" s="179"/>
      <c r="J201" s="179"/>
      <c r="K201" s="179"/>
    </row>
    <row r="202" spans="1:11" ht="30" customHeight="1">
      <c r="A202" s="108" t="s">
        <v>63</v>
      </c>
      <c r="B202" s="124"/>
      <c r="C202" s="113" t="s">
        <v>47</v>
      </c>
      <c r="D202" s="113"/>
      <c r="E202" s="113"/>
      <c r="F202" s="108" t="s">
        <v>63</v>
      </c>
      <c r="G202" s="108"/>
      <c r="H202" s="113" t="s">
        <v>47</v>
      </c>
      <c r="I202" s="113"/>
      <c r="J202" s="113"/>
      <c r="K202" s="110"/>
    </row>
    <row r="203" spans="1:11" ht="30" customHeight="1">
      <c r="A203" s="111" t="s">
        <v>5</v>
      </c>
      <c r="B203" s="114">
        <f>1.1*2.7*E2</f>
        <v>11880.000000000002</v>
      </c>
      <c r="C203" s="113"/>
      <c r="D203" s="113"/>
      <c r="E203" s="113"/>
      <c r="F203" s="111" t="s">
        <v>5</v>
      </c>
      <c r="G203" s="112">
        <f>1*4.5*E2</f>
        <v>18000</v>
      </c>
      <c r="H203" s="113"/>
      <c r="I203" s="113"/>
      <c r="J203" s="113"/>
      <c r="K203" s="110"/>
    </row>
    <row r="204" spans="1:11" ht="30" customHeight="1">
      <c r="A204" s="111" t="s">
        <v>7</v>
      </c>
      <c r="B204" s="114">
        <v>700</v>
      </c>
      <c r="C204" s="113"/>
      <c r="D204" s="113"/>
      <c r="E204" s="113"/>
      <c r="F204" s="111" t="s">
        <v>7</v>
      </c>
      <c r="G204" s="112">
        <v>700</v>
      </c>
      <c r="H204" s="113"/>
      <c r="I204" s="113"/>
      <c r="J204" s="113"/>
      <c r="K204" s="110"/>
    </row>
    <row r="205" spans="1:11" ht="30" customHeight="1">
      <c r="A205" s="111" t="s">
        <v>9</v>
      </c>
      <c r="B205" s="114">
        <v>2500</v>
      </c>
      <c r="C205" s="174" t="s">
        <v>72</v>
      </c>
      <c r="D205" s="174"/>
      <c r="E205" s="174"/>
      <c r="F205" s="111" t="s">
        <v>9</v>
      </c>
      <c r="G205" s="112">
        <v>2500</v>
      </c>
      <c r="H205" s="174" t="s">
        <v>73</v>
      </c>
      <c r="I205" s="174"/>
      <c r="J205" s="174"/>
      <c r="K205" s="114"/>
    </row>
    <row r="206" spans="1:11" ht="30" customHeight="1">
      <c r="A206" s="111" t="s">
        <v>69</v>
      </c>
      <c r="B206" s="114">
        <f>13000</f>
        <v>13000</v>
      </c>
      <c r="C206" s="115" t="s">
        <v>10</v>
      </c>
      <c r="D206" s="115" t="s">
        <v>11</v>
      </c>
      <c r="E206" s="115" t="s">
        <v>12</v>
      </c>
      <c r="F206" s="111" t="s">
        <v>69</v>
      </c>
      <c r="G206" s="112">
        <f>35000/4</f>
        <v>8750</v>
      </c>
      <c r="H206" s="115" t="s">
        <v>10</v>
      </c>
      <c r="I206" s="115" t="s">
        <v>11</v>
      </c>
      <c r="J206" s="115" t="s">
        <v>12</v>
      </c>
      <c r="K206" s="114"/>
    </row>
    <row r="207" spans="1:11" ht="30" customHeight="1">
      <c r="A207" s="111" t="s">
        <v>49</v>
      </c>
      <c r="B207" s="114">
        <v>1000</v>
      </c>
      <c r="C207" s="115">
        <f>C211</f>
        <v>12.417999999999997</v>
      </c>
      <c r="D207" s="115">
        <f>D211</f>
        <v>15.078999999999999</v>
      </c>
      <c r="E207" s="115">
        <f>E211</f>
        <v>17.651299999999999</v>
      </c>
      <c r="F207" s="111" t="s">
        <v>49</v>
      </c>
      <c r="G207" s="112">
        <v>2500</v>
      </c>
      <c r="H207" s="115">
        <f>H212</f>
        <v>12.943125000000002</v>
      </c>
      <c r="I207" s="115">
        <f>I212</f>
        <v>15.819374999999999</v>
      </c>
      <c r="J207" s="115">
        <f>J212</f>
        <v>19.079125000000001</v>
      </c>
      <c r="K207" s="114"/>
    </row>
    <row r="208" spans="1:11" ht="30" customHeight="1">
      <c r="A208" s="111" t="s">
        <v>29</v>
      </c>
      <c r="B208" s="114">
        <v>1000</v>
      </c>
      <c r="C208" s="113"/>
      <c r="D208" s="113"/>
      <c r="E208" s="113"/>
      <c r="F208" s="111" t="s">
        <v>29</v>
      </c>
      <c r="G208" s="112">
        <v>2000</v>
      </c>
      <c r="H208" s="113"/>
      <c r="I208" s="113"/>
      <c r="J208" s="113"/>
      <c r="K208" s="114"/>
    </row>
    <row r="209" spans="1:19" ht="30" customHeight="1">
      <c r="A209" s="111" t="s">
        <v>14</v>
      </c>
      <c r="B209" s="114">
        <v>200</v>
      </c>
      <c r="C209" s="113"/>
      <c r="D209" s="113"/>
      <c r="E209" s="113"/>
      <c r="F209" s="111" t="s">
        <v>14</v>
      </c>
      <c r="G209" s="112">
        <v>0</v>
      </c>
      <c r="H209" s="113"/>
      <c r="I209" s="113"/>
      <c r="J209" s="113"/>
      <c r="K209" s="110"/>
    </row>
    <row r="210" spans="1:19" ht="30" customHeight="1">
      <c r="A210" s="111" t="s">
        <v>16</v>
      </c>
      <c r="B210" s="114">
        <v>100</v>
      </c>
      <c r="C210" s="113">
        <v>0.4</v>
      </c>
      <c r="D210" s="113">
        <v>0.55000000000000004</v>
      </c>
      <c r="E210" s="113">
        <v>0.85</v>
      </c>
      <c r="F210" s="111" t="s">
        <v>16</v>
      </c>
      <c r="G210" s="112">
        <v>100</v>
      </c>
      <c r="H210" s="113"/>
      <c r="I210" s="113"/>
      <c r="J210" s="113"/>
      <c r="K210" s="110"/>
    </row>
    <row r="211" spans="1:19" ht="30" customHeight="1">
      <c r="A211" s="111" t="s">
        <v>18</v>
      </c>
      <c r="B211" s="114">
        <v>750</v>
      </c>
      <c r="C211" s="113">
        <f>B214*1.4</f>
        <v>12.417999999999997</v>
      </c>
      <c r="D211" s="113">
        <f>B214*1.7</f>
        <v>15.078999999999999</v>
      </c>
      <c r="E211" s="113">
        <f>B214*1.99</f>
        <v>17.651299999999999</v>
      </c>
      <c r="F211" s="111" t="s">
        <v>18</v>
      </c>
      <c r="G211" s="112">
        <v>50</v>
      </c>
      <c r="H211" s="113">
        <v>0.4</v>
      </c>
      <c r="I211" s="113">
        <v>0.55000000000000004</v>
      </c>
      <c r="J211" s="113">
        <v>0.85</v>
      </c>
      <c r="K211" s="114"/>
    </row>
    <row r="212" spans="1:19" ht="30" customHeight="1">
      <c r="A212" s="111" t="s">
        <v>19</v>
      </c>
      <c r="B212" s="114">
        <v>350</v>
      </c>
      <c r="C212" s="113"/>
      <c r="D212" s="113"/>
      <c r="E212" s="113"/>
      <c r="F212" s="111" t="s">
        <v>19</v>
      </c>
      <c r="G212" s="112">
        <v>250</v>
      </c>
      <c r="H212" s="113">
        <f>G214*1.35</f>
        <v>12.943125000000002</v>
      </c>
      <c r="I212" s="113">
        <f>G214*1.65</f>
        <v>15.819374999999999</v>
      </c>
      <c r="J212" s="113">
        <f>G214*1.99</f>
        <v>19.079125000000001</v>
      </c>
      <c r="K212" s="114"/>
    </row>
    <row r="213" spans="1:19" ht="30" customHeight="1" thickBot="1">
      <c r="A213" s="111" t="s">
        <v>20</v>
      </c>
      <c r="B213" s="123">
        <v>4000</v>
      </c>
      <c r="C213" s="113"/>
      <c r="D213" s="113"/>
      <c r="E213" s="113"/>
      <c r="F213" s="111" t="s">
        <v>20</v>
      </c>
      <c r="G213" s="117">
        <v>3500</v>
      </c>
      <c r="H213" s="113"/>
      <c r="I213" s="113"/>
      <c r="J213" s="113"/>
      <c r="K213" s="110"/>
      <c r="S213" s="1"/>
    </row>
    <row r="214" spans="1:19" ht="30" customHeight="1">
      <c r="A214" s="111"/>
      <c r="B214" s="114">
        <f>SUM(B203:B213)/E2</f>
        <v>8.8699999999999992</v>
      </c>
      <c r="C214" s="113"/>
      <c r="D214" s="113"/>
      <c r="E214" s="113"/>
      <c r="F214" s="111"/>
      <c r="G214" s="118">
        <f>SUM(G203:G213)/E2</f>
        <v>9.5875000000000004</v>
      </c>
      <c r="H214" s="113"/>
      <c r="I214" s="113"/>
      <c r="J214" s="113"/>
      <c r="K214" s="110"/>
    </row>
    <row r="215" spans="1:19" ht="30" customHeight="1"/>
    <row r="216" spans="1:19" ht="30" customHeight="1"/>
    <row r="217" spans="1:19" ht="30" customHeight="1"/>
    <row r="218" spans="1:19" s="1" customFormat="1" ht="43.5" customHeight="1">
      <c r="A218" s="175" t="s">
        <v>58</v>
      </c>
      <c r="B218" s="175"/>
      <c r="C218" s="176"/>
      <c r="D218" s="176"/>
      <c r="E218" s="176"/>
      <c r="F218" s="175" t="s">
        <v>52</v>
      </c>
      <c r="G218" s="175"/>
      <c r="H218" s="176"/>
      <c r="I218" s="176"/>
      <c r="J218" s="176"/>
      <c r="K218" s="125"/>
      <c r="S218"/>
    </row>
    <row r="219" spans="1:19" ht="30" customHeight="1">
      <c r="A219" s="172" t="s">
        <v>54</v>
      </c>
      <c r="B219" s="172"/>
      <c r="C219" s="130" t="s">
        <v>47</v>
      </c>
      <c r="D219" s="130"/>
      <c r="E219" s="130"/>
      <c r="F219" s="172" t="s">
        <v>54</v>
      </c>
      <c r="G219" s="172"/>
      <c r="H219" s="130" t="s">
        <v>47</v>
      </c>
      <c r="I219" s="130"/>
      <c r="J219" s="130"/>
      <c r="K219" s="126"/>
    </row>
    <row r="220" spans="1:19" ht="30" customHeight="1">
      <c r="A220" s="127" t="s">
        <v>5</v>
      </c>
      <c r="B220" s="128">
        <f>0.7*1.8*E2</f>
        <v>5040</v>
      </c>
      <c r="C220" s="130"/>
      <c r="D220" s="130"/>
      <c r="E220" s="130"/>
      <c r="F220" s="127" t="s">
        <v>5</v>
      </c>
      <c r="G220" s="129">
        <f>0.5*1.3*E2</f>
        <v>2600</v>
      </c>
      <c r="H220" s="130"/>
      <c r="I220" s="130"/>
      <c r="J220" s="130"/>
      <c r="K220" s="126"/>
    </row>
    <row r="221" spans="1:19" ht="30" customHeight="1">
      <c r="A221" s="127" t="s">
        <v>7</v>
      </c>
      <c r="B221" s="128">
        <v>700</v>
      </c>
      <c r="C221" s="170" t="s">
        <v>70</v>
      </c>
      <c r="D221" s="170"/>
      <c r="E221" s="170"/>
      <c r="F221" s="127" t="s">
        <v>7</v>
      </c>
      <c r="G221" s="129">
        <v>700</v>
      </c>
      <c r="H221" s="170" t="s">
        <v>67</v>
      </c>
      <c r="I221" s="170"/>
      <c r="J221" s="170"/>
      <c r="K221" s="128"/>
    </row>
    <row r="222" spans="1:19" ht="30" customHeight="1">
      <c r="A222" s="127" t="s">
        <v>9</v>
      </c>
      <c r="B222" s="128">
        <v>2500</v>
      </c>
      <c r="C222" s="131" t="s">
        <v>10</v>
      </c>
      <c r="D222" s="131" t="s">
        <v>11</v>
      </c>
      <c r="E222" s="131" t="s">
        <v>12</v>
      </c>
      <c r="F222" s="127" t="s">
        <v>9</v>
      </c>
      <c r="G222" s="129">
        <v>4500</v>
      </c>
      <c r="H222" s="131" t="s">
        <v>10</v>
      </c>
      <c r="I222" s="131" t="s">
        <v>11</v>
      </c>
      <c r="J222" s="131" t="s">
        <v>12</v>
      </c>
      <c r="K222" s="128"/>
    </row>
    <row r="223" spans="1:19" ht="30" customHeight="1">
      <c r="A223" s="127" t="s">
        <v>69</v>
      </c>
      <c r="B223" s="128">
        <f>0.7*13000</f>
        <v>9100</v>
      </c>
      <c r="C223" s="131">
        <f>C226</f>
        <v>8.9039999999999999</v>
      </c>
      <c r="D223" s="131">
        <f>D226</f>
        <v>11.13</v>
      </c>
      <c r="E223" s="131">
        <f>E226</f>
        <v>12.656400000000001</v>
      </c>
      <c r="F223" s="127" t="s">
        <v>69</v>
      </c>
      <c r="G223" s="129">
        <f>0.5*11000</f>
        <v>5500</v>
      </c>
      <c r="H223" s="131">
        <f>H228</f>
        <v>5.5250000000000004</v>
      </c>
      <c r="I223" s="131">
        <f>I228</f>
        <v>7.4375</v>
      </c>
      <c r="J223" s="131">
        <f>J228</f>
        <v>8.4574999999999996</v>
      </c>
      <c r="K223" s="128"/>
    </row>
    <row r="224" spans="1:19" ht="30" customHeight="1">
      <c r="A224" s="127" t="s">
        <v>49</v>
      </c>
      <c r="B224" s="128">
        <v>3000</v>
      </c>
      <c r="C224" s="130"/>
      <c r="D224" s="130"/>
      <c r="E224" s="130"/>
      <c r="F224" s="127" t="s">
        <v>49</v>
      </c>
      <c r="G224" s="129">
        <v>0</v>
      </c>
      <c r="H224" s="130"/>
      <c r="I224" s="130"/>
      <c r="J224" s="130"/>
      <c r="K224" s="128"/>
    </row>
    <row r="225" spans="1:11" ht="30" customHeight="1">
      <c r="A225" s="127" t="s">
        <v>29</v>
      </c>
      <c r="B225" s="128">
        <v>1000</v>
      </c>
      <c r="C225" s="130">
        <v>0.4</v>
      </c>
      <c r="D225" s="130">
        <v>0.55000000000000004</v>
      </c>
      <c r="E225" s="130">
        <v>0.85</v>
      </c>
      <c r="F225" s="127" t="s">
        <v>29</v>
      </c>
      <c r="G225" s="129">
        <v>1000</v>
      </c>
      <c r="H225" s="130"/>
      <c r="I225" s="130"/>
      <c r="J225" s="130"/>
      <c r="K225" s="126"/>
    </row>
    <row r="226" spans="1:11" ht="30" customHeight="1">
      <c r="A226" s="127" t="s">
        <v>14</v>
      </c>
      <c r="B226" s="128">
        <v>0</v>
      </c>
      <c r="C226" s="130">
        <f>B231*1.4</f>
        <v>8.9039999999999999</v>
      </c>
      <c r="D226" s="130">
        <f>B231*1.75</f>
        <v>11.13</v>
      </c>
      <c r="E226" s="130">
        <f>B231*1.99</f>
        <v>12.656400000000001</v>
      </c>
      <c r="F226" s="127" t="s">
        <v>14</v>
      </c>
      <c r="G226" s="129">
        <v>0</v>
      </c>
      <c r="H226" s="130"/>
      <c r="I226" s="130"/>
      <c r="J226" s="130"/>
      <c r="K226" s="126"/>
    </row>
    <row r="227" spans="1:11" ht="30" customHeight="1">
      <c r="A227" s="127" t="s">
        <v>16</v>
      </c>
      <c r="B227" s="128">
        <v>0</v>
      </c>
      <c r="C227" s="130"/>
      <c r="D227" s="130"/>
      <c r="E227" s="130"/>
      <c r="F227" s="127" t="s">
        <v>16</v>
      </c>
      <c r="G227" s="129">
        <v>0</v>
      </c>
      <c r="H227" s="130">
        <v>0.4</v>
      </c>
      <c r="I227" s="130">
        <v>0.55000000000000004</v>
      </c>
      <c r="J227" s="130">
        <v>0.85</v>
      </c>
      <c r="K227" s="128"/>
    </row>
    <row r="228" spans="1:11" ht="30" customHeight="1">
      <c r="A228" s="127" t="s">
        <v>18</v>
      </c>
      <c r="B228" s="128">
        <v>750</v>
      </c>
      <c r="C228" s="130"/>
      <c r="D228" s="130"/>
      <c r="E228" s="130"/>
      <c r="F228" s="127" t="s">
        <v>18</v>
      </c>
      <c r="G228" s="129">
        <v>0</v>
      </c>
      <c r="H228" s="130">
        <f>G231*1.3</f>
        <v>5.5250000000000004</v>
      </c>
      <c r="I228" s="130">
        <f>G231*1.75</f>
        <v>7.4375</v>
      </c>
      <c r="J228" s="130">
        <f>G231*1.99</f>
        <v>8.4574999999999996</v>
      </c>
      <c r="K228" s="128"/>
    </row>
    <row r="229" spans="1:11" ht="30" customHeight="1">
      <c r="A229" s="127" t="s">
        <v>19</v>
      </c>
      <c r="B229" s="128">
        <v>350</v>
      </c>
      <c r="C229" s="130"/>
      <c r="D229" s="130"/>
      <c r="E229" s="130"/>
      <c r="F229" s="127" t="s">
        <v>19</v>
      </c>
      <c r="G229" s="129">
        <v>0</v>
      </c>
      <c r="H229" s="130"/>
      <c r="I229" s="130"/>
      <c r="J229" s="130"/>
      <c r="K229" s="126"/>
    </row>
    <row r="230" spans="1:11" ht="30" customHeight="1" thickBot="1">
      <c r="A230" s="127" t="s">
        <v>20</v>
      </c>
      <c r="B230" s="132">
        <v>3000</v>
      </c>
      <c r="C230" s="130"/>
      <c r="D230" s="130"/>
      <c r="E230" s="130"/>
      <c r="F230" s="127" t="s">
        <v>20</v>
      </c>
      <c r="G230" s="133">
        <v>2700</v>
      </c>
      <c r="H230" s="130"/>
      <c r="I230" s="130"/>
      <c r="J230" s="130"/>
      <c r="K230" s="126"/>
    </row>
    <row r="231" spans="1:11" ht="30" customHeight="1">
      <c r="A231" s="127"/>
      <c r="B231" s="128">
        <f>SUM(B220:B230)/E2</f>
        <v>6.36</v>
      </c>
      <c r="C231" s="130"/>
      <c r="D231" s="130"/>
      <c r="E231" s="130"/>
      <c r="F231" s="127"/>
      <c r="G231" s="134">
        <f>SUM(G220:G230)/E2</f>
        <v>4.25</v>
      </c>
      <c r="H231" s="130"/>
      <c r="I231" s="130"/>
      <c r="J231" s="130"/>
      <c r="K231" s="126"/>
    </row>
    <row r="232" spans="1:11" ht="30" customHeight="1">
      <c r="A232" s="127"/>
      <c r="B232" s="126"/>
      <c r="C232" s="130"/>
      <c r="D232" s="130"/>
      <c r="E232" s="130"/>
      <c r="F232" s="127"/>
      <c r="G232" s="135"/>
      <c r="H232" s="130"/>
      <c r="I232" s="130"/>
      <c r="J232" s="130"/>
      <c r="K232" s="126"/>
    </row>
    <row r="233" spans="1:11" ht="45" customHeight="1">
      <c r="A233" s="136" t="s">
        <v>58</v>
      </c>
      <c r="B233" s="173" t="s">
        <v>15</v>
      </c>
      <c r="C233" s="173"/>
      <c r="D233" s="173"/>
      <c r="E233" s="173"/>
      <c r="F233" s="136" t="s">
        <v>52</v>
      </c>
      <c r="G233" s="173" t="s">
        <v>15</v>
      </c>
      <c r="H233" s="173"/>
      <c r="I233" s="173"/>
      <c r="J233" s="173"/>
      <c r="K233" s="173"/>
    </row>
    <row r="234" spans="1:11" ht="30" customHeight="1">
      <c r="A234" s="137" t="s">
        <v>53</v>
      </c>
      <c r="B234" s="138"/>
      <c r="C234" s="130" t="s">
        <v>47</v>
      </c>
      <c r="D234" s="130"/>
      <c r="E234" s="130"/>
      <c r="F234" s="137" t="s">
        <v>53</v>
      </c>
      <c r="G234" s="137"/>
      <c r="H234" s="130" t="s">
        <v>47</v>
      </c>
      <c r="I234" s="130"/>
      <c r="J234" s="130"/>
      <c r="K234" s="126"/>
    </row>
    <row r="235" spans="1:11" ht="30" customHeight="1">
      <c r="A235" s="127" t="s">
        <v>5</v>
      </c>
      <c r="B235" s="128">
        <f>0.8*2.6*E2</f>
        <v>8320</v>
      </c>
      <c r="C235" s="130"/>
      <c r="D235" s="130"/>
      <c r="E235" s="130"/>
      <c r="F235" s="127" t="s">
        <v>5</v>
      </c>
      <c r="G235" s="129">
        <f>0.8*1.07*E2</f>
        <v>3424.0000000000005</v>
      </c>
      <c r="H235" s="130"/>
      <c r="I235" s="130"/>
      <c r="J235" s="130"/>
      <c r="K235" s="126"/>
    </row>
    <row r="236" spans="1:11" ht="30" customHeight="1">
      <c r="A236" s="127" t="s">
        <v>7</v>
      </c>
      <c r="B236" s="128">
        <v>700</v>
      </c>
      <c r="C236" s="130"/>
      <c r="D236" s="130"/>
      <c r="E236" s="130"/>
      <c r="F236" s="127" t="s">
        <v>7</v>
      </c>
      <c r="G236" s="129">
        <v>700</v>
      </c>
      <c r="H236" s="130"/>
      <c r="I236" s="130"/>
      <c r="J236" s="130"/>
      <c r="K236" s="126"/>
    </row>
    <row r="237" spans="1:11" ht="30" customHeight="1">
      <c r="A237" s="127" t="s">
        <v>9</v>
      </c>
      <c r="B237" s="128">
        <v>2500</v>
      </c>
      <c r="C237" s="170" t="s">
        <v>71</v>
      </c>
      <c r="D237" s="170"/>
      <c r="E237" s="170"/>
      <c r="F237" s="127" t="s">
        <v>9</v>
      </c>
      <c r="G237" s="129">
        <v>1300</v>
      </c>
      <c r="H237" s="170" t="s">
        <v>68</v>
      </c>
      <c r="I237" s="170"/>
      <c r="J237" s="170"/>
      <c r="K237" s="128"/>
    </row>
    <row r="238" spans="1:11" ht="30" customHeight="1">
      <c r="A238" s="127" t="s">
        <v>69</v>
      </c>
      <c r="B238" s="128">
        <f>1*13000</f>
        <v>13000</v>
      </c>
      <c r="C238" s="131" t="s">
        <v>10</v>
      </c>
      <c r="D238" s="131" t="s">
        <v>11</v>
      </c>
      <c r="E238" s="131" t="s">
        <v>12</v>
      </c>
      <c r="F238" s="127" t="s">
        <v>69</v>
      </c>
      <c r="G238" s="129">
        <f>0.8*10000</f>
        <v>8000</v>
      </c>
      <c r="H238" s="131" t="s">
        <v>10</v>
      </c>
      <c r="I238" s="131" t="s">
        <v>11</v>
      </c>
      <c r="J238" s="131" t="s">
        <v>12</v>
      </c>
      <c r="K238" s="128"/>
    </row>
    <row r="239" spans="1:11" ht="30" customHeight="1">
      <c r="A239" s="127" t="s">
        <v>49</v>
      </c>
      <c r="B239" s="128">
        <v>2000</v>
      </c>
      <c r="C239" s="131">
        <f>C243</f>
        <v>12.40475</v>
      </c>
      <c r="D239" s="131">
        <f>D243</f>
        <v>14.97125</v>
      </c>
      <c r="E239" s="131">
        <f>E243</f>
        <v>17.024449999999998</v>
      </c>
      <c r="F239" s="127" t="s">
        <v>49</v>
      </c>
      <c r="G239" s="129">
        <v>0</v>
      </c>
      <c r="H239" s="131">
        <f>H244</f>
        <v>5.3760000000000003</v>
      </c>
      <c r="I239" s="131">
        <f>I244</f>
        <v>6.0927999999999995</v>
      </c>
      <c r="J239" s="131">
        <f>J244</f>
        <v>7.1321599999999998</v>
      </c>
      <c r="K239" s="128"/>
    </row>
    <row r="240" spans="1:11" ht="30" customHeight="1">
      <c r="A240" s="127" t="s">
        <v>29</v>
      </c>
      <c r="B240" s="128">
        <v>2000</v>
      </c>
      <c r="C240" s="130"/>
      <c r="D240" s="130"/>
      <c r="E240" s="130"/>
      <c r="F240" s="127" t="s">
        <v>29</v>
      </c>
      <c r="G240" s="129">
        <v>0</v>
      </c>
      <c r="H240" s="130"/>
      <c r="I240" s="130"/>
      <c r="J240" s="130"/>
      <c r="K240" s="128"/>
    </row>
    <row r="241" spans="1:11" ht="30" customHeight="1">
      <c r="A241" s="127" t="s">
        <v>14</v>
      </c>
      <c r="B241" s="128">
        <v>500</v>
      </c>
      <c r="C241" s="130"/>
      <c r="D241" s="130"/>
      <c r="E241" s="130"/>
      <c r="F241" s="127" t="s">
        <v>14</v>
      </c>
      <c r="G241" s="129">
        <v>132</v>
      </c>
      <c r="H241" s="130"/>
      <c r="I241" s="130"/>
      <c r="J241" s="130"/>
      <c r="K241" s="126"/>
    </row>
    <row r="242" spans="1:11" ht="30" customHeight="1">
      <c r="A242" s="127" t="s">
        <v>16</v>
      </c>
      <c r="B242" s="128">
        <v>100</v>
      </c>
      <c r="C242" s="130">
        <v>0.4</v>
      </c>
      <c r="D242" s="130">
        <v>0.55000000000000004</v>
      </c>
      <c r="E242" s="130">
        <v>0.85</v>
      </c>
      <c r="F242" s="127" t="s">
        <v>16</v>
      </c>
      <c r="G242" s="129">
        <v>530</v>
      </c>
      <c r="H242" s="130"/>
      <c r="I242" s="130"/>
      <c r="J242" s="130"/>
      <c r="K242" s="126"/>
    </row>
    <row r="243" spans="1:11" ht="30" customHeight="1">
      <c r="A243" s="127" t="s">
        <v>18</v>
      </c>
      <c r="B243" s="128">
        <v>750</v>
      </c>
      <c r="C243" s="130">
        <f>B246*1.45</f>
        <v>12.40475</v>
      </c>
      <c r="D243" s="130">
        <f>B246*1.75</f>
        <v>14.97125</v>
      </c>
      <c r="E243" s="130">
        <f>B246*1.99</f>
        <v>17.024449999999998</v>
      </c>
      <c r="F243" s="127" t="s">
        <v>18</v>
      </c>
      <c r="G243" s="129">
        <v>0</v>
      </c>
      <c r="H243" s="130">
        <v>0.4</v>
      </c>
      <c r="I243" s="130">
        <v>0.55000000000000004</v>
      </c>
      <c r="J243" s="130">
        <v>0.85</v>
      </c>
      <c r="K243" s="128"/>
    </row>
    <row r="244" spans="1:11" ht="30" customHeight="1">
      <c r="A244" s="127" t="s">
        <v>19</v>
      </c>
      <c r="B244" s="128">
        <v>350</v>
      </c>
      <c r="C244" s="130"/>
      <c r="D244" s="130"/>
      <c r="E244" s="130"/>
      <c r="F244" s="127" t="s">
        <v>19</v>
      </c>
      <c r="G244" s="129">
        <v>250</v>
      </c>
      <c r="H244" s="130">
        <f>G246*1.5</f>
        <v>5.3760000000000003</v>
      </c>
      <c r="I244" s="130">
        <f>G246*1.7</f>
        <v>6.0927999999999995</v>
      </c>
      <c r="J244" s="130">
        <f>G246*1.99</f>
        <v>7.1321599999999998</v>
      </c>
      <c r="K244" s="128"/>
    </row>
    <row r="245" spans="1:11" ht="30" customHeight="1" thickBot="1">
      <c r="A245" s="127" t="s">
        <v>20</v>
      </c>
      <c r="B245" s="132">
        <v>4000</v>
      </c>
      <c r="C245" s="130"/>
      <c r="D245" s="130"/>
      <c r="E245" s="130"/>
      <c r="F245" s="127" t="s">
        <v>20</v>
      </c>
      <c r="G245" s="133">
        <v>0</v>
      </c>
      <c r="H245" s="130"/>
      <c r="I245" s="130"/>
      <c r="J245" s="130"/>
      <c r="K245" s="126">
        <f>K246-K247</f>
        <v>458.49899999999991</v>
      </c>
    </row>
    <row r="246" spans="1:11" ht="30" customHeight="1">
      <c r="A246" s="127"/>
      <c r="B246" s="128">
        <f>SUM(B235:B245)/E2</f>
        <v>8.5549999999999997</v>
      </c>
      <c r="C246" s="130"/>
      <c r="D246" s="130"/>
      <c r="E246" s="130"/>
      <c r="F246" s="127"/>
      <c r="G246" s="134">
        <f>SUM(G235:G245)/E2</f>
        <v>3.5840000000000001</v>
      </c>
      <c r="H246" s="130">
        <f>22000-13000</f>
        <v>9000</v>
      </c>
      <c r="I246" s="130">
        <f>9000/3800</f>
        <v>2.3684210526315788</v>
      </c>
      <c r="J246" s="130">
        <f>2.37*1109</f>
        <v>2628.33</v>
      </c>
      <c r="K246" s="126">
        <f>J246*30%</f>
        <v>788.49899999999991</v>
      </c>
    </row>
    <row r="247" spans="1:11" ht="30" customHeight="1">
      <c r="A247" s="127"/>
      <c r="B247" s="126"/>
      <c r="C247" s="130"/>
      <c r="D247" s="130"/>
      <c r="E247" s="130"/>
      <c r="F247" s="127"/>
      <c r="G247" s="135"/>
      <c r="H247" s="130"/>
      <c r="I247" s="130"/>
      <c r="J247" s="130"/>
      <c r="K247" s="126">
        <f>330</f>
        <v>330</v>
      </c>
    </row>
    <row r="248" spans="1:11" ht="48.75" customHeight="1">
      <c r="A248" s="136" t="s">
        <v>58</v>
      </c>
      <c r="B248" s="171" t="s">
        <v>15</v>
      </c>
      <c r="C248" s="171"/>
      <c r="D248" s="171"/>
      <c r="E248" s="171"/>
      <c r="F248" s="136" t="s">
        <v>52</v>
      </c>
      <c r="G248" s="139" t="s">
        <v>15</v>
      </c>
      <c r="H248" s="139"/>
      <c r="I248" s="139"/>
      <c r="J248" s="139"/>
      <c r="K248" s="139"/>
    </row>
    <row r="249" spans="1:11" ht="30" customHeight="1">
      <c r="A249" s="137" t="s">
        <v>63</v>
      </c>
      <c r="B249" s="138"/>
      <c r="C249" s="130" t="s">
        <v>47</v>
      </c>
      <c r="D249" s="130"/>
      <c r="E249" s="130"/>
      <c r="F249" s="137" t="s">
        <v>63</v>
      </c>
      <c r="G249" s="137"/>
      <c r="H249" s="130" t="s">
        <v>47</v>
      </c>
      <c r="I249" s="130"/>
      <c r="J249" s="130"/>
      <c r="K249" s="126"/>
    </row>
    <row r="250" spans="1:11" ht="30" customHeight="1">
      <c r="A250" s="127" t="s">
        <v>5</v>
      </c>
      <c r="B250" s="128">
        <f>0.8*2*E2</f>
        <v>6400</v>
      </c>
      <c r="C250" s="130"/>
      <c r="D250" s="130"/>
      <c r="E250" s="130"/>
      <c r="F250" s="127" t="s">
        <v>5</v>
      </c>
      <c r="G250" s="128">
        <f>0.8*1.8*E2</f>
        <v>5760.0000000000009</v>
      </c>
      <c r="H250" s="130"/>
      <c r="I250" s="130"/>
      <c r="J250" s="130"/>
      <c r="K250" s="126"/>
    </row>
    <row r="251" spans="1:11" ht="30" customHeight="1">
      <c r="A251" s="127" t="s">
        <v>7</v>
      </c>
      <c r="B251" s="128">
        <v>700</v>
      </c>
      <c r="C251" s="130"/>
      <c r="D251" s="130"/>
      <c r="E251" s="130"/>
      <c r="F251" s="127" t="s">
        <v>7</v>
      </c>
      <c r="G251" s="129">
        <v>1400</v>
      </c>
      <c r="H251" s="130"/>
      <c r="I251" s="130"/>
      <c r="J251" s="130"/>
      <c r="K251" s="126"/>
    </row>
    <row r="252" spans="1:11" ht="30" customHeight="1">
      <c r="A252" s="127" t="s">
        <v>9</v>
      </c>
      <c r="B252" s="128">
        <v>2500</v>
      </c>
      <c r="C252" s="170" t="s">
        <v>58</v>
      </c>
      <c r="D252" s="170"/>
      <c r="E252" s="170"/>
      <c r="F252" s="127" t="s">
        <v>9</v>
      </c>
      <c r="G252" s="129">
        <v>3500</v>
      </c>
      <c r="H252" s="170" t="s">
        <v>74</v>
      </c>
      <c r="I252" s="170"/>
      <c r="J252" s="170"/>
      <c r="K252" s="128"/>
    </row>
    <row r="253" spans="1:11" ht="30" customHeight="1">
      <c r="A253" s="127" t="s">
        <v>69</v>
      </c>
      <c r="B253" s="128">
        <f>12000/2</f>
        <v>6000</v>
      </c>
      <c r="C253" s="131" t="s">
        <v>10</v>
      </c>
      <c r="D253" s="131" t="s">
        <v>11</v>
      </c>
      <c r="E253" s="131" t="s">
        <v>12</v>
      </c>
      <c r="F253" s="127" t="s">
        <v>69</v>
      </c>
      <c r="G253" s="129">
        <f>8500*1</f>
        <v>8500</v>
      </c>
      <c r="H253" s="131" t="s">
        <v>10</v>
      </c>
      <c r="I253" s="131" t="s">
        <v>11</v>
      </c>
      <c r="J253" s="131" t="s">
        <v>12</v>
      </c>
      <c r="K253" s="128"/>
    </row>
    <row r="254" spans="1:11" ht="30" customHeight="1">
      <c r="A254" s="127" t="s">
        <v>49</v>
      </c>
      <c r="B254" s="128">
        <v>2000</v>
      </c>
      <c r="C254" s="131">
        <f>C258</f>
        <v>7.5286249999999999</v>
      </c>
      <c r="D254" s="131">
        <f>D258</f>
        <v>9.266</v>
      </c>
      <c r="E254" s="131">
        <f>E258</f>
        <v>11.003374999999998</v>
      </c>
      <c r="F254" s="127" t="s">
        <v>49</v>
      </c>
      <c r="G254" s="129">
        <v>1000</v>
      </c>
      <c r="H254" s="131">
        <f>H258</f>
        <v>9.3484999999999996</v>
      </c>
      <c r="I254" s="131">
        <f>I258</f>
        <v>11.017875</v>
      </c>
      <c r="J254" s="131">
        <f>J258</f>
        <v>12.353375000000002</v>
      </c>
      <c r="K254" s="128"/>
    </row>
    <row r="255" spans="1:11" ht="30" customHeight="1">
      <c r="A255" s="127" t="s">
        <v>29</v>
      </c>
      <c r="B255" s="128">
        <f>3*500</f>
        <v>1500</v>
      </c>
      <c r="C255" s="130"/>
      <c r="D255" s="130"/>
      <c r="E255" s="130"/>
      <c r="F255" s="127" t="s">
        <v>29</v>
      </c>
      <c r="G255" s="129">
        <v>2000</v>
      </c>
      <c r="H255" s="130"/>
      <c r="I255" s="130"/>
      <c r="J255" s="130"/>
      <c r="K255" s="128"/>
    </row>
    <row r="256" spans="1:11" ht="30" customHeight="1">
      <c r="A256" s="127" t="s">
        <v>14</v>
      </c>
      <c r="B256" s="128">
        <v>65</v>
      </c>
      <c r="C256" s="130"/>
      <c r="D256" s="130"/>
      <c r="E256" s="130"/>
      <c r="F256" s="127" t="s">
        <v>14</v>
      </c>
      <c r="G256" s="129">
        <v>50</v>
      </c>
      <c r="H256" s="130"/>
      <c r="I256" s="130"/>
      <c r="J256" s="130"/>
      <c r="K256" s="126"/>
    </row>
    <row r="257" spans="1:11" ht="30" customHeight="1">
      <c r="A257" s="127" t="s">
        <v>16</v>
      </c>
      <c r="B257" s="128">
        <v>0</v>
      </c>
      <c r="C257" s="130">
        <v>0.4</v>
      </c>
      <c r="D257" s="130">
        <v>0.55000000000000004</v>
      </c>
      <c r="E257" s="130">
        <v>0.85</v>
      </c>
      <c r="F257" s="127" t="s">
        <v>75</v>
      </c>
      <c r="G257" s="129">
        <v>500</v>
      </c>
      <c r="H257" s="130">
        <v>0.4</v>
      </c>
      <c r="I257" s="130">
        <v>0.55000000000000004</v>
      </c>
      <c r="J257" s="130">
        <v>0.85</v>
      </c>
      <c r="K257" s="126"/>
    </row>
    <row r="258" spans="1:11" ht="30" customHeight="1">
      <c r="A258" s="127" t="s">
        <v>18</v>
      </c>
      <c r="B258" s="128">
        <v>50</v>
      </c>
      <c r="C258" s="130">
        <f>B261*1.3</f>
        <v>7.5286249999999999</v>
      </c>
      <c r="D258" s="130">
        <f>B261*1.6</f>
        <v>9.266</v>
      </c>
      <c r="E258" s="130">
        <f>B261*1.9</f>
        <v>11.003374999999998</v>
      </c>
      <c r="F258" s="127" t="s">
        <v>33</v>
      </c>
      <c r="G258" s="129">
        <v>50</v>
      </c>
      <c r="H258" s="130">
        <f>G261*1.4</f>
        <v>9.3484999999999996</v>
      </c>
      <c r="I258" s="130">
        <f>G261*1.65</f>
        <v>11.017875</v>
      </c>
      <c r="J258" s="130">
        <f>G261*1.85</f>
        <v>12.353375000000002</v>
      </c>
      <c r="K258" s="128"/>
    </row>
    <row r="259" spans="1:11" ht="30" customHeight="1">
      <c r="A259" s="127" t="s">
        <v>19</v>
      </c>
      <c r="B259" s="128">
        <v>250</v>
      </c>
      <c r="C259" s="130"/>
      <c r="D259" s="130"/>
      <c r="E259" s="130"/>
      <c r="F259" s="127" t="s">
        <v>19</v>
      </c>
      <c r="G259" s="129">
        <v>250</v>
      </c>
      <c r="H259" s="130"/>
      <c r="I259" s="130"/>
      <c r="J259" s="130"/>
      <c r="K259" s="128"/>
    </row>
    <row r="260" spans="1:11" ht="30" customHeight="1" thickBot="1">
      <c r="A260" s="127" t="s">
        <v>20</v>
      </c>
      <c r="B260" s="132">
        <v>3700</v>
      </c>
      <c r="C260" s="130">
        <f>4*12*C261</f>
        <v>83.394000000000005</v>
      </c>
      <c r="D260" s="130"/>
      <c r="E260" s="130"/>
      <c r="F260" s="127" t="s">
        <v>20</v>
      </c>
      <c r="G260" s="133">
        <v>3700</v>
      </c>
      <c r="H260" s="130">
        <f>H258-G261</f>
        <v>2.6709999999999994</v>
      </c>
      <c r="I260" s="130"/>
      <c r="J260" s="130"/>
      <c r="K260" s="126"/>
    </row>
    <row r="261" spans="1:11" ht="30" customHeight="1">
      <c r="A261" s="127"/>
      <c r="B261" s="128">
        <f>SUM(B250:B260)/E2</f>
        <v>5.7912499999999998</v>
      </c>
      <c r="C261" s="130">
        <f>C258-B261</f>
        <v>1.7373750000000001</v>
      </c>
      <c r="D261" s="130"/>
      <c r="E261" s="130"/>
      <c r="F261" s="127"/>
      <c r="G261" s="134">
        <f>SUM(G250:G260)/E2</f>
        <v>6.6775000000000002</v>
      </c>
      <c r="H261" s="130">
        <f>H260*40</f>
        <v>106.83999999999997</v>
      </c>
      <c r="I261" s="130"/>
      <c r="J261" s="130"/>
      <c r="K261" s="126"/>
    </row>
    <row r="262" spans="1:11" ht="30" customHeight="1"/>
    <row r="263" spans="1:11" ht="30" customHeight="1">
      <c r="F263" s="140"/>
    </row>
    <row r="264" spans="1:11" ht="30" customHeight="1">
      <c r="A264" s="164" t="s">
        <v>74</v>
      </c>
      <c r="B264" s="164"/>
      <c r="C264" s="168"/>
      <c r="D264" s="168"/>
      <c r="E264" s="168"/>
      <c r="F264" s="164" t="s">
        <v>74</v>
      </c>
      <c r="G264" s="164"/>
      <c r="H264" s="158" t="s">
        <v>76</v>
      </c>
      <c r="I264" s="158"/>
      <c r="J264" s="158"/>
      <c r="K264" s="141"/>
    </row>
    <row r="265" spans="1:11" ht="30" customHeight="1">
      <c r="A265" s="166" t="s">
        <v>53</v>
      </c>
      <c r="B265" s="166"/>
      <c r="C265" s="142" t="s">
        <v>77</v>
      </c>
      <c r="D265" s="142"/>
      <c r="E265" s="142"/>
      <c r="F265" s="143" t="s">
        <v>60</v>
      </c>
      <c r="G265" s="143"/>
      <c r="H265" s="158" t="s">
        <v>77</v>
      </c>
      <c r="I265" s="158"/>
      <c r="J265" s="158"/>
      <c r="K265" s="144"/>
    </row>
    <row r="266" spans="1:11" ht="30" customHeight="1">
      <c r="A266" s="145" t="s">
        <v>5</v>
      </c>
      <c r="B266" s="146">
        <f>0.8*1.8*E140</f>
        <v>6480.0000000000009</v>
      </c>
      <c r="C266" s="158"/>
      <c r="D266" s="158"/>
      <c r="E266" s="158"/>
      <c r="F266" s="145" t="s">
        <v>5</v>
      </c>
      <c r="G266" s="147">
        <f>0.6*1.8*E2</f>
        <v>4320</v>
      </c>
      <c r="H266" s="158"/>
      <c r="I266" s="158"/>
      <c r="J266" s="158"/>
      <c r="K266" s="144"/>
    </row>
    <row r="267" spans="1:11" ht="30" customHeight="1">
      <c r="A267" s="145" t="s">
        <v>7</v>
      </c>
      <c r="B267" s="146">
        <v>1000</v>
      </c>
      <c r="C267" s="158"/>
      <c r="D267" s="158"/>
      <c r="E267" s="158"/>
      <c r="F267" s="145" t="s">
        <v>7</v>
      </c>
      <c r="G267" s="147">
        <v>1000</v>
      </c>
      <c r="H267" s="158"/>
      <c r="I267" s="158"/>
      <c r="J267" s="158"/>
      <c r="K267" s="144"/>
    </row>
    <row r="268" spans="1:11" ht="30" customHeight="1">
      <c r="A268" s="145" t="s">
        <v>9</v>
      </c>
      <c r="B268" s="146">
        <v>2500</v>
      </c>
      <c r="C268" s="158"/>
      <c r="D268" s="158"/>
      <c r="E268" s="158"/>
      <c r="F268" s="145" t="s">
        <v>9</v>
      </c>
      <c r="G268" s="147">
        <v>2500</v>
      </c>
      <c r="H268" s="158"/>
      <c r="I268" s="158" t="s">
        <v>78</v>
      </c>
      <c r="J268" s="158"/>
      <c r="K268" s="144"/>
    </row>
    <row r="269" spans="1:11" ht="30" customHeight="1">
      <c r="A269" s="145" t="s">
        <v>29</v>
      </c>
      <c r="B269" s="146">
        <v>1000</v>
      </c>
      <c r="C269" s="158"/>
      <c r="D269" s="158" t="s">
        <v>79</v>
      </c>
      <c r="E269" s="158"/>
      <c r="F269" s="145" t="s">
        <v>29</v>
      </c>
      <c r="G269" s="147">
        <v>1000</v>
      </c>
      <c r="H269" s="148" t="s">
        <v>10</v>
      </c>
      <c r="I269" s="148" t="s">
        <v>11</v>
      </c>
      <c r="J269" s="148" t="s">
        <v>12</v>
      </c>
      <c r="K269" s="146"/>
    </row>
    <row r="270" spans="1:11" ht="30" customHeight="1">
      <c r="A270" s="145" t="s">
        <v>80</v>
      </c>
      <c r="B270" s="146">
        <v>4000</v>
      </c>
      <c r="C270" s="148" t="s">
        <v>10</v>
      </c>
      <c r="D270" s="148" t="s">
        <v>11</v>
      </c>
      <c r="E270" s="148" t="s">
        <v>12</v>
      </c>
      <c r="F270" s="145" t="s">
        <v>81</v>
      </c>
      <c r="G270" s="147">
        <v>4000</v>
      </c>
      <c r="H270" s="148">
        <f>H274</f>
        <v>7.4384999999999994</v>
      </c>
      <c r="I270" s="148">
        <f>I274</f>
        <v>8.9774999999999991</v>
      </c>
      <c r="J270" s="148">
        <f>J274</f>
        <v>10.2087</v>
      </c>
      <c r="K270" s="146"/>
    </row>
    <row r="271" spans="1:11" ht="30" customHeight="1">
      <c r="A271" s="145" t="s">
        <v>49</v>
      </c>
      <c r="B271" s="146">
        <v>2000</v>
      </c>
      <c r="C271" s="148">
        <f>C275</f>
        <v>8.2214999999999989</v>
      </c>
      <c r="D271" s="148">
        <f>D275</f>
        <v>9.9224999999999994</v>
      </c>
      <c r="E271" s="148">
        <f>E275</f>
        <v>11.283300000000001</v>
      </c>
      <c r="F271" s="145" t="s">
        <v>49</v>
      </c>
      <c r="G271" s="147">
        <v>2000</v>
      </c>
      <c r="H271" s="158"/>
      <c r="I271" s="158"/>
      <c r="J271" s="158"/>
      <c r="K271" s="149"/>
    </row>
    <row r="272" spans="1:11" ht="30" customHeight="1">
      <c r="A272" s="145" t="s">
        <v>31</v>
      </c>
      <c r="B272" s="146">
        <v>200</v>
      </c>
      <c r="C272" s="158"/>
      <c r="D272" s="158"/>
      <c r="E272" s="158"/>
      <c r="F272" s="145" t="s">
        <v>31</v>
      </c>
      <c r="G272" s="147">
        <v>200</v>
      </c>
      <c r="H272" s="158"/>
      <c r="I272" s="158" t="s">
        <v>82</v>
      </c>
      <c r="J272" s="158"/>
      <c r="K272" s="149"/>
    </row>
    <row r="273" spans="1:11" ht="30" customHeight="1">
      <c r="A273" s="145" t="s">
        <v>32</v>
      </c>
      <c r="B273" s="146">
        <v>200</v>
      </c>
      <c r="C273" s="158"/>
      <c r="D273" s="158" t="s">
        <v>82</v>
      </c>
      <c r="E273" s="158"/>
      <c r="F273" s="145" t="s">
        <v>32</v>
      </c>
      <c r="G273" s="147">
        <v>200</v>
      </c>
      <c r="H273" s="158">
        <v>0.4</v>
      </c>
      <c r="I273" s="158">
        <v>0.55000000000000004</v>
      </c>
      <c r="J273" s="158">
        <v>0.85</v>
      </c>
      <c r="K273" s="149"/>
    </row>
    <row r="274" spans="1:11" ht="30" customHeight="1">
      <c r="A274" s="145" t="s">
        <v>14</v>
      </c>
      <c r="B274" s="146">
        <v>200</v>
      </c>
      <c r="C274" s="158">
        <v>0.4</v>
      </c>
      <c r="D274" s="158">
        <v>0.55000000000000004</v>
      </c>
      <c r="E274" s="158">
        <v>0.85</v>
      </c>
      <c r="F274" s="145" t="s">
        <v>14</v>
      </c>
      <c r="G274" s="147">
        <v>200</v>
      </c>
      <c r="H274" s="158">
        <f>G279*1.45</f>
        <v>7.4384999999999994</v>
      </c>
      <c r="I274" s="158">
        <f>G279*1.75</f>
        <v>8.9774999999999991</v>
      </c>
      <c r="J274" s="158">
        <f>G279*1.99</f>
        <v>10.2087</v>
      </c>
      <c r="K274" s="149"/>
    </row>
    <row r="275" spans="1:11" ht="30" customHeight="1">
      <c r="A275" s="145" t="s">
        <v>16</v>
      </c>
      <c r="B275" s="146">
        <v>100</v>
      </c>
      <c r="C275" s="158">
        <f>B279*1.45</f>
        <v>8.2214999999999989</v>
      </c>
      <c r="D275" s="158">
        <f>B279*1.75</f>
        <v>9.9224999999999994</v>
      </c>
      <c r="E275" s="158">
        <f>B279*1.99</f>
        <v>11.283300000000001</v>
      </c>
      <c r="F275" s="145" t="s">
        <v>16</v>
      </c>
      <c r="G275" s="147">
        <v>100</v>
      </c>
      <c r="H275" s="158"/>
      <c r="I275" s="158"/>
      <c r="J275" s="158"/>
      <c r="K275" s="144"/>
    </row>
    <row r="276" spans="1:11" ht="30" customHeight="1">
      <c r="A276" s="145" t="s">
        <v>19</v>
      </c>
      <c r="B276" s="146">
        <v>250</v>
      </c>
      <c r="C276" s="158"/>
      <c r="D276" s="158"/>
      <c r="E276" s="158"/>
      <c r="F276" s="145" t="s">
        <v>19</v>
      </c>
      <c r="G276" s="147">
        <v>250</v>
      </c>
      <c r="H276" s="158"/>
      <c r="I276" s="158"/>
      <c r="J276" s="158"/>
      <c r="K276" s="144"/>
    </row>
    <row r="277" spans="1:11" ht="30" customHeight="1">
      <c r="A277" s="145" t="s">
        <v>33</v>
      </c>
      <c r="B277" s="146">
        <v>750</v>
      </c>
      <c r="C277" s="158"/>
      <c r="D277" s="158"/>
      <c r="E277" s="158"/>
      <c r="F277" s="145" t="s">
        <v>33</v>
      </c>
      <c r="G277" s="147">
        <v>750</v>
      </c>
      <c r="H277" s="158"/>
      <c r="I277" s="158"/>
      <c r="J277" s="158"/>
      <c r="K277" s="144"/>
    </row>
    <row r="278" spans="1:11" ht="30" customHeight="1" thickBot="1">
      <c r="A278" s="145" t="s">
        <v>20</v>
      </c>
      <c r="B278" s="150">
        <v>4000</v>
      </c>
      <c r="C278" s="158"/>
      <c r="D278" s="158"/>
      <c r="E278" s="158"/>
      <c r="F278" s="145" t="s">
        <v>20</v>
      </c>
      <c r="G278" s="151">
        <v>4000</v>
      </c>
      <c r="H278" s="158"/>
      <c r="I278" s="158"/>
      <c r="J278" s="158"/>
      <c r="K278" s="144"/>
    </row>
    <row r="279" spans="1:11" ht="30" customHeight="1">
      <c r="A279" s="145"/>
      <c r="B279" s="146">
        <f>SUM(B266:B278)/E2</f>
        <v>5.67</v>
      </c>
      <c r="C279" s="158"/>
      <c r="D279" s="158"/>
      <c r="E279" s="158"/>
      <c r="F279" s="145"/>
      <c r="G279" s="152">
        <f>SUM(G266:G278)/E2</f>
        <v>5.13</v>
      </c>
      <c r="H279" s="158"/>
      <c r="I279" s="158"/>
      <c r="J279" s="158"/>
      <c r="K279" s="144"/>
    </row>
    <row r="280" spans="1:11" ht="30" customHeight="1">
      <c r="A280" s="145"/>
      <c r="B280" s="146"/>
      <c r="C280" s="158"/>
      <c r="D280" s="158"/>
      <c r="E280" s="158"/>
      <c r="F280" s="145"/>
      <c r="G280" s="147"/>
      <c r="H280" s="158"/>
      <c r="I280" s="158"/>
      <c r="J280" s="158"/>
      <c r="K280" s="144"/>
    </row>
    <row r="281" spans="1:11" ht="30" customHeight="1">
      <c r="A281" s="145"/>
      <c r="B281" s="144"/>
      <c r="C281" s="158"/>
      <c r="D281" s="158"/>
      <c r="E281" s="158"/>
      <c r="F281" s="145"/>
      <c r="G281" s="147"/>
      <c r="H281" s="158"/>
      <c r="I281" s="158"/>
      <c r="J281" s="158"/>
      <c r="K281" s="144"/>
    </row>
    <row r="282" spans="1:11" ht="47.25" customHeight="1">
      <c r="A282" s="153"/>
      <c r="B282" s="169" t="s">
        <v>17</v>
      </c>
      <c r="C282" s="169"/>
      <c r="D282" s="169"/>
      <c r="E282" s="169"/>
      <c r="F282" s="169" t="s">
        <v>76</v>
      </c>
      <c r="G282" s="169"/>
      <c r="H282" s="169"/>
      <c r="I282" s="169"/>
      <c r="J282" s="169"/>
      <c r="K282" s="144"/>
    </row>
    <row r="283" spans="1:11" ht="30" customHeight="1">
      <c r="A283" s="162" t="s">
        <v>3</v>
      </c>
      <c r="B283" s="162"/>
      <c r="C283" s="154" t="s">
        <v>77</v>
      </c>
      <c r="D283" s="154"/>
      <c r="E283" s="154"/>
      <c r="F283" s="155" t="s">
        <v>34</v>
      </c>
      <c r="G283" s="155"/>
      <c r="H283" s="158" t="s">
        <v>77</v>
      </c>
      <c r="I283" s="158"/>
      <c r="J283" s="158"/>
      <c r="K283" s="156"/>
    </row>
    <row r="284" spans="1:11" ht="30" customHeight="1">
      <c r="A284" s="145" t="s">
        <v>5</v>
      </c>
      <c r="B284" s="146">
        <f>0.8*2.8*E140</f>
        <v>10079.999999999998</v>
      </c>
      <c r="C284" s="158"/>
      <c r="D284" s="158"/>
      <c r="E284" s="158"/>
      <c r="F284" s="145" t="s">
        <v>5</v>
      </c>
      <c r="G284" s="147">
        <f>0.6*3*E2</f>
        <v>7199.9999999999991</v>
      </c>
      <c r="H284" s="158"/>
      <c r="I284" s="158"/>
      <c r="J284" s="158"/>
      <c r="K284" s="157"/>
    </row>
    <row r="285" spans="1:11" ht="30" customHeight="1">
      <c r="A285" s="145" t="s">
        <v>7</v>
      </c>
      <c r="B285" s="146">
        <v>500</v>
      </c>
      <c r="C285" s="163" t="s">
        <v>83</v>
      </c>
      <c r="D285" s="163"/>
      <c r="E285" s="163"/>
      <c r="F285" s="145" t="s">
        <v>7</v>
      </c>
      <c r="G285" s="147">
        <v>1000</v>
      </c>
      <c r="H285" s="158"/>
      <c r="I285" s="158"/>
      <c r="J285" s="158"/>
      <c r="K285" s="144"/>
    </row>
    <row r="286" spans="1:11" ht="30" customHeight="1">
      <c r="A286" s="145" t="s">
        <v>9</v>
      </c>
      <c r="B286" s="146">
        <v>2500</v>
      </c>
      <c r="C286" s="148" t="s">
        <v>10</v>
      </c>
      <c r="D286" s="148" t="s">
        <v>11</v>
      </c>
      <c r="E286" s="148" t="s">
        <v>12</v>
      </c>
      <c r="F286" s="145" t="s">
        <v>9</v>
      </c>
      <c r="G286" s="147">
        <v>2500</v>
      </c>
      <c r="H286" s="158" t="s">
        <v>84</v>
      </c>
      <c r="I286" s="158"/>
      <c r="J286" s="158"/>
      <c r="K286" s="144"/>
    </row>
    <row r="287" spans="1:11" ht="30" customHeight="1">
      <c r="A287" s="145" t="s">
        <v>29</v>
      </c>
      <c r="B287" s="146">
        <v>1000</v>
      </c>
      <c r="C287" s="148">
        <f>C291</f>
        <v>8.6202500000000004</v>
      </c>
      <c r="D287" s="148">
        <f>D291</f>
        <v>9.5120000000000005</v>
      </c>
      <c r="E287" s="148">
        <f>E291</f>
        <v>11.830550000000001</v>
      </c>
      <c r="F287" s="145" t="s">
        <v>29</v>
      </c>
      <c r="G287" s="147">
        <v>1000</v>
      </c>
      <c r="H287" s="148" t="s">
        <v>10</v>
      </c>
      <c r="I287" s="148" t="s">
        <v>11</v>
      </c>
      <c r="J287" s="148" t="s">
        <v>12</v>
      </c>
      <c r="K287" s="144"/>
    </row>
    <row r="288" spans="1:11" ht="30" customHeight="1">
      <c r="A288" s="145" t="s">
        <v>80</v>
      </c>
      <c r="B288" s="146">
        <f>B270</f>
        <v>4000</v>
      </c>
      <c r="C288" s="158"/>
      <c r="D288" s="158"/>
      <c r="E288" s="158"/>
      <c r="F288" s="145" t="s">
        <v>81</v>
      </c>
      <c r="G288" s="147">
        <f>G270</f>
        <v>4000</v>
      </c>
      <c r="H288" s="148">
        <f>H292</f>
        <v>8.4824999999999999</v>
      </c>
      <c r="I288" s="148">
        <f>I292</f>
        <v>10.237499999999999</v>
      </c>
      <c r="J288" s="148">
        <f>J292</f>
        <v>11.641499999999999</v>
      </c>
      <c r="K288" s="144"/>
    </row>
    <row r="289" spans="1:11" ht="30" customHeight="1">
      <c r="A289" s="145" t="s">
        <v>49</v>
      </c>
      <c r="B289" s="146">
        <v>0</v>
      </c>
      <c r="C289" s="158"/>
      <c r="D289" s="158"/>
      <c r="E289" s="158"/>
      <c r="F289" s="145" t="s">
        <v>49</v>
      </c>
      <c r="G289" s="147">
        <f>G271</f>
        <v>2000</v>
      </c>
      <c r="H289" s="158"/>
      <c r="I289" s="158"/>
      <c r="J289" s="158"/>
      <c r="K289" s="144"/>
    </row>
    <row r="290" spans="1:11" ht="30" customHeight="1">
      <c r="A290" s="145" t="s">
        <v>31</v>
      </c>
      <c r="B290" s="146">
        <f>B272</f>
        <v>200</v>
      </c>
      <c r="C290" s="158">
        <v>0.4</v>
      </c>
      <c r="D290" s="158">
        <v>0.55000000000000004</v>
      </c>
      <c r="E290" s="158">
        <v>0.85</v>
      </c>
      <c r="F290" s="145" t="s">
        <v>31</v>
      </c>
      <c r="G290" s="147">
        <f>G272</f>
        <v>200</v>
      </c>
      <c r="H290" s="158"/>
      <c r="I290" s="158"/>
      <c r="J290" s="158"/>
      <c r="K290" s="149"/>
    </row>
    <row r="291" spans="1:11" ht="30" customHeight="1">
      <c r="A291" s="145" t="s">
        <v>32</v>
      </c>
      <c r="B291" s="146">
        <f>B273</f>
        <v>200</v>
      </c>
      <c r="C291" s="158">
        <f>B297*1.45</f>
        <v>8.6202500000000004</v>
      </c>
      <c r="D291" s="158">
        <f>B297*1.6</f>
        <v>9.5120000000000005</v>
      </c>
      <c r="E291" s="158">
        <f>B297*1.99</f>
        <v>11.830550000000001</v>
      </c>
      <c r="F291" s="145" t="s">
        <v>32</v>
      </c>
      <c r="G291" s="147">
        <f>G273</f>
        <v>200</v>
      </c>
      <c r="H291" s="158">
        <v>0.4</v>
      </c>
      <c r="I291" s="158">
        <v>0.55000000000000004</v>
      </c>
      <c r="J291" s="158">
        <v>0.85</v>
      </c>
      <c r="K291" s="149"/>
    </row>
    <row r="292" spans="1:11" ht="30" customHeight="1">
      <c r="A292" s="145" t="s">
        <v>14</v>
      </c>
      <c r="B292" s="146">
        <v>200</v>
      </c>
      <c r="C292" s="158"/>
      <c r="D292" s="158"/>
      <c r="E292" s="158"/>
      <c r="F292" s="145" t="s">
        <v>14</v>
      </c>
      <c r="G292" s="147">
        <v>200</v>
      </c>
      <c r="H292" s="158">
        <f>G297*1.45</f>
        <v>8.4824999999999999</v>
      </c>
      <c r="I292" s="158">
        <f>G297*1.75</f>
        <v>10.237499999999999</v>
      </c>
      <c r="J292" s="158">
        <f>G297*1.99</f>
        <v>11.641499999999999</v>
      </c>
      <c r="K292" s="149"/>
    </row>
    <row r="293" spans="1:11" ht="30" customHeight="1">
      <c r="A293" s="145" t="s">
        <v>16</v>
      </c>
      <c r="B293" s="146">
        <v>100</v>
      </c>
      <c r="C293" s="158"/>
      <c r="D293" s="158"/>
      <c r="E293" s="158"/>
      <c r="F293" s="145" t="s">
        <v>16</v>
      </c>
      <c r="G293" s="147">
        <v>100</v>
      </c>
      <c r="H293" s="158"/>
      <c r="I293" s="158"/>
      <c r="J293" s="158"/>
      <c r="K293" s="149"/>
    </row>
    <row r="294" spans="1:11" ht="30" customHeight="1">
      <c r="A294" s="145" t="s">
        <v>19</v>
      </c>
      <c r="B294" s="146">
        <f t="shared" ref="B294:B296" si="0">B276</f>
        <v>250</v>
      </c>
      <c r="C294" s="158"/>
      <c r="D294" s="158"/>
      <c r="E294" s="158"/>
      <c r="F294" s="145" t="s">
        <v>19</v>
      </c>
      <c r="G294" s="147">
        <f>G276</f>
        <v>250</v>
      </c>
      <c r="H294" s="158"/>
      <c r="I294" s="158"/>
      <c r="J294" s="158"/>
      <c r="K294" s="144"/>
    </row>
    <row r="295" spans="1:11" ht="30" customHeight="1">
      <c r="A295" s="145" t="s">
        <v>33</v>
      </c>
      <c r="B295" s="146">
        <f t="shared" si="0"/>
        <v>750</v>
      </c>
      <c r="C295" s="158"/>
      <c r="D295" s="158"/>
      <c r="E295" s="158"/>
      <c r="F295" s="145" t="s">
        <v>33</v>
      </c>
      <c r="G295" s="147">
        <f>G277</f>
        <v>750</v>
      </c>
      <c r="H295" s="158"/>
      <c r="I295" s="158"/>
      <c r="J295" s="158"/>
      <c r="K295" s="144"/>
    </row>
    <row r="296" spans="1:11" ht="30" customHeight="1" thickBot="1">
      <c r="A296" s="145" t="s">
        <v>20</v>
      </c>
      <c r="B296" s="150">
        <f t="shared" si="0"/>
        <v>4000</v>
      </c>
      <c r="C296" s="158"/>
      <c r="D296" s="158"/>
      <c r="E296" s="158"/>
      <c r="F296" s="145" t="s">
        <v>20</v>
      </c>
      <c r="G296" s="151">
        <f>G278</f>
        <v>4000</v>
      </c>
      <c r="H296" s="158"/>
      <c r="I296" s="158"/>
      <c r="J296" s="158"/>
      <c r="K296" s="144"/>
    </row>
    <row r="297" spans="1:11" ht="30" customHeight="1">
      <c r="A297" s="145"/>
      <c r="B297" s="146">
        <f>SUM(B284:B296)/E2</f>
        <v>5.9450000000000003</v>
      </c>
      <c r="C297" s="158"/>
      <c r="D297" s="158"/>
      <c r="E297" s="158"/>
      <c r="F297" s="145"/>
      <c r="G297" s="152">
        <f>SUM(G284:G296)/E2</f>
        <v>5.85</v>
      </c>
      <c r="H297" s="158"/>
      <c r="I297" s="158"/>
      <c r="J297" s="158"/>
      <c r="K297" s="144"/>
    </row>
    <row r="298" spans="1:11" ht="30" customHeight="1">
      <c r="A298" s="145"/>
      <c r="B298" s="146"/>
      <c r="C298" s="158"/>
      <c r="D298" s="158"/>
      <c r="E298" s="158"/>
      <c r="F298" s="145"/>
      <c r="G298" s="159"/>
      <c r="H298" s="158"/>
      <c r="I298" s="158"/>
      <c r="J298" s="158"/>
      <c r="K298" s="144"/>
    </row>
    <row r="299" spans="1:11" ht="30" customHeight="1">
      <c r="A299" s="164" t="s">
        <v>74</v>
      </c>
      <c r="B299" s="164"/>
      <c r="C299" s="142"/>
      <c r="D299" s="142"/>
      <c r="E299" s="142"/>
      <c r="F299" s="165" t="s">
        <v>59</v>
      </c>
      <c r="G299" s="165"/>
      <c r="H299" s="158" t="s">
        <v>17</v>
      </c>
      <c r="I299" s="158"/>
      <c r="J299" s="158"/>
      <c r="K299" s="160"/>
    </row>
    <row r="300" spans="1:11" ht="30" customHeight="1">
      <c r="A300" s="166" t="s">
        <v>85</v>
      </c>
      <c r="B300" s="166"/>
      <c r="C300" s="142" t="s">
        <v>77</v>
      </c>
      <c r="D300" s="142"/>
      <c r="E300" s="142"/>
      <c r="F300" s="167" t="s">
        <v>85</v>
      </c>
      <c r="G300" s="167"/>
      <c r="H300" s="158" t="s">
        <v>77</v>
      </c>
      <c r="I300" s="158"/>
      <c r="J300" s="158"/>
      <c r="K300" s="145"/>
    </row>
    <row r="301" spans="1:11" ht="30" customHeight="1">
      <c r="A301" s="145" t="s">
        <v>5</v>
      </c>
      <c r="B301" s="146">
        <f>1*1.8*E140</f>
        <v>8100</v>
      </c>
      <c r="C301" s="158"/>
      <c r="D301" s="158"/>
      <c r="E301" s="158"/>
      <c r="F301" s="145" t="s">
        <v>5</v>
      </c>
      <c r="G301" s="146">
        <f>1*2.8*E140</f>
        <v>12600</v>
      </c>
      <c r="H301" s="158"/>
      <c r="I301" s="158"/>
      <c r="J301" s="158"/>
      <c r="K301" s="145"/>
    </row>
    <row r="302" spans="1:11" ht="30" customHeight="1">
      <c r="A302" s="145" t="s">
        <v>7</v>
      </c>
      <c r="B302" s="146">
        <v>700</v>
      </c>
      <c r="C302" s="158"/>
      <c r="D302" s="158" t="s">
        <v>86</v>
      </c>
      <c r="E302" s="158"/>
      <c r="F302" s="145" t="s">
        <v>7</v>
      </c>
      <c r="G302" s="146">
        <v>500</v>
      </c>
      <c r="H302" s="158"/>
      <c r="I302" s="158" t="s">
        <v>87</v>
      </c>
      <c r="J302" s="158"/>
      <c r="K302" s="146"/>
    </row>
    <row r="303" spans="1:11" ht="30" customHeight="1">
      <c r="A303" s="145" t="s">
        <v>9</v>
      </c>
      <c r="B303" s="146">
        <v>2500</v>
      </c>
      <c r="C303" s="148" t="s">
        <v>10</v>
      </c>
      <c r="D303" s="148" t="s">
        <v>11</v>
      </c>
      <c r="E303" s="148" t="s">
        <v>12</v>
      </c>
      <c r="F303" s="145" t="s">
        <v>9</v>
      </c>
      <c r="G303" s="146">
        <v>2500</v>
      </c>
      <c r="H303" s="148" t="s">
        <v>10</v>
      </c>
      <c r="I303" s="148" t="s">
        <v>11</v>
      </c>
      <c r="J303" s="148" t="s">
        <v>12</v>
      </c>
      <c r="K303" s="146"/>
    </row>
    <row r="304" spans="1:11" ht="30" customHeight="1">
      <c r="A304" s="145" t="s">
        <v>29</v>
      </c>
      <c r="B304" s="146">
        <v>1000</v>
      </c>
      <c r="C304" s="148">
        <f>C309</f>
        <v>8.3375000000000004</v>
      </c>
      <c r="D304" s="148">
        <f>D309</f>
        <v>10.0625</v>
      </c>
      <c r="E304" s="148">
        <f>E309</f>
        <v>10.637500000000001</v>
      </c>
      <c r="F304" s="145" t="s">
        <v>80</v>
      </c>
      <c r="G304" s="146">
        <v>4000</v>
      </c>
      <c r="H304" s="148">
        <f>H308</f>
        <v>9.5337499999999995</v>
      </c>
      <c r="I304" s="148">
        <f>I308</f>
        <v>10.520000000000001</v>
      </c>
      <c r="J304" s="148">
        <f>J308</f>
        <v>13.084250000000001</v>
      </c>
      <c r="K304" s="146"/>
    </row>
    <row r="305" spans="1:11" ht="30" customHeight="1">
      <c r="A305" s="145" t="s">
        <v>80</v>
      </c>
      <c r="B305" s="146">
        <v>4000</v>
      </c>
      <c r="C305" s="158"/>
      <c r="D305" s="158"/>
      <c r="E305" s="158"/>
      <c r="F305" s="145" t="s">
        <v>29</v>
      </c>
      <c r="G305" s="146">
        <v>1000</v>
      </c>
      <c r="H305" s="158"/>
      <c r="I305" s="158"/>
      <c r="J305" s="158"/>
      <c r="K305" s="145"/>
    </row>
    <row r="306" spans="1:11" ht="30" customHeight="1">
      <c r="A306" s="145" t="s">
        <v>49</v>
      </c>
      <c r="B306" s="146">
        <v>1000</v>
      </c>
      <c r="C306" s="158"/>
      <c r="D306" s="158"/>
      <c r="E306" s="158"/>
      <c r="F306" s="145" t="s">
        <v>49</v>
      </c>
      <c r="G306" s="146">
        <v>0</v>
      </c>
      <c r="H306" s="158"/>
      <c r="I306" s="158"/>
      <c r="J306" s="158"/>
      <c r="K306" s="145"/>
    </row>
    <row r="307" spans="1:11" ht="30" customHeight="1">
      <c r="A307" s="145" t="s">
        <v>31</v>
      </c>
      <c r="B307" s="146">
        <v>200</v>
      </c>
      <c r="C307" s="158"/>
      <c r="D307" s="158" t="s">
        <v>82</v>
      </c>
      <c r="E307" s="158"/>
      <c r="F307" s="145" t="s">
        <v>31</v>
      </c>
      <c r="G307" s="146">
        <v>200</v>
      </c>
      <c r="H307" s="158">
        <v>0.4</v>
      </c>
      <c r="I307" s="158">
        <v>0.55000000000000004</v>
      </c>
      <c r="J307" s="158">
        <v>0.85</v>
      </c>
      <c r="K307" s="145"/>
    </row>
    <row r="308" spans="1:11" ht="30" customHeight="1">
      <c r="A308" s="145" t="s">
        <v>32</v>
      </c>
      <c r="B308" s="146">
        <v>200</v>
      </c>
      <c r="C308" s="158">
        <v>0.4</v>
      </c>
      <c r="D308" s="158">
        <v>0.55000000000000004</v>
      </c>
      <c r="E308" s="158">
        <v>0.85</v>
      </c>
      <c r="F308" s="145" t="s">
        <v>32</v>
      </c>
      <c r="G308" s="146">
        <f>B307</f>
        <v>200</v>
      </c>
      <c r="H308" s="158">
        <f>G314*1.45</f>
        <v>9.5337499999999995</v>
      </c>
      <c r="I308" s="158">
        <f>G314*1.6</f>
        <v>10.520000000000001</v>
      </c>
      <c r="J308" s="158">
        <f>G314*1.99</f>
        <v>13.084250000000001</v>
      </c>
      <c r="K308" s="145"/>
    </row>
    <row r="309" spans="1:11" ht="30" customHeight="1">
      <c r="A309" s="145" t="s">
        <v>14</v>
      </c>
      <c r="B309" s="146">
        <v>200</v>
      </c>
      <c r="C309" s="158">
        <f>B314*1.45</f>
        <v>8.3375000000000004</v>
      </c>
      <c r="D309" s="158">
        <f>B314*1.75</f>
        <v>10.0625</v>
      </c>
      <c r="E309" s="158">
        <f>B314*1.85</f>
        <v>10.637500000000001</v>
      </c>
      <c r="F309" s="145" t="s">
        <v>14</v>
      </c>
      <c r="G309" s="146">
        <v>200</v>
      </c>
      <c r="H309" s="158"/>
      <c r="I309" s="158"/>
      <c r="J309" s="158"/>
      <c r="K309" s="145"/>
    </row>
    <row r="310" spans="1:11" ht="30" customHeight="1">
      <c r="A310" s="145" t="s">
        <v>16</v>
      </c>
      <c r="B310" s="146">
        <v>100</v>
      </c>
      <c r="C310" s="158"/>
      <c r="D310" s="158"/>
      <c r="E310" s="158"/>
      <c r="F310" s="145" t="s">
        <v>16</v>
      </c>
      <c r="G310" s="146">
        <v>100</v>
      </c>
      <c r="H310" s="158"/>
      <c r="I310" s="158"/>
      <c r="J310" s="158"/>
      <c r="K310" s="145"/>
    </row>
    <row r="311" spans="1:11" ht="30" customHeight="1">
      <c r="A311" s="145" t="s">
        <v>19</v>
      </c>
      <c r="B311" s="146">
        <v>250</v>
      </c>
      <c r="C311" s="158"/>
      <c r="D311" s="158"/>
      <c r="E311" s="158"/>
      <c r="F311" s="145" t="s">
        <v>19</v>
      </c>
      <c r="G311" s="146">
        <v>250</v>
      </c>
      <c r="H311" s="158"/>
      <c r="I311" s="158"/>
      <c r="J311" s="158"/>
      <c r="K311" s="145"/>
    </row>
    <row r="312" spans="1:11" ht="30" customHeight="1">
      <c r="A312" s="145" t="s">
        <v>33</v>
      </c>
      <c r="B312" s="146">
        <v>750</v>
      </c>
      <c r="C312" s="158"/>
      <c r="D312" s="158"/>
      <c r="E312" s="158"/>
      <c r="F312" s="145" t="s">
        <v>33</v>
      </c>
      <c r="G312" s="146">
        <v>750</v>
      </c>
      <c r="H312" s="158"/>
      <c r="I312" s="158"/>
      <c r="J312" s="158"/>
      <c r="K312" s="145"/>
    </row>
    <row r="313" spans="1:11" ht="30" customHeight="1" thickBot="1">
      <c r="A313" s="145" t="s">
        <v>20</v>
      </c>
      <c r="B313" s="150">
        <v>4000</v>
      </c>
      <c r="C313" s="158"/>
      <c r="D313" s="158"/>
      <c r="E313" s="158"/>
      <c r="F313" s="145" t="s">
        <v>20</v>
      </c>
      <c r="G313" s="150">
        <v>4000</v>
      </c>
      <c r="H313" s="158"/>
      <c r="I313" s="158"/>
      <c r="J313" s="158"/>
      <c r="K313" s="145"/>
    </row>
    <row r="314" spans="1:11" ht="30" customHeight="1">
      <c r="A314" s="145"/>
      <c r="B314" s="146">
        <f>SUM(B301:B313)/E2</f>
        <v>5.75</v>
      </c>
      <c r="C314" s="158"/>
      <c r="D314" s="158"/>
      <c r="E314" s="158"/>
      <c r="F314" s="145"/>
      <c r="G314" s="146">
        <f>SUM(G301:G313)/E2</f>
        <v>6.5750000000000002</v>
      </c>
      <c r="H314" s="158"/>
      <c r="I314" s="158"/>
      <c r="J314" s="158"/>
      <c r="K314" s="145"/>
    </row>
    <row r="315" spans="1:11" ht="30" customHeight="1">
      <c r="A315" s="145"/>
      <c r="B315" s="144"/>
      <c r="C315" s="158"/>
      <c r="D315" s="158"/>
      <c r="E315" s="158"/>
      <c r="F315" s="145"/>
      <c r="G315" s="161"/>
      <c r="H315" s="158"/>
      <c r="I315" s="158"/>
      <c r="J315" s="158"/>
      <c r="K315" s="149"/>
    </row>
    <row r="316" spans="1:11" ht="30" customHeight="1"/>
  </sheetData>
  <mergeCells count="79">
    <mergeCell ref="A23:B23"/>
    <mergeCell ref="F23:G23"/>
    <mergeCell ref="A1:K1"/>
    <mergeCell ref="H2:J2"/>
    <mergeCell ref="A3:B3"/>
    <mergeCell ref="F3:G3"/>
    <mergeCell ref="A13:B13"/>
    <mergeCell ref="A35:K35"/>
    <mergeCell ref="H38:J38"/>
    <mergeCell ref="C50:E50"/>
    <mergeCell ref="A51:B51"/>
    <mergeCell ref="F51:G51"/>
    <mergeCell ref="H51:J51"/>
    <mergeCell ref="C71:E71"/>
    <mergeCell ref="A84:K84"/>
    <mergeCell ref="A85:B85"/>
    <mergeCell ref="F85:G85"/>
    <mergeCell ref="C87:E87"/>
    <mergeCell ref="H87:J87"/>
    <mergeCell ref="C100:E100"/>
    <mergeCell ref="H100:J100"/>
    <mergeCell ref="C113:E113"/>
    <mergeCell ref="A125:B125"/>
    <mergeCell ref="C125:E125"/>
    <mergeCell ref="F125:G125"/>
    <mergeCell ref="H125:K125"/>
    <mergeCell ref="A126:B126"/>
    <mergeCell ref="F126:G126"/>
    <mergeCell ref="C128:E128"/>
    <mergeCell ref="H128:J128"/>
    <mergeCell ref="C142:E142"/>
    <mergeCell ref="H142:K142"/>
    <mergeCell ref="C144:E144"/>
    <mergeCell ref="H144:J144"/>
    <mergeCell ref="B155:E155"/>
    <mergeCell ref="G155:K155"/>
    <mergeCell ref="C159:E159"/>
    <mergeCell ref="H159:J159"/>
    <mergeCell ref="F171:G171"/>
    <mergeCell ref="H171:K171"/>
    <mergeCell ref="F172:G172"/>
    <mergeCell ref="H174:J174"/>
    <mergeCell ref="B186:E186"/>
    <mergeCell ref="F186:G186"/>
    <mergeCell ref="H186:K186"/>
    <mergeCell ref="F187:G187"/>
    <mergeCell ref="H189:J189"/>
    <mergeCell ref="C190:E190"/>
    <mergeCell ref="B201:E201"/>
    <mergeCell ref="G201:K201"/>
    <mergeCell ref="C205:E205"/>
    <mergeCell ref="H205:J205"/>
    <mergeCell ref="A218:B218"/>
    <mergeCell ref="C218:E218"/>
    <mergeCell ref="F218:G218"/>
    <mergeCell ref="H218:J218"/>
    <mergeCell ref="A219:B219"/>
    <mergeCell ref="F219:G219"/>
    <mergeCell ref="C221:E221"/>
    <mergeCell ref="H221:J221"/>
    <mergeCell ref="B233:E233"/>
    <mergeCell ref="G233:K233"/>
    <mergeCell ref="C237:E237"/>
    <mergeCell ref="H237:J237"/>
    <mergeCell ref="B248:E248"/>
    <mergeCell ref="C252:E252"/>
    <mergeCell ref="H252:J252"/>
    <mergeCell ref="A264:B264"/>
    <mergeCell ref="C264:E264"/>
    <mergeCell ref="F264:G264"/>
    <mergeCell ref="A265:B265"/>
    <mergeCell ref="B282:E282"/>
    <mergeCell ref="F282:J282"/>
    <mergeCell ref="A283:B283"/>
    <mergeCell ref="C285:E285"/>
    <mergeCell ref="A299:B299"/>
    <mergeCell ref="F299:G299"/>
    <mergeCell ref="A300:B300"/>
    <mergeCell ref="F300:G300"/>
  </mergeCells>
  <pageMargins left="0.25" right="0.25" top="0.75" bottom="0.75" header="0.3" footer="0.3"/>
  <pageSetup scale="42" orientation="landscape" horizontalDpi="0" verticalDpi="0" r:id="rId1"/>
  <rowBreaks count="4" manualBreakCount="4">
    <brk id="35" max="13" man="1"/>
    <brk id="123" max="13" man="1"/>
    <brk id="169" max="13" man="1"/>
    <brk id="215" max="1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Margelys Santos</dc:creator>
  <cp:keywords/>
  <dc:description/>
  <cp:lastModifiedBy>Ing. Margelys Santos</cp:lastModifiedBy>
  <cp:revision/>
  <dcterms:created xsi:type="dcterms:W3CDTF">2025-06-03T02:50:20Z</dcterms:created>
  <dcterms:modified xsi:type="dcterms:W3CDTF">2025-11-07T22:06:49Z</dcterms:modified>
  <cp:category/>
  <cp:contentStatus/>
</cp:coreProperties>
</file>