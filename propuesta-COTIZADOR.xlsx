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esor Comercial\Desktop\"/>
    </mc:Choice>
  </mc:AlternateContent>
  <xr:revisionPtr revIDLastSave="0" documentId="13_ncr:1_{C569E6D8-2020-4C66-8836-CBC74D760889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Presupuesto" sheetId="1" r:id="rId1"/>
    <sheet name="Productos" sheetId="2" r:id="rId2"/>
    <sheet name="Materiales" sheetId="3" r:id="rId3"/>
    <sheet name="Produccion" sheetId="4" r:id="rId4"/>
    <sheet name="TasasCambio" sheetId="5" r:id="rId5"/>
    <sheet name="Comandas" sheetId="6" r:id="rId6"/>
  </sheets>
  <definedNames>
    <definedName name="_xlnm.Print_Area" localSheetId="0">Presupuesto!$A$1:$H$36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6" l="1"/>
  <c r="AI451" i="4"/>
  <c r="AI450" i="4"/>
  <c r="AI449" i="4"/>
  <c r="AI448" i="4"/>
  <c r="AI447" i="4"/>
  <c r="AI446" i="4"/>
  <c r="AI445" i="4"/>
  <c r="AI444" i="4"/>
  <c r="AI443" i="4"/>
  <c r="AI442" i="4"/>
  <c r="AI441" i="4"/>
  <c r="AI440" i="4"/>
  <c r="AI439" i="4"/>
  <c r="AI438" i="4"/>
  <c r="AI437" i="4"/>
  <c r="AI436" i="4"/>
  <c r="AI435" i="4"/>
  <c r="AI434" i="4"/>
  <c r="AI433" i="4"/>
  <c r="AI432" i="4"/>
  <c r="AI431" i="4"/>
  <c r="AI430" i="4"/>
  <c r="AI429" i="4"/>
  <c r="AI428" i="4"/>
  <c r="AI427" i="4"/>
  <c r="AI426" i="4"/>
  <c r="AI425" i="4"/>
  <c r="AI424" i="4"/>
  <c r="AI423" i="4"/>
  <c r="AI422" i="4"/>
  <c r="AI421" i="4"/>
  <c r="AI420" i="4"/>
  <c r="AI419" i="4"/>
  <c r="AI418" i="4"/>
  <c r="AI417" i="4"/>
  <c r="AI416" i="4"/>
  <c r="AI415" i="4"/>
  <c r="AI414" i="4"/>
  <c r="AI413" i="4"/>
  <c r="AI412" i="4"/>
  <c r="AI411" i="4"/>
  <c r="AI410" i="4"/>
  <c r="AI409" i="4"/>
  <c r="AI408" i="4"/>
  <c r="AI407" i="4"/>
  <c r="AI406" i="4"/>
  <c r="AI405" i="4"/>
  <c r="AI404" i="4"/>
  <c r="AI403" i="4"/>
  <c r="AI402" i="4"/>
  <c r="AI401" i="4"/>
  <c r="AI400" i="4"/>
  <c r="AI399" i="4"/>
  <c r="AI398" i="4"/>
  <c r="AI397" i="4"/>
  <c r="AI396" i="4"/>
  <c r="AI395" i="4"/>
  <c r="AI394" i="4"/>
  <c r="AI393" i="4"/>
  <c r="AI392" i="4"/>
  <c r="AI391" i="4"/>
  <c r="AI390" i="4"/>
  <c r="AI389" i="4"/>
  <c r="AI388" i="4"/>
  <c r="AI387" i="4"/>
  <c r="AI386" i="4"/>
  <c r="AI385" i="4"/>
  <c r="AI384" i="4"/>
  <c r="AI383" i="4"/>
  <c r="AI382" i="4"/>
  <c r="AI381" i="4"/>
  <c r="AI380" i="4"/>
  <c r="AI379" i="4"/>
  <c r="AI378" i="4"/>
  <c r="AI377" i="4"/>
  <c r="AI376" i="4"/>
  <c r="AI375" i="4"/>
  <c r="AI374" i="4"/>
  <c r="AI373" i="4"/>
  <c r="AI372" i="4"/>
  <c r="AI371" i="4"/>
  <c r="AI370" i="4"/>
  <c r="AI369" i="4"/>
  <c r="AI368" i="4"/>
  <c r="AI367" i="4"/>
  <c r="AI366" i="4"/>
  <c r="AI365" i="4"/>
  <c r="AI364" i="4"/>
  <c r="AI363" i="4"/>
  <c r="AI362" i="4"/>
  <c r="AI361" i="4"/>
  <c r="AI360" i="4"/>
  <c r="AI359" i="4"/>
  <c r="AI358" i="4"/>
  <c r="AI357" i="4"/>
  <c r="AI356" i="4"/>
  <c r="AI355" i="4"/>
  <c r="AI354" i="4"/>
  <c r="AI353" i="4"/>
  <c r="AI352" i="4"/>
  <c r="AI351" i="4"/>
  <c r="AI350" i="4"/>
  <c r="AI349" i="4"/>
  <c r="AI348" i="4"/>
  <c r="AI347" i="4"/>
  <c r="AI346" i="4"/>
  <c r="AI345" i="4"/>
  <c r="AI344" i="4"/>
  <c r="AI343" i="4"/>
  <c r="AI342" i="4"/>
  <c r="AI341" i="4"/>
  <c r="AI340" i="4"/>
  <c r="AI339" i="4"/>
  <c r="AI338" i="4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I310" i="4"/>
  <c r="AI309" i="4"/>
  <c r="AI308" i="4"/>
  <c r="AI307" i="4"/>
  <c r="AI306" i="4"/>
  <c r="AI305" i="4"/>
  <c r="AI304" i="4"/>
  <c r="AI303" i="4"/>
  <c r="AI302" i="4"/>
  <c r="AI301" i="4"/>
  <c r="AI300" i="4"/>
  <c r="AI299" i="4"/>
  <c r="AI298" i="4"/>
  <c r="AI297" i="4"/>
  <c r="AI296" i="4"/>
  <c r="AI295" i="4"/>
  <c r="AI294" i="4"/>
  <c r="AI293" i="4"/>
  <c r="AI292" i="4"/>
  <c r="AI291" i="4"/>
  <c r="AI290" i="4"/>
  <c r="AI289" i="4"/>
  <c r="AI288" i="4"/>
  <c r="AI287" i="4"/>
  <c r="AI286" i="4"/>
  <c r="AI285" i="4"/>
  <c r="AI284" i="4"/>
  <c r="AI283" i="4"/>
  <c r="AI282" i="4"/>
  <c r="AI281" i="4"/>
  <c r="AI280" i="4"/>
  <c r="AI279" i="4"/>
  <c r="AI278" i="4"/>
  <c r="AI277" i="4"/>
  <c r="AI276" i="4"/>
  <c r="AI275" i="4"/>
  <c r="AI274" i="4"/>
  <c r="AI273" i="4"/>
  <c r="AI272" i="4"/>
  <c r="AI271" i="4"/>
  <c r="AI270" i="4"/>
  <c r="AI269" i="4"/>
  <c r="AI268" i="4"/>
  <c r="AI267" i="4"/>
  <c r="AI266" i="4"/>
  <c r="AI265" i="4"/>
  <c r="AI264" i="4"/>
  <c r="AI263" i="4"/>
  <c r="AI262" i="4"/>
  <c r="AI261" i="4"/>
  <c r="AI260" i="4"/>
  <c r="AI259" i="4"/>
  <c r="AI258" i="4"/>
  <c r="AI257" i="4"/>
  <c r="AI256" i="4"/>
  <c r="AI255" i="4"/>
  <c r="AI254" i="4"/>
  <c r="AI253" i="4"/>
  <c r="AI252" i="4"/>
  <c r="AI251" i="4"/>
  <c r="AI250" i="4"/>
  <c r="AI249" i="4"/>
  <c r="AI248" i="4"/>
  <c r="AI247" i="4"/>
  <c r="AI246" i="4"/>
  <c r="AI245" i="4"/>
  <c r="AI244" i="4"/>
  <c r="AI243" i="4"/>
  <c r="AI242" i="4"/>
  <c r="AI241" i="4"/>
  <c r="AI240" i="4"/>
  <c r="AI239" i="4"/>
  <c r="AI238" i="4"/>
  <c r="AI237" i="4"/>
  <c r="AI236" i="4"/>
  <c r="AI235" i="4"/>
  <c r="AI234" i="4"/>
  <c r="AI233" i="4"/>
  <c r="AI232" i="4"/>
  <c r="AI231" i="4"/>
  <c r="AI230" i="4"/>
  <c r="AI229" i="4"/>
  <c r="AI228" i="4"/>
  <c r="AI227" i="4"/>
  <c r="AI226" i="4"/>
  <c r="AI225" i="4"/>
  <c r="AI224" i="4"/>
  <c r="AI223" i="4"/>
  <c r="AI222" i="4"/>
  <c r="AI221" i="4"/>
  <c r="AI220" i="4"/>
  <c r="AI219" i="4"/>
  <c r="AI218" i="4"/>
  <c r="AI217" i="4"/>
  <c r="AI216" i="4"/>
  <c r="AI215" i="4"/>
  <c r="AI214" i="4"/>
  <c r="AI213" i="4"/>
  <c r="AI212" i="4"/>
  <c r="AI211" i="4"/>
  <c r="AI210" i="4"/>
  <c r="AI209" i="4"/>
  <c r="AI208" i="4"/>
  <c r="AI207" i="4"/>
  <c r="AI206" i="4"/>
  <c r="AI205" i="4"/>
  <c r="AI204" i="4"/>
  <c r="AI203" i="4"/>
  <c r="AI202" i="4"/>
  <c r="AI201" i="4"/>
  <c r="AI200" i="4"/>
  <c r="AI199" i="4"/>
  <c r="AI198" i="4"/>
  <c r="AI197" i="4"/>
  <c r="AI196" i="4"/>
  <c r="AI195" i="4"/>
  <c r="AI194" i="4"/>
  <c r="AI193" i="4"/>
  <c r="AI192" i="4"/>
  <c r="AI191" i="4"/>
  <c r="AI190" i="4"/>
  <c r="AI189" i="4"/>
  <c r="AI188" i="4"/>
  <c r="AI187" i="4"/>
  <c r="AI186" i="4"/>
  <c r="AI185" i="4"/>
  <c r="AI184" i="4"/>
  <c r="AI183" i="4"/>
  <c r="AI182" i="4"/>
  <c r="AI181" i="4"/>
  <c r="AI180" i="4"/>
  <c r="AI179" i="4"/>
  <c r="AI178" i="4"/>
  <c r="AI177" i="4"/>
  <c r="AI176" i="4"/>
  <c r="AI175" i="4"/>
  <c r="AI174" i="4"/>
  <c r="AI173" i="4"/>
  <c r="AI172" i="4"/>
  <c r="AI171" i="4"/>
  <c r="AI170" i="4"/>
  <c r="AI169" i="4"/>
  <c r="AI168" i="4"/>
  <c r="AI167" i="4"/>
  <c r="AI166" i="4"/>
  <c r="AI165" i="4"/>
  <c r="AI164" i="4"/>
  <c r="AI163" i="4"/>
  <c r="AI162" i="4"/>
  <c r="AI161" i="4"/>
  <c r="AI160" i="4"/>
  <c r="AI159" i="4"/>
  <c r="AI158" i="4"/>
  <c r="AI157" i="4"/>
  <c r="AI156" i="4"/>
  <c r="AI155" i="4"/>
  <c r="AI154" i="4"/>
  <c r="AI153" i="4"/>
  <c r="AI152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I87" i="4"/>
  <c r="AI86" i="4"/>
  <c r="AI85" i="4"/>
  <c r="AI84" i="4"/>
  <c r="AI83" i="4"/>
  <c r="AI82" i="4"/>
  <c r="AI81" i="4"/>
  <c r="AI80" i="4"/>
  <c r="AI79" i="4"/>
  <c r="AI78" i="4"/>
  <c r="AI77" i="4"/>
  <c r="AI76" i="4"/>
  <c r="AI75" i="4"/>
  <c r="AI74" i="4"/>
  <c r="AI73" i="4"/>
  <c r="AI72" i="4"/>
  <c r="AI71" i="4"/>
  <c r="AI70" i="4"/>
  <c r="AI69" i="4"/>
  <c r="AI68" i="4"/>
  <c r="AI67" i="4"/>
  <c r="AI66" i="4"/>
  <c r="AI65" i="4"/>
  <c r="AI64" i="4"/>
  <c r="AI63" i="4"/>
  <c r="AI62" i="4"/>
  <c r="AI61" i="4"/>
  <c r="AI60" i="4"/>
  <c r="AI59" i="4"/>
  <c r="AI58" i="4"/>
  <c r="AO57" i="4"/>
  <c r="AI57" i="4"/>
  <c r="AO56" i="4"/>
  <c r="AI56" i="4"/>
  <c r="AO55" i="4"/>
  <c r="AI55" i="4"/>
  <c r="AO54" i="4"/>
  <c r="AI54" i="4"/>
  <c r="AO53" i="4"/>
  <c r="AI53" i="4"/>
  <c r="AO52" i="4"/>
  <c r="AI52" i="4"/>
  <c r="AO51" i="4"/>
  <c r="AI51" i="4"/>
  <c r="AO50" i="4"/>
  <c r="AI50" i="4"/>
  <c r="AO49" i="4"/>
  <c r="AI49" i="4"/>
  <c r="AO48" i="4"/>
  <c r="AI48" i="4"/>
  <c r="AO47" i="4"/>
  <c r="AI47" i="4"/>
  <c r="AO46" i="4"/>
  <c r="AI46" i="4"/>
  <c r="AO45" i="4"/>
  <c r="AI45" i="4"/>
  <c r="AO44" i="4"/>
  <c r="AI44" i="4"/>
  <c r="AO43" i="4"/>
  <c r="AI43" i="4"/>
  <c r="AO42" i="4"/>
  <c r="AI42" i="4"/>
  <c r="AO41" i="4"/>
  <c r="AI41" i="4"/>
  <c r="AO40" i="4"/>
  <c r="AI40" i="4"/>
  <c r="AO39" i="4"/>
  <c r="AI39" i="4"/>
  <c r="AO38" i="4"/>
  <c r="AI38" i="4"/>
  <c r="AO37" i="4"/>
  <c r="AI37" i="4"/>
  <c r="AO36" i="4"/>
  <c r="AI36" i="4"/>
  <c r="AO35" i="4"/>
  <c r="AI35" i="4"/>
  <c r="AO34" i="4"/>
  <c r="AI34" i="4"/>
  <c r="AO33" i="4"/>
  <c r="AI33" i="4"/>
  <c r="AO32" i="4"/>
  <c r="AI32" i="4"/>
  <c r="AO31" i="4"/>
  <c r="AI31" i="4"/>
  <c r="AO30" i="4"/>
  <c r="AI30" i="4"/>
  <c r="AO29" i="4"/>
  <c r="AI29" i="4"/>
  <c r="AO28" i="4"/>
  <c r="AI28" i="4"/>
  <c r="AO27" i="4"/>
  <c r="AI27" i="4"/>
  <c r="AO26" i="4"/>
  <c r="AI26" i="4"/>
  <c r="AO25" i="4"/>
  <c r="AI25" i="4"/>
  <c r="AO24" i="4"/>
  <c r="AI24" i="4"/>
  <c r="AO23" i="4"/>
  <c r="AI23" i="4"/>
  <c r="AO22" i="4"/>
  <c r="AI22" i="4"/>
  <c r="AO21" i="4"/>
  <c r="AI21" i="4"/>
  <c r="AO20" i="4"/>
  <c r="AI20" i="4"/>
  <c r="AO19" i="4"/>
  <c r="AI19" i="4"/>
  <c r="AO18" i="4"/>
  <c r="AI18" i="4"/>
  <c r="AO17" i="4"/>
  <c r="AI17" i="4"/>
  <c r="AO16" i="4"/>
  <c r="AI16" i="4"/>
  <c r="AO15" i="4"/>
  <c r="AI15" i="4"/>
  <c r="AO14" i="4"/>
  <c r="AI14" i="4"/>
  <c r="AO13" i="4"/>
  <c r="AI13" i="4"/>
  <c r="AO12" i="4"/>
  <c r="AI12" i="4"/>
  <c r="AO11" i="4"/>
  <c r="AI11" i="4"/>
  <c r="AO10" i="4"/>
  <c r="AI10" i="4"/>
  <c r="AO9" i="4"/>
  <c r="AI9" i="4"/>
  <c r="AO8" i="4"/>
  <c r="AI8" i="4"/>
  <c r="AO7" i="4"/>
  <c r="AI7" i="4"/>
  <c r="AO6" i="4"/>
  <c r="AI6" i="4"/>
  <c r="AO5" i="4"/>
  <c r="AI5" i="4"/>
  <c r="AO4" i="4"/>
  <c r="AI4" i="4"/>
  <c r="AO3" i="4"/>
  <c r="AI3" i="4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F24" i="1"/>
  <c r="F26" i="1" s="1"/>
  <c r="O8" i="1"/>
  <c r="O7" i="1"/>
  <c r="O6" i="1"/>
  <c r="L13" i="1" s="1"/>
  <c r="O5" i="1"/>
  <c r="O4" i="1"/>
  <c r="L15" i="1" l="1"/>
  <c r="L12" i="1"/>
  <c r="L14" i="1" s="1"/>
  <c r="L16" i="1" l="1"/>
  <c r="L17" i="1" s="1"/>
</calcChain>
</file>

<file path=xl/sharedStrings.xml><?xml version="1.0" encoding="utf-8"?>
<sst xmlns="http://schemas.openxmlformats.org/spreadsheetml/2006/main" count="3077" uniqueCount="914">
  <si>
    <t>PRESUPUESTO</t>
  </si>
  <si>
    <t>Código</t>
  </si>
  <si>
    <t>Número</t>
  </si>
  <si>
    <t>PRE-0001</t>
  </si>
  <si>
    <t>Fecha</t>
  </si>
  <si>
    <t>Producto</t>
  </si>
  <si>
    <t>Franelas</t>
  </si>
  <si>
    <t>Cliente</t>
  </si>
  <si>
    <t>Talla</t>
  </si>
  <si>
    <t>Dama</t>
  </si>
  <si>
    <t>Teléfono</t>
  </si>
  <si>
    <t>Tela (si aplica)</t>
  </si>
  <si>
    <t>Tela Muselina</t>
  </si>
  <si>
    <t>Moneda a mostrar</t>
  </si>
  <si>
    <t>USD</t>
  </si>
  <si>
    <t>Técnica</t>
  </si>
  <si>
    <t>VINIL</t>
  </si>
  <si>
    <t>Estado</t>
  </si>
  <si>
    <t>Volumen</t>
  </si>
  <si>
    <t>Docena +12</t>
  </si>
  <si>
    <t>ITEM</t>
  </si>
  <si>
    <t>CANT</t>
  </si>
  <si>
    <t>DESCRIPCIÓN</t>
  </si>
  <si>
    <t>COSTO UNIT</t>
  </si>
  <si>
    <t>TOTAL</t>
  </si>
  <si>
    <t>Auxiliar</t>
  </si>
  <si>
    <t>Cantidad</t>
  </si>
  <si>
    <t>Resultado</t>
  </si>
  <si>
    <t>Consumo tela (m²)</t>
  </si>
  <si>
    <t>Costo unitario tela (USD)</t>
  </si>
  <si>
    <t>Costo tela (USD)</t>
  </si>
  <si>
    <t>Costo actividades (USD)</t>
  </si>
  <si>
    <t>Costo total unitario (USD)</t>
  </si>
  <si>
    <t>Precio unitario en moneda mostrada</t>
  </si>
  <si>
    <t>TOTAL A PAGAR</t>
  </si>
  <si>
    <t>Editando línea:</t>
  </si>
  <si>
    <t>ABONO:</t>
  </si>
  <si>
    <t>RESTA:</t>
  </si>
  <si>
    <t>Botones (asignar tras importar el macro):
① Agregar/Actualizar → M01_GestionPresupuesto.AgregarOActualizarItem
② Cargar para editar  → M01_GestionPresupuesto.CargarItemParaEditar
③ Limpiar             → M01_GestionPresupuesto.LimpiarConfigurador
④ Eliminar            → M01_GestionPresupuesto.EliminarItem
⑤ Aceptar Presupuesto → M01_GestionPresupuesto.AceptarPresupuesto
⑥ Cargar Comanda      → M01_GestionPresupuesto.CargarComanda
⑦ Actualizar Tasas    → M01_GestionPresupuesto.ActualizarTasas</t>
  </si>
  <si>
    <t>Buscar:</t>
  </si>
  <si>
    <t>Elige un presupuesto ya aceptado y usa el botón Cargar Comanda para reabrirlo.</t>
  </si>
  <si>
    <t>Tasas de Cambio</t>
  </si>
  <si>
    <t>COP por USD</t>
  </si>
  <si>
    <t>VES por USD</t>
  </si>
  <si>
    <t>Cambia el valor y usa el botón Actualizar Tasas para guardarlo.</t>
  </si>
  <si>
    <t>Nota: el costo de actividades usa solo fact_costo_actividad_producto (materiales que la técnica también dispara, ej. Etiquetas por Sublimado, no se suman aparte todavía).</t>
  </si>
  <si>
    <t>Codigo_Producto</t>
  </si>
  <si>
    <t>Nombre</t>
  </si>
  <si>
    <t>Categoría</t>
  </si>
  <si>
    <t>Subcategoría</t>
  </si>
  <si>
    <t>Id_talla</t>
  </si>
  <si>
    <t>Id_Segmento</t>
  </si>
  <si>
    <t>descripción</t>
  </si>
  <si>
    <t>id_variante</t>
  </si>
  <si>
    <t>P-01</t>
  </si>
  <si>
    <t>Bandanas</t>
  </si>
  <si>
    <t>Accesorios</t>
  </si>
  <si>
    <t>Promocionales</t>
  </si>
  <si>
    <t>Tall-01</t>
  </si>
  <si>
    <t>Niño</t>
  </si>
  <si>
    <t>Dis-01</t>
  </si>
  <si>
    <t>Corporativo</t>
  </si>
  <si>
    <t>VAR001</t>
  </si>
  <si>
    <t>Básico</t>
  </si>
  <si>
    <t>P-02</t>
  </si>
  <si>
    <t>Bolsas Ecológicas</t>
  </si>
  <si>
    <t>Tall-02</t>
  </si>
  <si>
    <t>Dis-02</t>
  </si>
  <si>
    <t>Deportivo</t>
  </si>
  <si>
    <t>VAR002</t>
  </si>
  <si>
    <t>Botones + ojales</t>
  </si>
  <si>
    <t>P-03</t>
  </si>
  <si>
    <t>Buzos</t>
  </si>
  <si>
    <t>Ropa Casual</t>
  </si>
  <si>
    <t>Chaquetas</t>
  </si>
  <si>
    <t>Tall-03</t>
  </si>
  <si>
    <t>Caballero</t>
  </si>
  <si>
    <t>Dis-03</t>
  </si>
  <si>
    <t>Personalizado</t>
  </si>
  <si>
    <t>VAR003</t>
  </si>
  <si>
    <t>Broches</t>
  </si>
  <si>
    <t>P-04</t>
  </si>
  <si>
    <t>Camisa</t>
  </si>
  <si>
    <t>Ropa Formal</t>
  </si>
  <si>
    <t>Camisas</t>
  </si>
  <si>
    <t>Tall-04</t>
  </si>
  <si>
    <t>Plus</t>
  </si>
  <si>
    <t>Dis-04</t>
  </si>
  <si>
    <t>Unicolor</t>
  </si>
  <si>
    <t>VAR004</t>
  </si>
  <si>
    <t>Con bolsillos</t>
  </si>
  <si>
    <t>P-05</t>
  </si>
  <si>
    <t>Chaleco</t>
  </si>
  <si>
    <t>Ropa Deportiva</t>
  </si>
  <si>
    <t>Chalecos</t>
  </si>
  <si>
    <t>Tall-05</t>
  </si>
  <si>
    <t>Unica</t>
  </si>
  <si>
    <t>VAR005</t>
  </si>
  <si>
    <t>Con cuello y botones</t>
  </si>
  <si>
    <t>P-06</t>
  </si>
  <si>
    <t>Chaqueta</t>
  </si>
  <si>
    <t>Tall-06</t>
  </si>
  <si>
    <t>Accesorio</t>
  </si>
  <si>
    <t>VAR006</t>
  </si>
  <si>
    <t>Con gorro</t>
  </si>
  <si>
    <t>P-07</t>
  </si>
  <si>
    <t>Chemis</t>
  </si>
  <si>
    <t>Camisetas</t>
  </si>
  <si>
    <t>VAR007</t>
  </si>
  <si>
    <t>Cuello camisa</t>
  </si>
  <si>
    <t>P-08</t>
  </si>
  <si>
    <t>Cortavientos</t>
  </si>
  <si>
    <t>VAR008</t>
  </si>
  <si>
    <t>Cuello Chemise</t>
  </si>
  <si>
    <t>P-09</t>
  </si>
  <si>
    <t>Delantales</t>
  </si>
  <si>
    <t>Ropa Laboral</t>
  </si>
  <si>
    <t>Uniformes</t>
  </si>
  <si>
    <t>VAR009</t>
  </si>
  <si>
    <t>Cuello en V</t>
  </si>
  <si>
    <t>P-10</t>
  </si>
  <si>
    <t>VAR010</t>
  </si>
  <si>
    <t>Cuello Mao</t>
  </si>
  <si>
    <t>P-11</t>
  </si>
  <si>
    <t>Franelillas</t>
  </si>
  <si>
    <t>VAR011</t>
  </si>
  <si>
    <t xml:space="preserve">Cuello Y Puños </t>
  </si>
  <si>
    <t>P-12</t>
  </si>
  <si>
    <t>Genérico (todos)</t>
  </si>
  <si>
    <t>Genérico</t>
  </si>
  <si>
    <t>VAR012</t>
  </si>
  <si>
    <t>Manga corta</t>
  </si>
  <si>
    <t>P-13</t>
  </si>
  <si>
    <t>Gorras</t>
  </si>
  <si>
    <t>Deportivos</t>
  </si>
  <si>
    <t>VAR013</t>
  </si>
  <si>
    <t>Manga larga</t>
  </si>
  <si>
    <t>P-14</t>
  </si>
  <si>
    <t>Hoodies</t>
  </si>
  <si>
    <t>Suéteres</t>
  </si>
  <si>
    <t>VAR014</t>
  </si>
  <si>
    <t>Sin mangas</t>
  </si>
  <si>
    <t>P-15</t>
  </si>
  <si>
    <t>Shorts</t>
  </si>
  <si>
    <t>Pantalones</t>
  </si>
  <si>
    <t>VAR015</t>
  </si>
  <si>
    <t>P-16</t>
  </si>
  <si>
    <t>Tazas</t>
  </si>
  <si>
    <t>Hogar</t>
  </si>
  <si>
    <t>P-17</t>
  </si>
  <si>
    <t>P-18</t>
  </si>
  <si>
    <t>Viseras</t>
  </si>
  <si>
    <t>P-19</t>
  </si>
  <si>
    <t>Bolsa de arena</t>
  </si>
  <si>
    <t>-</t>
  </si>
  <si>
    <t>P-20</t>
  </si>
  <si>
    <t>Chemis con uniones telas</t>
  </si>
  <si>
    <t>P-21</t>
  </si>
  <si>
    <t>Cojines</t>
  </si>
  <si>
    <t>P-22</t>
  </si>
  <si>
    <t>Falda short</t>
  </si>
  <si>
    <t>Faldas</t>
  </si>
  <si>
    <t>P-23</t>
  </si>
  <si>
    <t>Funda porta canillera S/C</t>
  </si>
  <si>
    <t>P-24</t>
  </si>
  <si>
    <t>Licra</t>
  </si>
  <si>
    <t>Tela</t>
  </si>
  <si>
    <t>P-25</t>
  </si>
  <si>
    <t>Mono</t>
  </si>
  <si>
    <t>P-26</t>
  </si>
  <si>
    <t>Porta canilleras c/ corte</t>
  </si>
  <si>
    <t>P-27</t>
  </si>
  <si>
    <t>Protectores arqueros</t>
  </si>
  <si>
    <t>P-28</t>
  </si>
  <si>
    <t>Suéter</t>
  </si>
  <si>
    <t>P-29</t>
  </si>
  <si>
    <t>Top dama</t>
  </si>
  <si>
    <t>P-30</t>
  </si>
  <si>
    <t>Velas sencilla</t>
  </si>
  <si>
    <t>P-31</t>
  </si>
  <si>
    <t>Wall media</t>
  </si>
  <si>
    <t>P-32</t>
  </si>
  <si>
    <t>Enterizos de promotora</t>
  </si>
  <si>
    <t>P-33</t>
  </si>
  <si>
    <t>Casacas</t>
  </si>
  <si>
    <t>P-34</t>
  </si>
  <si>
    <t>Tula</t>
  </si>
  <si>
    <t>Bolsos</t>
  </si>
  <si>
    <t>P-35</t>
  </si>
  <si>
    <t>Mangas</t>
  </si>
  <si>
    <t>P-36</t>
  </si>
  <si>
    <t>Tutú</t>
  </si>
  <si>
    <t>P-37</t>
  </si>
  <si>
    <t>Mono Quirúrgico</t>
  </si>
  <si>
    <t>P-38</t>
  </si>
  <si>
    <t>Pantalón Mono</t>
  </si>
  <si>
    <t>P-39</t>
  </si>
  <si>
    <t>Mousepad</t>
  </si>
  <si>
    <t>Tecnología</t>
  </si>
  <si>
    <t>ID_Material</t>
  </si>
  <si>
    <t>Nombre_Material</t>
  </si>
  <si>
    <t>Color_Material</t>
  </si>
  <si>
    <t>Costo_Unitario_Detal</t>
  </si>
  <si>
    <t>Costo_Unitario_Mayor</t>
  </si>
  <si>
    <t>Moneda</t>
  </si>
  <si>
    <t>Proveedor</t>
  </si>
  <si>
    <t>Stock_Minimo</t>
  </si>
  <si>
    <t>Ubicación Actual</t>
  </si>
  <si>
    <t>Entradas</t>
  </si>
  <si>
    <t>Salidas</t>
  </si>
  <si>
    <t>Stock_Actual2</t>
  </si>
  <si>
    <t>Valor_Stock</t>
  </si>
  <si>
    <t>EsTela</t>
  </si>
  <si>
    <t>Mat-01</t>
  </si>
  <si>
    <t>Bolsa</t>
  </si>
  <si>
    <t>Cop</t>
  </si>
  <si>
    <t>Proveedor M</t>
  </si>
  <si>
    <t>Mat-02</t>
  </si>
  <si>
    <t>Proveedor J</t>
  </si>
  <si>
    <t>Mat-03</t>
  </si>
  <si>
    <t>Mat-04</t>
  </si>
  <si>
    <t>cierre diente de perro</t>
  </si>
  <si>
    <t>Mat-05</t>
  </si>
  <si>
    <t>Cierre Naylon</t>
  </si>
  <si>
    <t>Proveedor I</t>
  </si>
  <si>
    <t>Mat-06</t>
  </si>
  <si>
    <t>cierre reflectivo</t>
  </si>
  <si>
    <t>Mat-07</t>
  </si>
  <si>
    <t>Cordon</t>
  </si>
  <si>
    <t>Proveedor N</t>
  </si>
  <si>
    <t>Mat-08</t>
  </si>
  <si>
    <t>Etiquetas</t>
  </si>
  <si>
    <t>Proveedor K</t>
  </si>
  <si>
    <t>Mat-09</t>
  </si>
  <si>
    <t>Hilo</t>
  </si>
  <si>
    <t>Proveedor H</t>
  </si>
  <si>
    <t>Mat-10</t>
  </si>
  <si>
    <t>Marquilla</t>
  </si>
  <si>
    <t>Mat-11</t>
  </si>
  <si>
    <t xml:space="preserve">Tela Algodón </t>
  </si>
  <si>
    <t>Usd</t>
  </si>
  <si>
    <t>Portofino- Cucuta</t>
  </si>
  <si>
    <t>Mat-12</t>
  </si>
  <si>
    <t>Tela Algodón egipcio</t>
  </si>
  <si>
    <t>Castillo</t>
  </si>
  <si>
    <t>Mat-13</t>
  </si>
  <si>
    <t>Tela Atlética</t>
  </si>
  <si>
    <t>Mat-14</t>
  </si>
  <si>
    <t>Tela Columbia</t>
  </si>
  <si>
    <t>Mat-15</t>
  </si>
  <si>
    <t>Tela Dri Fit</t>
  </si>
  <si>
    <t>Mat-16</t>
  </si>
  <si>
    <t>Tela Drill sahara</t>
  </si>
  <si>
    <t>Mat-17</t>
  </si>
  <si>
    <t>Tela fashion mix spt</t>
  </si>
  <si>
    <t>Mat-18</t>
  </si>
  <si>
    <t>Tela Gabardina</t>
  </si>
  <si>
    <t>Mat-19</t>
  </si>
  <si>
    <t>Tela LaCoste</t>
  </si>
  <si>
    <t>Kilometro - cucuta</t>
  </si>
  <si>
    <t>Mat-20</t>
  </si>
  <si>
    <t>Tela Licra careoca</t>
  </si>
  <si>
    <t>Mat-21</t>
  </si>
  <si>
    <t>Tela Licra eternity</t>
  </si>
  <si>
    <t>Mat-22</t>
  </si>
  <si>
    <t>Tela Licra super leggyn</t>
  </si>
  <si>
    <t>Proveedor C</t>
  </si>
  <si>
    <t>Mat-23</t>
  </si>
  <si>
    <t>Tela Licra super pacyfic</t>
  </si>
  <si>
    <t>Mat-24</t>
  </si>
  <si>
    <t>Tela Malla forro</t>
  </si>
  <si>
    <t>Mat-25</t>
  </si>
  <si>
    <t>Tela malla maraton</t>
  </si>
  <si>
    <t>Mat-26</t>
  </si>
  <si>
    <t>Tela Memory</t>
  </si>
  <si>
    <t>Proveedor G</t>
  </si>
  <si>
    <t>Mat-27</t>
  </si>
  <si>
    <t>Tela Micro perforada</t>
  </si>
  <si>
    <t>Mat-28</t>
  </si>
  <si>
    <t>Tela Microdurasno</t>
  </si>
  <si>
    <t>Mat-29</t>
  </si>
  <si>
    <t>Tela Microfibra mundial</t>
  </si>
  <si>
    <t>Mat-30</t>
  </si>
  <si>
    <t>Tela Mono</t>
  </si>
  <si>
    <t>Proveedor E</t>
  </si>
  <si>
    <t>Mat-31</t>
  </si>
  <si>
    <t>Tela Mono hollister</t>
  </si>
  <si>
    <t>Mat-32</t>
  </si>
  <si>
    <t>Proveedor A</t>
  </si>
  <si>
    <t>Mat-33</t>
  </si>
  <si>
    <t>Tela neopreno</t>
  </si>
  <si>
    <t>Mat-34</t>
  </si>
  <si>
    <t>Tela North face</t>
  </si>
  <si>
    <t>Mat-35</t>
  </si>
  <si>
    <t>Tela Oxford</t>
  </si>
  <si>
    <t>Mat-36</t>
  </si>
  <si>
    <t>Tela Piqué armani</t>
  </si>
  <si>
    <t>Mat-37</t>
  </si>
  <si>
    <t>Tela polar</t>
  </si>
  <si>
    <t>Mat-38</t>
  </si>
  <si>
    <t>Tela polo wafy</t>
  </si>
  <si>
    <t>Mat-39</t>
  </si>
  <si>
    <t>Tela qatar</t>
  </si>
  <si>
    <t>Mat-40</t>
  </si>
  <si>
    <t>Tela Super Mono</t>
  </si>
  <si>
    <t>Mat-41</t>
  </si>
  <si>
    <t>Tela Tafeta iglú</t>
  </si>
  <si>
    <t>Mat-42</t>
  </si>
  <si>
    <t>Tela Taslan olimpico</t>
  </si>
  <si>
    <t>Proveedor F</t>
  </si>
  <si>
    <t>Mat-43</t>
  </si>
  <si>
    <t>Tela Taslan permusa</t>
  </si>
  <si>
    <t>Mat-44</t>
  </si>
  <si>
    <t>Tela Terry</t>
  </si>
  <si>
    <t>Proveedor D</t>
  </si>
  <si>
    <t>Mat-45</t>
  </si>
  <si>
    <t>Vinil escarchado</t>
  </si>
  <si>
    <t>Mat-46</t>
  </si>
  <si>
    <t>Vinil metalizado</t>
  </si>
  <si>
    <t>Mat-47</t>
  </si>
  <si>
    <t>Vinil olografico</t>
  </si>
  <si>
    <t>Mat-48</t>
  </si>
  <si>
    <t>Vinil plano</t>
  </si>
  <si>
    <t>Mat-49</t>
  </si>
  <si>
    <t>Vinil Reflectivo</t>
  </si>
  <si>
    <t>Mat-50</t>
  </si>
  <si>
    <t>Vinil Sublimable</t>
  </si>
  <si>
    <t>Mat-51</t>
  </si>
  <si>
    <t>Vinil tatami</t>
  </si>
  <si>
    <t>Mat-52</t>
  </si>
  <si>
    <t>Mat-53</t>
  </si>
  <si>
    <t>Tela Tull</t>
  </si>
  <si>
    <t>Mat-54</t>
  </si>
  <si>
    <t>Licra Pretina</t>
  </si>
  <si>
    <t>Mat-55</t>
  </si>
  <si>
    <t>Caucho</t>
  </si>
  <si>
    <t>Mat-56</t>
  </si>
  <si>
    <t>Mousepad en blanco</t>
  </si>
  <si>
    <t>ID_Actividad</t>
  </si>
  <si>
    <t>Nombre_Actividad</t>
  </si>
  <si>
    <t>Tipo</t>
  </si>
  <si>
    <t>Unidad</t>
  </si>
  <si>
    <t>Descripción</t>
  </si>
  <si>
    <t>Id_Tecnica</t>
  </si>
  <si>
    <t>técnica</t>
  </si>
  <si>
    <t>Id_Tamano</t>
  </si>
  <si>
    <t>Nombre_Tamano</t>
  </si>
  <si>
    <t>Ancho_cm</t>
  </si>
  <si>
    <t>Alto_cm</t>
  </si>
  <si>
    <t>id_tipo_precio</t>
  </si>
  <si>
    <t>Volumen_Compra</t>
  </si>
  <si>
    <t>Técnica base</t>
  </si>
  <si>
    <t>Actividad relacionada</t>
  </si>
  <si>
    <t>Observación</t>
  </si>
  <si>
    <t>Id_Actividad_Resuelto</t>
  </si>
  <si>
    <t>Id_Material_Resuelto</t>
  </si>
  <si>
    <t>id_costo</t>
  </si>
  <si>
    <t>id_actividad</t>
  </si>
  <si>
    <t>costo_unitario</t>
  </si>
  <si>
    <t>Moneda_Act</t>
  </si>
  <si>
    <t>Cantidad_Tela_m²</t>
  </si>
  <si>
    <t>Cantidad_Tela_Formula</t>
  </si>
  <si>
    <t>Act-01</t>
  </si>
  <si>
    <t>Corte del Plotter</t>
  </si>
  <si>
    <t>Operación</t>
  </si>
  <si>
    <t>Tec-01</t>
  </si>
  <si>
    <t>TAM-01</t>
  </si>
  <si>
    <t>Vinil 15 cm</t>
  </si>
  <si>
    <t>VC001</t>
  </si>
  <si>
    <t>Detal</t>
  </si>
  <si>
    <t>BORDADO</t>
  </si>
  <si>
    <t>Act-02</t>
  </si>
  <si>
    <t>CTS0028</t>
  </si>
  <si>
    <t>Act-09</t>
  </si>
  <si>
    <t>Bordado</t>
  </si>
  <si>
    <t>unidad</t>
  </si>
  <si>
    <t>Tec-02</t>
  </si>
  <si>
    <t>SUBLIMADO</t>
  </si>
  <si>
    <t>TAM-02</t>
  </si>
  <si>
    <t>Vinil Carta</t>
  </si>
  <si>
    <t>VC002</t>
  </si>
  <si>
    <t>DIGITALIZACION</t>
  </si>
  <si>
    <t>Act-07</t>
  </si>
  <si>
    <t>CTS0029</t>
  </si>
  <si>
    <t>Act-03</t>
  </si>
  <si>
    <t>Depilada</t>
  </si>
  <si>
    <t>Tec-03</t>
  </si>
  <si>
    <t>DTF</t>
  </si>
  <si>
    <t>TAM-03</t>
  </si>
  <si>
    <t>Vinil Oficio</t>
  </si>
  <si>
    <t>VC003</t>
  </si>
  <si>
    <t>Mayor +1000</t>
  </si>
  <si>
    <t>Act-12</t>
  </si>
  <si>
    <t>CTS0030</t>
  </si>
  <si>
    <t>Act-04</t>
  </si>
  <si>
    <t>Diseño</t>
  </si>
  <si>
    <t>Tec-04</t>
  </si>
  <si>
    <t>VINIL + SUBLIMADO</t>
  </si>
  <si>
    <t>TAM-04</t>
  </si>
  <si>
    <t>Vinil 20x20 cm</t>
  </si>
  <si>
    <t>diseño</t>
  </si>
  <si>
    <t>CTS0031</t>
  </si>
  <si>
    <t xml:space="preserve">Act-05 </t>
  </si>
  <si>
    <t>Colocación cierres</t>
  </si>
  <si>
    <t>Tec-05</t>
  </si>
  <si>
    <t>TAM-05</t>
  </si>
  <si>
    <t>Vinil 25x30 cm</t>
  </si>
  <si>
    <t>Planchado Grande</t>
  </si>
  <si>
    <t>Act-17</t>
  </si>
  <si>
    <t>CTS0032</t>
  </si>
  <si>
    <t>Act-06</t>
  </si>
  <si>
    <t>Confección bolsillos</t>
  </si>
  <si>
    <t>TAM-06</t>
  </si>
  <si>
    <t>Sublimado Carta</t>
  </si>
  <si>
    <t>Sublimación</t>
  </si>
  <si>
    <t>Act-10</t>
  </si>
  <si>
    <t>CTS0033</t>
  </si>
  <si>
    <t>Digitalizacion</t>
  </si>
  <si>
    <t>TAM-07</t>
  </si>
  <si>
    <t>Sublimado Oficio</t>
  </si>
  <si>
    <t>CTS0034</t>
  </si>
  <si>
    <t>Act-08</t>
  </si>
  <si>
    <t>Corte de Tela</t>
  </si>
  <si>
    <t>TAM-08</t>
  </si>
  <si>
    <t>Sublimado Delantero</t>
  </si>
  <si>
    <t>CTS0035</t>
  </si>
  <si>
    <t>Costura</t>
  </si>
  <si>
    <t>TAM-09</t>
  </si>
  <si>
    <t>Sublimado Total</t>
  </si>
  <si>
    <t>CTS0036</t>
  </si>
  <si>
    <t>m²</t>
  </si>
  <si>
    <t>Vinilado</t>
  </si>
  <si>
    <t>Según tamaño</t>
  </si>
  <si>
    <t>Act-11</t>
  </si>
  <si>
    <t>CTS0037</t>
  </si>
  <si>
    <t>CTS0038</t>
  </si>
  <si>
    <t>Act-21</t>
  </si>
  <si>
    <t>Gastos Operativos</t>
  </si>
  <si>
    <t>CTS0039</t>
  </si>
  <si>
    <t>Act-13</t>
  </si>
  <si>
    <t>Corte de papel</t>
  </si>
  <si>
    <t>CTS0040</t>
  </si>
  <si>
    <t>Act-16</t>
  </si>
  <si>
    <t>Planchado pequeño</t>
  </si>
  <si>
    <t>CTS0041</t>
  </si>
  <si>
    <t>CTS0086</t>
  </si>
  <si>
    <t>Act-27</t>
  </si>
  <si>
    <t>Terminacion</t>
  </si>
  <si>
    <t>Tamaño específico</t>
  </si>
  <si>
    <t>CTS0042</t>
  </si>
  <si>
    <t>Act-18</t>
  </si>
  <si>
    <t>Impresión</t>
  </si>
  <si>
    <t>CTS0043</t>
  </si>
  <si>
    <t>CTS0044</t>
  </si>
  <si>
    <t>CTS0013</t>
  </si>
  <si>
    <t>CTS0014</t>
  </si>
  <si>
    <t>CTS0015</t>
  </si>
  <si>
    <t>CTS0016</t>
  </si>
  <si>
    <t>CTS0017</t>
  </si>
  <si>
    <t>CTS0018</t>
  </si>
  <si>
    <t>Completado con RECETAS_NORMALIZADAS.xlsx: +363 filas de costo por actividad, +6 filas de consumo de tela. Filas nuevas usan codigo CTSX#### para no chocar con las reales (CTS####).</t>
  </si>
  <si>
    <t>CTS0010</t>
  </si>
  <si>
    <t>CTS0011</t>
  </si>
  <si>
    <t>CTS0012</t>
  </si>
  <si>
    <t>CTS0001</t>
  </si>
  <si>
    <t>CTS0002</t>
  </si>
  <si>
    <t>CTS0003</t>
  </si>
  <si>
    <t>CTS0045</t>
  </si>
  <si>
    <t>CTS0046</t>
  </si>
  <si>
    <t>CTS0047</t>
  </si>
  <si>
    <t>CTS0087</t>
  </si>
  <si>
    <t>CTS0088</t>
  </si>
  <si>
    <t>CTS0089</t>
  </si>
  <si>
    <t>CTS0019</t>
  </si>
  <si>
    <t>CTS0020</t>
  </si>
  <si>
    <t>CTS0021</t>
  </si>
  <si>
    <t>CTS0022</t>
  </si>
  <si>
    <t>CTS0023</t>
  </si>
  <si>
    <t>CTS0024</t>
  </si>
  <si>
    <t>CTS0007</t>
  </si>
  <si>
    <t>CTS0008</t>
  </si>
  <si>
    <t>CTS0009</t>
  </si>
  <si>
    <t>CTS0004</t>
  </si>
  <si>
    <t>CTS0005</t>
  </si>
  <si>
    <t>CTS0006</t>
  </si>
  <si>
    <t>CTS0048</t>
  </si>
  <si>
    <t>CTS0049</t>
  </si>
  <si>
    <t>Costo tela USD 1.1579 (id_receta 146, fuente RECETAS_NORMALIZADAS, sin m2 explicito)</t>
  </si>
  <si>
    <t>CTS0050</t>
  </si>
  <si>
    <t>Costo tela USD 1.6000 (id_receta 151, fuente RECETAS_NORMALIZADAS, sin m2 explicito)</t>
  </si>
  <si>
    <t>CTS0051</t>
  </si>
  <si>
    <t>Costo tela USD 3.0333 (id_receta 154, fuente RECETAS_NORMALIZADAS, sin m2 explicito)</t>
  </si>
  <si>
    <t>CTS0052</t>
  </si>
  <si>
    <t>Costo tela USD 0.7200 (id_receta 228, fuente RECETAS_NORMALIZADAS, sin m2 explicito)</t>
  </si>
  <si>
    <t>CTS0053</t>
  </si>
  <si>
    <t>Costo tela USD 0.4500 (id_receta 233, fuente RECETAS_NORMALIZADAS, sin m2 explicito)</t>
  </si>
  <si>
    <t>CTS0054</t>
  </si>
  <si>
    <t>Costo tela USD 0.9600 (id_receta 235, fuente RECETAS_NORMALIZADAS, sin m2 explicito)</t>
  </si>
  <si>
    <t>CTS0055</t>
  </si>
  <si>
    <t>CTS0056</t>
  </si>
  <si>
    <t>CTS0057</t>
  </si>
  <si>
    <t>CTS0058</t>
  </si>
  <si>
    <t>CTS0059</t>
  </si>
  <si>
    <t>CTS0060</t>
  </si>
  <si>
    <t>CTS0061</t>
  </si>
  <si>
    <t>CTS0062</t>
  </si>
  <si>
    <t>CTS0063</t>
  </si>
  <si>
    <t>CTS0064</t>
  </si>
  <si>
    <t>CTS0065</t>
  </si>
  <si>
    <t>CTS0066</t>
  </si>
  <si>
    <t>CTS0067</t>
  </si>
  <si>
    <t>CTS0068</t>
  </si>
  <si>
    <t>CTS0069</t>
  </si>
  <si>
    <t>CTS0070</t>
  </si>
  <si>
    <t>CTS0071</t>
  </si>
  <si>
    <t>CTS0072</t>
  </si>
  <si>
    <t>CTS0073</t>
  </si>
  <si>
    <t>CTS0074</t>
  </si>
  <si>
    <t>CTS0075</t>
  </si>
  <si>
    <t>CTS0076</t>
  </si>
  <si>
    <t>CTS0077</t>
  </si>
  <si>
    <t>CTS0078</t>
  </si>
  <si>
    <t>CTS0079</t>
  </si>
  <si>
    <t>CTS0080</t>
  </si>
  <si>
    <t>CTS0081</t>
  </si>
  <si>
    <t>P-XX (Falda short con bolsillo)</t>
  </si>
  <si>
    <t>CTS0082</t>
  </si>
  <si>
    <t>CTS0083</t>
  </si>
  <si>
    <t>P-XX (Porta canilleras c/corte)</t>
  </si>
  <si>
    <t>CTS0084</t>
  </si>
  <si>
    <t>CTS0085</t>
  </si>
  <si>
    <t>CTSX0100</t>
  </si>
  <si>
    <t>CTSX0101</t>
  </si>
  <si>
    <t>CTSX0102</t>
  </si>
  <si>
    <t>CTSX0103</t>
  </si>
  <si>
    <t>CTSX0104</t>
  </si>
  <si>
    <t>CTSX0105</t>
  </si>
  <si>
    <t>CTSX0106</t>
  </si>
  <si>
    <t>CTSX0107</t>
  </si>
  <si>
    <t>CTSX0108</t>
  </si>
  <si>
    <t>CTSX0109</t>
  </si>
  <si>
    <t>CTSX0110</t>
  </si>
  <si>
    <t>CTSX0111</t>
  </si>
  <si>
    <t>CTSX0112</t>
  </si>
  <si>
    <t>CTSX0113</t>
  </si>
  <si>
    <t>CTSX0114</t>
  </si>
  <si>
    <t>CTSX0115</t>
  </si>
  <si>
    <t>CTSX0116</t>
  </si>
  <si>
    <t>CTSX0117</t>
  </si>
  <si>
    <t>CTSX0118</t>
  </si>
  <si>
    <t>CTSX0119</t>
  </si>
  <si>
    <t>CTSX0120</t>
  </si>
  <si>
    <t>CTSX0121</t>
  </si>
  <si>
    <t>CTSX0122</t>
  </si>
  <si>
    <t>CTSX0123</t>
  </si>
  <si>
    <t>CTSX0124</t>
  </si>
  <si>
    <t>CTSX0125</t>
  </si>
  <si>
    <t>CTSX0126</t>
  </si>
  <si>
    <t>CTSX0127</t>
  </si>
  <si>
    <t>CTSX0128</t>
  </si>
  <si>
    <t>CTSX0129</t>
  </si>
  <si>
    <t>CTSX0130</t>
  </si>
  <si>
    <t>CTSX0131</t>
  </si>
  <si>
    <t>CTSX0132</t>
  </si>
  <si>
    <t>CTSX0133</t>
  </si>
  <si>
    <t>CTSX0134</t>
  </si>
  <si>
    <t>CTSX0135</t>
  </si>
  <si>
    <t>CTSX0136</t>
  </si>
  <si>
    <t>CTSX0137</t>
  </si>
  <si>
    <t>CTSX0138</t>
  </si>
  <si>
    <t>CTSX0139</t>
  </si>
  <si>
    <t>CTSX0140</t>
  </si>
  <si>
    <t>CTSX0141</t>
  </si>
  <si>
    <t>CTSX0142</t>
  </si>
  <si>
    <t>CTSX0143</t>
  </si>
  <si>
    <t>CTSX0144</t>
  </si>
  <si>
    <t>CTSX0145</t>
  </si>
  <si>
    <t>CTSX0146</t>
  </si>
  <si>
    <t>CTSX0147</t>
  </si>
  <si>
    <t>CTSX0148</t>
  </si>
  <si>
    <t>CTSX0149</t>
  </si>
  <si>
    <t>CTSX0150</t>
  </si>
  <si>
    <t>CTSX0151</t>
  </si>
  <si>
    <t>CTSX0152</t>
  </si>
  <si>
    <t>CTSX0153</t>
  </si>
  <si>
    <t>CTSX0154</t>
  </si>
  <si>
    <t>CTSX0155</t>
  </si>
  <si>
    <t>CTSX0156</t>
  </si>
  <si>
    <t>CTSX0157</t>
  </si>
  <si>
    <t>CTSX0158</t>
  </si>
  <si>
    <t>CTSX0159</t>
  </si>
  <si>
    <t>CTSX0160</t>
  </si>
  <si>
    <t>CTSX0161</t>
  </si>
  <si>
    <t>CTSX0162</t>
  </si>
  <si>
    <t>CTSX0163</t>
  </si>
  <si>
    <t>CTSX0164</t>
  </si>
  <si>
    <t>CTSX0165</t>
  </si>
  <si>
    <t>CTSX0166</t>
  </si>
  <si>
    <t>CTSX0167</t>
  </si>
  <si>
    <t>CTSX0168</t>
  </si>
  <si>
    <t>CTSX0169</t>
  </si>
  <si>
    <t>CTSX0170</t>
  </si>
  <si>
    <t>CTSX0171</t>
  </si>
  <si>
    <t>CTSX0172</t>
  </si>
  <si>
    <t>CTSX0173</t>
  </si>
  <si>
    <t>CTSX0174</t>
  </si>
  <si>
    <t>CTSX0175</t>
  </si>
  <si>
    <t>CTSX0176</t>
  </si>
  <si>
    <t>CTSX0177</t>
  </si>
  <si>
    <t>CTSX0178</t>
  </si>
  <si>
    <t>CTSX0179</t>
  </si>
  <si>
    <t>CTSX0180</t>
  </si>
  <si>
    <t>CTSX0181</t>
  </si>
  <si>
    <t>CTSX0182</t>
  </si>
  <si>
    <t>CTSX0183</t>
  </si>
  <si>
    <t>CTSX0184</t>
  </si>
  <si>
    <t>CTSX0185</t>
  </si>
  <si>
    <t>CTSX0186</t>
  </si>
  <si>
    <t>CTSX0187</t>
  </si>
  <si>
    <t>CTSX0188</t>
  </si>
  <si>
    <t>CTSX0189</t>
  </si>
  <si>
    <t>CTSX0190</t>
  </si>
  <si>
    <t>CTSX0191</t>
  </si>
  <si>
    <t>CTSX0192</t>
  </si>
  <si>
    <t>CTSX0193</t>
  </si>
  <si>
    <t>CTSX0194</t>
  </si>
  <si>
    <t>CTSX0195</t>
  </si>
  <si>
    <t>CTSX0196</t>
  </si>
  <si>
    <t>CTSX0197</t>
  </si>
  <si>
    <t>CTSX0198</t>
  </si>
  <si>
    <t>CTSX0199</t>
  </si>
  <si>
    <t>CTSX0200</t>
  </si>
  <si>
    <t>CTSX0201</t>
  </si>
  <si>
    <t>CTSX0202</t>
  </si>
  <si>
    <t>CTSX0203</t>
  </si>
  <si>
    <t>CTSX0204</t>
  </si>
  <si>
    <t>CTSX0205</t>
  </si>
  <si>
    <t>CTSX0206</t>
  </si>
  <si>
    <t>CTSX0207</t>
  </si>
  <si>
    <t>CTSX0208</t>
  </si>
  <si>
    <t>CTSX0209</t>
  </si>
  <si>
    <t>CTSX0210</t>
  </si>
  <si>
    <t>CTSX0211</t>
  </si>
  <si>
    <t>CTSX0212</t>
  </si>
  <si>
    <t>CTSX0213</t>
  </si>
  <si>
    <t>CTSX0214</t>
  </si>
  <si>
    <t>CTSX0215</t>
  </si>
  <si>
    <t>CTSX0216</t>
  </si>
  <si>
    <t>CTSX0217</t>
  </si>
  <si>
    <t>CTSX0218</t>
  </si>
  <si>
    <t>CTSX0219</t>
  </si>
  <si>
    <t>CTSX0220</t>
  </si>
  <si>
    <t>CTSX0221</t>
  </si>
  <si>
    <t>CTSX0222</t>
  </si>
  <si>
    <t>CTSX0223</t>
  </si>
  <si>
    <t>CTSX0224</t>
  </si>
  <si>
    <t>CTSX0225</t>
  </si>
  <si>
    <t>CTSX0226</t>
  </si>
  <si>
    <t>CTSX0227</t>
  </si>
  <si>
    <t>CTSX0228</t>
  </si>
  <si>
    <t>CTSX0229</t>
  </si>
  <si>
    <t>CTSX0230</t>
  </si>
  <si>
    <t>CTSX0231</t>
  </si>
  <si>
    <t>CTSX0232</t>
  </si>
  <si>
    <t>CTSX0233</t>
  </si>
  <si>
    <t>CTSX0234</t>
  </si>
  <si>
    <t>CTSX0235</t>
  </si>
  <si>
    <t>CTSX0236</t>
  </si>
  <si>
    <t>CTSX0237</t>
  </si>
  <si>
    <t>CTSX0238</t>
  </si>
  <si>
    <t>CTSX0239</t>
  </si>
  <si>
    <t>CTSX0240</t>
  </si>
  <si>
    <t>CTSX0241</t>
  </si>
  <si>
    <t>CTSX0242</t>
  </si>
  <si>
    <t>CTSX0243</t>
  </si>
  <si>
    <t>CTSX0244</t>
  </si>
  <si>
    <t>CTSX0245</t>
  </si>
  <si>
    <t>CTSX0246</t>
  </si>
  <si>
    <t>CTSX0247</t>
  </si>
  <si>
    <t>CTSX0248</t>
  </si>
  <si>
    <t>CTSX0249</t>
  </si>
  <si>
    <t>CTSX0250</t>
  </si>
  <si>
    <t>CTSX0251</t>
  </si>
  <si>
    <t>CTSX0252</t>
  </si>
  <si>
    <t>CTSX0253</t>
  </si>
  <si>
    <t>CTSX0254</t>
  </si>
  <si>
    <t>CTSX0255</t>
  </si>
  <si>
    <t>CTSX0256</t>
  </si>
  <si>
    <t>CTSX0257</t>
  </si>
  <si>
    <t>CTSX0258</t>
  </si>
  <si>
    <t>CTSX0259</t>
  </si>
  <si>
    <t>CTSX0260</t>
  </si>
  <si>
    <t>CTSX0261</t>
  </si>
  <si>
    <t>CTSX0262</t>
  </si>
  <si>
    <t>CTSX0263</t>
  </si>
  <si>
    <t>CTSX0264</t>
  </si>
  <si>
    <t>CTSX0265</t>
  </si>
  <si>
    <t>CTSX0266</t>
  </si>
  <si>
    <t>CTSX0267</t>
  </si>
  <si>
    <t>CTSX0268</t>
  </si>
  <si>
    <t>CTSX0269</t>
  </si>
  <si>
    <t>CTSX0270</t>
  </si>
  <si>
    <t>CTSX0271</t>
  </si>
  <si>
    <t>CTSX0272</t>
  </si>
  <si>
    <t>CTSX0273</t>
  </si>
  <si>
    <t>CTSX0274</t>
  </si>
  <si>
    <t>CTSX0275</t>
  </si>
  <si>
    <t>CTSX0276</t>
  </si>
  <si>
    <t>CTSX0277</t>
  </si>
  <si>
    <t>CTSX0278</t>
  </si>
  <si>
    <t>CTSX0279</t>
  </si>
  <si>
    <t>CTSX0280</t>
  </si>
  <si>
    <t>CTSX0281</t>
  </si>
  <si>
    <t>CTSX0282</t>
  </si>
  <si>
    <t>CTSX0283</t>
  </si>
  <si>
    <t>CTSX0284</t>
  </si>
  <si>
    <t>CTSX0285</t>
  </si>
  <si>
    <t>CTSX0286</t>
  </si>
  <si>
    <t>CTSX0287</t>
  </si>
  <si>
    <t>CTSX0288</t>
  </si>
  <si>
    <t>CTSX0289</t>
  </si>
  <si>
    <t>CTSX0290</t>
  </si>
  <si>
    <t>CTSX0291</t>
  </si>
  <si>
    <t>CTSX0292</t>
  </si>
  <si>
    <t>CTSX0293</t>
  </si>
  <si>
    <t>CTSX0294</t>
  </si>
  <si>
    <t>CTSX0295</t>
  </si>
  <si>
    <t>CTSX0296</t>
  </si>
  <si>
    <t>CTSX0297</t>
  </si>
  <si>
    <t>CTSX0298</t>
  </si>
  <si>
    <t>CTSX0299</t>
  </si>
  <si>
    <t>CTSX0300</t>
  </si>
  <si>
    <t>CTSX0301</t>
  </si>
  <si>
    <t>CTSX0302</t>
  </si>
  <si>
    <t>CTSX0303</t>
  </si>
  <si>
    <t>CTSX0304</t>
  </si>
  <si>
    <t>CTSX0305</t>
  </si>
  <si>
    <t>CTSX0306</t>
  </si>
  <si>
    <t>CTSX0307</t>
  </si>
  <si>
    <t>CTSX0308</t>
  </si>
  <si>
    <t>CTSX0309</t>
  </si>
  <si>
    <t>CTSX0310</t>
  </si>
  <si>
    <t>CTSX0311</t>
  </si>
  <si>
    <t>CTSX0312</t>
  </si>
  <si>
    <t>CTSX0313</t>
  </si>
  <si>
    <t>CTSX0314</t>
  </si>
  <si>
    <t>CTSX0315</t>
  </si>
  <si>
    <t>CTSX0316</t>
  </si>
  <si>
    <t>CTSX0317</t>
  </si>
  <si>
    <t>CTSX0318</t>
  </si>
  <si>
    <t>CTSX0319</t>
  </si>
  <si>
    <t>CTSX0320</t>
  </si>
  <si>
    <t>CTSX0321</t>
  </si>
  <si>
    <t>CTSX0322</t>
  </si>
  <si>
    <t>CTSX0323</t>
  </si>
  <si>
    <t>CTSX0324</t>
  </si>
  <si>
    <t>CTSX0325</t>
  </si>
  <si>
    <t>CTSX0326</t>
  </si>
  <si>
    <t>CTSX0327</t>
  </si>
  <si>
    <t>CTSX0328</t>
  </si>
  <si>
    <t>CTSX0329</t>
  </si>
  <si>
    <t>CTSX0330</t>
  </si>
  <si>
    <t>CTSX0331</t>
  </si>
  <si>
    <t>CTSX0332</t>
  </si>
  <si>
    <t>CTSX0333</t>
  </si>
  <si>
    <t>CTSX0334</t>
  </si>
  <si>
    <t>CTSX0335</t>
  </si>
  <si>
    <t>CTSX0336</t>
  </si>
  <si>
    <t>CTSX0337</t>
  </si>
  <si>
    <t>CTSX0338</t>
  </si>
  <si>
    <t>CTSX0339</t>
  </si>
  <si>
    <t>CTSX0340</t>
  </si>
  <si>
    <t>CTSX0341</t>
  </si>
  <si>
    <t>CTSX0342</t>
  </si>
  <si>
    <t>CTSX0343</t>
  </si>
  <si>
    <t>CTSX0344</t>
  </si>
  <si>
    <t>CTSX0345</t>
  </si>
  <si>
    <t>CTSX0346</t>
  </si>
  <si>
    <t>CTSX0347</t>
  </si>
  <si>
    <t>CTSX0348</t>
  </si>
  <si>
    <t>CTSX0349</t>
  </si>
  <si>
    <t>CTSX0350</t>
  </si>
  <si>
    <t>CTSX0351</t>
  </si>
  <si>
    <t>CTSX0352</t>
  </si>
  <si>
    <t>CTSX0353</t>
  </si>
  <si>
    <t>CTSX0354</t>
  </si>
  <si>
    <t>CTSX0355</t>
  </si>
  <si>
    <t>CTSX0356</t>
  </si>
  <si>
    <t>CTSX0357</t>
  </si>
  <si>
    <t>CTSX0358</t>
  </si>
  <si>
    <t>CTSX0359</t>
  </si>
  <si>
    <t>CTSX0360</t>
  </si>
  <si>
    <t>CTSX0361</t>
  </si>
  <si>
    <t>CTSX0362</t>
  </si>
  <si>
    <t>CTSX0363</t>
  </si>
  <si>
    <t>CTSX0364</t>
  </si>
  <si>
    <t>CTSX0365</t>
  </si>
  <si>
    <t>CTSX0366</t>
  </si>
  <si>
    <t>CTSX0367</t>
  </si>
  <si>
    <t>CTSX0368</t>
  </si>
  <si>
    <t>CTSX0369</t>
  </si>
  <si>
    <t>CTSX0370</t>
  </si>
  <si>
    <t>CTSX0371</t>
  </si>
  <si>
    <t>CTSX0372</t>
  </si>
  <si>
    <t>CTSX0373</t>
  </si>
  <si>
    <t>CTSX0374</t>
  </si>
  <si>
    <t>CTSX0375</t>
  </si>
  <si>
    <t>CTSX0376</t>
  </si>
  <si>
    <t>CTSX0377</t>
  </si>
  <si>
    <t>CTSX0378</t>
  </si>
  <si>
    <t>CTSX0379</t>
  </si>
  <si>
    <t>CTSX0380</t>
  </si>
  <si>
    <t>CTSX0381</t>
  </si>
  <si>
    <t>CTSX0382</t>
  </si>
  <si>
    <t>CTSX0383</t>
  </si>
  <si>
    <t>CTSX0384</t>
  </si>
  <si>
    <t>CTSX0385</t>
  </si>
  <si>
    <t>CTSX0386</t>
  </si>
  <si>
    <t>CTSX0387</t>
  </si>
  <si>
    <t>CTSX0388</t>
  </si>
  <si>
    <t>CTSX0389</t>
  </si>
  <si>
    <t>CTSX0390</t>
  </si>
  <si>
    <t>CTSX0391</t>
  </si>
  <si>
    <t>CTSX0392</t>
  </si>
  <si>
    <t>CTSX0393</t>
  </si>
  <si>
    <t>CTSX0394</t>
  </si>
  <si>
    <t>CTSX0395</t>
  </si>
  <si>
    <t>CTSX0396</t>
  </si>
  <si>
    <t>CTSX0397</t>
  </si>
  <si>
    <t>CTSX0398</t>
  </si>
  <si>
    <t>CTSX0399</t>
  </si>
  <si>
    <t>CTSX0400</t>
  </si>
  <si>
    <t>CTSX0401</t>
  </si>
  <si>
    <t>CTSX0402</t>
  </si>
  <si>
    <t>CTSX0403</t>
  </si>
  <si>
    <t>CTSX0404</t>
  </si>
  <si>
    <t>CTSX0405</t>
  </si>
  <si>
    <t>CTSX0406</t>
  </si>
  <si>
    <t>CTSX0407</t>
  </si>
  <si>
    <t>CTSX0408</t>
  </si>
  <si>
    <t>CTSX0409</t>
  </si>
  <si>
    <t>CTSX0410</t>
  </si>
  <si>
    <t>CTSX0411</t>
  </si>
  <si>
    <t>CTSX0412</t>
  </si>
  <si>
    <t>CTSX0413</t>
  </si>
  <si>
    <t>CTSX0414</t>
  </si>
  <si>
    <t>CTSX0415</t>
  </si>
  <si>
    <t>CTSX0416</t>
  </si>
  <si>
    <t>CTSX0417</t>
  </si>
  <si>
    <t>CTSX0418</t>
  </si>
  <si>
    <t>CTSX0419</t>
  </si>
  <si>
    <t>CTSX0420</t>
  </si>
  <si>
    <t>CTSX0421</t>
  </si>
  <si>
    <t>CTSX0422</t>
  </si>
  <si>
    <t>CTSX0423</t>
  </si>
  <si>
    <t>CTSX0424</t>
  </si>
  <si>
    <t>CTSX0425</t>
  </si>
  <si>
    <t>CTSX0426</t>
  </si>
  <si>
    <t>CTSX0427</t>
  </si>
  <si>
    <t>CTSX0428</t>
  </si>
  <si>
    <t>CTSX0429</t>
  </si>
  <si>
    <t>CTSX0430</t>
  </si>
  <si>
    <t>CTSX0431</t>
  </si>
  <si>
    <t>CTSX0432</t>
  </si>
  <si>
    <t>CTSX0433</t>
  </si>
  <si>
    <t>CTSX0434</t>
  </si>
  <si>
    <t>CTSX0435</t>
  </si>
  <si>
    <t>CTSX0436</t>
  </si>
  <si>
    <t>CTSX0437</t>
  </si>
  <si>
    <t>CTSX0438</t>
  </si>
  <si>
    <t>CTSX0439</t>
  </si>
  <si>
    <t>CTSX0440</t>
  </si>
  <si>
    <t>CTSX0441</t>
  </si>
  <si>
    <t>CTSX0442</t>
  </si>
  <si>
    <t>CTSX0443</t>
  </si>
  <si>
    <t>CTSX0444</t>
  </si>
  <si>
    <t>CTSX0445</t>
  </si>
  <si>
    <t>CTSX0446</t>
  </si>
  <si>
    <t>CTSX0447</t>
  </si>
  <si>
    <t>CTSX0448</t>
  </si>
  <si>
    <t>CTSX0449</t>
  </si>
  <si>
    <t>CTSX0450</t>
  </si>
  <si>
    <t>CTSX0451</t>
  </si>
  <si>
    <t>CTSX0452</t>
  </si>
  <si>
    <t>CTSX0453</t>
  </si>
  <si>
    <t>CTSX0454</t>
  </si>
  <si>
    <t>CTSX0455</t>
  </si>
  <si>
    <t>CTSX0456</t>
  </si>
  <si>
    <t>CTSX0457</t>
  </si>
  <si>
    <t>CTSX0458</t>
  </si>
  <si>
    <t>CTSX0459</t>
  </si>
  <si>
    <t>CTSX0460</t>
  </si>
  <si>
    <t>CTSX0461</t>
  </si>
  <si>
    <t>CTSX0462</t>
  </si>
  <si>
    <t>Tasa_vs_USD</t>
  </si>
  <si>
    <t>Nota</t>
  </si>
  <si>
    <t>Moneda base del motor</t>
  </si>
  <si>
    <t>COP</t>
  </si>
  <si>
    <t>Editable — actualizar segun tasa del dia</t>
  </si>
  <si>
    <t>VES</t>
  </si>
  <si>
    <t>Numero</t>
  </si>
  <si>
    <t>Telefono</t>
  </si>
  <si>
    <t>Total</t>
  </si>
  <si>
    <t>Abono</t>
  </si>
  <si>
    <t>Resta</t>
  </si>
  <si>
    <t>Etiqueta</t>
  </si>
  <si>
    <t>Item</t>
  </si>
  <si>
    <t>Descripcion</t>
  </si>
  <si>
    <t>CostoUnit</t>
  </si>
  <si>
    <t>Se llenan automáticamente al usar 'Aceptar Presupuesto' desde la hoja Presupuesto. No editar a mano salvo corrección puntual.</t>
  </si>
  <si>
    <t>Franelas | Dama | Tela Microdurasno | VINIL</t>
  </si>
  <si>
    <t>Franelas|Dama|Tela Microdurasno|VINIL|Detal</t>
  </si>
  <si>
    <t>Aceptado</t>
  </si>
  <si>
    <t>calculadora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</si>
</sst>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8"/>
      <color rgb="FF9C9C9C"/>
      <name val="Arial"/>
      <charset val="1"/>
    </font>
    <font>
      <b/>
      <sz val="10.5"/>
      <color rgb="FF000000"/>
      <name val="Arial"/>
      <charset val="1"/>
    </font>
    <font>
      <sz val="10.5"/>
      <name val="Arial"/>
      <charset val="1"/>
    </font>
    <font>
      <b/>
      <sz val="10.5"/>
      <name val="Arial"/>
      <charset val="1"/>
    </font>
    <font>
      <b/>
      <sz val="12"/>
      <color rgb="FF1E2761"/>
      <name val="Arial"/>
      <charset val="1"/>
    </font>
    <font>
      <b/>
      <sz val="12"/>
      <name val="Arial"/>
      <charset val="1"/>
    </font>
    <font>
      <b/>
      <sz val="10.5"/>
      <color rgb="FFB85042"/>
      <name val="Arial"/>
      <charset val="1"/>
    </font>
    <font>
      <i/>
      <sz val="9"/>
      <color rgb="FF595959"/>
      <name val="Arial"/>
      <charset val="1"/>
    </font>
    <font>
      <i/>
      <sz val="9"/>
      <color rgb="FF9C9C9C"/>
      <name val="Arial"/>
      <charset val="1"/>
    </font>
    <font>
      <i/>
      <sz val="8"/>
      <color rgb="FF9C9C9C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9"/>
      <color rgb="FF9C9C9C"/>
      <name val="Arial"/>
      <charset val="1"/>
    </font>
    <font>
      <sz val="11"/>
      <name val="Calibri"/>
      <family val="2"/>
      <charset val="1"/>
    </font>
    <font>
      <sz val="11"/>
      <color theme="0" tint="-0.1499984740745262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A7BEAE"/>
        <bgColor rgb="FFBFBFBF"/>
      </patternFill>
    </fill>
    <fill>
      <patternFill patternType="solid">
        <fgColor theme="3" tint="0.59999389629810485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8" fillId="3" borderId="1" xfId="0" applyFont="1" applyFill="1" applyBorder="1"/>
    <xf numFmtId="0" fontId="3" fillId="0" borderId="0" xfId="0" applyFont="1"/>
    <xf numFmtId="0" fontId="6" fillId="4" borderId="0" xfId="0" applyFont="1" applyFill="1"/>
    <xf numFmtId="0" fontId="4" fillId="3" borderId="1" xfId="0" applyFont="1" applyFill="1" applyBorder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14" fontId="4" fillId="3" borderId="1" xfId="0" applyNumberFormat="1" applyFont="1" applyFill="1" applyBorder="1"/>
    <xf numFmtId="0" fontId="2" fillId="0" borderId="0" xfId="0" applyFont="1" applyAlignment="1">
      <alignment horizontal="left"/>
    </xf>
    <xf numFmtId="0" fontId="7" fillId="3" borderId="1" xfId="0" applyFont="1" applyFill="1" applyBorder="1"/>
    <xf numFmtId="0" fontId="5" fillId="3" borderId="1" xfId="0" applyFont="1" applyFill="1" applyBorder="1"/>
    <xf numFmtId="164" fontId="7" fillId="3" borderId="1" xfId="0" applyNumberFormat="1" applyFont="1" applyFill="1" applyBorder="1"/>
    <xf numFmtId="0" fontId="8" fillId="0" borderId="0" xfId="0" applyFont="1"/>
    <xf numFmtId="164" fontId="5" fillId="3" borderId="1" xfId="0" applyNumberFormat="1" applyFont="1" applyFill="1" applyBorder="1"/>
    <xf numFmtId="0" fontId="10" fillId="0" borderId="0" xfId="0" applyFont="1"/>
    <xf numFmtId="0" fontId="12" fillId="2" borderId="1" xfId="0" applyFont="1" applyFill="1" applyBorder="1"/>
    <xf numFmtId="0" fontId="13" fillId="0" borderId="1" xfId="0" applyFont="1" applyBorder="1"/>
    <xf numFmtId="0" fontId="14" fillId="0" borderId="1" xfId="0" applyFont="1" applyBorder="1"/>
    <xf numFmtId="0" fontId="13" fillId="0" borderId="0" xfId="0" applyFont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5" fillId="5" borderId="1" xfId="0" applyFont="1" applyFill="1" applyBorder="1"/>
    <xf numFmtId="0" fontId="15" fillId="0" borderId="0" xfId="0" applyFont="1"/>
    <xf numFmtId="164" fontId="15" fillId="0" borderId="0" xfId="0" applyNumberFormat="1" applyFont="1"/>
    <xf numFmtId="0" fontId="16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</dxfs>
  <tableStyles count="1" defaultTableStyle="TableStyleMedium2" defaultPivotStyle="PivotStyleLight16">
    <tableStyle name="Invisible" pivot="0" table="0" count="0" xr9:uid="{26C12B50-F5FD-4071-BF5F-155178FD591F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85042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7BEA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C9C9C"/>
      <rgbColor rgb="FF1E276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438150</xdr:colOff>
      <xdr:row>17</xdr:row>
      <xdr:rowOff>78600</xdr:rowOff>
    </xdr:from>
    <xdr:to>
      <xdr:col>15</xdr:col>
      <xdr:colOff>228600</xdr:colOff>
      <xdr:row>20</xdr:row>
      <xdr:rowOff>56625</xdr:rowOff>
    </xdr:to>
    <xdr:pic macro="[0]!EliminarItem">
      <xdr:nvPicPr>
        <xdr:cNvPr id="2" name="Gráfico 1" descr="Insignia Desplegada con relleno sólido">
          <a:extLst>
            <a:ext uri="{FF2B5EF4-FFF2-40B4-BE49-F238E27FC236}">
              <a16:creationId xmlns:a16="http://schemas.microsoft.com/office/drawing/2014/main" id="{65A50528-B927-4365-8EB7-7747DAA0E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906250" y="3450450"/>
          <a:ext cx="590550" cy="549525"/>
        </a:xfrm>
        <a:prstGeom prst="rect">
          <a:avLst/>
        </a:prstGeom>
      </xdr:spPr>
    </xdr:pic>
    <xdr:clientData/>
  </xdr:twoCellAnchor>
  <xdr:twoCellAnchor editAs="oneCell">
    <xdr:from>
      <xdr:col>14</xdr:col>
      <xdr:colOff>466725</xdr:colOff>
      <xdr:row>12</xdr:row>
      <xdr:rowOff>45250</xdr:rowOff>
    </xdr:from>
    <xdr:to>
      <xdr:col>15</xdr:col>
      <xdr:colOff>257175</xdr:colOff>
      <xdr:row>15</xdr:row>
      <xdr:rowOff>13750</xdr:rowOff>
    </xdr:to>
    <xdr:pic macro="[0]!CargarItemParaEditar">
      <xdr:nvPicPr>
        <xdr:cNvPr id="3" name="Gráfico 2" descr="Lápiz con relleno sólido">
          <a:extLst>
            <a:ext uri="{FF2B5EF4-FFF2-40B4-BE49-F238E27FC236}">
              <a16:creationId xmlns:a16="http://schemas.microsoft.com/office/drawing/2014/main" id="{90282C16-51A5-4A0E-91F2-414B42B2A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934825" y="2455075"/>
          <a:ext cx="590550" cy="54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466725</xdr:colOff>
      <xdr:row>14</xdr:row>
      <xdr:rowOff>157175</xdr:rowOff>
    </xdr:from>
    <xdr:to>
      <xdr:col>15</xdr:col>
      <xdr:colOff>257175</xdr:colOff>
      <xdr:row>17</xdr:row>
      <xdr:rowOff>116150</xdr:rowOff>
    </xdr:to>
    <xdr:pic macro="[0]!LimpiarConfigurador">
      <xdr:nvPicPr>
        <xdr:cNvPr id="4" name="Gráfico 3" descr="Basura con relleno sólido">
          <a:extLst>
            <a:ext uri="{FF2B5EF4-FFF2-40B4-BE49-F238E27FC236}">
              <a16:creationId xmlns:a16="http://schemas.microsoft.com/office/drawing/2014/main" id="{BC225AAC-84A4-4C64-9F70-1BF7E8C67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934825" y="2948000"/>
          <a:ext cx="590550" cy="54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466725</xdr:colOff>
      <xdr:row>9</xdr:row>
      <xdr:rowOff>133350</xdr:rowOff>
    </xdr:from>
    <xdr:to>
      <xdr:col>15</xdr:col>
      <xdr:colOff>257175</xdr:colOff>
      <xdr:row>12</xdr:row>
      <xdr:rowOff>92325</xdr:rowOff>
    </xdr:to>
    <xdr:pic macro="[0]!AgregarOActualizarItem">
      <xdr:nvPicPr>
        <xdr:cNvPr id="5" name="Gráfico 4" descr="Insignia de seguir con relleno sólido">
          <a:extLst>
            <a:ext uri="{FF2B5EF4-FFF2-40B4-BE49-F238E27FC236}">
              <a16:creationId xmlns:a16="http://schemas.microsoft.com/office/drawing/2014/main" id="{2C88D49E-5A6F-43C2-949E-3EF2FED76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934825" y="1962150"/>
          <a:ext cx="590550" cy="54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485775</xdr:colOff>
      <xdr:row>5</xdr:row>
      <xdr:rowOff>152400</xdr:rowOff>
    </xdr:from>
    <xdr:to>
      <xdr:col>15</xdr:col>
      <xdr:colOff>200025</xdr:colOff>
      <xdr:row>8</xdr:row>
      <xdr:rowOff>95250</xdr:rowOff>
    </xdr:to>
    <xdr:pic macro="[0]!AceptarPresupuesto">
      <xdr:nvPicPr>
        <xdr:cNvPr id="7" name="Gráfico 6" descr="Disco con relleno sólido">
          <a:extLst>
            <a:ext uri="{FF2B5EF4-FFF2-40B4-BE49-F238E27FC236}">
              <a16:creationId xmlns:a16="http://schemas.microsoft.com/office/drawing/2014/main" id="{0ED4B509-699D-53B3-EDED-634C2EBF3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2582525" y="121920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30</xdr:row>
      <xdr:rowOff>190500</xdr:rowOff>
    </xdr:from>
    <xdr:to>
      <xdr:col>3</xdr:col>
      <xdr:colOff>466725</xdr:colOff>
      <xdr:row>33</xdr:row>
      <xdr:rowOff>9525</xdr:rowOff>
    </xdr:to>
    <xdr:pic macro="[0]!ActualizarTasas">
      <xdr:nvPicPr>
        <xdr:cNvPr id="9" name="Gráfico 8" descr="Repetir con relleno sólido">
          <a:extLst>
            <a:ext uri="{FF2B5EF4-FFF2-40B4-BE49-F238E27FC236}">
              <a16:creationId xmlns:a16="http://schemas.microsoft.com/office/drawing/2014/main" id="{8AC5A5FC-E77B-98B2-EFF0-A4C9C3A51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800225" y="6619875"/>
          <a:ext cx="400050" cy="400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T_Items" displayName="T_Items" ref="B9:G22" totalsRowShown="0">
  <autoFilter ref="B9:G22" xr:uid="{00000000-0009-0000-0100-000010000000}"/>
  <tableColumns count="6">
    <tableColumn id="1" xr3:uid="{00000000-0010-0000-0000-000001000000}" name="ITEM" dataDxfId="4"/>
    <tableColumn id="2" xr3:uid="{00000000-0010-0000-0000-000002000000}" name="CANT" dataDxfId="3"/>
    <tableColumn id="3" xr3:uid="{00000000-0010-0000-0000-000003000000}" name="DESCRIPCIÓN" dataDxfId="2"/>
    <tableColumn id="4" xr3:uid="{00000000-0010-0000-0000-000004000000}" name="COSTO UNIT" dataDxfId="1"/>
    <tableColumn id="5" xr3:uid="{00000000-0010-0000-0000-000005000000}" name="TOTAL" dataDxfId="0"/>
    <tableColumn id="6" xr3:uid="{00000000-0010-0000-0000-000006000000}" name="Auxiliar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1_Dim_Producto" displayName="T1_Dim_Producto" ref="B2:E41" totalsRowShown="0">
  <autoFilter ref="B2:E41" xr:uid="{00000000-0009-0000-0100-000005000000}"/>
  <tableColumns count="4">
    <tableColumn id="1" xr3:uid="{00000000-0010-0000-0100-000001000000}" name="Codigo_Producto"/>
    <tableColumn id="2" xr3:uid="{00000000-0010-0000-0100-000002000000}" name="Nombre"/>
    <tableColumn id="3" xr3:uid="{00000000-0010-0000-0100-000003000000}" name="Categoría"/>
    <tableColumn id="4" xr3:uid="{00000000-0010-0000-0100-000004000000}" name="Subcategorí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2_Dim_Talla" displayName="T2_Dim_Talla" ref="I2:J8" totalsRowShown="0">
  <autoFilter ref="I2:J8" xr:uid="{00000000-0009-0000-0100-000006000000}"/>
  <tableColumns count="2">
    <tableColumn id="1" xr3:uid="{00000000-0010-0000-0200-000001000000}" name="Id_talla"/>
    <tableColumn id="2" xr3:uid="{00000000-0010-0000-0200-000002000000}" name="Tall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3_Dim_Disenno" displayName="T3_Dim_Disenno" ref="L2:M6" totalsRowShown="0">
  <autoFilter ref="L2:M6" xr:uid="{00000000-0009-0000-0100-000007000000}"/>
  <tableColumns count="2">
    <tableColumn id="1" xr3:uid="{00000000-0010-0000-0300-000001000000}" name="Id_Segmento"/>
    <tableColumn id="2" xr3:uid="{00000000-0010-0000-0300-000002000000}" name="descripció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4_dim_variante" displayName="T4_dim_variante" ref="O2:P17" totalsRowShown="0">
  <autoFilter ref="O2:P17" xr:uid="{00000000-0009-0000-0100-000008000000}"/>
  <tableColumns count="2">
    <tableColumn id="1" xr3:uid="{00000000-0010-0000-0400-000001000000}" name="id_variante"/>
    <tableColumn id="2" xr3:uid="{00000000-0010-0000-0400-000002000000}" name="descripción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5_HechosInventario" displayName="T5_HechosInventario" ref="B2:O58" totalsRowShown="0">
  <autoFilter ref="B2:O58" xr:uid="{00000000-0009-0000-0100-000009000000}"/>
  <tableColumns count="14">
    <tableColumn id="1" xr3:uid="{00000000-0010-0000-0500-000001000000}" name="ID_Material"/>
    <tableColumn id="2" xr3:uid="{00000000-0010-0000-0500-000002000000}" name="Nombre_Material"/>
    <tableColumn id="3" xr3:uid="{00000000-0010-0000-0500-000003000000}" name="Color_Material"/>
    <tableColumn id="4" xr3:uid="{00000000-0010-0000-0500-000004000000}" name="Costo_Unitario_Detal"/>
    <tableColumn id="5" xr3:uid="{00000000-0010-0000-0500-000005000000}" name="Costo_Unitario_Mayor"/>
    <tableColumn id="6" xr3:uid="{00000000-0010-0000-0500-000006000000}" name="Moneda"/>
    <tableColumn id="7" xr3:uid="{00000000-0010-0000-0500-000007000000}" name="Proveedor"/>
    <tableColumn id="8" xr3:uid="{00000000-0010-0000-0500-000008000000}" name="Stock_Minimo"/>
    <tableColumn id="9" xr3:uid="{00000000-0010-0000-0500-000009000000}" name="Ubicación Actual"/>
    <tableColumn id="10" xr3:uid="{00000000-0010-0000-0500-00000A000000}" name="Entradas"/>
    <tableColumn id="11" xr3:uid="{00000000-0010-0000-0500-00000B000000}" name="Salidas"/>
    <tableColumn id="12" xr3:uid="{00000000-0010-0000-0500-00000C000000}" name="Stock_Actual2"/>
    <tableColumn id="13" xr3:uid="{00000000-0010-0000-0500-00000D000000}" name="Valor_Stock"/>
    <tableColumn id="14" xr3:uid="{00000000-0010-0000-0500-00000E000000}" name="EsTel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10_mapeo_tecnica_actividades" displayName="T10_mapeo_tecnica_actividades" ref="W2:Y25" totalsRowShown="0">
  <autoFilter ref="W2:Y25" xr:uid="{00000000-0009-0000-0100-000001000000}"/>
  <tableColumns count="3">
    <tableColumn id="1" xr3:uid="{00000000-0010-0000-0600-000001000000}" name="Técnica base"/>
    <tableColumn id="2" xr3:uid="{00000000-0010-0000-0600-000002000000}" name="Actividad relacionada"/>
    <tableColumn id="3" xr3:uid="{00000000-0010-0000-0600-000003000000}" name="Observación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11_fact_costo_actividad_producto" displayName="T11_fact_costo_actividad_producto" ref="AC2:AH451" totalsRowShown="0">
  <autoFilter ref="AC2:AH451" xr:uid="{00000000-0009-0000-0100-000002000000}"/>
  <tableColumns count="6">
    <tableColumn id="1" xr3:uid="{00000000-0010-0000-0700-000001000000}" name="id_costo"/>
    <tableColumn id="2" xr3:uid="{00000000-0010-0000-0700-000002000000}" name="id_actividad"/>
    <tableColumn id="3" xr3:uid="{00000000-0010-0000-0700-000003000000}" name="Codigo_Producto"/>
    <tableColumn id="4" xr3:uid="{00000000-0010-0000-0700-000004000000}" name="id_tipo_precio"/>
    <tableColumn id="5" xr3:uid="{00000000-0010-0000-0700-000005000000}" name="costo_unitario"/>
    <tableColumn id="6" xr3:uid="{00000000-0010-0000-0700-000006000000}" name="Moneda_Ac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T12_Consumo_Tela_Producto" displayName="T12_Consumo_Tela_Producto" ref="AK2:AN57" totalsRowShown="0">
  <autoFilter ref="AK2:AN57" xr:uid="{00000000-0009-0000-0100-000003000000}"/>
  <tableColumns count="4">
    <tableColumn id="1" xr3:uid="{00000000-0010-0000-0800-000001000000}" name="Codigo_Producto"/>
    <tableColumn id="2" xr3:uid="{00000000-0010-0000-0800-000002000000}" name="Talla"/>
    <tableColumn id="3" xr3:uid="{00000000-0010-0000-0800-000003000000}" name="Cantidad_Tela_m²"/>
    <tableColumn id="4" xr3:uid="{00000000-0010-0000-0800-000004000000}" name="Cantidad_Tela_Formul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6_Dim_Actividad" displayName="T6_Dim_Actividad" ref="B2:F20" totalsRowShown="0">
  <autoFilter ref="B2:F20" xr:uid="{00000000-0009-0000-0100-00000A000000}"/>
  <tableColumns count="5">
    <tableColumn id="1" xr3:uid="{00000000-0010-0000-0900-000001000000}" name="ID_Actividad"/>
    <tableColumn id="2" xr3:uid="{00000000-0010-0000-0900-000002000000}" name="Nombre_Actividad"/>
    <tableColumn id="3" xr3:uid="{00000000-0010-0000-0900-000003000000}" name="Tipo"/>
    <tableColumn id="4" xr3:uid="{00000000-0010-0000-0900-000004000000}" name="Unidad"/>
    <tableColumn id="5" xr3:uid="{00000000-0010-0000-0900-000005000000}" name="Descripción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7_dim_Tecnica" displayName="T7_dim_Tecnica" ref="I2:K7" totalsRowShown="0">
  <autoFilter ref="I2:K7" xr:uid="{00000000-0009-0000-0100-00000B000000}"/>
  <tableColumns count="3">
    <tableColumn id="1" xr3:uid="{00000000-0010-0000-0A00-000001000000}" name="Id_Tecnica"/>
    <tableColumn id="2" xr3:uid="{00000000-0010-0000-0A00-000002000000}" name="técnica"/>
    <tableColumn id="3" xr3:uid="{00000000-0010-0000-0A00-000003000000}" name="descripción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8_Dim_Tecnica_Tamano" displayName="T8_Dim_Tecnica_Tamano" ref="N2:R11" totalsRowShown="0">
  <autoFilter ref="N2:R11" xr:uid="{00000000-0009-0000-0100-00000C000000}"/>
  <tableColumns count="5">
    <tableColumn id="1" xr3:uid="{00000000-0010-0000-0B00-000001000000}" name="Id_Tamano"/>
    <tableColumn id="2" xr3:uid="{00000000-0010-0000-0B00-000002000000}" name="Id_Tecnica"/>
    <tableColumn id="3" xr3:uid="{00000000-0010-0000-0B00-000003000000}" name="Nombre_Tamano"/>
    <tableColumn id="4" xr3:uid="{00000000-0010-0000-0B00-000004000000}" name="Ancho_cm"/>
    <tableColumn id="5" xr3:uid="{00000000-0010-0000-0B00-000005000000}" name="Alto_cm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9_dim_Vol_pedido" displayName="T9_dim_Vol_pedido" ref="T2:U5" totalsRowShown="0">
  <autoFilter ref="T2:U5" xr:uid="{00000000-0009-0000-0100-00000D000000}"/>
  <tableColumns count="2">
    <tableColumn id="1" xr3:uid="{00000000-0010-0000-0C00-000001000000}" name="id_tipo_precio"/>
    <tableColumn id="2" xr3:uid="{00000000-0010-0000-0C00-000002000000}" name="Volumen_Compr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13_Tasas" displayName="T13_Tasas" ref="B2:D5" totalsRowShown="0">
  <autoFilter ref="B2:D5" xr:uid="{00000000-0009-0000-0100-000004000000}"/>
  <tableColumns count="3">
    <tableColumn id="1" xr3:uid="{00000000-0010-0000-0D00-000001000000}" name="Moneda"/>
    <tableColumn id="2" xr3:uid="{00000000-0010-0000-0D00-000002000000}" name="Tasa_vs_USD"/>
    <tableColumn id="3" xr3:uid="{00000000-0010-0000-0D00-000003000000}" name="Not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E000000}" name="T_Comandas" displayName="T_Comandas" ref="B2:K4" totalsRowShown="0">
  <autoFilter ref="B2:K4" xr:uid="{00000000-0009-0000-0100-00000E000000}"/>
  <tableColumns count="10">
    <tableColumn id="1" xr3:uid="{00000000-0010-0000-0E00-000001000000}" name="Numero"/>
    <tableColumn id="2" xr3:uid="{00000000-0010-0000-0E00-000002000000}" name="Fecha"/>
    <tableColumn id="3" xr3:uid="{00000000-0010-0000-0E00-000003000000}" name="Cliente"/>
    <tableColumn id="4" xr3:uid="{00000000-0010-0000-0E00-000004000000}" name="Telefono"/>
    <tableColumn id="5" xr3:uid="{00000000-0010-0000-0E00-000005000000}" name="Moneda"/>
    <tableColumn id="6" xr3:uid="{00000000-0010-0000-0E00-000006000000}" name="Total"/>
    <tableColumn id="7" xr3:uid="{00000000-0010-0000-0E00-000007000000}" name="Abono"/>
    <tableColumn id="8" xr3:uid="{00000000-0010-0000-0E00-000008000000}" name="Resta"/>
    <tableColumn id="9" xr3:uid="{00000000-0010-0000-0E00-000009000000}" name="Estado"/>
    <tableColumn id="10" xr3:uid="{00000000-0010-0000-0E00-00000A000000}" name="Etiqueta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T_ComandasDetalle" displayName="T_ComandasDetalle" ref="M2:S4" totalsRowShown="0">
  <autoFilter ref="M2:S4" xr:uid="{00000000-0009-0000-0100-00000F000000}"/>
  <tableColumns count="7">
    <tableColumn id="1" xr3:uid="{00000000-0010-0000-0F00-000001000000}" name="Numero"/>
    <tableColumn id="2" xr3:uid="{00000000-0010-0000-0F00-000002000000}" name="Item"/>
    <tableColumn id="3" xr3:uid="{00000000-0010-0000-0F00-000003000000}" name="Cantidad"/>
    <tableColumn id="4" xr3:uid="{00000000-0010-0000-0F00-000004000000}" name="Descripcion"/>
    <tableColumn id="5" xr3:uid="{00000000-0010-0000-0F00-000005000000}" name="CostoUnit"/>
    <tableColumn id="6" xr3:uid="{00000000-0010-0000-0F00-000006000000}" name="Total"/>
    <tableColumn id="7" xr3:uid="{00000000-0010-0000-0F00-000007000000}" name="Auxili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2:O38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L13" sqref="L13"/>
    </sheetView>
  </sheetViews>
  <sheetFormatPr baseColWidth="10" defaultColWidth="8.7109375" defaultRowHeight="15" x14ac:dyDescent="0.25"/>
  <cols>
    <col min="1" max="1" width="2" customWidth="1"/>
    <col min="2" max="2" width="16" customWidth="1"/>
    <col min="3" max="3" width="12.85546875" customWidth="1"/>
    <col min="4" max="4" width="28" customWidth="1"/>
    <col min="5" max="5" width="13" customWidth="1"/>
    <col min="6" max="6" width="21.28515625" customWidth="1"/>
    <col min="7" max="7" width="44" bestFit="1" customWidth="1"/>
    <col min="8" max="9" width="2" customWidth="1"/>
    <col min="10" max="10" width="21.28515625" customWidth="1"/>
    <col min="11" max="11" width="27.85546875" customWidth="1"/>
    <col min="12" max="12" width="24" customWidth="1"/>
    <col min="13" max="14" width="8" customWidth="1"/>
    <col min="15" max="15" width="12" customWidth="1"/>
  </cols>
  <sheetData>
    <row r="2" spans="2:15" ht="24" customHeight="1" x14ac:dyDescent="0.3">
      <c r="B2" s="7" t="s">
        <v>0</v>
      </c>
      <c r="C2" s="7"/>
      <c r="D2" s="7"/>
      <c r="E2" s="7"/>
      <c r="F2" s="7"/>
      <c r="K2" s="7" t="s">
        <v>913</v>
      </c>
      <c r="L2" s="7"/>
      <c r="M2" s="7"/>
      <c r="N2" s="7"/>
    </row>
    <row r="3" spans="2:15" x14ac:dyDescent="0.25">
      <c r="O3" s="8" t="s">
        <v>1</v>
      </c>
    </row>
    <row r="4" spans="2:15" x14ac:dyDescent="0.25">
      <c r="B4" s="9" t="s">
        <v>2</v>
      </c>
      <c r="C4" s="10" t="s">
        <v>3</v>
      </c>
      <c r="D4" s="9" t="s">
        <v>4</v>
      </c>
      <c r="E4" s="11"/>
      <c r="K4" s="9" t="s">
        <v>5</v>
      </c>
      <c r="L4" s="23"/>
      <c r="M4" s="23"/>
      <c r="O4" s="12" t="str">
        <f>IFERROR(INDEX(Productos!$B$3:$B$500,MATCH($L$4,Productos!$C$3:$C$500,0)),"")</f>
        <v/>
      </c>
    </row>
    <row r="5" spans="2:15" x14ac:dyDescent="0.25">
      <c r="B5" s="9" t="s">
        <v>7</v>
      </c>
      <c r="C5" s="6"/>
      <c r="D5" s="6"/>
      <c r="E5" s="6"/>
      <c r="F5" s="6"/>
      <c r="K5" s="9" t="s">
        <v>8</v>
      </c>
      <c r="L5" s="23"/>
      <c r="M5" s="23"/>
      <c r="O5" s="12" t="str">
        <f>IFERROR(INDEX(Productos!$I$3:$I$100,MATCH($L$5,Productos!$J$3:$J$100,0)),"")</f>
        <v/>
      </c>
    </row>
    <row r="6" spans="2:15" x14ac:dyDescent="0.25">
      <c r="B6" s="9" t="s">
        <v>10</v>
      </c>
      <c r="C6" s="6"/>
      <c r="D6" s="6"/>
      <c r="E6" s="6"/>
      <c r="F6" s="6"/>
      <c r="K6" s="9" t="s">
        <v>11</v>
      </c>
      <c r="L6" s="23"/>
      <c r="M6" s="23"/>
      <c r="O6" s="12" t="str">
        <f>IFERROR(INDEX(Materiales!$B$3:$B$500,MATCH($L$6,Materiales!$C$3:$C$500,0)),"")</f>
        <v/>
      </c>
    </row>
    <row r="7" spans="2:15" x14ac:dyDescent="0.25">
      <c r="B7" s="9" t="s">
        <v>13</v>
      </c>
      <c r="C7" s="23" t="s">
        <v>14</v>
      </c>
      <c r="D7" s="23"/>
      <c r="E7" s="23"/>
      <c r="F7" s="23"/>
      <c r="K7" s="9" t="s">
        <v>15</v>
      </c>
      <c r="L7" s="23"/>
      <c r="M7" s="23"/>
      <c r="O7" s="12" t="str">
        <f>IFERROR(INDEX(Produccion!$I$3:$I$100,MATCH($L$7,Produccion!$J$3:$J$100,0)),"")</f>
        <v/>
      </c>
    </row>
    <row r="8" spans="2:15" x14ac:dyDescent="0.25">
      <c r="B8" s="9" t="s">
        <v>17</v>
      </c>
      <c r="C8" s="23" t="s">
        <v>912</v>
      </c>
      <c r="D8" s="23"/>
      <c r="E8" s="23"/>
      <c r="F8" s="23"/>
      <c r="K8" s="9" t="s">
        <v>18</v>
      </c>
      <c r="L8" s="23"/>
      <c r="M8" s="23"/>
      <c r="O8" s="12" t="str">
        <f>IFERROR(INDEX(Produccion!$T$3:$T$100,MATCH($L$8,Produccion!$U$3:$U$100,0)),"")</f>
        <v/>
      </c>
    </row>
    <row r="9" spans="2:15" x14ac:dyDescent="0.25">
      <c r="B9" s="26" t="s">
        <v>20</v>
      </c>
      <c r="C9" s="26" t="s">
        <v>21</v>
      </c>
      <c r="D9" s="26" t="s">
        <v>22</v>
      </c>
      <c r="E9" s="26" t="s">
        <v>23</v>
      </c>
      <c r="F9" s="26" t="s">
        <v>24</v>
      </c>
      <c r="G9" t="s">
        <v>25</v>
      </c>
      <c r="K9" s="9" t="s">
        <v>26</v>
      </c>
      <c r="L9" s="23">
        <v>1</v>
      </c>
      <c r="M9" s="23"/>
    </row>
    <row r="10" spans="2:15" x14ac:dyDescent="0.25">
      <c r="B10" s="26"/>
      <c r="C10" s="26"/>
      <c r="D10" s="26"/>
      <c r="E10" s="27"/>
      <c r="F10" s="27"/>
    </row>
    <row r="11" spans="2:15" ht="15.75" x14ac:dyDescent="0.25">
      <c r="B11" s="26"/>
      <c r="C11" s="26"/>
      <c r="D11" s="26"/>
      <c r="E11" s="27"/>
      <c r="F11" s="27"/>
      <c r="K11" s="5" t="s">
        <v>27</v>
      </c>
      <c r="L11" s="5"/>
      <c r="M11" s="5"/>
      <c r="N11" s="5"/>
    </row>
    <row r="12" spans="2:15" x14ac:dyDescent="0.25">
      <c r="B12" s="26"/>
      <c r="C12" s="26"/>
      <c r="D12" s="26"/>
      <c r="E12" s="27"/>
      <c r="F12" s="27"/>
      <c r="K12" s="9" t="s">
        <v>28</v>
      </c>
      <c r="L12" s="10" t="str">
        <f>IFERROR(INDEX(Produccion!$AM$3:$AM$57,MATCH($O$4&amp;"|"&amp;$O$5,Produccion!$AO$3:$AO$57,0)),"Sin dato")</f>
        <v>Sin dato</v>
      </c>
    </row>
    <row r="13" spans="2:15" x14ac:dyDescent="0.25">
      <c r="B13" s="26"/>
      <c r="C13" s="26"/>
      <c r="D13" s="26"/>
      <c r="E13" s="27"/>
      <c r="F13" s="27"/>
      <c r="K13" s="9" t="s">
        <v>29</v>
      </c>
      <c r="L13" s="10">
        <f>IFERROR(INDEX(Materiales!$E$3:$E$58,MATCH($O$6,Materiales!$B$3:$B$58,0))/IF(INDEX(Materiales!$G$3:$G$58,MATCH($O$6,Materiales!$B$3:$B$58,0))="Cop",TasasCambio!$C$4,1),0)</f>
        <v>0</v>
      </c>
    </row>
    <row r="14" spans="2:15" x14ac:dyDescent="0.25">
      <c r="B14" s="26"/>
      <c r="C14" s="26"/>
      <c r="D14" s="26"/>
      <c r="E14" s="27"/>
      <c r="F14" s="27"/>
      <c r="K14" s="9" t="s">
        <v>30</v>
      </c>
      <c r="L14" s="10">
        <f>IF(ISNUMBER($L$12),$L$12*$L$13,0)</f>
        <v>0</v>
      </c>
    </row>
    <row r="15" spans="2:15" x14ac:dyDescent="0.25">
      <c r="B15" s="26"/>
      <c r="C15" s="26"/>
      <c r="D15" s="26"/>
      <c r="E15" s="27"/>
      <c r="F15" s="27"/>
      <c r="K15" s="9" t="s">
        <v>31</v>
      </c>
      <c r="L15" s="10">
        <f>SUMPRODUCT((Produccion!$AE$3:$AE$451=$O$4)*(Produccion!$AF$3:$AF$451=$O$8)*(Produccion!$AI$3:$AI$451)*(Produccion!$AG$3:$AG$451)*((Produccion!$AH$3:$AH$451="Cop")*(1/TasasCambio!$C$4)+(Produccion!$AH$3:$AH$451="Usd")*1))</f>
        <v>0</v>
      </c>
    </row>
    <row r="16" spans="2:15" ht="15.75" x14ac:dyDescent="0.25">
      <c r="B16" s="26"/>
      <c r="C16" s="26"/>
      <c r="D16" s="26"/>
      <c r="E16" s="27"/>
      <c r="F16" s="27"/>
      <c r="K16" s="9" t="s">
        <v>32</v>
      </c>
      <c r="L16" s="13">
        <f>$L$14+$L$15</f>
        <v>0</v>
      </c>
    </row>
    <row r="17" spans="2:14" x14ac:dyDescent="0.25">
      <c r="B17" s="26"/>
      <c r="C17" s="26"/>
      <c r="D17" s="26"/>
      <c r="E17" s="27"/>
      <c r="F17" s="27"/>
      <c r="K17" s="9" t="s">
        <v>33</v>
      </c>
      <c r="L17" s="14">
        <f>$L$16*INDEX(TasasCambio!$C$3:$C$5,MATCH($C$7,TasasCambio!$B$3:$B$5,0))</f>
        <v>0</v>
      </c>
    </row>
    <row r="18" spans="2:14" x14ac:dyDescent="0.25">
      <c r="B18" s="26"/>
      <c r="C18" s="26"/>
      <c r="D18" s="26"/>
      <c r="E18" s="27"/>
      <c r="F18" s="27"/>
    </row>
    <row r="19" spans="2:14" x14ac:dyDescent="0.25">
      <c r="B19" s="26"/>
      <c r="C19" s="26"/>
      <c r="D19" s="26"/>
      <c r="E19" s="27"/>
      <c r="F19" s="27"/>
    </row>
    <row r="20" spans="2:14" x14ac:dyDescent="0.25">
      <c r="B20" s="26"/>
      <c r="C20" s="26"/>
      <c r="D20" s="26"/>
      <c r="E20" s="27"/>
      <c r="F20" s="27"/>
    </row>
    <row r="21" spans="2:14" x14ac:dyDescent="0.25">
      <c r="B21" s="26"/>
      <c r="C21" s="26"/>
      <c r="D21" s="26"/>
      <c r="E21" s="27"/>
      <c r="F21" s="27"/>
    </row>
    <row r="22" spans="2:14" x14ac:dyDescent="0.25">
      <c r="B22" s="26"/>
      <c r="C22" s="26"/>
      <c r="D22" s="26"/>
      <c r="E22" s="27"/>
      <c r="F22" s="27"/>
    </row>
    <row r="24" spans="2:14" ht="15.75" x14ac:dyDescent="0.25">
      <c r="D24" s="4" t="s">
        <v>34</v>
      </c>
      <c r="E24" s="4"/>
      <c r="F24" s="15">
        <f>SUM(T_Items[TOTAL])</f>
        <v>0</v>
      </c>
    </row>
    <row r="25" spans="2:14" x14ac:dyDescent="0.25">
      <c r="E25" s="9" t="s">
        <v>36</v>
      </c>
      <c r="F25" s="24"/>
    </row>
    <row r="26" spans="2:14" x14ac:dyDescent="0.25">
      <c r="E26" s="9" t="s">
        <v>37</v>
      </c>
      <c r="F26" s="17">
        <f>F24-F25</f>
        <v>0</v>
      </c>
      <c r="K26" s="16" t="s">
        <v>35</v>
      </c>
      <c r="L26" s="3"/>
      <c r="M26" s="3"/>
      <c r="N26" s="3"/>
    </row>
    <row r="28" spans="2:14" ht="15" customHeight="1" x14ac:dyDescent="0.25">
      <c r="B28" s="9" t="s">
        <v>39</v>
      </c>
      <c r="C28" s="23"/>
      <c r="D28" s="23"/>
      <c r="E28" s="23"/>
      <c r="F28" s="23"/>
      <c r="K28" s="2" t="s">
        <v>38</v>
      </c>
      <c r="L28" s="2"/>
      <c r="M28" s="2"/>
      <c r="N28" s="2"/>
    </row>
    <row r="29" spans="2:14" x14ac:dyDescent="0.25">
      <c r="B29" s="18" t="s">
        <v>40</v>
      </c>
      <c r="K29" s="2"/>
      <c r="L29" s="2"/>
      <c r="M29" s="2"/>
      <c r="N29" s="2"/>
    </row>
    <row r="30" spans="2:14" x14ac:dyDescent="0.25">
      <c r="K30" s="2"/>
      <c r="L30" s="2"/>
      <c r="M30" s="2"/>
      <c r="N30" s="2"/>
    </row>
    <row r="31" spans="2:14" ht="15.75" x14ac:dyDescent="0.25">
      <c r="B31" s="5" t="s">
        <v>41</v>
      </c>
      <c r="C31" s="5"/>
      <c r="D31" s="5"/>
      <c r="E31" s="5"/>
      <c r="F31" s="5"/>
      <c r="K31" s="2"/>
      <c r="L31" s="2"/>
      <c r="M31" s="2"/>
      <c r="N31" s="2"/>
    </row>
    <row r="32" spans="2:14" x14ac:dyDescent="0.25">
      <c r="B32" s="9" t="s">
        <v>42</v>
      </c>
      <c r="C32" s="25">
        <v>3400</v>
      </c>
      <c r="K32" s="2"/>
      <c r="L32" s="2"/>
      <c r="M32" s="2"/>
      <c r="N32" s="2"/>
    </row>
    <row r="33" spans="2:14" x14ac:dyDescent="0.25">
      <c r="B33" s="9" t="s">
        <v>43</v>
      </c>
      <c r="C33" s="25">
        <v>950</v>
      </c>
      <c r="K33" s="2"/>
      <c r="L33" s="2"/>
      <c r="M33" s="2"/>
      <c r="N33" s="2"/>
    </row>
    <row r="34" spans="2:14" x14ac:dyDescent="0.25">
      <c r="B34" s="18" t="s">
        <v>44</v>
      </c>
      <c r="K34" s="2"/>
      <c r="L34" s="2"/>
      <c r="M34" s="2"/>
      <c r="N34" s="2"/>
    </row>
    <row r="36" spans="2:14" ht="15" customHeight="1" x14ac:dyDescent="0.25">
      <c r="K36" s="1" t="s">
        <v>45</v>
      </c>
      <c r="L36" s="1"/>
      <c r="M36" s="1"/>
      <c r="N36" s="1"/>
    </row>
    <row r="37" spans="2:14" x14ac:dyDescent="0.25">
      <c r="K37" s="1"/>
      <c r="L37" s="1"/>
      <c r="M37" s="1"/>
      <c r="N37" s="1"/>
    </row>
    <row r="38" spans="2:14" x14ac:dyDescent="0.25">
      <c r="K38" s="1"/>
      <c r="L38" s="1"/>
      <c r="M38" s="1"/>
      <c r="N38" s="1"/>
    </row>
  </sheetData>
  <mergeCells count="19">
    <mergeCell ref="K36:N38"/>
    <mergeCell ref="L9:M9"/>
    <mergeCell ref="K11:N11"/>
    <mergeCell ref="D24:E24"/>
    <mergeCell ref="L26:N26"/>
    <mergeCell ref="K28:N34"/>
    <mergeCell ref="C28:F28"/>
    <mergeCell ref="B31:F31"/>
    <mergeCell ref="C6:F6"/>
    <mergeCell ref="L6:M6"/>
    <mergeCell ref="C7:F7"/>
    <mergeCell ref="L7:M7"/>
    <mergeCell ref="C8:F8"/>
    <mergeCell ref="L8:M8"/>
    <mergeCell ref="B2:F2"/>
    <mergeCell ref="K2:N2"/>
    <mergeCell ref="L4:M4"/>
    <mergeCell ref="C5:F5"/>
    <mergeCell ref="L5:M5"/>
  </mergeCells>
  <dataValidations count="2">
    <dataValidation type="list" allowBlank="1" sqref="C7" xr:uid="{00000000-0002-0000-0000-000000000000}">
      <formula1>"USD,COP,VES"</formula1>
      <formula2>0</formula2>
    </dataValidation>
    <dataValidation type="list" allowBlank="1" sqref="C8" xr:uid="{00000000-0002-0000-0000-000001000000}">
      <formula1>"Pendiente,Aceptado,Rechazado"</formula1>
      <formula2>0</formula2>
    </dataValidation>
  </dataValidations>
  <pageMargins left="0.75" right="0.75" top="1" bottom="1" header="0.511811023622047" footer="0.511811023622047"/>
  <pageSetup scale="64" fitToHeight="0" orientation="portrait" horizontalDpi="300" verticalDpi="3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3000000}">
          <x14:formula1>
            <xm:f>Productos!$C$3:$C$500</xm:f>
          </x14:formula1>
          <x14:formula2>
            <xm:f>0</xm:f>
          </x14:formula2>
          <xm:sqref>L4</xm:sqref>
        </x14:dataValidation>
        <x14:dataValidation type="list" allowBlank="1" xr:uid="{00000000-0002-0000-0000-000004000000}">
          <x14:formula1>
            <xm:f>Productos!$J$3:$J$100</xm:f>
          </x14:formula1>
          <x14:formula2>
            <xm:f>0</xm:f>
          </x14:formula2>
          <xm:sqref>L5</xm:sqref>
        </x14:dataValidation>
        <x14:dataValidation type="list" allowBlank="1" xr:uid="{00000000-0002-0000-0000-000005000000}">
          <x14:formula1>
            <xm:f>Materiales!$O$3:$O$500</xm:f>
          </x14:formula1>
          <x14:formula2>
            <xm:f>0</xm:f>
          </x14:formula2>
          <xm:sqref>L6</xm:sqref>
        </x14:dataValidation>
        <x14:dataValidation type="list" allowBlank="1" xr:uid="{00000000-0002-0000-0000-000006000000}">
          <x14:formula1>
            <xm:f>Produccion!$J$3:$J$100</xm:f>
          </x14:formula1>
          <x14:formula2>
            <xm:f>0</xm:f>
          </x14:formula2>
          <xm:sqref>L7</xm:sqref>
        </x14:dataValidation>
        <x14:dataValidation type="list" allowBlank="1" xr:uid="{00000000-0002-0000-0000-000007000000}">
          <x14:formula1>
            <xm:f>Produccion!$U$3:$U$100</xm:f>
          </x14:formula1>
          <x14:formula2>
            <xm:f>0</xm:f>
          </x14:formula2>
          <xm:sqref>L8</xm:sqref>
        </x14:dataValidation>
        <x14:dataValidation type="list" allowBlank="1" xr:uid="{00000000-0002-0000-0000-000002000000}">
          <x14:formula1>
            <xm:f>Comandas!$K$3:$K$5001</xm:f>
          </x14:formula1>
          <x14:formula2>
            <xm:f>0</xm:f>
          </x14:formula2>
          <xm:sqref>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P41"/>
  <sheetViews>
    <sheetView showGridLines="0" zoomScaleNormal="100" workbookViewId="0"/>
  </sheetViews>
  <sheetFormatPr baseColWidth="10" defaultColWidth="8.7109375" defaultRowHeight="15" x14ac:dyDescent="0.25"/>
  <cols>
    <col min="2" max="2" width="14" customWidth="1"/>
    <col min="3" max="3" width="26" customWidth="1"/>
    <col min="4" max="4" width="18" customWidth="1"/>
    <col min="5" max="5" width="20" customWidth="1"/>
    <col min="9" max="9" width="10" customWidth="1"/>
    <col min="10" max="10" width="12" customWidth="1"/>
    <col min="12" max="12" width="12" customWidth="1"/>
    <col min="13" max="13" width="16" customWidth="1"/>
    <col min="15" max="15" width="12" customWidth="1"/>
    <col min="16" max="16" width="20" customWidth="1"/>
  </cols>
  <sheetData>
    <row r="2" spans="2:16" x14ac:dyDescent="0.25">
      <c r="B2" s="19" t="s">
        <v>46</v>
      </c>
      <c r="C2" s="19" t="s">
        <v>47</v>
      </c>
      <c r="D2" s="19" t="s">
        <v>48</v>
      </c>
      <c r="E2" s="19" t="s">
        <v>49</v>
      </c>
      <c r="I2" s="19" t="s">
        <v>50</v>
      </c>
      <c r="J2" s="19" t="s">
        <v>8</v>
      </c>
      <c r="L2" s="19" t="s">
        <v>51</v>
      </c>
      <c r="M2" s="19" t="s">
        <v>52</v>
      </c>
      <c r="O2" s="19" t="s">
        <v>53</v>
      </c>
      <c r="P2" s="19" t="s">
        <v>52</v>
      </c>
    </row>
    <row r="3" spans="2:16" x14ac:dyDescent="0.25">
      <c r="B3" s="20" t="s">
        <v>54</v>
      </c>
      <c r="C3" s="20" t="s">
        <v>55</v>
      </c>
      <c r="D3" s="20" t="s">
        <v>56</v>
      </c>
      <c r="E3" s="20" t="s">
        <v>57</v>
      </c>
      <c r="I3" s="20" t="s">
        <v>58</v>
      </c>
      <c r="J3" s="20" t="s">
        <v>59</v>
      </c>
      <c r="L3" s="20" t="s">
        <v>60</v>
      </c>
      <c r="M3" s="20" t="s">
        <v>61</v>
      </c>
      <c r="O3" s="20" t="s">
        <v>62</v>
      </c>
      <c r="P3" s="20" t="s">
        <v>63</v>
      </c>
    </row>
    <row r="4" spans="2:16" x14ac:dyDescent="0.25">
      <c r="B4" s="20" t="s">
        <v>64</v>
      </c>
      <c r="C4" s="20" t="s">
        <v>65</v>
      </c>
      <c r="D4" s="20" t="s">
        <v>56</v>
      </c>
      <c r="E4" s="20" t="s">
        <v>57</v>
      </c>
      <c r="I4" s="20" t="s">
        <v>66</v>
      </c>
      <c r="J4" s="20" t="s">
        <v>9</v>
      </c>
      <c r="L4" s="20" t="s">
        <v>67</v>
      </c>
      <c r="M4" s="20" t="s">
        <v>68</v>
      </c>
      <c r="O4" s="20" t="s">
        <v>69</v>
      </c>
      <c r="P4" s="20" t="s">
        <v>70</v>
      </c>
    </row>
    <row r="5" spans="2:16" x14ac:dyDescent="0.25">
      <c r="B5" s="20" t="s">
        <v>71</v>
      </c>
      <c r="C5" s="20" t="s">
        <v>72</v>
      </c>
      <c r="D5" s="20" t="s">
        <v>73</v>
      </c>
      <c r="E5" s="20" t="s">
        <v>74</v>
      </c>
      <c r="I5" s="20" t="s">
        <v>75</v>
      </c>
      <c r="J5" s="20" t="s">
        <v>76</v>
      </c>
      <c r="L5" s="20" t="s">
        <v>77</v>
      </c>
      <c r="M5" s="20" t="s">
        <v>78</v>
      </c>
      <c r="O5" s="20" t="s">
        <v>79</v>
      </c>
      <c r="P5" s="20" t="s">
        <v>80</v>
      </c>
    </row>
    <row r="6" spans="2:16" x14ac:dyDescent="0.25">
      <c r="B6" s="20" t="s">
        <v>81</v>
      </c>
      <c r="C6" s="20" t="s">
        <v>82</v>
      </c>
      <c r="D6" s="20" t="s">
        <v>83</v>
      </c>
      <c r="E6" s="20" t="s">
        <v>84</v>
      </c>
      <c r="I6" s="20" t="s">
        <v>85</v>
      </c>
      <c r="J6" s="20" t="s">
        <v>86</v>
      </c>
      <c r="L6" s="20" t="s">
        <v>87</v>
      </c>
      <c r="M6" s="20" t="s">
        <v>88</v>
      </c>
      <c r="O6" s="20" t="s">
        <v>89</v>
      </c>
      <c r="P6" s="20" t="s">
        <v>90</v>
      </c>
    </row>
    <row r="7" spans="2:16" x14ac:dyDescent="0.25">
      <c r="B7" s="20" t="s">
        <v>91</v>
      </c>
      <c r="C7" s="20" t="s">
        <v>92</v>
      </c>
      <c r="D7" s="20" t="s">
        <v>93</v>
      </c>
      <c r="E7" s="20" t="s">
        <v>94</v>
      </c>
      <c r="I7" s="20" t="s">
        <v>95</v>
      </c>
      <c r="J7" s="20" t="s">
        <v>96</v>
      </c>
      <c r="O7" s="20" t="s">
        <v>97</v>
      </c>
      <c r="P7" s="20" t="s">
        <v>98</v>
      </c>
    </row>
    <row r="8" spans="2:16" x14ac:dyDescent="0.25">
      <c r="B8" s="20" t="s">
        <v>99</v>
      </c>
      <c r="C8" s="20" t="s">
        <v>100</v>
      </c>
      <c r="D8" s="20" t="s">
        <v>93</v>
      </c>
      <c r="E8" s="20" t="s">
        <v>74</v>
      </c>
      <c r="I8" s="20" t="s">
        <v>101</v>
      </c>
      <c r="J8" s="20" t="s">
        <v>102</v>
      </c>
      <c r="O8" s="20" t="s">
        <v>103</v>
      </c>
      <c r="P8" s="20" t="s">
        <v>104</v>
      </c>
    </row>
    <row r="9" spans="2:16" x14ac:dyDescent="0.25">
      <c r="B9" s="20" t="s">
        <v>105</v>
      </c>
      <c r="C9" s="20" t="s">
        <v>106</v>
      </c>
      <c r="D9" s="20" t="s">
        <v>73</v>
      </c>
      <c r="E9" s="20" t="s">
        <v>107</v>
      </c>
      <c r="O9" s="20" t="s">
        <v>108</v>
      </c>
      <c r="P9" s="20" t="s">
        <v>109</v>
      </c>
    </row>
    <row r="10" spans="2:16" x14ac:dyDescent="0.25">
      <c r="B10" s="20" t="s">
        <v>110</v>
      </c>
      <c r="C10" s="20" t="s">
        <v>111</v>
      </c>
      <c r="D10" s="20" t="s">
        <v>93</v>
      </c>
      <c r="E10" s="20" t="s">
        <v>74</v>
      </c>
      <c r="O10" s="20" t="s">
        <v>112</v>
      </c>
      <c r="P10" s="20" t="s">
        <v>113</v>
      </c>
    </row>
    <row r="11" spans="2:16" x14ac:dyDescent="0.25">
      <c r="B11" s="20" t="s">
        <v>114</v>
      </c>
      <c r="C11" s="20" t="s">
        <v>115</v>
      </c>
      <c r="D11" s="20" t="s">
        <v>116</v>
      </c>
      <c r="E11" s="20" t="s">
        <v>117</v>
      </c>
      <c r="O11" s="20" t="s">
        <v>118</v>
      </c>
      <c r="P11" s="20" t="s">
        <v>119</v>
      </c>
    </row>
    <row r="12" spans="2:16" x14ac:dyDescent="0.25">
      <c r="B12" s="20" t="s">
        <v>120</v>
      </c>
      <c r="C12" s="20" t="s">
        <v>6</v>
      </c>
      <c r="D12" s="20" t="s">
        <v>93</v>
      </c>
      <c r="E12" s="20" t="s">
        <v>6</v>
      </c>
      <c r="O12" s="20" t="s">
        <v>121</v>
      </c>
      <c r="P12" s="20" t="s">
        <v>122</v>
      </c>
    </row>
    <row r="13" spans="2:16" x14ac:dyDescent="0.25">
      <c r="B13" s="20" t="s">
        <v>123</v>
      </c>
      <c r="C13" s="20" t="s">
        <v>124</v>
      </c>
      <c r="D13" s="20" t="s">
        <v>73</v>
      </c>
      <c r="E13" s="20" t="s">
        <v>107</v>
      </c>
      <c r="O13" s="20" t="s">
        <v>125</v>
      </c>
      <c r="P13" s="20" t="s">
        <v>126</v>
      </c>
    </row>
    <row r="14" spans="2:16" x14ac:dyDescent="0.25">
      <c r="B14" s="20" t="s">
        <v>127</v>
      </c>
      <c r="C14" s="20" t="s">
        <v>128</v>
      </c>
      <c r="D14" s="20" t="s">
        <v>129</v>
      </c>
      <c r="E14" s="20" t="s">
        <v>129</v>
      </c>
      <c r="O14" s="20" t="s">
        <v>130</v>
      </c>
      <c r="P14" s="20" t="s">
        <v>131</v>
      </c>
    </row>
    <row r="15" spans="2:16" x14ac:dyDescent="0.25">
      <c r="B15" s="20" t="s">
        <v>132</v>
      </c>
      <c r="C15" s="20" t="s">
        <v>133</v>
      </c>
      <c r="D15" s="20" t="s">
        <v>56</v>
      </c>
      <c r="E15" s="20" t="s">
        <v>134</v>
      </c>
      <c r="O15" s="20" t="s">
        <v>135</v>
      </c>
      <c r="P15" s="20" t="s">
        <v>136</v>
      </c>
    </row>
    <row r="16" spans="2:16" x14ac:dyDescent="0.25">
      <c r="B16" s="20" t="s">
        <v>137</v>
      </c>
      <c r="C16" s="20" t="s">
        <v>138</v>
      </c>
      <c r="D16" s="20" t="s">
        <v>73</v>
      </c>
      <c r="E16" s="20" t="s">
        <v>139</v>
      </c>
      <c r="O16" s="20" t="s">
        <v>140</v>
      </c>
      <c r="P16" s="20" t="s">
        <v>141</v>
      </c>
    </row>
    <row r="17" spans="2:16" x14ac:dyDescent="0.25">
      <c r="B17" s="20" t="s">
        <v>142</v>
      </c>
      <c r="C17" s="20" t="s">
        <v>143</v>
      </c>
      <c r="D17" s="20" t="s">
        <v>93</v>
      </c>
      <c r="E17" s="20" t="s">
        <v>144</v>
      </c>
      <c r="O17" s="20" t="s">
        <v>145</v>
      </c>
      <c r="P17" s="20" t="s">
        <v>88</v>
      </c>
    </row>
    <row r="18" spans="2:16" x14ac:dyDescent="0.25">
      <c r="B18" s="20" t="s">
        <v>146</v>
      </c>
      <c r="C18" s="20" t="s">
        <v>147</v>
      </c>
      <c r="D18" s="20" t="s">
        <v>56</v>
      </c>
      <c r="E18" s="20" t="s">
        <v>148</v>
      </c>
    </row>
    <row r="19" spans="2:16" x14ac:dyDescent="0.25">
      <c r="B19" s="20" t="s">
        <v>149</v>
      </c>
      <c r="C19" s="20" t="s">
        <v>117</v>
      </c>
      <c r="D19" s="20" t="s">
        <v>116</v>
      </c>
      <c r="E19" s="20" t="s">
        <v>117</v>
      </c>
    </row>
    <row r="20" spans="2:16" x14ac:dyDescent="0.25">
      <c r="B20" s="20" t="s">
        <v>150</v>
      </c>
      <c r="C20" s="20" t="s">
        <v>151</v>
      </c>
      <c r="D20" s="20" t="s">
        <v>56</v>
      </c>
      <c r="E20" s="20" t="s">
        <v>134</v>
      </c>
    </row>
    <row r="21" spans="2:16" x14ac:dyDescent="0.25">
      <c r="B21" s="20" t="s">
        <v>152</v>
      </c>
      <c r="C21" s="20" t="s">
        <v>153</v>
      </c>
      <c r="D21" s="20" t="s">
        <v>56</v>
      </c>
      <c r="E21" s="20" t="s">
        <v>154</v>
      </c>
    </row>
    <row r="22" spans="2:16" x14ac:dyDescent="0.25">
      <c r="B22" s="20" t="s">
        <v>155</v>
      </c>
      <c r="C22" s="20" t="s">
        <v>156</v>
      </c>
      <c r="D22" s="20" t="s">
        <v>73</v>
      </c>
      <c r="E22" s="20" t="s">
        <v>107</v>
      </c>
    </row>
    <row r="23" spans="2:16" x14ac:dyDescent="0.25">
      <c r="B23" s="20" t="s">
        <v>157</v>
      </c>
      <c r="C23" s="20" t="s">
        <v>158</v>
      </c>
      <c r="D23" s="20" t="s">
        <v>56</v>
      </c>
      <c r="E23" s="20" t="s">
        <v>148</v>
      </c>
    </row>
    <row r="24" spans="2:16" x14ac:dyDescent="0.25">
      <c r="B24" s="20" t="s">
        <v>159</v>
      </c>
      <c r="C24" s="20" t="s">
        <v>160</v>
      </c>
      <c r="D24" s="20" t="s">
        <v>73</v>
      </c>
      <c r="E24" s="20" t="s">
        <v>161</v>
      </c>
    </row>
    <row r="25" spans="2:16" x14ac:dyDescent="0.25">
      <c r="B25" s="20" t="s">
        <v>162</v>
      </c>
      <c r="C25" s="20" t="s">
        <v>163</v>
      </c>
      <c r="D25" s="20" t="s">
        <v>56</v>
      </c>
      <c r="E25" s="20" t="s">
        <v>154</v>
      </c>
    </row>
    <row r="26" spans="2:16" x14ac:dyDescent="0.25">
      <c r="B26" s="20" t="s">
        <v>164</v>
      </c>
      <c r="C26" s="20" t="s">
        <v>165</v>
      </c>
      <c r="D26" s="20" t="s">
        <v>166</v>
      </c>
      <c r="E26" s="20" t="s">
        <v>154</v>
      </c>
    </row>
    <row r="27" spans="2:16" x14ac:dyDescent="0.25">
      <c r="B27" s="20" t="s">
        <v>167</v>
      </c>
      <c r="C27" s="20" t="s">
        <v>168</v>
      </c>
      <c r="D27" s="20" t="s">
        <v>93</v>
      </c>
      <c r="E27" s="20" t="s">
        <v>168</v>
      </c>
    </row>
    <row r="28" spans="2:16" x14ac:dyDescent="0.25">
      <c r="B28" s="20" t="s">
        <v>169</v>
      </c>
      <c r="C28" s="20" t="s">
        <v>170</v>
      </c>
      <c r="D28" s="20" t="s">
        <v>56</v>
      </c>
      <c r="E28" s="20" t="s">
        <v>154</v>
      </c>
    </row>
    <row r="29" spans="2:16" x14ac:dyDescent="0.25">
      <c r="B29" s="20" t="s">
        <v>171</v>
      </c>
      <c r="C29" s="20" t="s">
        <v>172</v>
      </c>
      <c r="D29" s="20" t="s">
        <v>56</v>
      </c>
      <c r="E29" s="20" t="s">
        <v>154</v>
      </c>
    </row>
    <row r="30" spans="2:16" x14ac:dyDescent="0.25">
      <c r="B30" s="20" t="s">
        <v>173</v>
      </c>
      <c r="C30" s="20" t="s">
        <v>174</v>
      </c>
      <c r="D30" s="20" t="s">
        <v>73</v>
      </c>
      <c r="E30" s="20" t="s">
        <v>139</v>
      </c>
    </row>
    <row r="31" spans="2:16" x14ac:dyDescent="0.25">
      <c r="B31" s="20" t="s">
        <v>175</v>
      </c>
      <c r="C31" s="20" t="s">
        <v>176</v>
      </c>
      <c r="D31" s="20" t="s">
        <v>73</v>
      </c>
      <c r="E31" s="20" t="s">
        <v>107</v>
      </c>
    </row>
    <row r="32" spans="2:16" x14ac:dyDescent="0.25">
      <c r="B32" s="20" t="s">
        <v>177</v>
      </c>
      <c r="C32" s="20" t="s">
        <v>178</v>
      </c>
      <c r="D32" s="20" t="s">
        <v>56</v>
      </c>
      <c r="E32" s="20" t="s">
        <v>154</v>
      </c>
    </row>
    <row r="33" spans="2:5" x14ac:dyDescent="0.25">
      <c r="B33" s="20" t="s">
        <v>179</v>
      </c>
      <c r="C33" s="20" t="s">
        <v>180</v>
      </c>
      <c r="D33" s="20" t="s">
        <v>56</v>
      </c>
      <c r="E33" s="20" t="s">
        <v>154</v>
      </c>
    </row>
    <row r="34" spans="2:5" x14ac:dyDescent="0.25">
      <c r="B34" s="20" t="s">
        <v>181</v>
      </c>
      <c r="C34" s="20" t="s">
        <v>182</v>
      </c>
      <c r="D34" s="20" t="s">
        <v>116</v>
      </c>
      <c r="E34" s="20" t="s">
        <v>117</v>
      </c>
    </row>
    <row r="35" spans="2:5" x14ac:dyDescent="0.25">
      <c r="B35" s="20" t="s">
        <v>183</v>
      </c>
      <c r="C35" s="20" t="s">
        <v>184</v>
      </c>
      <c r="D35" s="20" t="s">
        <v>93</v>
      </c>
      <c r="E35" s="20" t="s">
        <v>74</v>
      </c>
    </row>
    <row r="36" spans="2:5" x14ac:dyDescent="0.25">
      <c r="B36" s="20" t="s">
        <v>185</v>
      </c>
      <c r="C36" s="20" t="s">
        <v>186</v>
      </c>
      <c r="D36" s="20" t="s">
        <v>56</v>
      </c>
      <c r="E36" s="20" t="s">
        <v>187</v>
      </c>
    </row>
    <row r="37" spans="2:5" x14ac:dyDescent="0.25">
      <c r="B37" s="20" t="s">
        <v>188</v>
      </c>
      <c r="C37" s="20" t="s">
        <v>189</v>
      </c>
      <c r="D37" s="20" t="s">
        <v>56</v>
      </c>
      <c r="E37" s="20" t="s">
        <v>78</v>
      </c>
    </row>
    <row r="38" spans="2:5" x14ac:dyDescent="0.25">
      <c r="B38" s="20" t="s">
        <v>190</v>
      </c>
      <c r="C38" s="20" t="s">
        <v>191</v>
      </c>
      <c r="D38" s="20" t="s">
        <v>73</v>
      </c>
      <c r="E38" s="20" t="s">
        <v>191</v>
      </c>
    </row>
    <row r="39" spans="2:5" x14ac:dyDescent="0.25">
      <c r="B39" s="20" t="s">
        <v>192</v>
      </c>
      <c r="C39" s="20" t="s">
        <v>193</v>
      </c>
      <c r="D39" s="20" t="s">
        <v>116</v>
      </c>
      <c r="E39" s="20" t="s">
        <v>117</v>
      </c>
    </row>
    <row r="40" spans="2:5" x14ac:dyDescent="0.25">
      <c r="B40" s="20" t="s">
        <v>194</v>
      </c>
      <c r="C40" s="20" t="s">
        <v>195</v>
      </c>
      <c r="D40" s="20" t="s">
        <v>93</v>
      </c>
      <c r="E40" s="20" t="s">
        <v>168</v>
      </c>
    </row>
    <row r="41" spans="2:5" x14ac:dyDescent="0.25">
      <c r="B41" s="20" t="s">
        <v>196</v>
      </c>
      <c r="C41" s="20" t="s">
        <v>197</v>
      </c>
      <c r="D41" s="20" t="s">
        <v>56</v>
      </c>
      <c r="E41" s="20" t="s">
        <v>198</v>
      </c>
    </row>
  </sheetData>
  <pageMargins left="0.75" right="0.75" top="1" bottom="1" header="0.511811023622047" footer="0.511811023622047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2:O58"/>
  <sheetViews>
    <sheetView showGridLines="0" tabSelected="1" zoomScaleNormal="100" workbookViewId="0"/>
  </sheetViews>
  <sheetFormatPr baseColWidth="10" defaultColWidth="8.7109375" defaultRowHeight="15" x14ac:dyDescent="0.25"/>
  <cols>
    <col min="2" max="2" width="10" customWidth="1"/>
    <col min="3" max="3" width="26" customWidth="1"/>
    <col min="4" max="4" width="12" customWidth="1"/>
    <col min="5" max="6" width="18" customWidth="1"/>
    <col min="7" max="7" width="9" customWidth="1"/>
    <col min="8" max="8" width="16" customWidth="1"/>
    <col min="9" max="9" width="11" customWidth="1"/>
    <col min="10" max="10" width="14" customWidth="1"/>
    <col min="11" max="12" width="10" customWidth="1"/>
    <col min="13" max="14" width="12" customWidth="1"/>
    <col min="15" max="15" width="20.7109375" bestFit="1" customWidth="1"/>
  </cols>
  <sheetData>
    <row r="2" spans="2:15" x14ac:dyDescent="0.25">
      <c r="B2" s="19" t="s">
        <v>199</v>
      </c>
      <c r="C2" s="19" t="s">
        <v>200</v>
      </c>
      <c r="D2" s="19" t="s">
        <v>201</v>
      </c>
      <c r="E2" s="19" t="s">
        <v>202</v>
      </c>
      <c r="F2" s="19" t="s">
        <v>203</v>
      </c>
      <c r="G2" s="19" t="s">
        <v>204</v>
      </c>
      <c r="H2" s="19" t="s">
        <v>205</v>
      </c>
      <c r="I2" s="19" t="s">
        <v>206</v>
      </c>
      <c r="J2" s="19" t="s">
        <v>207</v>
      </c>
      <c r="K2" s="19" t="s">
        <v>208</v>
      </c>
      <c r="L2" s="19" t="s">
        <v>209</v>
      </c>
      <c r="M2" s="19" t="s">
        <v>210</v>
      </c>
      <c r="N2" s="19" t="s">
        <v>211</v>
      </c>
      <c r="O2" s="19" t="s">
        <v>212</v>
      </c>
    </row>
    <row r="3" spans="2:15" x14ac:dyDescent="0.25">
      <c r="B3" s="20" t="s">
        <v>213</v>
      </c>
      <c r="C3" s="20" t="s">
        <v>214</v>
      </c>
      <c r="D3" s="20"/>
      <c r="E3" s="20">
        <v>100</v>
      </c>
      <c r="F3" s="20"/>
      <c r="G3" s="20" t="s">
        <v>215</v>
      </c>
      <c r="H3" s="20" t="s">
        <v>216</v>
      </c>
      <c r="I3" s="20"/>
      <c r="J3" s="20"/>
      <c r="K3" s="20"/>
      <c r="L3" s="20"/>
      <c r="M3" s="20"/>
      <c r="N3" s="20"/>
      <c r="O3" s="20" t="str">
        <f t="shared" ref="O3:O34" si="0">IF(ISNUMBER(SEARCH("Tela",C3)),C3,"")</f>
        <v/>
      </c>
    </row>
    <row r="4" spans="2:15" x14ac:dyDescent="0.25">
      <c r="B4" s="20" t="s">
        <v>217</v>
      </c>
      <c r="C4" s="20" t="s">
        <v>70</v>
      </c>
      <c r="D4" s="20"/>
      <c r="E4" s="20">
        <v>4000</v>
      </c>
      <c r="F4" s="20"/>
      <c r="G4" s="20" t="s">
        <v>215</v>
      </c>
      <c r="H4" s="20" t="s">
        <v>218</v>
      </c>
      <c r="I4" s="20"/>
      <c r="J4" s="20"/>
      <c r="K4" s="20"/>
      <c r="L4" s="20"/>
      <c r="M4" s="20"/>
      <c r="N4" s="20"/>
      <c r="O4" s="20" t="str">
        <f t="shared" si="0"/>
        <v/>
      </c>
    </row>
    <row r="5" spans="2:15" x14ac:dyDescent="0.25">
      <c r="B5" s="20" t="s">
        <v>219</v>
      </c>
      <c r="C5" s="20" t="s">
        <v>80</v>
      </c>
      <c r="D5" s="20"/>
      <c r="E5" s="20">
        <v>1500</v>
      </c>
      <c r="F5" s="20"/>
      <c r="G5" s="20" t="s">
        <v>215</v>
      </c>
      <c r="H5" s="20"/>
      <c r="I5" s="20"/>
      <c r="J5" s="20"/>
      <c r="K5" s="20"/>
      <c r="L5" s="20"/>
      <c r="M5" s="20"/>
      <c r="N5" s="20"/>
      <c r="O5" s="20" t="str">
        <f t="shared" si="0"/>
        <v/>
      </c>
    </row>
    <row r="6" spans="2:15" x14ac:dyDescent="0.25">
      <c r="B6" s="20" t="s">
        <v>220</v>
      </c>
      <c r="C6" s="20" t="s">
        <v>221</v>
      </c>
      <c r="D6" s="20"/>
      <c r="E6" s="20">
        <v>1800</v>
      </c>
      <c r="F6" s="20"/>
      <c r="G6" s="20" t="s">
        <v>215</v>
      </c>
      <c r="H6" s="20"/>
      <c r="I6" s="20"/>
      <c r="J6" s="20"/>
      <c r="K6" s="20"/>
      <c r="L6" s="20"/>
      <c r="M6" s="20"/>
      <c r="N6" s="20"/>
      <c r="O6" s="20" t="str">
        <f t="shared" si="0"/>
        <v/>
      </c>
    </row>
    <row r="7" spans="2:15" x14ac:dyDescent="0.25">
      <c r="B7" s="20" t="s">
        <v>222</v>
      </c>
      <c r="C7" s="20" t="s">
        <v>223</v>
      </c>
      <c r="D7" s="20"/>
      <c r="E7" s="20">
        <v>1300</v>
      </c>
      <c r="F7" s="20"/>
      <c r="G7" s="20" t="s">
        <v>215</v>
      </c>
      <c r="H7" s="20" t="s">
        <v>224</v>
      </c>
      <c r="I7" s="20"/>
      <c r="J7" s="20"/>
      <c r="K7" s="20"/>
      <c r="L7" s="20"/>
      <c r="M7" s="20"/>
      <c r="N7" s="20"/>
      <c r="O7" s="20" t="str">
        <f t="shared" si="0"/>
        <v/>
      </c>
    </row>
    <row r="8" spans="2:15" x14ac:dyDescent="0.25">
      <c r="B8" s="20" t="s">
        <v>225</v>
      </c>
      <c r="C8" s="20" t="s">
        <v>226</v>
      </c>
      <c r="D8" s="20"/>
      <c r="E8" s="20">
        <v>6000</v>
      </c>
      <c r="F8" s="20"/>
      <c r="G8" s="20" t="s">
        <v>215</v>
      </c>
      <c r="H8" s="20"/>
      <c r="I8" s="20"/>
      <c r="J8" s="20"/>
      <c r="K8" s="20"/>
      <c r="L8" s="20"/>
      <c r="M8" s="20"/>
      <c r="N8" s="20"/>
      <c r="O8" s="20" t="str">
        <f t="shared" si="0"/>
        <v/>
      </c>
    </row>
    <row r="9" spans="2:15" x14ac:dyDescent="0.25">
      <c r="B9" s="20" t="s">
        <v>227</v>
      </c>
      <c r="C9" s="20" t="s">
        <v>228</v>
      </c>
      <c r="D9" s="20"/>
      <c r="E9" s="20">
        <v>1400</v>
      </c>
      <c r="F9" s="20"/>
      <c r="G9" s="20" t="s">
        <v>215</v>
      </c>
      <c r="H9" s="20" t="s">
        <v>229</v>
      </c>
      <c r="I9" s="20"/>
      <c r="J9" s="20"/>
      <c r="K9" s="20"/>
      <c r="L9" s="20"/>
      <c r="M9" s="20"/>
      <c r="N9" s="20"/>
      <c r="O9" s="20" t="str">
        <f t="shared" si="0"/>
        <v/>
      </c>
    </row>
    <row r="10" spans="2:15" x14ac:dyDescent="0.25">
      <c r="B10" s="20" t="s">
        <v>230</v>
      </c>
      <c r="C10" s="20" t="s">
        <v>231</v>
      </c>
      <c r="D10" s="20"/>
      <c r="E10" s="20">
        <v>250</v>
      </c>
      <c r="F10" s="20"/>
      <c r="G10" s="20" t="s">
        <v>215</v>
      </c>
      <c r="H10" s="20" t="s">
        <v>232</v>
      </c>
      <c r="I10" s="20"/>
      <c r="J10" s="20"/>
      <c r="K10" s="20"/>
      <c r="L10" s="20"/>
      <c r="M10" s="20"/>
      <c r="N10" s="20"/>
      <c r="O10" s="20" t="str">
        <f t="shared" si="0"/>
        <v/>
      </c>
    </row>
    <row r="11" spans="2:15" x14ac:dyDescent="0.25">
      <c r="B11" s="20" t="s">
        <v>233</v>
      </c>
      <c r="C11" s="20" t="s">
        <v>234</v>
      </c>
      <c r="D11" s="20"/>
      <c r="E11" s="20">
        <v>250</v>
      </c>
      <c r="F11" s="20"/>
      <c r="G11" s="20" t="s">
        <v>215</v>
      </c>
      <c r="H11" s="20" t="s">
        <v>235</v>
      </c>
      <c r="I11" s="20"/>
      <c r="J11" s="20"/>
      <c r="K11" s="20"/>
      <c r="L11" s="20"/>
      <c r="M11" s="20"/>
      <c r="N11" s="20"/>
      <c r="O11" s="20" t="str">
        <f t="shared" si="0"/>
        <v/>
      </c>
    </row>
    <row r="12" spans="2:15" x14ac:dyDescent="0.25">
      <c r="B12" s="20" t="s">
        <v>236</v>
      </c>
      <c r="C12" s="20" t="s">
        <v>237</v>
      </c>
      <c r="D12" s="20"/>
      <c r="E12" s="20">
        <v>120</v>
      </c>
      <c r="F12" s="20"/>
      <c r="G12" s="20" t="s">
        <v>215</v>
      </c>
      <c r="H12" s="20" t="s">
        <v>229</v>
      </c>
      <c r="I12" s="20"/>
      <c r="J12" s="20"/>
      <c r="K12" s="20"/>
      <c r="L12" s="20"/>
      <c r="M12" s="20"/>
      <c r="N12" s="20"/>
      <c r="O12" s="20" t="str">
        <f t="shared" si="0"/>
        <v/>
      </c>
    </row>
    <row r="13" spans="2:15" x14ac:dyDescent="0.25">
      <c r="B13" s="20" t="s">
        <v>238</v>
      </c>
      <c r="C13" s="20" t="s">
        <v>239</v>
      </c>
      <c r="D13" s="20"/>
      <c r="E13" s="20">
        <v>4.4000000000000004</v>
      </c>
      <c r="F13" s="20"/>
      <c r="G13" s="20" t="s">
        <v>240</v>
      </c>
      <c r="H13" s="20" t="s">
        <v>241</v>
      </c>
      <c r="I13" s="20"/>
      <c r="J13" s="20"/>
      <c r="K13" s="20"/>
      <c r="L13" s="20"/>
      <c r="M13" s="20"/>
      <c r="N13" s="20"/>
      <c r="O13" s="20" t="str">
        <f t="shared" si="0"/>
        <v xml:space="preserve">Tela Algodón </v>
      </c>
    </row>
    <row r="14" spans="2:15" x14ac:dyDescent="0.25">
      <c r="B14" s="20" t="s">
        <v>242</v>
      </c>
      <c r="C14" s="20" t="s">
        <v>243</v>
      </c>
      <c r="D14" s="20"/>
      <c r="E14" s="20">
        <v>3.9</v>
      </c>
      <c r="F14" s="20"/>
      <c r="G14" s="20" t="s">
        <v>240</v>
      </c>
      <c r="H14" s="20" t="s">
        <v>244</v>
      </c>
      <c r="I14" s="20"/>
      <c r="J14" s="20"/>
      <c r="K14" s="20"/>
      <c r="L14" s="20"/>
      <c r="M14" s="20"/>
      <c r="N14" s="20"/>
      <c r="O14" s="20" t="str">
        <f t="shared" si="0"/>
        <v>Tela Algodón egipcio</v>
      </c>
    </row>
    <row r="15" spans="2:15" x14ac:dyDescent="0.25">
      <c r="B15" s="20" t="s">
        <v>245</v>
      </c>
      <c r="C15" s="20" t="s">
        <v>246</v>
      </c>
      <c r="D15" s="20"/>
      <c r="E15" s="20">
        <v>2.2999999999999998</v>
      </c>
      <c r="F15" s="20">
        <v>1.8</v>
      </c>
      <c r="G15" s="20" t="s">
        <v>240</v>
      </c>
      <c r="H15" s="20" t="s">
        <v>244</v>
      </c>
      <c r="I15" s="20"/>
      <c r="J15" s="20"/>
      <c r="K15" s="20"/>
      <c r="L15" s="20"/>
      <c r="M15" s="20"/>
      <c r="N15" s="20"/>
      <c r="O15" s="20" t="str">
        <f t="shared" si="0"/>
        <v>Tela Atlética</v>
      </c>
    </row>
    <row r="16" spans="2:15" x14ac:dyDescent="0.25">
      <c r="B16" s="20" t="s">
        <v>247</v>
      </c>
      <c r="C16" s="20" t="s">
        <v>248</v>
      </c>
      <c r="D16" s="20"/>
      <c r="E16" s="20"/>
      <c r="F16" s="20"/>
      <c r="G16" s="20" t="s">
        <v>240</v>
      </c>
      <c r="H16" s="20"/>
      <c r="I16" s="20"/>
      <c r="J16" s="20"/>
      <c r="K16" s="20"/>
      <c r="L16" s="20"/>
      <c r="M16" s="20"/>
      <c r="N16" s="20"/>
      <c r="O16" s="20" t="str">
        <f t="shared" si="0"/>
        <v>Tela Columbia</v>
      </c>
    </row>
    <row r="17" spans="2:15" x14ac:dyDescent="0.25">
      <c r="B17" s="20" t="s">
        <v>249</v>
      </c>
      <c r="C17" s="20" t="s">
        <v>250</v>
      </c>
      <c r="D17" s="20"/>
      <c r="E17" s="20">
        <v>2.5</v>
      </c>
      <c r="F17" s="20">
        <v>1.95</v>
      </c>
      <c r="G17" s="20" t="s">
        <v>240</v>
      </c>
      <c r="H17" s="20"/>
      <c r="I17" s="20"/>
      <c r="J17" s="20"/>
      <c r="K17" s="20"/>
      <c r="L17" s="20"/>
      <c r="M17" s="20"/>
      <c r="N17" s="20"/>
      <c r="O17" s="20" t="str">
        <f t="shared" si="0"/>
        <v>Tela Dri Fit</v>
      </c>
    </row>
    <row r="18" spans="2:15" x14ac:dyDescent="0.25">
      <c r="B18" s="20" t="s">
        <v>251</v>
      </c>
      <c r="C18" s="20" t="s">
        <v>252</v>
      </c>
      <c r="D18" s="20"/>
      <c r="E18" s="20">
        <v>3.7</v>
      </c>
      <c r="F18" s="20"/>
      <c r="G18" s="20" t="s">
        <v>240</v>
      </c>
      <c r="H18" s="20"/>
      <c r="I18" s="20"/>
      <c r="J18" s="20"/>
      <c r="K18" s="20"/>
      <c r="L18" s="20"/>
      <c r="M18" s="20"/>
      <c r="N18" s="20"/>
      <c r="O18" s="20" t="str">
        <f t="shared" si="0"/>
        <v>Tela Drill sahara</v>
      </c>
    </row>
    <row r="19" spans="2:15" x14ac:dyDescent="0.25">
      <c r="B19" s="20" t="s">
        <v>253</v>
      </c>
      <c r="C19" s="20" t="s">
        <v>254</v>
      </c>
      <c r="D19" s="20"/>
      <c r="E19" s="20">
        <v>1.5</v>
      </c>
      <c r="F19" s="20"/>
      <c r="G19" s="20" t="s">
        <v>240</v>
      </c>
      <c r="H19" s="20"/>
      <c r="I19" s="20"/>
      <c r="J19" s="20"/>
      <c r="K19" s="20"/>
      <c r="L19" s="20"/>
      <c r="M19" s="20"/>
      <c r="N19" s="20"/>
      <c r="O19" s="20" t="str">
        <f t="shared" si="0"/>
        <v>Tela fashion mix spt</v>
      </c>
    </row>
    <row r="20" spans="2:15" x14ac:dyDescent="0.25">
      <c r="B20" s="20" t="s">
        <v>255</v>
      </c>
      <c r="C20" s="20" t="s">
        <v>256</v>
      </c>
      <c r="D20" s="20"/>
      <c r="E20" s="20">
        <v>3.5</v>
      </c>
      <c r="F20" s="20"/>
      <c r="G20" s="20" t="s">
        <v>240</v>
      </c>
      <c r="H20" s="20"/>
      <c r="I20" s="20"/>
      <c r="J20" s="20"/>
      <c r="K20" s="20"/>
      <c r="L20" s="20"/>
      <c r="M20" s="20"/>
      <c r="N20" s="20"/>
      <c r="O20" s="20" t="str">
        <f t="shared" si="0"/>
        <v>Tela Gabardina</v>
      </c>
    </row>
    <row r="21" spans="2:15" x14ac:dyDescent="0.25">
      <c r="B21" s="20" t="s">
        <v>257</v>
      </c>
      <c r="C21" s="20" t="s">
        <v>258</v>
      </c>
      <c r="D21" s="20"/>
      <c r="E21" s="20">
        <v>4</v>
      </c>
      <c r="F21" s="20"/>
      <c r="G21" s="20" t="s">
        <v>240</v>
      </c>
      <c r="H21" s="20" t="s">
        <v>259</v>
      </c>
      <c r="I21" s="20"/>
      <c r="J21" s="20"/>
      <c r="K21" s="20"/>
      <c r="L21" s="20"/>
      <c r="M21" s="20"/>
      <c r="N21" s="20"/>
      <c r="O21" s="20" t="str">
        <f t="shared" si="0"/>
        <v>Tela LaCoste</v>
      </c>
    </row>
    <row r="22" spans="2:15" x14ac:dyDescent="0.25">
      <c r="B22" s="20" t="s">
        <v>260</v>
      </c>
      <c r="C22" s="20" t="s">
        <v>261</v>
      </c>
      <c r="D22" s="20"/>
      <c r="E22" s="20">
        <v>5.95</v>
      </c>
      <c r="F22" s="20"/>
      <c r="G22" s="20" t="s">
        <v>240</v>
      </c>
      <c r="H22" s="20"/>
      <c r="I22" s="20"/>
      <c r="J22" s="20"/>
      <c r="K22" s="20"/>
      <c r="L22" s="20"/>
      <c r="M22" s="20"/>
      <c r="N22" s="20"/>
      <c r="O22" s="20" t="str">
        <f t="shared" si="0"/>
        <v>Tela Licra careoca</v>
      </c>
    </row>
    <row r="23" spans="2:15" x14ac:dyDescent="0.25">
      <c r="B23" s="20" t="s">
        <v>262</v>
      </c>
      <c r="C23" s="20" t="s">
        <v>263</v>
      </c>
      <c r="D23" s="20"/>
      <c r="E23" s="20">
        <v>3.8</v>
      </c>
      <c r="F23" s="20"/>
      <c r="G23" s="20" t="s">
        <v>240</v>
      </c>
      <c r="H23" s="20"/>
      <c r="I23" s="20"/>
      <c r="J23" s="20"/>
      <c r="K23" s="20"/>
      <c r="L23" s="20"/>
      <c r="M23" s="20"/>
      <c r="N23" s="20"/>
      <c r="O23" s="20" t="str">
        <f t="shared" si="0"/>
        <v>Tela Licra eternity</v>
      </c>
    </row>
    <row r="24" spans="2:15" x14ac:dyDescent="0.25">
      <c r="B24" s="20" t="s">
        <v>264</v>
      </c>
      <c r="C24" s="20" t="s">
        <v>265</v>
      </c>
      <c r="D24" s="20"/>
      <c r="E24" s="20">
        <v>2.5</v>
      </c>
      <c r="F24" s="20"/>
      <c r="G24" s="20" t="s">
        <v>240</v>
      </c>
      <c r="H24" s="20" t="s">
        <v>266</v>
      </c>
      <c r="I24" s="20"/>
      <c r="J24" s="20"/>
      <c r="K24" s="20"/>
      <c r="L24" s="20"/>
      <c r="M24" s="20"/>
      <c r="N24" s="20"/>
      <c r="O24" s="20" t="str">
        <f t="shared" si="0"/>
        <v>Tela Licra super leggyn</v>
      </c>
    </row>
    <row r="25" spans="2:15" x14ac:dyDescent="0.25">
      <c r="B25" s="20" t="s">
        <v>267</v>
      </c>
      <c r="C25" s="20" t="s">
        <v>268</v>
      </c>
      <c r="D25" s="20"/>
      <c r="E25" s="20">
        <v>5.8</v>
      </c>
      <c r="F25" s="20"/>
      <c r="G25" s="20" t="s">
        <v>240</v>
      </c>
      <c r="H25" s="20"/>
      <c r="I25" s="20"/>
      <c r="J25" s="20"/>
      <c r="K25" s="20"/>
      <c r="L25" s="20"/>
      <c r="M25" s="20"/>
      <c r="N25" s="20"/>
      <c r="O25" s="20" t="str">
        <f t="shared" si="0"/>
        <v>Tela Licra super pacyfic</v>
      </c>
    </row>
    <row r="26" spans="2:15" x14ac:dyDescent="0.25">
      <c r="B26" s="20" t="s">
        <v>269</v>
      </c>
      <c r="C26" s="20" t="s">
        <v>270</v>
      </c>
      <c r="D26" s="20"/>
      <c r="E26" s="20">
        <v>1.5</v>
      </c>
      <c r="F26" s="20"/>
      <c r="G26" s="20" t="s">
        <v>240</v>
      </c>
      <c r="H26" s="20"/>
      <c r="I26" s="20"/>
      <c r="J26" s="20"/>
      <c r="K26" s="20"/>
      <c r="L26" s="20"/>
      <c r="M26" s="20"/>
      <c r="N26" s="20"/>
      <c r="O26" s="20" t="str">
        <f t="shared" si="0"/>
        <v>Tela Malla forro</v>
      </c>
    </row>
    <row r="27" spans="2:15" x14ac:dyDescent="0.25">
      <c r="B27" s="20" t="s">
        <v>271</v>
      </c>
      <c r="C27" s="20" t="s">
        <v>272</v>
      </c>
      <c r="D27" s="20"/>
      <c r="E27" s="20">
        <v>2</v>
      </c>
      <c r="F27" s="20"/>
      <c r="G27" s="20" t="s">
        <v>240</v>
      </c>
      <c r="H27" s="20"/>
      <c r="I27" s="20"/>
      <c r="J27" s="20"/>
      <c r="K27" s="20"/>
      <c r="L27" s="20"/>
      <c r="M27" s="20"/>
      <c r="N27" s="20"/>
      <c r="O27" s="20" t="str">
        <f t="shared" si="0"/>
        <v>Tela malla maraton</v>
      </c>
    </row>
    <row r="28" spans="2:15" x14ac:dyDescent="0.25">
      <c r="B28" s="20" t="s">
        <v>273</v>
      </c>
      <c r="C28" s="20" t="s">
        <v>274</v>
      </c>
      <c r="D28" s="20"/>
      <c r="E28" s="20">
        <v>1.5</v>
      </c>
      <c r="F28" s="20"/>
      <c r="G28" s="20" t="s">
        <v>240</v>
      </c>
      <c r="H28" s="20" t="s">
        <v>275</v>
      </c>
      <c r="I28" s="20"/>
      <c r="J28" s="20"/>
      <c r="K28" s="20"/>
      <c r="L28" s="20"/>
      <c r="M28" s="20"/>
      <c r="N28" s="20"/>
      <c r="O28" s="20" t="str">
        <f t="shared" si="0"/>
        <v>Tela Memory</v>
      </c>
    </row>
    <row r="29" spans="2:15" x14ac:dyDescent="0.25">
      <c r="B29" s="20" t="s">
        <v>276</v>
      </c>
      <c r="C29" s="20" t="s">
        <v>277</v>
      </c>
      <c r="D29" s="20"/>
      <c r="E29" s="20"/>
      <c r="F29" s="20"/>
      <c r="G29" s="20" t="s">
        <v>240</v>
      </c>
      <c r="H29" s="20"/>
      <c r="I29" s="20"/>
      <c r="J29" s="20"/>
      <c r="K29" s="20"/>
      <c r="L29" s="20"/>
      <c r="M29" s="20"/>
      <c r="N29" s="20"/>
      <c r="O29" s="20" t="str">
        <f t="shared" si="0"/>
        <v>Tela Micro perforada</v>
      </c>
    </row>
    <row r="30" spans="2:15" x14ac:dyDescent="0.25">
      <c r="B30" s="20" t="s">
        <v>278</v>
      </c>
      <c r="C30" s="20" t="s">
        <v>279</v>
      </c>
      <c r="D30" s="20"/>
      <c r="E30" s="20">
        <v>2.5</v>
      </c>
      <c r="F30" s="20"/>
      <c r="G30" s="20" t="s">
        <v>240</v>
      </c>
      <c r="H30" s="20"/>
      <c r="I30" s="20"/>
      <c r="J30" s="20"/>
      <c r="K30" s="20"/>
      <c r="L30" s="20"/>
      <c r="M30" s="20"/>
      <c r="N30" s="20"/>
      <c r="O30" s="20" t="str">
        <f t="shared" si="0"/>
        <v>Tela Microdurasno</v>
      </c>
    </row>
    <row r="31" spans="2:15" x14ac:dyDescent="0.25">
      <c r="B31" s="20" t="s">
        <v>280</v>
      </c>
      <c r="C31" s="20" t="s">
        <v>281</v>
      </c>
      <c r="D31" s="20"/>
      <c r="E31" s="20">
        <v>1.95</v>
      </c>
      <c r="F31" s="20"/>
      <c r="G31" s="20" t="s">
        <v>240</v>
      </c>
      <c r="H31" s="20"/>
      <c r="I31" s="20"/>
      <c r="J31" s="20"/>
      <c r="K31" s="20"/>
      <c r="L31" s="20"/>
      <c r="M31" s="20"/>
      <c r="N31" s="20"/>
      <c r="O31" s="20" t="str">
        <f t="shared" si="0"/>
        <v>Tela Microfibra mundial</v>
      </c>
    </row>
    <row r="32" spans="2:15" x14ac:dyDescent="0.25">
      <c r="B32" s="20" t="s">
        <v>282</v>
      </c>
      <c r="C32" s="20" t="s">
        <v>283</v>
      </c>
      <c r="D32" s="20"/>
      <c r="E32" s="20">
        <v>3.9</v>
      </c>
      <c r="F32" s="20"/>
      <c r="G32" s="20" t="s">
        <v>240</v>
      </c>
      <c r="H32" s="20" t="s">
        <v>284</v>
      </c>
      <c r="I32" s="20"/>
      <c r="J32" s="20"/>
      <c r="K32" s="20"/>
      <c r="L32" s="20"/>
      <c r="M32" s="20"/>
      <c r="N32" s="20"/>
      <c r="O32" s="20" t="str">
        <f t="shared" si="0"/>
        <v>Tela Mono</v>
      </c>
    </row>
    <row r="33" spans="2:15" x14ac:dyDescent="0.25">
      <c r="B33" s="20" t="s">
        <v>285</v>
      </c>
      <c r="C33" s="20" t="s">
        <v>286</v>
      </c>
      <c r="D33" s="20"/>
      <c r="E33" s="20">
        <v>4.9000000000000004</v>
      </c>
      <c r="F33" s="20"/>
      <c r="G33" s="20" t="s">
        <v>240</v>
      </c>
      <c r="H33" s="20"/>
      <c r="I33" s="20"/>
      <c r="J33" s="20"/>
      <c r="K33" s="20"/>
      <c r="L33" s="20"/>
      <c r="M33" s="20"/>
      <c r="N33" s="20"/>
      <c r="O33" s="20" t="str">
        <f t="shared" si="0"/>
        <v>Tela Mono hollister</v>
      </c>
    </row>
    <row r="34" spans="2:15" x14ac:dyDescent="0.25">
      <c r="B34" s="20" t="s">
        <v>287</v>
      </c>
      <c r="C34" s="20" t="s">
        <v>12</v>
      </c>
      <c r="D34" s="20"/>
      <c r="E34" s="20">
        <v>2.2999999999999998</v>
      </c>
      <c r="F34" s="20">
        <v>1.2</v>
      </c>
      <c r="G34" s="20" t="s">
        <v>240</v>
      </c>
      <c r="H34" s="20" t="s">
        <v>288</v>
      </c>
      <c r="I34" s="20"/>
      <c r="J34" s="20"/>
      <c r="K34" s="20"/>
      <c r="L34" s="20"/>
      <c r="M34" s="20"/>
      <c r="N34" s="20"/>
      <c r="O34" s="20" t="str">
        <f t="shared" si="0"/>
        <v>Tela Muselina</v>
      </c>
    </row>
    <row r="35" spans="2:15" x14ac:dyDescent="0.25">
      <c r="B35" s="20" t="s">
        <v>289</v>
      </c>
      <c r="C35" s="20" t="s">
        <v>290</v>
      </c>
      <c r="D35" s="20"/>
      <c r="E35" s="20">
        <v>7.5</v>
      </c>
      <c r="F35" s="20"/>
      <c r="G35" s="20" t="s">
        <v>240</v>
      </c>
      <c r="H35" s="20"/>
      <c r="I35" s="20"/>
      <c r="J35" s="20"/>
      <c r="K35" s="20"/>
      <c r="L35" s="20"/>
      <c r="M35" s="20"/>
      <c r="N35" s="20"/>
      <c r="O35" s="20" t="str">
        <f t="shared" ref="O35:O58" si="1">IF(ISNUMBER(SEARCH("Tela",C35)),C35,"")</f>
        <v>Tela neopreno</v>
      </c>
    </row>
    <row r="36" spans="2:15" x14ac:dyDescent="0.25">
      <c r="B36" s="20" t="s">
        <v>291</v>
      </c>
      <c r="C36" s="20" t="s">
        <v>292</v>
      </c>
      <c r="D36" s="20"/>
      <c r="E36" s="20">
        <v>5.5</v>
      </c>
      <c r="F36" s="20">
        <v>4</v>
      </c>
      <c r="G36" s="20" t="s">
        <v>240</v>
      </c>
      <c r="H36" s="20"/>
      <c r="I36" s="20"/>
      <c r="J36" s="20"/>
      <c r="K36" s="20"/>
      <c r="L36" s="20"/>
      <c r="M36" s="20"/>
      <c r="N36" s="20"/>
      <c r="O36" s="20" t="str">
        <f t="shared" si="1"/>
        <v>Tela North face</v>
      </c>
    </row>
    <row r="37" spans="2:15" x14ac:dyDescent="0.25">
      <c r="B37" s="20" t="s">
        <v>293</v>
      </c>
      <c r="C37" s="20" t="s">
        <v>294</v>
      </c>
      <c r="D37" s="20"/>
      <c r="E37" s="20">
        <v>4</v>
      </c>
      <c r="F37" s="20"/>
      <c r="G37" s="20" t="s">
        <v>240</v>
      </c>
      <c r="H37" s="20"/>
      <c r="I37" s="20"/>
      <c r="J37" s="20"/>
      <c r="K37" s="20"/>
      <c r="L37" s="20"/>
      <c r="M37" s="20"/>
      <c r="N37" s="20"/>
      <c r="O37" s="20" t="str">
        <f t="shared" si="1"/>
        <v>Tela Oxford</v>
      </c>
    </row>
    <row r="38" spans="2:15" x14ac:dyDescent="0.25">
      <c r="B38" s="20" t="s">
        <v>295</v>
      </c>
      <c r="C38" s="20" t="s">
        <v>296</v>
      </c>
      <c r="D38" s="20"/>
      <c r="E38" s="20">
        <v>2.95</v>
      </c>
      <c r="F38" s="20"/>
      <c r="G38" s="20" t="s">
        <v>240</v>
      </c>
      <c r="H38" s="20"/>
      <c r="I38" s="20"/>
      <c r="J38" s="20"/>
      <c r="K38" s="20"/>
      <c r="L38" s="20"/>
      <c r="M38" s="20"/>
      <c r="N38" s="20"/>
      <c r="O38" s="20" t="str">
        <f t="shared" si="1"/>
        <v>Tela Piqué armani</v>
      </c>
    </row>
    <row r="39" spans="2:15" x14ac:dyDescent="0.25">
      <c r="B39" s="20" t="s">
        <v>297</v>
      </c>
      <c r="C39" s="20" t="s">
        <v>298</v>
      </c>
      <c r="D39" s="20"/>
      <c r="E39" s="20">
        <v>3.5</v>
      </c>
      <c r="F39" s="20"/>
      <c r="G39" s="20" t="s">
        <v>240</v>
      </c>
      <c r="H39" s="20"/>
      <c r="I39" s="20"/>
      <c r="J39" s="20"/>
      <c r="K39" s="20"/>
      <c r="L39" s="20"/>
      <c r="M39" s="20"/>
      <c r="N39" s="20"/>
      <c r="O39" s="20" t="str">
        <f t="shared" si="1"/>
        <v>Tela polar</v>
      </c>
    </row>
    <row r="40" spans="2:15" x14ac:dyDescent="0.25">
      <c r="B40" s="20" t="s">
        <v>299</v>
      </c>
      <c r="C40" s="20" t="s">
        <v>300</v>
      </c>
      <c r="D40" s="20"/>
      <c r="E40" s="20">
        <v>2.5</v>
      </c>
      <c r="F40" s="20"/>
      <c r="G40" s="20" t="s">
        <v>240</v>
      </c>
      <c r="H40" s="20"/>
      <c r="I40" s="20"/>
      <c r="J40" s="20"/>
      <c r="K40" s="20"/>
      <c r="L40" s="20"/>
      <c r="M40" s="20"/>
      <c r="N40" s="20"/>
      <c r="O40" s="20" t="str">
        <f t="shared" si="1"/>
        <v>Tela polo wafy</v>
      </c>
    </row>
    <row r="41" spans="2:15" x14ac:dyDescent="0.25">
      <c r="B41" s="20" t="s">
        <v>301</v>
      </c>
      <c r="C41" s="20" t="s">
        <v>302</v>
      </c>
      <c r="D41" s="20"/>
      <c r="E41" s="20"/>
      <c r="F41" s="20">
        <v>1.2</v>
      </c>
      <c r="G41" s="20" t="s">
        <v>240</v>
      </c>
      <c r="H41" s="20"/>
      <c r="I41" s="20"/>
      <c r="J41" s="20"/>
      <c r="K41" s="20"/>
      <c r="L41" s="20"/>
      <c r="M41" s="20"/>
      <c r="N41" s="20"/>
      <c r="O41" s="20" t="str">
        <f t="shared" si="1"/>
        <v>Tela qatar</v>
      </c>
    </row>
    <row r="42" spans="2:15" x14ac:dyDescent="0.25">
      <c r="B42" s="20" t="s">
        <v>303</v>
      </c>
      <c r="C42" s="20" t="s">
        <v>304</v>
      </c>
      <c r="D42" s="20"/>
      <c r="E42" s="20">
        <v>3</v>
      </c>
      <c r="F42" s="20"/>
      <c r="G42" s="20" t="s">
        <v>240</v>
      </c>
      <c r="H42" s="20"/>
      <c r="I42" s="20"/>
      <c r="J42" s="20"/>
      <c r="K42" s="20"/>
      <c r="L42" s="20"/>
      <c r="M42" s="20"/>
      <c r="N42" s="20"/>
      <c r="O42" s="20" t="str">
        <f t="shared" si="1"/>
        <v>Tela Super Mono</v>
      </c>
    </row>
    <row r="43" spans="2:15" x14ac:dyDescent="0.25">
      <c r="B43" s="20" t="s">
        <v>305</v>
      </c>
      <c r="C43" s="20" t="s">
        <v>306</v>
      </c>
      <c r="D43" s="20"/>
      <c r="E43" s="20">
        <v>1.9</v>
      </c>
      <c r="F43" s="20"/>
      <c r="G43" s="20" t="s">
        <v>240</v>
      </c>
      <c r="H43" s="20" t="s">
        <v>288</v>
      </c>
      <c r="I43" s="20"/>
      <c r="J43" s="20"/>
      <c r="K43" s="20"/>
      <c r="L43" s="20"/>
      <c r="M43" s="20"/>
      <c r="N43" s="20"/>
      <c r="O43" s="20" t="str">
        <f t="shared" si="1"/>
        <v>Tela Tafeta iglú</v>
      </c>
    </row>
    <row r="44" spans="2:15" x14ac:dyDescent="0.25">
      <c r="B44" s="20" t="s">
        <v>307</v>
      </c>
      <c r="C44" s="20" t="s">
        <v>308</v>
      </c>
      <c r="D44" s="20"/>
      <c r="E44" s="20">
        <v>3</v>
      </c>
      <c r="F44" s="20"/>
      <c r="G44" s="20" t="s">
        <v>240</v>
      </c>
      <c r="H44" s="20" t="s">
        <v>309</v>
      </c>
      <c r="I44" s="20"/>
      <c r="J44" s="20"/>
      <c r="K44" s="20"/>
      <c r="L44" s="20"/>
      <c r="M44" s="20"/>
      <c r="N44" s="20"/>
      <c r="O44" s="20" t="str">
        <f t="shared" si="1"/>
        <v>Tela Taslan olimpico</v>
      </c>
    </row>
    <row r="45" spans="2:15" x14ac:dyDescent="0.25">
      <c r="B45" s="20" t="s">
        <v>310</v>
      </c>
      <c r="C45" s="20" t="s">
        <v>311</v>
      </c>
      <c r="D45" s="20"/>
      <c r="E45" s="20">
        <v>1.95</v>
      </c>
      <c r="F45" s="20"/>
      <c r="G45" s="20" t="s">
        <v>240</v>
      </c>
      <c r="H45" s="20"/>
      <c r="I45" s="20"/>
      <c r="J45" s="20"/>
      <c r="K45" s="20"/>
      <c r="L45" s="20"/>
      <c r="M45" s="20"/>
      <c r="N45" s="20"/>
      <c r="O45" s="20" t="str">
        <f t="shared" si="1"/>
        <v>Tela Taslan permusa</v>
      </c>
    </row>
    <row r="46" spans="2:15" x14ac:dyDescent="0.25">
      <c r="B46" s="20" t="s">
        <v>312</v>
      </c>
      <c r="C46" s="20" t="s">
        <v>313</v>
      </c>
      <c r="D46" s="20"/>
      <c r="E46" s="20">
        <v>3.5</v>
      </c>
      <c r="F46" s="20"/>
      <c r="G46" s="20" t="s">
        <v>240</v>
      </c>
      <c r="H46" s="20" t="s">
        <v>314</v>
      </c>
      <c r="I46" s="20"/>
      <c r="J46" s="20"/>
      <c r="K46" s="20"/>
      <c r="L46" s="20"/>
      <c r="M46" s="20"/>
      <c r="N46" s="20"/>
      <c r="O46" s="20" t="str">
        <f t="shared" si="1"/>
        <v>Tela Terry</v>
      </c>
    </row>
    <row r="47" spans="2:15" x14ac:dyDescent="0.25">
      <c r="B47" s="20" t="s">
        <v>315</v>
      </c>
      <c r="C47" s="20" t="s">
        <v>316</v>
      </c>
      <c r="D47" s="20"/>
      <c r="E47" s="20">
        <v>11</v>
      </c>
      <c r="F47" s="20"/>
      <c r="G47" s="20" t="s">
        <v>240</v>
      </c>
      <c r="H47" s="20"/>
      <c r="I47" s="20"/>
      <c r="J47" s="20"/>
      <c r="K47" s="20"/>
      <c r="L47" s="20"/>
      <c r="M47" s="20"/>
      <c r="N47" s="20"/>
      <c r="O47" s="20" t="str">
        <f t="shared" si="1"/>
        <v/>
      </c>
    </row>
    <row r="48" spans="2:15" x14ac:dyDescent="0.25">
      <c r="B48" s="20" t="s">
        <v>317</v>
      </c>
      <c r="C48" s="20" t="s">
        <v>318</v>
      </c>
      <c r="D48" s="20"/>
      <c r="E48" s="20">
        <v>11</v>
      </c>
      <c r="F48" s="20"/>
      <c r="G48" s="20" t="s">
        <v>240</v>
      </c>
      <c r="H48" s="20"/>
      <c r="I48" s="20"/>
      <c r="J48" s="20"/>
      <c r="K48" s="20"/>
      <c r="L48" s="20"/>
      <c r="M48" s="20"/>
      <c r="N48" s="20"/>
      <c r="O48" s="20" t="str">
        <f t="shared" si="1"/>
        <v/>
      </c>
    </row>
    <row r="49" spans="2:15" x14ac:dyDescent="0.25">
      <c r="B49" s="20" t="s">
        <v>319</v>
      </c>
      <c r="C49" s="20" t="s">
        <v>320</v>
      </c>
      <c r="D49" s="20"/>
      <c r="E49" s="20">
        <v>11.5</v>
      </c>
      <c r="F49" s="20"/>
      <c r="G49" s="20" t="s">
        <v>240</v>
      </c>
      <c r="H49" s="20"/>
      <c r="I49" s="20"/>
      <c r="J49" s="20"/>
      <c r="K49" s="20"/>
      <c r="L49" s="20"/>
      <c r="M49" s="20"/>
      <c r="N49" s="20"/>
      <c r="O49" s="20" t="str">
        <f t="shared" si="1"/>
        <v/>
      </c>
    </row>
    <row r="50" spans="2:15" x14ac:dyDescent="0.25">
      <c r="B50" s="20" t="s">
        <v>321</v>
      </c>
      <c r="C50" s="20" t="s">
        <v>322</v>
      </c>
      <c r="D50" s="20"/>
      <c r="E50" s="20">
        <v>9.5</v>
      </c>
      <c r="F50" s="20"/>
      <c r="G50" s="20" t="s">
        <v>240</v>
      </c>
      <c r="H50" s="20"/>
      <c r="I50" s="20"/>
      <c r="J50" s="20"/>
      <c r="K50" s="20"/>
      <c r="L50" s="20"/>
      <c r="M50" s="20"/>
      <c r="N50" s="20"/>
      <c r="O50" s="20" t="str">
        <f t="shared" si="1"/>
        <v/>
      </c>
    </row>
    <row r="51" spans="2:15" x14ac:dyDescent="0.25">
      <c r="B51" s="20" t="s">
        <v>323</v>
      </c>
      <c r="C51" s="20" t="s">
        <v>324</v>
      </c>
      <c r="D51" s="20"/>
      <c r="E51" s="20">
        <v>17.5</v>
      </c>
      <c r="F51" s="20"/>
      <c r="G51" s="20" t="s">
        <v>240</v>
      </c>
      <c r="H51" s="20"/>
      <c r="I51" s="20"/>
      <c r="J51" s="20"/>
      <c r="K51" s="20"/>
      <c r="L51" s="20"/>
      <c r="M51" s="20"/>
      <c r="N51" s="20"/>
      <c r="O51" s="20" t="str">
        <f t="shared" si="1"/>
        <v/>
      </c>
    </row>
    <row r="52" spans="2:15" x14ac:dyDescent="0.25">
      <c r="B52" s="20" t="s">
        <v>325</v>
      </c>
      <c r="C52" s="20" t="s">
        <v>326</v>
      </c>
      <c r="D52" s="20"/>
      <c r="E52" s="20">
        <v>10.5</v>
      </c>
      <c r="F52" s="20"/>
      <c r="G52" s="20" t="s">
        <v>240</v>
      </c>
      <c r="H52" s="20"/>
      <c r="I52" s="20"/>
      <c r="J52" s="20"/>
      <c r="K52" s="20"/>
      <c r="L52" s="20"/>
      <c r="M52" s="20"/>
      <c r="N52" s="20"/>
      <c r="O52" s="20" t="str">
        <f t="shared" si="1"/>
        <v/>
      </c>
    </row>
    <row r="53" spans="2:15" x14ac:dyDescent="0.25">
      <c r="B53" s="20" t="s">
        <v>327</v>
      </c>
      <c r="C53" s="20" t="s">
        <v>328</v>
      </c>
      <c r="D53" s="20"/>
      <c r="E53" s="20">
        <v>15</v>
      </c>
      <c r="F53" s="20"/>
      <c r="G53" s="20" t="s">
        <v>240</v>
      </c>
      <c r="H53" s="20"/>
      <c r="I53" s="20"/>
      <c r="J53" s="20"/>
      <c r="K53" s="20"/>
      <c r="L53" s="20"/>
      <c r="M53" s="20"/>
      <c r="N53" s="20"/>
      <c r="O53" s="20" t="str">
        <f t="shared" si="1"/>
        <v/>
      </c>
    </row>
    <row r="54" spans="2:15" x14ac:dyDescent="0.25">
      <c r="B54" s="20" t="s">
        <v>329</v>
      </c>
      <c r="C54" s="20" t="s">
        <v>126</v>
      </c>
      <c r="D54" s="20"/>
      <c r="E54" s="20">
        <v>3500</v>
      </c>
      <c r="F54" s="20"/>
      <c r="G54" s="20" t="s">
        <v>215</v>
      </c>
      <c r="H54" s="20"/>
      <c r="I54" s="20"/>
      <c r="J54" s="20"/>
      <c r="K54" s="20"/>
      <c r="L54" s="20"/>
      <c r="M54" s="20"/>
      <c r="N54" s="20"/>
      <c r="O54" s="20" t="str">
        <f t="shared" si="1"/>
        <v/>
      </c>
    </row>
    <row r="55" spans="2:15" x14ac:dyDescent="0.25">
      <c r="B55" s="20" t="s">
        <v>330</v>
      </c>
      <c r="C55" s="20" t="s">
        <v>331</v>
      </c>
      <c r="D55" s="20"/>
      <c r="E55" s="20"/>
      <c r="F55" s="20"/>
      <c r="G55" s="20" t="s">
        <v>240</v>
      </c>
      <c r="H55" s="20"/>
      <c r="I55" s="20"/>
      <c r="J55" s="20"/>
      <c r="K55" s="20"/>
      <c r="L55" s="20"/>
      <c r="M55" s="20"/>
      <c r="N55" s="20"/>
      <c r="O55" s="20" t="str">
        <f t="shared" si="1"/>
        <v>Tela Tull</v>
      </c>
    </row>
    <row r="56" spans="2:15" x14ac:dyDescent="0.25">
      <c r="B56" s="20" t="s">
        <v>332</v>
      </c>
      <c r="C56" s="20" t="s">
        <v>333</v>
      </c>
      <c r="D56" s="20"/>
      <c r="E56" s="20"/>
      <c r="F56" s="20"/>
      <c r="G56" s="20" t="s">
        <v>215</v>
      </c>
      <c r="H56" s="20"/>
      <c r="I56" s="20"/>
      <c r="J56" s="20"/>
      <c r="K56" s="20"/>
      <c r="L56" s="20"/>
      <c r="M56" s="20"/>
      <c r="N56" s="20"/>
      <c r="O56" s="20" t="str">
        <f t="shared" si="1"/>
        <v/>
      </c>
    </row>
    <row r="57" spans="2:15" x14ac:dyDescent="0.25">
      <c r="B57" s="20" t="s">
        <v>334</v>
      </c>
      <c r="C57" s="20" t="s">
        <v>335</v>
      </c>
      <c r="D57" s="20"/>
      <c r="E57" s="20"/>
      <c r="F57" s="20"/>
      <c r="G57" s="20" t="s">
        <v>215</v>
      </c>
      <c r="H57" s="20"/>
      <c r="I57" s="20"/>
      <c r="J57" s="20"/>
      <c r="K57" s="20"/>
      <c r="L57" s="20"/>
      <c r="M57" s="20"/>
      <c r="N57" s="20"/>
      <c r="O57" s="20" t="str">
        <f t="shared" si="1"/>
        <v/>
      </c>
    </row>
    <row r="58" spans="2:15" x14ac:dyDescent="0.25">
      <c r="B58" s="20" t="s">
        <v>336</v>
      </c>
      <c r="C58" s="20" t="s">
        <v>337</v>
      </c>
      <c r="D58" s="20"/>
      <c r="E58" s="20"/>
      <c r="F58" s="20"/>
      <c r="G58" s="20" t="s">
        <v>215</v>
      </c>
      <c r="H58" s="20"/>
      <c r="I58" s="20"/>
      <c r="J58" s="20"/>
      <c r="K58" s="20"/>
      <c r="L58" s="20"/>
      <c r="M58" s="20"/>
      <c r="N58" s="20"/>
      <c r="O58" s="20" t="str">
        <f t="shared" si="1"/>
        <v/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2:AO451"/>
  <sheetViews>
    <sheetView showGridLines="0" topLeftCell="U1" zoomScaleNormal="100" workbookViewId="0">
      <selection activeCell="AI3" sqref="AI3"/>
    </sheetView>
  </sheetViews>
  <sheetFormatPr baseColWidth="10" defaultColWidth="8.7109375" defaultRowHeight="15" x14ac:dyDescent="0.25"/>
  <cols>
    <col min="2" max="2" width="10" customWidth="1"/>
    <col min="3" max="3" width="22" customWidth="1"/>
    <col min="4" max="4" width="12" customWidth="1"/>
    <col min="5" max="6" width="10" customWidth="1"/>
    <col min="9" max="9" width="10" customWidth="1"/>
    <col min="10" max="10" width="18" customWidth="1"/>
    <col min="11" max="11" width="14" customWidth="1"/>
    <col min="14" max="15" width="10" customWidth="1"/>
    <col min="16" max="16" width="18" customWidth="1"/>
    <col min="17" max="18" width="10" customWidth="1"/>
    <col min="20" max="20" width="14" customWidth="1"/>
    <col min="21" max="21" width="16" customWidth="1"/>
    <col min="23" max="23" width="20" customWidth="1"/>
    <col min="24" max="24" width="22" customWidth="1"/>
    <col min="25" max="25" width="16" customWidth="1"/>
    <col min="29" max="31" width="12" customWidth="1"/>
    <col min="32" max="32" width="10" customWidth="1"/>
    <col min="33" max="33" width="14" customWidth="1"/>
    <col min="34" max="34" width="10" customWidth="1"/>
    <col min="35" max="35" width="4.42578125" style="28" customWidth="1"/>
    <col min="37" max="37" width="14" customWidth="1"/>
    <col min="38" max="38" width="10" customWidth="1"/>
    <col min="39" max="39" width="18" customWidth="1"/>
    <col min="40" max="40" width="45" customWidth="1"/>
  </cols>
  <sheetData>
    <row r="2" spans="2:41" x14ac:dyDescent="0.25">
      <c r="B2" s="19" t="s">
        <v>338</v>
      </c>
      <c r="C2" s="19" t="s">
        <v>339</v>
      </c>
      <c r="D2" s="19" t="s">
        <v>340</v>
      </c>
      <c r="E2" s="19" t="s">
        <v>341</v>
      </c>
      <c r="F2" s="19" t="s">
        <v>342</v>
      </c>
      <c r="I2" s="19" t="s">
        <v>343</v>
      </c>
      <c r="J2" s="19" t="s">
        <v>344</v>
      </c>
      <c r="K2" s="19" t="s">
        <v>52</v>
      </c>
      <c r="N2" s="19" t="s">
        <v>345</v>
      </c>
      <c r="O2" s="19" t="s">
        <v>343</v>
      </c>
      <c r="P2" s="19" t="s">
        <v>346</v>
      </c>
      <c r="Q2" s="19" t="s">
        <v>347</v>
      </c>
      <c r="R2" s="19" t="s">
        <v>348</v>
      </c>
      <c r="T2" s="19" t="s">
        <v>349</v>
      </c>
      <c r="U2" s="19" t="s">
        <v>350</v>
      </c>
      <c r="W2" s="19" t="s">
        <v>351</v>
      </c>
      <c r="X2" s="19" t="s">
        <v>352</v>
      </c>
      <c r="Y2" s="19" t="s">
        <v>353</v>
      </c>
      <c r="Z2" s="19" t="s">
        <v>354</v>
      </c>
      <c r="AA2" s="19" t="s">
        <v>355</v>
      </c>
      <c r="AC2" s="19" t="s">
        <v>356</v>
      </c>
      <c r="AD2" s="19" t="s">
        <v>357</v>
      </c>
      <c r="AE2" s="19" t="s">
        <v>46</v>
      </c>
      <c r="AF2" s="19" t="s">
        <v>349</v>
      </c>
      <c r="AG2" s="19" t="s">
        <v>358</v>
      </c>
      <c r="AH2" s="19" t="s">
        <v>359</v>
      </c>
      <c r="AK2" s="19" t="s">
        <v>46</v>
      </c>
      <c r="AL2" s="19" t="s">
        <v>8</v>
      </c>
      <c r="AM2" s="19" t="s">
        <v>360</v>
      </c>
      <c r="AN2" s="19" t="s">
        <v>361</v>
      </c>
    </row>
    <row r="3" spans="2:41" x14ac:dyDescent="0.25">
      <c r="B3" s="20" t="s">
        <v>362</v>
      </c>
      <c r="C3" s="20" t="s">
        <v>363</v>
      </c>
      <c r="D3" s="20" t="s">
        <v>364</v>
      </c>
      <c r="E3" s="20"/>
      <c r="F3" s="20"/>
      <c r="I3" s="20" t="s">
        <v>365</v>
      </c>
      <c r="J3" s="20" t="s">
        <v>16</v>
      </c>
      <c r="K3" s="20"/>
      <c r="N3" s="20" t="s">
        <v>366</v>
      </c>
      <c r="O3" s="20" t="s">
        <v>365</v>
      </c>
      <c r="P3" s="20" t="s">
        <v>367</v>
      </c>
      <c r="Q3" s="20">
        <v>15</v>
      </c>
      <c r="R3" s="20">
        <v>15</v>
      </c>
      <c r="T3" s="20" t="s">
        <v>368</v>
      </c>
      <c r="U3" s="20" t="s">
        <v>369</v>
      </c>
      <c r="W3" s="20" t="s">
        <v>370</v>
      </c>
      <c r="X3" s="20" t="s">
        <v>370</v>
      </c>
      <c r="Y3" s="20"/>
      <c r="Z3" s="21" t="s">
        <v>371</v>
      </c>
      <c r="AA3" s="21"/>
      <c r="AC3" s="20" t="s">
        <v>372</v>
      </c>
      <c r="AD3" s="20" t="s">
        <v>373</v>
      </c>
      <c r="AE3" s="20" t="s">
        <v>64</v>
      </c>
      <c r="AF3" s="20" t="s">
        <v>368</v>
      </c>
      <c r="AG3" s="20">
        <v>1500</v>
      </c>
      <c r="AH3" s="20" t="s">
        <v>215</v>
      </c>
      <c r="AI3" s="28">
        <f>IF(COUNTIFS($W$3:$W$25,Presupuesto!$L$7,$Z$3:$Z$25,AD3)&gt;0,1,0)</f>
        <v>0</v>
      </c>
      <c r="AK3" s="20" t="s">
        <v>54</v>
      </c>
      <c r="AL3" s="20" t="s">
        <v>101</v>
      </c>
      <c r="AM3" s="20">
        <v>0.16250000000000001</v>
      </c>
      <c r="AN3" s="20"/>
      <c r="AO3" t="str">
        <f t="shared" ref="AO3:AO34" si="0">AK3&amp;"|"&amp;AL3</f>
        <v>P-01|Tall-06</v>
      </c>
    </row>
    <row r="4" spans="2:41" x14ac:dyDescent="0.25">
      <c r="B4" s="20" t="s">
        <v>371</v>
      </c>
      <c r="C4" s="20" t="s">
        <v>374</v>
      </c>
      <c r="D4" s="20" t="s">
        <v>364</v>
      </c>
      <c r="E4" s="20" t="s">
        <v>375</v>
      </c>
      <c r="F4" s="20"/>
      <c r="I4" s="20" t="s">
        <v>376</v>
      </c>
      <c r="J4" s="20" t="s">
        <v>377</v>
      </c>
      <c r="K4" s="20"/>
      <c r="N4" s="20" t="s">
        <v>378</v>
      </c>
      <c r="O4" s="20" t="s">
        <v>365</v>
      </c>
      <c r="P4" s="20" t="s">
        <v>379</v>
      </c>
      <c r="Q4" s="20">
        <v>21.59</v>
      </c>
      <c r="R4" s="20">
        <v>27.94</v>
      </c>
      <c r="T4" s="20" t="s">
        <v>380</v>
      </c>
      <c r="U4" s="20" t="s">
        <v>19</v>
      </c>
      <c r="W4" s="20" t="s">
        <v>370</v>
      </c>
      <c r="X4" s="20" t="s">
        <v>381</v>
      </c>
      <c r="Y4" s="20"/>
      <c r="Z4" s="21" t="s">
        <v>382</v>
      </c>
      <c r="AA4" s="21"/>
      <c r="AC4" s="20" t="s">
        <v>383</v>
      </c>
      <c r="AD4" s="20" t="s">
        <v>373</v>
      </c>
      <c r="AE4" s="20" t="s">
        <v>64</v>
      </c>
      <c r="AF4" s="20" t="s">
        <v>380</v>
      </c>
      <c r="AG4" s="20">
        <v>1300</v>
      </c>
      <c r="AH4" s="20" t="s">
        <v>215</v>
      </c>
      <c r="AI4" s="28">
        <f>IF(COUNTIFS($W$3:$W$25,Presupuesto!$L$7,$Z$3:$Z$25,AD4)&gt;0,1,0)</f>
        <v>0</v>
      </c>
      <c r="AK4" s="20" t="s">
        <v>64</v>
      </c>
      <c r="AL4" s="20" t="s">
        <v>101</v>
      </c>
      <c r="AM4" s="20"/>
      <c r="AN4" s="20"/>
      <c r="AO4" t="str">
        <f t="shared" si="0"/>
        <v>P-02|Tall-06</v>
      </c>
    </row>
    <row r="5" spans="2:41" x14ac:dyDescent="0.25">
      <c r="B5" s="20" t="s">
        <v>384</v>
      </c>
      <c r="C5" s="20" t="s">
        <v>385</v>
      </c>
      <c r="D5" s="20" t="s">
        <v>364</v>
      </c>
      <c r="E5" s="20"/>
      <c r="F5" s="20"/>
      <c r="I5" s="20" t="s">
        <v>386</v>
      </c>
      <c r="J5" s="20" t="s">
        <v>387</v>
      </c>
      <c r="K5" s="20"/>
      <c r="N5" s="20" t="s">
        <v>388</v>
      </c>
      <c r="O5" s="20" t="s">
        <v>365</v>
      </c>
      <c r="P5" s="20" t="s">
        <v>389</v>
      </c>
      <c r="Q5" s="20">
        <v>21.59</v>
      </c>
      <c r="R5" s="20">
        <v>33.020000000000003</v>
      </c>
      <c r="T5" s="20" t="s">
        <v>390</v>
      </c>
      <c r="U5" s="20" t="s">
        <v>391</v>
      </c>
      <c r="W5" s="20" t="s">
        <v>387</v>
      </c>
      <c r="X5" s="20" t="s">
        <v>387</v>
      </c>
      <c r="Y5" s="20"/>
      <c r="Z5" s="21" t="s">
        <v>392</v>
      </c>
      <c r="AA5" s="21"/>
      <c r="AC5" s="20" t="s">
        <v>393</v>
      </c>
      <c r="AD5" s="20" t="s">
        <v>373</v>
      </c>
      <c r="AE5" s="20" t="s">
        <v>64</v>
      </c>
      <c r="AF5" s="20" t="s">
        <v>390</v>
      </c>
      <c r="AG5" s="20">
        <v>1100</v>
      </c>
      <c r="AH5" s="20" t="s">
        <v>215</v>
      </c>
      <c r="AI5" s="28">
        <f>IF(COUNTIFS($W$3:$W$25,Presupuesto!$L$7,$Z$3:$Z$25,AD5)&gt;0,1,0)</f>
        <v>0</v>
      </c>
      <c r="AK5" s="20" t="s">
        <v>71</v>
      </c>
      <c r="AL5" s="20" t="s">
        <v>58</v>
      </c>
      <c r="AM5" s="20">
        <v>0.7</v>
      </c>
      <c r="AN5" s="20"/>
      <c r="AO5" t="str">
        <f t="shared" si="0"/>
        <v>P-03|Tall-01</v>
      </c>
    </row>
    <row r="6" spans="2:41" x14ac:dyDescent="0.25">
      <c r="B6" s="20" t="s">
        <v>394</v>
      </c>
      <c r="C6" s="20" t="s">
        <v>395</v>
      </c>
      <c r="D6" s="20" t="s">
        <v>364</v>
      </c>
      <c r="E6" s="20"/>
      <c r="F6" s="20"/>
      <c r="I6" s="20" t="s">
        <v>396</v>
      </c>
      <c r="J6" s="20" t="s">
        <v>397</v>
      </c>
      <c r="K6" s="20"/>
      <c r="N6" s="20" t="s">
        <v>398</v>
      </c>
      <c r="O6" s="20" t="s">
        <v>365</v>
      </c>
      <c r="P6" s="20" t="s">
        <v>399</v>
      </c>
      <c r="Q6" s="20">
        <v>20</v>
      </c>
      <c r="R6" s="20">
        <v>20</v>
      </c>
      <c r="W6" s="20" t="s">
        <v>387</v>
      </c>
      <c r="X6" s="20" t="s">
        <v>400</v>
      </c>
      <c r="Y6" s="20"/>
      <c r="Z6" s="21" t="s">
        <v>394</v>
      </c>
      <c r="AA6" s="21"/>
      <c r="AC6" s="20" t="s">
        <v>401</v>
      </c>
      <c r="AD6" s="20" t="s">
        <v>373</v>
      </c>
      <c r="AE6" s="20" t="s">
        <v>71</v>
      </c>
      <c r="AF6" s="20" t="s">
        <v>368</v>
      </c>
      <c r="AG6" s="20">
        <v>3500</v>
      </c>
      <c r="AH6" s="20" t="s">
        <v>215</v>
      </c>
      <c r="AI6" s="28">
        <f>IF(COUNTIFS($W$3:$W$25,Presupuesto!$L$7,$Z$3:$Z$25,AD6)&gt;0,1,0)</f>
        <v>0</v>
      </c>
      <c r="AK6" s="20" t="s">
        <v>71</v>
      </c>
      <c r="AL6" s="20" t="s">
        <v>66</v>
      </c>
      <c r="AM6" s="20">
        <v>0.9</v>
      </c>
      <c r="AN6" s="20"/>
      <c r="AO6" t="str">
        <f t="shared" si="0"/>
        <v>P-03|Tall-02</v>
      </c>
    </row>
    <row r="7" spans="2:41" x14ac:dyDescent="0.25">
      <c r="B7" s="20" t="s">
        <v>402</v>
      </c>
      <c r="C7" s="20" t="s">
        <v>403</v>
      </c>
      <c r="D7" s="20" t="s">
        <v>364</v>
      </c>
      <c r="E7" s="20" t="s">
        <v>375</v>
      </c>
      <c r="F7" s="20"/>
      <c r="I7" s="20" t="s">
        <v>404</v>
      </c>
      <c r="J7" s="20" t="s">
        <v>370</v>
      </c>
      <c r="K7" s="20"/>
      <c r="N7" s="20" t="s">
        <v>405</v>
      </c>
      <c r="O7" s="20" t="s">
        <v>365</v>
      </c>
      <c r="P7" s="20" t="s">
        <v>406</v>
      </c>
      <c r="Q7" s="20">
        <v>25</v>
      </c>
      <c r="R7" s="20">
        <v>30</v>
      </c>
      <c r="W7" s="20" t="s">
        <v>387</v>
      </c>
      <c r="X7" s="20" t="s">
        <v>407</v>
      </c>
      <c r="Y7" s="20"/>
      <c r="Z7" s="21" t="s">
        <v>408</v>
      </c>
      <c r="AA7" s="21"/>
      <c r="AC7" s="20" t="s">
        <v>409</v>
      </c>
      <c r="AD7" s="20" t="s">
        <v>373</v>
      </c>
      <c r="AE7" s="20" t="s">
        <v>71</v>
      </c>
      <c r="AF7" s="20" t="s">
        <v>380</v>
      </c>
      <c r="AG7" s="20">
        <v>2500</v>
      </c>
      <c r="AH7" s="20" t="s">
        <v>215</v>
      </c>
      <c r="AI7" s="28">
        <f>IF(COUNTIFS($W$3:$W$25,Presupuesto!$L$7,$Z$3:$Z$25,AD7)&gt;0,1,0)</f>
        <v>0</v>
      </c>
      <c r="AK7" s="20" t="s">
        <v>71</v>
      </c>
      <c r="AL7" s="20" t="s">
        <v>75</v>
      </c>
      <c r="AM7" s="20">
        <v>2</v>
      </c>
      <c r="AN7" s="20"/>
      <c r="AO7" t="str">
        <f t="shared" si="0"/>
        <v>P-03|Tall-03</v>
      </c>
    </row>
    <row r="8" spans="2:41" x14ac:dyDescent="0.25">
      <c r="B8" s="20" t="s">
        <v>410</v>
      </c>
      <c r="C8" s="20" t="s">
        <v>411</v>
      </c>
      <c r="D8" s="20" t="s">
        <v>364</v>
      </c>
      <c r="E8" s="20" t="s">
        <v>375</v>
      </c>
      <c r="F8" s="20"/>
      <c r="N8" s="20" t="s">
        <v>412</v>
      </c>
      <c r="O8" s="20" t="s">
        <v>376</v>
      </c>
      <c r="P8" s="20" t="s">
        <v>413</v>
      </c>
      <c r="Q8" s="20">
        <v>21.59</v>
      </c>
      <c r="R8" s="20">
        <v>27.94</v>
      </c>
      <c r="W8" s="20" t="s">
        <v>377</v>
      </c>
      <c r="X8" s="20" t="s">
        <v>414</v>
      </c>
      <c r="Y8" s="20" t="s">
        <v>154</v>
      </c>
      <c r="Z8" s="21" t="s">
        <v>415</v>
      </c>
      <c r="AA8" s="21"/>
      <c r="AC8" s="20" t="s">
        <v>416</v>
      </c>
      <c r="AD8" s="20" t="s">
        <v>373</v>
      </c>
      <c r="AE8" s="20" t="s">
        <v>91</v>
      </c>
      <c r="AF8" s="20" t="s">
        <v>368</v>
      </c>
      <c r="AG8" s="20">
        <v>4000</v>
      </c>
      <c r="AH8" s="20" t="s">
        <v>215</v>
      </c>
      <c r="AI8" s="28">
        <f>IF(COUNTIFS($W$3:$W$25,Presupuesto!$L$7,$Z$3:$Z$25,AD8)&gt;0,1,0)</f>
        <v>0</v>
      </c>
      <c r="AK8" s="20" t="s">
        <v>81</v>
      </c>
      <c r="AL8" s="20" t="s">
        <v>58</v>
      </c>
      <c r="AM8" s="20"/>
      <c r="AN8" s="20"/>
      <c r="AO8" t="str">
        <f t="shared" si="0"/>
        <v>P-04|Tall-01</v>
      </c>
    </row>
    <row r="9" spans="2:41" x14ac:dyDescent="0.25">
      <c r="B9" s="20" t="s">
        <v>382</v>
      </c>
      <c r="C9" s="20" t="s">
        <v>417</v>
      </c>
      <c r="D9" s="20" t="s">
        <v>364</v>
      </c>
      <c r="E9" s="20"/>
      <c r="F9" s="20"/>
      <c r="N9" s="20" t="s">
        <v>418</v>
      </c>
      <c r="O9" s="20" t="s">
        <v>376</v>
      </c>
      <c r="P9" s="20" t="s">
        <v>419</v>
      </c>
      <c r="Q9" s="20">
        <v>21.59</v>
      </c>
      <c r="R9" s="20">
        <v>33.020000000000003</v>
      </c>
      <c r="W9" s="20" t="s">
        <v>377</v>
      </c>
      <c r="X9" s="20" t="s">
        <v>395</v>
      </c>
      <c r="Y9" s="20" t="s">
        <v>154</v>
      </c>
      <c r="Z9" s="21" t="s">
        <v>394</v>
      </c>
      <c r="AA9" s="21"/>
      <c r="AC9" s="20" t="s">
        <v>420</v>
      </c>
      <c r="AD9" s="20" t="s">
        <v>373</v>
      </c>
      <c r="AE9" s="20" t="s">
        <v>91</v>
      </c>
      <c r="AF9" s="20" t="s">
        <v>380</v>
      </c>
      <c r="AG9" s="20">
        <v>3500</v>
      </c>
      <c r="AH9" s="20" t="s">
        <v>215</v>
      </c>
      <c r="AI9" s="28">
        <f>IF(COUNTIFS($W$3:$W$25,Presupuesto!$L$7,$Z$3:$Z$25,AD9)&gt;0,1,0)</f>
        <v>0</v>
      </c>
      <c r="AK9" s="20" t="s">
        <v>81</v>
      </c>
      <c r="AL9" s="20" t="s">
        <v>66</v>
      </c>
      <c r="AM9" s="20"/>
      <c r="AN9" s="20"/>
      <c r="AO9" t="str">
        <f t="shared" si="0"/>
        <v>P-04|Tall-02</v>
      </c>
    </row>
    <row r="10" spans="2:41" x14ac:dyDescent="0.25">
      <c r="B10" s="20" t="s">
        <v>421</v>
      </c>
      <c r="C10" s="20" t="s">
        <v>422</v>
      </c>
      <c r="D10" s="20" t="s">
        <v>364</v>
      </c>
      <c r="E10" s="20" t="s">
        <v>375</v>
      </c>
      <c r="F10" s="20"/>
      <c r="N10" s="20" t="s">
        <v>423</v>
      </c>
      <c r="O10" s="20" t="s">
        <v>376</v>
      </c>
      <c r="P10" s="20" t="s">
        <v>424</v>
      </c>
      <c r="Q10" s="20"/>
      <c r="R10" s="20"/>
      <c r="W10" s="20" t="s">
        <v>377</v>
      </c>
      <c r="X10" s="20" t="s">
        <v>231</v>
      </c>
      <c r="Y10" s="20" t="s">
        <v>154</v>
      </c>
      <c r="Z10" s="21"/>
      <c r="AA10" s="21" t="s">
        <v>230</v>
      </c>
      <c r="AC10" s="20" t="s">
        <v>425</v>
      </c>
      <c r="AD10" s="20" t="s">
        <v>373</v>
      </c>
      <c r="AE10" s="20" t="s">
        <v>91</v>
      </c>
      <c r="AF10" s="20" t="s">
        <v>390</v>
      </c>
      <c r="AG10" s="20">
        <v>3000</v>
      </c>
      <c r="AH10" s="20" t="s">
        <v>215</v>
      </c>
      <c r="AI10" s="28">
        <f>IF(COUNTIFS($W$3:$W$25,Presupuesto!$L$7,$Z$3:$Z$25,AD10)&gt;0,1,0)</f>
        <v>0</v>
      </c>
      <c r="AK10" s="20" t="s">
        <v>81</v>
      </c>
      <c r="AL10" s="20" t="s">
        <v>75</v>
      </c>
      <c r="AM10" s="20">
        <v>1.6</v>
      </c>
      <c r="AN10" s="20"/>
      <c r="AO10" t="str">
        <f t="shared" si="0"/>
        <v>P-04|Tall-03</v>
      </c>
    </row>
    <row r="11" spans="2:41" x14ac:dyDescent="0.25">
      <c r="B11" s="20" t="s">
        <v>373</v>
      </c>
      <c r="C11" s="20" t="s">
        <v>426</v>
      </c>
      <c r="D11" s="20" t="s">
        <v>364</v>
      </c>
      <c r="E11" s="20" t="s">
        <v>375</v>
      </c>
      <c r="F11" s="20"/>
      <c r="N11" s="20" t="s">
        <v>427</v>
      </c>
      <c r="O11" s="20" t="s">
        <v>376</v>
      </c>
      <c r="P11" s="20" t="s">
        <v>428</v>
      </c>
      <c r="Q11" s="20"/>
      <c r="R11" s="20"/>
      <c r="W11" s="20" t="s">
        <v>377</v>
      </c>
      <c r="X11" s="20" t="s">
        <v>407</v>
      </c>
      <c r="Y11" s="20" t="s">
        <v>154</v>
      </c>
      <c r="Z11" s="21" t="s">
        <v>408</v>
      </c>
      <c r="AA11" s="21"/>
      <c r="AC11" s="20" t="s">
        <v>429</v>
      </c>
      <c r="AD11" s="20" t="s">
        <v>373</v>
      </c>
      <c r="AE11" s="20" t="s">
        <v>99</v>
      </c>
      <c r="AF11" s="20" t="s">
        <v>368</v>
      </c>
      <c r="AG11" s="20">
        <v>6000</v>
      </c>
      <c r="AH11" s="20" t="s">
        <v>215</v>
      </c>
      <c r="AI11" s="28">
        <f>IF(COUNTIFS($W$3:$W$25,Presupuesto!$L$7,$Z$3:$Z$25,AD11)&gt;0,1,0)</f>
        <v>0</v>
      </c>
      <c r="AK11" s="20" t="s">
        <v>91</v>
      </c>
      <c r="AL11" s="20" t="s">
        <v>58</v>
      </c>
      <c r="AM11" s="20"/>
      <c r="AN11" s="20"/>
      <c r="AO11" t="str">
        <f t="shared" si="0"/>
        <v>P-05|Tall-01</v>
      </c>
    </row>
    <row r="12" spans="2:41" x14ac:dyDescent="0.25">
      <c r="B12" s="20" t="s">
        <v>415</v>
      </c>
      <c r="C12" s="20" t="s">
        <v>414</v>
      </c>
      <c r="D12" s="20" t="s">
        <v>364</v>
      </c>
      <c r="E12" s="20" t="s">
        <v>430</v>
      </c>
      <c r="F12" s="20"/>
      <c r="W12" s="20" t="s">
        <v>16</v>
      </c>
      <c r="X12" s="20" t="s">
        <v>431</v>
      </c>
      <c r="Y12" s="20" t="s">
        <v>432</v>
      </c>
      <c r="Z12" s="21" t="s">
        <v>433</v>
      </c>
      <c r="AA12" s="21"/>
      <c r="AC12" s="20" t="s">
        <v>434</v>
      </c>
      <c r="AD12" s="20" t="s">
        <v>373</v>
      </c>
      <c r="AE12" s="20" t="s">
        <v>99</v>
      </c>
      <c r="AF12" s="20" t="s">
        <v>380</v>
      </c>
      <c r="AG12" s="20">
        <v>5500</v>
      </c>
      <c r="AH12" s="20" t="s">
        <v>215</v>
      </c>
      <c r="AI12" s="28">
        <f>IF(COUNTIFS($W$3:$W$25,Presupuesto!$L$7,$Z$3:$Z$25,AD12)&gt;0,1,0)</f>
        <v>0</v>
      </c>
      <c r="AK12" s="20" t="s">
        <v>91</v>
      </c>
      <c r="AL12" s="20" t="s">
        <v>66</v>
      </c>
      <c r="AM12" s="20"/>
      <c r="AN12" s="20"/>
      <c r="AO12" t="str">
        <f t="shared" si="0"/>
        <v>P-05|Tall-02</v>
      </c>
    </row>
    <row r="13" spans="2:41" x14ac:dyDescent="0.25">
      <c r="B13" s="20" t="s">
        <v>433</v>
      </c>
      <c r="C13" s="20" t="s">
        <v>431</v>
      </c>
      <c r="D13" s="20" t="s">
        <v>364</v>
      </c>
      <c r="E13" s="20" t="s">
        <v>430</v>
      </c>
      <c r="F13" s="20"/>
      <c r="W13" s="20" t="s">
        <v>16</v>
      </c>
      <c r="X13" s="20" t="s">
        <v>363</v>
      </c>
      <c r="Y13" s="20" t="s">
        <v>154</v>
      </c>
      <c r="Z13" s="21" t="s">
        <v>362</v>
      </c>
      <c r="AA13" s="21"/>
      <c r="AC13" s="20" t="s">
        <v>435</v>
      </c>
      <c r="AD13" s="20" t="s">
        <v>373</v>
      </c>
      <c r="AE13" s="20" t="s">
        <v>99</v>
      </c>
      <c r="AF13" s="20" t="s">
        <v>390</v>
      </c>
      <c r="AG13" s="20">
        <v>5000</v>
      </c>
      <c r="AH13" s="20" t="s">
        <v>215</v>
      </c>
      <c r="AI13" s="28">
        <f>IF(COUNTIFS($W$3:$W$25,Presupuesto!$L$7,$Z$3:$Z$25,AD13)&gt;0,1,0)</f>
        <v>0</v>
      </c>
      <c r="AK13" s="20" t="s">
        <v>91</v>
      </c>
      <c r="AL13" s="20" t="s">
        <v>75</v>
      </c>
      <c r="AM13" s="20"/>
      <c r="AN13" s="20"/>
      <c r="AO13" t="str">
        <f t="shared" si="0"/>
        <v>P-05|Tall-03</v>
      </c>
    </row>
    <row r="14" spans="2:41" x14ac:dyDescent="0.25">
      <c r="B14" s="20" t="s">
        <v>436</v>
      </c>
      <c r="C14" s="20" t="s">
        <v>437</v>
      </c>
      <c r="D14" s="20" t="s">
        <v>364</v>
      </c>
      <c r="E14" s="20" t="s">
        <v>375</v>
      </c>
      <c r="F14" s="20"/>
      <c r="W14" s="20" t="s">
        <v>16</v>
      </c>
      <c r="X14" s="20" t="s">
        <v>385</v>
      </c>
      <c r="Y14" s="20" t="s">
        <v>154</v>
      </c>
      <c r="Z14" s="21" t="s">
        <v>384</v>
      </c>
      <c r="AA14" s="21"/>
      <c r="AC14" s="20" t="s">
        <v>438</v>
      </c>
      <c r="AD14" s="20" t="s">
        <v>373</v>
      </c>
      <c r="AE14" s="20" t="s">
        <v>105</v>
      </c>
      <c r="AF14" s="20" t="s">
        <v>368</v>
      </c>
      <c r="AG14" s="20">
        <v>5000</v>
      </c>
      <c r="AH14" s="20" t="s">
        <v>215</v>
      </c>
      <c r="AI14" s="28">
        <f>IF(COUNTIFS($W$3:$W$25,Presupuesto!$L$7,$Z$3:$Z$25,AD14)&gt;0,1,0)</f>
        <v>0</v>
      </c>
      <c r="AK14" s="20" t="s">
        <v>99</v>
      </c>
      <c r="AL14" s="20" t="s">
        <v>58</v>
      </c>
      <c r="AM14" s="20"/>
      <c r="AN14" s="20"/>
      <c r="AO14" t="str">
        <f t="shared" si="0"/>
        <v>P-06|Tall-01</v>
      </c>
    </row>
    <row r="15" spans="2:41" x14ac:dyDescent="0.25">
      <c r="B15" s="20" t="s">
        <v>439</v>
      </c>
      <c r="C15" s="20" t="s">
        <v>440</v>
      </c>
      <c r="D15" s="20" t="s">
        <v>364</v>
      </c>
      <c r="E15" s="20" t="s">
        <v>375</v>
      </c>
      <c r="F15" s="20"/>
      <c r="W15" s="20" t="s">
        <v>16</v>
      </c>
      <c r="X15" s="20" t="s">
        <v>231</v>
      </c>
      <c r="Y15" s="20" t="s">
        <v>154</v>
      </c>
      <c r="Z15" s="21"/>
      <c r="AA15" s="21" t="s">
        <v>230</v>
      </c>
      <c r="AC15" s="20" t="s">
        <v>441</v>
      </c>
      <c r="AD15" s="20" t="s">
        <v>373</v>
      </c>
      <c r="AE15" s="20" t="s">
        <v>105</v>
      </c>
      <c r="AF15" s="20" t="s">
        <v>380</v>
      </c>
      <c r="AG15" s="20">
        <v>4000</v>
      </c>
      <c r="AH15" s="20" t="s">
        <v>215</v>
      </c>
      <c r="AI15" s="28">
        <f>IF(COUNTIFS($W$3:$W$25,Presupuesto!$L$7,$Z$3:$Z$25,AD15)&gt;0,1,0)</f>
        <v>0</v>
      </c>
      <c r="AK15" s="20" t="s">
        <v>99</v>
      </c>
      <c r="AL15" s="20" t="s">
        <v>66</v>
      </c>
      <c r="AM15" s="20"/>
      <c r="AN15" s="20"/>
      <c r="AO15" t="str">
        <f t="shared" si="0"/>
        <v>P-06|Tall-02</v>
      </c>
    </row>
    <row r="16" spans="2:41" x14ac:dyDescent="0.25">
      <c r="B16" s="20" t="s">
        <v>442</v>
      </c>
      <c r="C16" s="20" t="s">
        <v>443</v>
      </c>
      <c r="D16" s="20" t="s">
        <v>364</v>
      </c>
      <c r="E16" s="20" t="s">
        <v>375</v>
      </c>
      <c r="F16" s="20"/>
      <c r="W16" s="20" t="s">
        <v>16</v>
      </c>
      <c r="X16" s="20" t="s">
        <v>407</v>
      </c>
      <c r="Y16" s="20" t="s">
        <v>154</v>
      </c>
      <c r="Z16" s="21" t="s">
        <v>408</v>
      </c>
      <c r="AA16" s="21"/>
      <c r="AC16" s="20" t="s">
        <v>444</v>
      </c>
      <c r="AD16" s="20" t="s">
        <v>373</v>
      </c>
      <c r="AE16" s="20" t="s">
        <v>105</v>
      </c>
      <c r="AF16" s="20" t="s">
        <v>390</v>
      </c>
      <c r="AG16" s="20">
        <v>2500</v>
      </c>
      <c r="AH16" s="20" t="s">
        <v>215</v>
      </c>
      <c r="AI16" s="28">
        <f>IF(COUNTIFS($W$3:$W$25,Presupuesto!$L$7,$Z$3:$Z$25,AD16)&gt;0,1,0)</f>
        <v>0</v>
      </c>
      <c r="AK16" s="20" t="s">
        <v>99</v>
      </c>
      <c r="AL16" s="20" t="s">
        <v>75</v>
      </c>
      <c r="AM16" s="20">
        <v>2</v>
      </c>
      <c r="AN16" s="20"/>
      <c r="AO16" t="str">
        <f t="shared" si="0"/>
        <v>P-06|Tall-03</v>
      </c>
    </row>
    <row r="17" spans="2:41" x14ac:dyDescent="0.25">
      <c r="B17" s="20" t="s">
        <v>408</v>
      </c>
      <c r="C17" s="20" t="s">
        <v>407</v>
      </c>
      <c r="D17" s="20" t="s">
        <v>364</v>
      </c>
      <c r="E17" s="20" t="s">
        <v>375</v>
      </c>
      <c r="F17" s="20"/>
      <c r="W17" s="20" t="s">
        <v>16</v>
      </c>
      <c r="X17" s="20" t="s">
        <v>395</v>
      </c>
      <c r="Y17" s="20"/>
      <c r="Z17" s="21" t="s">
        <v>394</v>
      </c>
      <c r="AA17" s="21"/>
      <c r="AC17" s="20" t="s">
        <v>445</v>
      </c>
      <c r="AD17" s="20" t="s">
        <v>373</v>
      </c>
      <c r="AE17" s="20" t="s">
        <v>110</v>
      </c>
      <c r="AF17" s="20" t="s">
        <v>368</v>
      </c>
      <c r="AG17" s="20">
        <v>6000</v>
      </c>
      <c r="AH17" s="20" t="s">
        <v>215</v>
      </c>
      <c r="AI17" s="28">
        <f>IF(COUNTIFS($W$3:$W$25,Presupuesto!$L$7,$Z$3:$Z$25,AD17)&gt;0,1,0)</f>
        <v>0</v>
      </c>
      <c r="AK17" s="20" t="s">
        <v>105</v>
      </c>
      <c r="AL17" s="20" t="s">
        <v>58</v>
      </c>
      <c r="AM17" s="20">
        <v>0.6</v>
      </c>
      <c r="AN17" s="20"/>
      <c r="AO17" t="str">
        <f t="shared" si="0"/>
        <v>P-07|Tall-01</v>
      </c>
    </row>
    <row r="18" spans="2:41" x14ac:dyDescent="0.25">
      <c r="B18" s="20" t="s">
        <v>446</v>
      </c>
      <c r="C18" s="20" t="s">
        <v>447</v>
      </c>
      <c r="D18" s="20" t="s">
        <v>364</v>
      </c>
      <c r="E18" s="20" t="s">
        <v>375</v>
      </c>
      <c r="F18" s="20"/>
      <c r="W18" s="20" t="s">
        <v>397</v>
      </c>
      <c r="X18" s="20" t="s">
        <v>414</v>
      </c>
      <c r="Y18" s="20" t="s">
        <v>448</v>
      </c>
      <c r="Z18" s="21" t="s">
        <v>415</v>
      </c>
      <c r="AA18" s="21"/>
      <c r="AC18" s="20" t="s">
        <v>449</v>
      </c>
      <c r="AD18" s="20" t="s">
        <v>373</v>
      </c>
      <c r="AE18" s="20" t="s">
        <v>120</v>
      </c>
      <c r="AF18" s="20" t="s">
        <v>368</v>
      </c>
      <c r="AG18" s="20">
        <v>3000</v>
      </c>
      <c r="AH18" s="20" t="s">
        <v>215</v>
      </c>
      <c r="AI18" s="28">
        <f>IF(COUNTIFS($W$3:$W$25,Presupuesto!$L$7,$Z$3:$Z$25,AD18)&gt;0,1,0)</f>
        <v>0</v>
      </c>
      <c r="AK18" s="20" t="s">
        <v>105</v>
      </c>
      <c r="AL18" s="20" t="s">
        <v>66</v>
      </c>
      <c r="AM18" s="20">
        <v>0.8</v>
      </c>
      <c r="AN18" s="20"/>
      <c r="AO18" t="str">
        <f t="shared" si="0"/>
        <v>P-07|Tall-02</v>
      </c>
    </row>
    <row r="19" spans="2:41" x14ac:dyDescent="0.25">
      <c r="B19" s="20" t="s">
        <v>450</v>
      </c>
      <c r="C19" s="20" t="s">
        <v>451</v>
      </c>
      <c r="D19" s="20" t="s">
        <v>364</v>
      </c>
      <c r="E19" s="20" t="s">
        <v>430</v>
      </c>
      <c r="F19" s="20"/>
      <c r="W19" s="20" t="s">
        <v>397</v>
      </c>
      <c r="X19" s="20" t="s">
        <v>431</v>
      </c>
      <c r="Y19" s="20" t="s">
        <v>448</v>
      </c>
      <c r="Z19" s="21" t="s">
        <v>433</v>
      </c>
      <c r="AA19" s="21"/>
      <c r="AC19" s="20" t="s">
        <v>452</v>
      </c>
      <c r="AD19" s="20" t="s">
        <v>373</v>
      </c>
      <c r="AE19" s="20" t="s">
        <v>120</v>
      </c>
      <c r="AF19" s="20" t="s">
        <v>380</v>
      </c>
      <c r="AG19" s="20">
        <v>2000</v>
      </c>
      <c r="AH19" s="20" t="s">
        <v>215</v>
      </c>
      <c r="AI19" s="28">
        <f>IF(COUNTIFS($W$3:$W$25,Presupuesto!$L$7,$Z$3:$Z$25,AD19)&gt;0,1,0)</f>
        <v>0</v>
      </c>
      <c r="AK19" s="20" t="s">
        <v>105</v>
      </c>
      <c r="AL19" s="20" t="s">
        <v>75</v>
      </c>
      <c r="AM19" s="20">
        <v>1</v>
      </c>
      <c r="AN19" s="20"/>
      <c r="AO19" t="str">
        <f t="shared" si="0"/>
        <v>P-07|Tall-03</v>
      </c>
    </row>
    <row r="20" spans="2:41" x14ac:dyDescent="0.25">
      <c r="B20" s="20" t="s">
        <v>392</v>
      </c>
      <c r="C20" s="20" t="s">
        <v>387</v>
      </c>
      <c r="D20" s="20" t="s">
        <v>364</v>
      </c>
      <c r="E20" s="20" t="s">
        <v>430</v>
      </c>
      <c r="F20" s="20"/>
      <c r="W20" s="20" t="s">
        <v>397</v>
      </c>
      <c r="X20" s="20" t="s">
        <v>363</v>
      </c>
      <c r="Y20" s="20"/>
      <c r="Z20" s="21" t="s">
        <v>362</v>
      </c>
      <c r="AA20" s="21"/>
      <c r="AC20" s="20" t="s">
        <v>453</v>
      </c>
      <c r="AD20" s="20" t="s">
        <v>373</v>
      </c>
      <c r="AE20" s="20" t="s">
        <v>120</v>
      </c>
      <c r="AF20" s="20" t="s">
        <v>390</v>
      </c>
      <c r="AG20" s="20">
        <v>1600</v>
      </c>
      <c r="AH20" s="20" t="s">
        <v>215</v>
      </c>
      <c r="AI20" s="28">
        <f>IF(COUNTIFS($W$3:$W$25,Presupuesto!$L$7,$Z$3:$Z$25,AD20)&gt;0,1,0)</f>
        <v>0</v>
      </c>
      <c r="AK20" s="20" t="s">
        <v>110</v>
      </c>
      <c r="AL20" s="20" t="s">
        <v>58</v>
      </c>
      <c r="AM20" s="20">
        <v>1.4</v>
      </c>
      <c r="AN20" s="20"/>
      <c r="AO20" t="str">
        <f t="shared" si="0"/>
        <v>P-08|Tall-01</v>
      </c>
    </row>
    <row r="21" spans="2:41" x14ac:dyDescent="0.25">
      <c r="W21" s="20" t="s">
        <v>397</v>
      </c>
      <c r="X21" s="20" t="s">
        <v>385</v>
      </c>
      <c r="Y21" s="20"/>
      <c r="Z21" s="21" t="s">
        <v>384</v>
      </c>
      <c r="AA21" s="21"/>
      <c r="AC21" s="20" t="s">
        <v>454</v>
      </c>
      <c r="AD21" s="20" t="s">
        <v>362</v>
      </c>
      <c r="AE21" s="20" t="s">
        <v>127</v>
      </c>
      <c r="AF21" s="20" t="s">
        <v>368</v>
      </c>
      <c r="AG21" s="20">
        <v>200</v>
      </c>
      <c r="AH21" s="20" t="s">
        <v>215</v>
      </c>
      <c r="AI21" s="28">
        <f>IF(COUNTIFS($W$3:$W$25,Presupuesto!$L$7,$Z$3:$Z$25,AD21)&gt;0,1,0)</f>
        <v>0</v>
      </c>
      <c r="AK21" s="20" t="s">
        <v>110</v>
      </c>
      <c r="AL21" s="20" t="s">
        <v>66</v>
      </c>
      <c r="AM21" s="20">
        <v>1.8</v>
      </c>
      <c r="AN21" s="20"/>
      <c r="AO21" t="str">
        <f t="shared" si="0"/>
        <v>P-08|Tall-02</v>
      </c>
    </row>
    <row r="22" spans="2:41" x14ac:dyDescent="0.25">
      <c r="W22" s="20" t="s">
        <v>397</v>
      </c>
      <c r="X22" s="20" t="s">
        <v>400</v>
      </c>
      <c r="Y22" s="20" t="s">
        <v>154</v>
      </c>
      <c r="Z22" s="21" t="s">
        <v>394</v>
      </c>
      <c r="AA22" s="21"/>
      <c r="AC22" s="20" t="s">
        <v>455</v>
      </c>
      <c r="AD22" s="20" t="s">
        <v>362</v>
      </c>
      <c r="AE22" s="20" t="s">
        <v>127</v>
      </c>
      <c r="AF22" s="20" t="s">
        <v>380</v>
      </c>
      <c r="AG22" s="20">
        <v>200</v>
      </c>
      <c r="AH22" s="20" t="s">
        <v>215</v>
      </c>
      <c r="AI22" s="28">
        <f>IF(COUNTIFS($W$3:$W$25,Presupuesto!$L$7,$Z$3:$Z$25,AD22)&gt;0,1,0)</f>
        <v>0</v>
      </c>
      <c r="AK22" s="20" t="s">
        <v>110</v>
      </c>
      <c r="AL22" s="20" t="s">
        <v>75</v>
      </c>
      <c r="AM22" s="20">
        <v>2.2000000000000002</v>
      </c>
      <c r="AN22" s="20"/>
      <c r="AO22" t="str">
        <f t="shared" si="0"/>
        <v>P-08|Tall-03</v>
      </c>
    </row>
    <row r="23" spans="2:41" x14ac:dyDescent="0.25">
      <c r="W23" s="20" t="s">
        <v>397</v>
      </c>
      <c r="X23" s="20" t="s">
        <v>231</v>
      </c>
      <c r="Y23" s="20" t="s">
        <v>154</v>
      </c>
      <c r="Z23" s="21"/>
      <c r="AA23" s="21" t="s">
        <v>230</v>
      </c>
      <c r="AC23" s="20" t="s">
        <v>456</v>
      </c>
      <c r="AD23" s="20" t="s">
        <v>362</v>
      </c>
      <c r="AE23" s="20" t="s">
        <v>127</v>
      </c>
      <c r="AF23" s="20" t="s">
        <v>390</v>
      </c>
      <c r="AG23" s="20">
        <v>200</v>
      </c>
      <c r="AH23" s="20" t="s">
        <v>215</v>
      </c>
      <c r="AI23" s="28">
        <f>IF(COUNTIFS($W$3:$W$25,Presupuesto!$L$7,$Z$3:$Z$25,AD23)&gt;0,1,0)</f>
        <v>0</v>
      </c>
      <c r="AK23" s="20" t="s">
        <v>114</v>
      </c>
      <c r="AL23" s="20" t="s">
        <v>101</v>
      </c>
      <c r="AM23" s="20">
        <v>0.7</v>
      </c>
      <c r="AN23" s="20"/>
      <c r="AO23" t="str">
        <f t="shared" si="0"/>
        <v>P-09|Tall-06</v>
      </c>
    </row>
    <row r="24" spans="2:41" x14ac:dyDescent="0.25">
      <c r="W24" s="20" t="s">
        <v>397</v>
      </c>
      <c r="X24" s="20" t="s">
        <v>407</v>
      </c>
      <c r="Y24" s="20"/>
      <c r="Z24" s="21" t="s">
        <v>408</v>
      </c>
      <c r="AA24" s="21"/>
      <c r="AC24" s="20" t="s">
        <v>457</v>
      </c>
      <c r="AD24" s="20" t="s">
        <v>384</v>
      </c>
      <c r="AE24" s="20" t="s">
        <v>127</v>
      </c>
      <c r="AF24" s="20" t="s">
        <v>368</v>
      </c>
      <c r="AG24" s="20">
        <v>500</v>
      </c>
      <c r="AH24" s="20" t="s">
        <v>215</v>
      </c>
      <c r="AI24" s="28">
        <f>IF(COUNTIFS($W$3:$W$25,Presupuesto!$L$7,$Z$3:$Z$25,AD24)&gt;0,1,0)</f>
        <v>0</v>
      </c>
      <c r="AK24" s="20" t="s">
        <v>120</v>
      </c>
      <c r="AL24" s="20" t="s">
        <v>58</v>
      </c>
      <c r="AM24" s="20">
        <v>0.6</v>
      </c>
      <c r="AN24" s="20"/>
      <c r="AO24" t="str">
        <f t="shared" si="0"/>
        <v>P-10|Tall-01</v>
      </c>
    </row>
    <row r="25" spans="2:41" x14ac:dyDescent="0.25">
      <c r="W25" s="20" t="s">
        <v>397</v>
      </c>
      <c r="X25" s="20" t="s">
        <v>407</v>
      </c>
      <c r="Y25" s="20"/>
      <c r="Z25" s="21" t="s">
        <v>408</v>
      </c>
      <c r="AA25" s="21"/>
      <c r="AC25" s="20" t="s">
        <v>458</v>
      </c>
      <c r="AD25" s="20" t="s">
        <v>384</v>
      </c>
      <c r="AE25" s="20" t="s">
        <v>127</v>
      </c>
      <c r="AF25" s="20" t="s">
        <v>380</v>
      </c>
      <c r="AG25" s="20">
        <v>400</v>
      </c>
      <c r="AH25" s="20" t="s">
        <v>215</v>
      </c>
      <c r="AI25" s="28">
        <f>IF(COUNTIFS($W$3:$W$25,Presupuesto!$L$7,$Z$3:$Z$25,AD25)&gt;0,1,0)</f>
        <v>0</v>
      </c>
      <c r="AK25" s="20" t="s">
        <v>120</v>
      </c>
      <c r="AL25" s="20" t="s">
        <v>66</v>
      </c>
      <c r="AM25" s="20">
        <v>0.8</v>
      </c>
      <c r="AN25" s="20"/>
      <c r="AO25" t="str">
        <f t="shared" si="0"/>
        <v>P-10|Tall-02</v>
      </c>
    </row>
    <row r="26" spans="2:41" x14ac:dyDescent="0.25">
      <c r="AC26" s="20" t="s">
        <v>459</v>
      </c>
      <c r="AD26" s="20" t="s">
        <v>384</v>
      </c>
      <c r="AE26" s="20" t="s">
        <v>127</v>
      </c>
      <c r="AF26" s="20" t="s">
        <v>390</v>
      </c>
      <c r="AG26" s="20">
        <v>200</v>
      </c>
      <c r="AH26" s="20" t="s">
        <v>215</v>
      </c>
      <c r="AI26" s="28">
        <f>IF(COUNTIFS($W$3:$W$25,Presupuesto!$L$7,$Z$3:$Z$25,AD26)&gt;0,1,0)</f>
        <v>0</v>
      </c>
      <c r="AK26" s="20" t="s">
        <v>120</v>
      </c>
      <c r="AL26" s="20" t="s">
        <v>75</v>
      </c>
      <c r="AM26" s="20">
        <v>1.1000000000000001</v>
      </c>
      <c r="AN26" s="20"/>
      <c r="AO26" t="str">
        <f t="shared" si="0"/>
        <v>P-10|Tall-03</v>
      </c>
    </row>
    <row r="27" spans="2:41" x14ac:dyDescent="0.25">
      <c r="W27" s="18" t="s">
        <v>460</v>
      </c>
      <c r="AC27" s="20" t="s">
        <v>461</v>
      </c>
      <c r="AD27" s="20" t="s">
        <v>394</v>
      </c>
      <c r="AE27" s="20" t="s">
        <v>127</v>
      </c>
      <c r="AF27" s="20" t="s">
        <v>368</v>
      </c>
      <c r="AG27" s="20">
        <v>3000</v>
      </c>
      <c r="AH27" s="20" t="s">
        <v>215</v>
      </c>
      <c r="AI27" s="28">
        <f>IF(COUNTIFS($W$3:$W$25,Presupuesto!$L$7,$Z$3:$Z$25,AD27)&gt;0,1,0)</f>
        <v>0</v>
      </c>
      <c r="AK27" s="20" t="s">
        <v>120</v>
      </c>
      <c r="AL27" s="20" t="s">
        <v>85</v>
      </c>
      <c r="AM27" s="20">
        <v>1.2</v>
      </c>
      <c r="AN27" s="20"/>
      <c r="AO27" t="str">
        <f t="shared" si="0"/>
        <v>P-10|Tall-04</v>
      </c>
    </row>
    <row r="28" spans="2:41" x14ac:dyDescent="0.25">
      <c r="AC28" s="20" t="s">
        <v>462</v>
      </c>
      <c r="AD28" s="20" t="s">
        <v>394</v>
      </c>
      <c r="AE28" s="20" t="s">
        <v>127</v>
      </c>
      <c r="AF28" s="20" t="s">
        <v>380</v>
      </c>
      <c r="AG28" s="20">
        <v>2000</v>
      </c>
      <c r="AH28" s="20" t="s">
        <v>215</v>
      </c>
      <c r="AI28" s="28">
        <f>IF(COUNTIFS($W$3:$W$25,Presupuesto!$L$7,$Z$3:$Z$25,AD28)&gt;0,1,0)</f>
        <v>0</v>
      </c>
      <c r="AK28" s="20" t="s">
        <v>123</v>
      </c>
      <c r="AL28" s="20" t="s">
        <v>58</v>
      </c>
      <c r="AM28" s="20">
        <v>0.33333333333333298</v>
      </c>
      <c r="AN28" s="20"/>
      <c r="AO28" t="str">
        <f t="shared" si="0"/>
        <v>P-11|Tall-01</v>
      </c>
    </row>
    <row r="29" spans="2:41" x14ac:dyDescent="0.25">
      <c r="AC29" s="20" t="s">
        <v>463</v>
      </c>
      <c r="AD29" s="20" t="s">
        <v>394</v>
      </c>
      <c r="AE29" s="20" t="s">
        <v>127</v>
      </c>
      <c r="AF29" s="20" t="s">
        <v>390</v>
      </c>
      <c r="AG29" s="20">
        <v>1500</v>
      </c>
      <c r="AH29" s="20" t="s">
        <v>215</v>
      </c>
      <c r="AI29" s="28">
        <f>IF(COUNTIFS($W$3:$W$25,Presupuesto!$L$7,$Z$3:$Z$25,AD29)&gt;0,1,0)</f>
        <v>0</v>
      </c>
      <c r="AK29" s="20" t="s">
        <v>123</v>
      </c>
      <c r="AL29" s="20" t="s">
        <v>66</v>
      </c>
      <c r="AM29" s="20">
        <v>0.46666666666666701</v>
      </c>
      <c r="AN29" s="20"/>
      <c r="AO29" t="str">
        <f t="shared" si="0"/>
        <v>P-11|Tall-02</v>
      </c>
    </row>
    <row r="30" spans="2:41" x14ac:dyDescent="0.25">
      <c r="AC30" s="20" t="s">
        <v>464</v>
      </c>
      <c r="AD30" s="20" t="s">
        <v>421</v>
      </c>
      <c r="AE30" s="20" t="s">
        <v>127</v>
      </c>
      <c r="AF30" s="20" t="s">
        <v>368</v>
      </c>
      <c r="AG30" s="20">
        <v>700</v>
      </c>
      <c r="AH30" s="20" t="s">
        <v>215</v>
      </c>
      <c r="AI30" s="28">
        <f>IF(COUNTIFS($W$3:$W$25,Presupuesto!$L$7,$Z$3:$Z$25,AD30)&gt;0,1,0)</f>
        <v>0</v>
      </c>
      <c r="AK30" s="20" t="s">
        <v>123</v>
      </c>
      <c r="AL30" s="20" t="s">
        <v>75</v>
      </c>
      <c r="AM30" s="20">
        <v>0.53333333333333299</v>
      </c>
      <c r="AN30" s="20"/>
      <c r="AO30" t="str">
        <f t="shared" si="0"/>
        <v>P-11|Tall-03</v>
      </c>
    </row>
    <row r="31" spans="2:41" x14ac:dyDescent="0.25">
      <c r="AC31" s="20" t="s">
        <v>465</v>
      </c>
      <c r="AD31" s="20" t="s">
        <v>421</v>
      </c>
      <c r="AE31" s="20" t="s">
        <v>127</v>
      </c>
      <c r="AF31" s="20" t="s">
        <v>380</v>
      </c>
      <c r="AG31" s="20">
        <v>500</v>
      </c>
      <c r="AH31" s="20" t="s">
        <v>215</v>
      </c>
      <c r="AI31" s="28">
        <f>IF(COUNTIFS($W$3:$W$25,Presupuesto!$L$7,$Z$3:$Z$25,AD31)&gt;0,1,0)</f>
        <v>0</v>
      </c>
      <c r="AK31" s="20" t="s">
        <v>137</v>
      </c>
      <c r="AL31" s="20" t="s">
        <v>58</v>
      </c>
      <c r="AM31" s="20">
        <v>1.5</v>
      </c>
      <c r="AN31" s="20"/>
      <c r="AO31" t="str">
        <f t="shared" si="0"/>
        <v>P-14|Tall-01</v>
      </c>
    </row>
    <row r="32" spans="2:41" x14ac:dyDescent="0.25">
      <c r="AC32" s="20" t="s">
        <v>466</v>
      </c>
      <c r="AD32" s="20" t="s">
        <v>421</v>
      </c>
      <c r="AE32" s="20" t="s">
        <v>127</v>
      </c>
      <c r="AF32" s="20" t="s">
        <v>390</v>
      </c>
      <c r="AG32" s="20">
        <v>350</v>
      </c>
      <c r="AH32" s="20" t="s">
        <v>215</v>
      </c>
      <c r="AI32" s="28">
        <f>IF(COUNTIFS($W$3:$W$25,Presupuesto!$L$7,$Z$3:$Z$25,AD32)&gt;0,1,0)</f>
        <v>0</v>
      </c>
      <c r="AK32" s="20" t="s">
        <v>137</v>
      </c>
      <c r="AL32" s="20" t="s">
        <v>66</v>
      </c>
      <c r="AM32" s="20">
        <v>1.7</v>
      </c>
      <c r="AN32" s="20"/>
      <c r="AO32" t="str">
        <f t="shared" si="0"/>
        <v>P-14|Tall-02</v>
      </c>
    </row>
    <row r="33" spans="29:41" x14ac:dyDescent="0.25">
      <c r="AC33" s="20" t="s">
        <v>467</v>
      </c>
      <c r="AD33" s="20" t="s">
        <v>373</v>
      </c>
      <c r="AE33" s="20" t="s">
        <v>127</v>
      </c>
      <c r="AF33" s="20" t="s">
        <v>368</v>
      </c>
      <c r="AG33" s="20">
        <v>1000</v>
      </c>
      <c r="AH33" s="20" t="s">
        <v>215</v>
      </c>
      <c r="AI33" s="28">
        <f>IF(COUNTIFS($W$3:$W$25,Presupuesto!$L$7,$Z$3:$Z$25,AD33)&gt;0,1,0)</f>
        <v>0</v>
      </c>
      <c r="AK33" s="20" t="s">
        <v>137</v>
      </c>
      <c r="AL33" s="20" t="s">
        <v>75</v>
      </c>
      <c r="AM33" s="20">
        <v>2</v>
      </c>
      <c r="AN33" s="20"/>
      <c r="AO33" t="str">
        <f t="shared" si="0"/>
        <v>P-14|Tall-03</v>
      </c>
    </row>
    <row r="34" spans="29:41" x14ac:dyDescent="0.25">
      <c r="AC34" s="20" t="s">
        <v>468</v>
      </c>
      <c r="AD34" s="20" t="s">
        <v>373</v>
      </c>
      <c r="AE34" s="20" t="s">
        <v>127</v>
      </c>
      <c r="AF34" s="20" t="s">
        <v>380</v>
      </c>
      <c r="AG34" s="20">
        <v>900</v>
      </c>
      <c r="AH34" s="20" t="s">
        <v>215</v>
      </c>
      <c r="AI34" s="28">
        <f>IF(COUNTIFS($W$3:$W$25,Presupuesto!$L$7,$Z$3:$Z$25,AD34)&gt;0,1,0)</f>
        <v>0</v>
      </c>
      <c r="AK34" s="20" t="s">
        <v>142</v>
      </c>
      <c r="AL34" s="20" t="s">
        <v>58</v>
      </c>
      <c r="AM34" s="20">
        <v>0.27500000000000002</v>
      </c>
      <c r="AN34" s="20"/>
      <c r="AO34" t="str">
        <f t="shared" si="0"/>
        <v>P-15|Tall-01</v>
      </c>
    </row>
    <row r="35" spans="29:41" x14ac:dyDescent="0.25">
      <c r="AC35" s="20" t="s">
        <v>469</v>
      </c>
      <c r="AD35" s="20" t="s">
        <v>373</v>
      </c>
      <c r="AE35" s="20" t="s">
        <v>127</v>
      </c>
      <c r="AF35" s="20" t="s">
        <v>390</v>
      </c>
      <c r="AG35" s="20">
        <v>700</v>
      </c>
      <c r="AH35" s="20" t="s">
        <v>215</v>
      </c>
      <c r="AI35" s="28">
        <f>IF(COUNTIFS($W$3:$W$25,Presupuesto!$L$7,$Z$3:$Z$25,AD35)&gt;0,1,0)</f>
        <v>0</v>
      </c>
      <c r="AK35" s="20" t="s">
        <v>142</v>
      </c>
      <c r="AL35" s="20" t="s">
        <v>66</v>
      </c>
      <c r="AM35" s="20">
        <v>0.3</v>
      </c>
      <c r="AN35" s="20"/>
      <c r="AO35" t="str">
        <f t="shared" ref="AO35:AO57" si="1">AK35&amp;"|"&amp;AL35</f>
        <v>P-15|Tall-02</v>
      </c>
    </row>
    <row r="36" spans="29:41" x14ac:dyDescent="0.25">
      <c r="AC36" s="20" t="s">
        <v>470</v>
      </c>
      <c r="AD36" s="20" t="s">
        <v>415</v>
      </c>
      <c r="AE36" s="20" t="s">
        <v>127</v>
      </c>
      <c r="AF36" s="20" t="s">
        <v>368</v>
      </c>
      <c r="AG36" s="20">
        <v>9500</v>
      </c>
      <c r="AH36" s="20" t="s">
        <v>215</v>
      </c>
      <c r="AI36" s="28">
        <f>IF(COUNTIFS($W$3:$W$25,Presupuesto!$L$7,$Z$3:$Z$25,AD36)&gt;0,1,0)</f>
        <v>0</v>
      </c>
      <c r="AK36" s="20" t="s">
        <v>142</v>
      </c>
      <c r="AL36" s="20" t="s">
        <v>75</v>
      </c>
      <c r="AM36" s="20">
        <v>0.8</v>
      </c>
      <c r="AN36" s="20"/>
      <c r="AO36" t="str">
        <f t="shared" si="1"/>
        <v>P-15|Tall-03</v>
      </c>
    </row>
    <row r="37" spans="29:41" x14ac:dyDescent="0.25">
      <c r="AC37" s="20" t="s">
        <v>471</v>
      </c>
      <c r="AD37" s="20" t="s">
        <v>415</v>
      </c>
      <c r="AE37" s="20" t="s">
        <v>127</v>
      </c>
      <c r="AF37" s="20" t="s">
        <v>380</v>
      </c>
      <c r="AG37" s="20">
        <v>9500</v>
      </c>
      <c r="AH37" s="20" t="s">
        <v>215</v>
      </c>
      <c r="AI37" s="28">
        <f>IF(COUNTIFS($W$3:$W$25,Presupuesto!$L$7,$Z$3:$Z$25,AD37)&gt;0,1,0)</f>
        <v>0</v>
      </c>
      <c r="AK37" s="20" t="s">
        <v>149</v>
      </c>
      <c r="AL37" s="20" t="s">
        <v>58</v>
      </c>
      <c r="AM37" s="20">
        <v>1.2</v>
      </c>
      <c r="AN37" s="20"/>
      <c r="AO37" t="str">
        <f t="shared" si="1"/>
        <v>P-17|Tall-01</v>
      </c>
    </row>
    <row r="38" spans="29:41" x14ac:dyDescent="0.25">
      <c r="AC38" s="20" t="s">
        <v>472</v>
      </c>
      <c r="AD38" s="20" t="s">
        <v>415</v>
      </c>
      <c r="AE38" s="20" t="s">
        <v>127</v>
      </c>
      <c r="AF38" s="20" t="s">
        <v>390</v>
      </c>
      <c r="AG38" s="20">
        <v>9500</v>
      </c>
      <c r="AH38" s="20" t="s">
        <v>215</v>
      </c>
      <c r="AI38" s="28">
        <f>IF(COUNTIFS($W$3:$W$25,Presupuesto!$L$7,$Z$3:$Z$25,AD38)&gt;0,1,0)</f>
        <v>0</v>
      </c>
      <c r="AK38" s="20" t="s">
        <v>149</v>
      </c>
      <c r="AL38" s="20" t="s">
        <v>66</v>
      </c>
      <c r="AM38" s="20"/>
      <c r="AN38" s="20"/>
      <c r="AO38" t="str">
        <f t="shared" si="1"/>
        <v>P-17|Tall-02</v>
      </c>
    </row>
    <row r="39" spans="29:41" x14ac:dyDescent="0.25">
      <c r="AC39" s="20" t="s">
        <v>473</v>
      </c>
      <c r="AD39" s="20" t="s">
        <v>436</v>
      </c>
      <c r="AE39" s="20" t="s">
        <v>127</v>
      </c>
      <c r="AF39" s="20" t="s">
        <v>368</v>
      </c>
      <c r="AG39" s="20">
        <v>5000</v>
      </c>
      <c r="AH39" s="20" t="s">
        <v>215</v>
      </c>
      <c r="AI39" s="28">
        <f>IF(COUNTIFS($W$3:$W$25,Presupuesto!$L$7,$Z$3:$Z$25,AD39)&gt;0,1,0)</f>
        <v>0</v>
      </c>
      <c r="AK39" s="20" t="s">
        <v>149</v>
      </c>
      <c r="AL39" s="20" t="s">
        <v>75</v>
      </c>
      <c r="AM39" s="20"/>
      <c r="AN39" s="20"/>
      <c r="AO39" t="str">
        <f t="shared" si="1"/>
        <v>P-17|Tall-03</v>
      </c>
    </row>
    <row r="40" spans="29:41" x14ac:dyDescent="0.25">
      <c r="AC40" s="20" t="s">
        <v>474</v>
      </c>
      <c r="AD40" s="20" t="s">
        <v>436</v>
      </c>
      <c r="AE40" s="20" t="s">
        <v>127</v>
      </c>
      <c r="AF40" s="20" t="s">
        <v>380</v>
      </c>
      <c r="AG40" s="20">
        <v>5000</v>
      </c>
      <c r="AH40" s="20" t="s">
        <v>215</v>
      </c>
      <c r="AI40" s="28">
        <f>IF(COUNTIFS($W$3:$W$25,Presupuesto!$L$7,$Z$3:$Z$25,AD40)&gt;0,1,0)</f>
        <v>0</v>
      </c>
      <c r="AK40" s="20" t="s">
        <v>157</v>
      </c>
      <c r="AL40" s="20" t="s">
        <v>101</v>
      </c>
      <c r="AM40" s="20">
        <v>0.58333333333333304</v>
      </c>
      <c r="AN40" s="20"/>
      <c r="AO40" t="str">
        <f t="shared" si="1"/>
        <v>P-21|Tall-06</v>
      </c>
    </row>
    <row r="41" spans="29:41" x14ac:dyDescent="0.25">
      <c r="AC41" s="20" t="s">
        <v>475</v>
      </c>
      <c r="AD41" s="20" t="s">
        <v>436</v>
      </c>
      <c r="AE41" s="20" t="s">
        <v>127</v>
      </c>
      <c r="AF41" s="20" t="s">
        <v>390</v>
      </c>
      <c r="AG41" s="20">
        <v>5000</v>
      </c>
      <c r="AH41" s="20" t="s">
        <v>215</v>
      </c>
      <c r="AI41" s="28">
        <f>IF(COUNTIFS($W$3:$W$25,Presupuesto!$L$7,$Z$3:$Z$25,AD41)&gt;0,1,0)</f>
        <v>0</v>
      </c>
      <c r="AK41" s="20" t="s">
        <v>159</v>
      </c>
      <c r="AL41" s="20" t="s">
        <v>66</v>
      </c>
      <c r="AM41" s="20">
        <v>1.5</v>
      </c>
      <c r="AN41" s="20"/>
      <c r="AO41" t="str">
        <f t="shared" si="1"/>
        <v>P-22|Tall-02</v>
      </c>
    </row>
    <row r="42" spans="29:41" x14ac:dyDescent="0.25">
      <c r="AC42" s="20" t="s">
        <v>476</v>
      </c>
      <c r="AD42" s="20" t="s">
        <v>439</v>
      </c>
      <c r="AE42" s="20" t="s">
        <v>127</v>
      </c>
      <c r="AF42" s="20" t="s">
        <v>368</v>
      </c>
      <c r="AG42" s="20">
        <v>100</v>
      </c>
      <c r="AH42" s="20" t="s">
        <v>215</v>
      </c>
      <c r="AI42" s="28">
        <f>IF(COUNTIFS($W$3:$W$25,Presupuesto!$L$7,$Z$3:$Z$25,AD42)&gt;0,1,0)</f>
        <v>0</v>
      </c>
      <c r="AK42" s="20" t="s">
        <v>167</v>
      </c>
      <c r="AL42" s="20" t="s">
        <v>58</v>
      </c>
      <c r="AM42" s="20">
        <v>0.6</v>
      </c>
      <c r="AN42" s="20"/>
      <c r="AO42" t="str">
        <f t="shared" si="1"/>
        <v>P-25|Tall-01</v>
      </c>
    </row>
    <row r="43" spans="29:41" x14ac:dyDescent="0.25">
      <c r="AC43" s="20" t="s">
        <v>477</v>
      </c>
      <c r="AD43" s="20" t="s">
        <v>439</v>
      </c>
      <c r="AE43" s="20" t="s">
        <v>127</v>
      </c>
      <c r="AF43" s="20" t="s">
        <v>380</v>
      </c>
      <c r="AG43" s="20">
        <v>100</v>
      </c>
      <c r="AH43" s="20" t="s">
        <v>215</v>
      </c>
      <c r="AI43" s="28">
        <f>IF(COUNTIFS($W$3:$W$25,Presupuesto!$L$7,$Z$3:$Z$25,AD43)&gt;0,1,0)</f>
        <v>0</v>
      </c>
      <c r="AK43" s="20" t="s">
        <v>167</v>
      </c>
      <c r="AL43" s="20" t="s">
        <v>66</v>
      </c>
      <c r="AM43" s="20">
        <v>1.1000000000000001</v>
      </c>
      <c r="AN43" s="20"/>
      <c r="AO43" t="str">
        <f t="shared" si="1"/>
        <v>P-25|Tall-02</v>
      </c>
    </row>
    <row r="44" spans="29:41" x14ac:dyDescent="0.25">
      <c r="AC44" s="20" t="s">
        <v>478</v>
      </c>
      <c r="AD44" s="20" t="s">
        <v>439</v>
      </c>
      <c r="AE44" s="20" t="s">
        <v>127</v>
      </c>
      <c r="AF44" s="20" t="s">
        <v>390</v>
      </c>
      <c r="AG44" s="20">
        <v>100</v>
      </c>
      <c r="AH44" s="20" t="s">
        <v>215</v>
      </c>
      <c r="AI44" s="28">
        <f>IF(COUNTIFS($W$3:$W$25,Presupuesto!$L$7,$Z$3:$Z$25,AD44)&gt;0,1,0)</f>
        <v>0</v>
      </c>
      <c r="AK44" s="20" t="s">
        <v>167</v>
      </c>
      <c r="AL44" s="20" t="s">
        <v>75</v>
      </c>
      <c r="AM44" s="20">
        <v>1.25</v>
      </c>
      <c r="AN44" s="20"/>
      <c r="AO44" t="str">
        <f t="shared" si="1"/>
        <v>P-25|Tall-03</v>
      </c>
    </row>
    <row r="45" spans="29:41" x14ac:dyDescent="0.25">
      <c r="AC45" s="20" t="s">
        <v>479</v>
      </c>
      <c r="AD45" s="20" t="s">
        <v>442</v>
      </c>
      <c r="AE45" s="20" t="s">
        <v>127</v>
      </c>
      <c r="AF45" s="20" t="s">
        <v>368</v>
      </c>
      <c r="AG45" s="20">
        <v>700</v>
      </c>
      <c r="AH45" s="20" t="s">
        <v>215</v>
      </c>
      <c r="AI45" s="28">
        <f>IF(COUNTIFS($W$3:$W$25,Presupuesto!$L$7,$Z$3:$Z$25,AD45)&gt;0,1,0)</f>
        <v>0</v>
      </c>
      <c r="AK45" s="20" t="s">
        <v>173</v>
      </c>
      <c r="AL45" s="20" t="s">
        <v>58</v>
      </c>
      <c r="AM45" s="20">
        <v>0.9</v>
      </c>
      <c r="AN45" s="20"/>
      <c r="AO45" t="str">
        <f t="shared" si="1"/>
        <v>P-28|Tall-01</v>
      </c>
    </row>
    <row r="46" spans="29:41" x14ac:dyDescent="0.25">
      <c r="AC46" s="20" t="s">
        <v>480</v>
      </c>
      <c r="AD46" s="20" t="s">
        <v>442</v>
      </c>
      <c r="AE46" s="20" t="s">
        <v>127</v>
      </c>
      <c r="AF46" s="20" t="s">
        <v>380</v>
      </c>
      <c r="AG46" s="20">
        <v>500</v>
      </c>
      <c r="AH46" s="20" t="s">
        <v>215</v>
      </c>
      <c r="AI46" s="28">
        <f>IF(COUNTIFS($W$3:$W$25,Presupuesto!$L$7,$Z$3:$Z$25,AD46)&gt;0,1,0)</f>
        <v>0</v>
      </c>
      <c r="AK46" s="20" t="s">
        <v>173</v>
      </c>
      <c r="AL46" s="20" t="s">
        <v>66</v>
      </c>
      <c r="AM46" s="20">
        <v>1.1000000000000001</v>
      </c>
      <c r="AN46" s="20"/>
      <c r="AO46" t="str">
        <f t="shared" si="1"/>
        <v>P-28|Tall-02</v>
      </c>
    </row>
    <row r="47" spans="29:41" x14ac:dyDescent="0.25">
      <c r="AC47" s="20" t="s">
        <v>481</v>
      </c>
      <c r="AD47" s="20" t="s">
        <v>442</v>
      </c>
      <c r="AE47" s="20" t="s">
        <v>127</v>
      </c>
      <c r="AF47" s="20" t="s">
        <v>390</v>
      </c>
      <c r="AG47" s="20">
        <v>350</v>
      </c>
      <c r="AH47" s="20" t="s">
        <v>215</v>
      </c>
      <c r="AI47" s="28">
        <f>IF(COUNTIFS($W$3:$W$25,Presupuesto!$L$7,$Z$3:$Z$25,AD47)&gt;0,1,0)</f>
        <v>0</v>
      </c>
      <c r="AK47" s="20" t="s">
        <v>173</v>
      </c>
      <c r="AL47" s="20" t="s">
        <v>75</v>
      </c>
      <c r="AM47" s="20">
        <v>1.2</v>
      </c>
      <c r="AN47" s="20"/>
      <c r="AO47" t="str">
        <f t="shared" si="1"/>
        <v>P-28|Tall-03</v>
      </c>
    </row>
    <row r="48" spans="29:41" x14ac:dyDescent="0.25">
      <c r="AC48" s="20" t="s">
        <v>482</v>
      </c>
      <c r="AD48" s="20" t="s">
        <v>408</v>
      </c>
      <c r="AE48" s="20" t="s">
        <v>127</v>
      </c>
      <c r="AF48" s="20" t="s">
        <v>368</v>
      </c>
      <c r="AG48" s="20">
        <v>800</v>
      </c>
      <c r="AH48" s="20" t="s">
        <v>215</v>
      </c>
      <c r="AI48" s="28">
        <f>IF(COUNTIFS($W$3:$W$25,Presupuesto!$L$7,$Z$3:$Z$25,AD48)&gt;0,1,0)</f>
        <v>0</v>
      </c>
      <c r="AK48" s="20" t="s">
        <v>175</v>
      </c>
      <c r="AL48" s="20" t="s">
        <v>66</v>
      </c>
      <c r="AM48" s="20">
        <v>0.6</v>
      </c>
      <c r="AN48" s="20"/>
      <c r="AO48" t="str">
        <f t="shared" si="1"/>
        <v>P-29|Tall-02</v>
      </c>
    </row>
    <row r="49" spans="29:41" x14ac:dyDescent="0.25">
      <c r="AC49" s="20" t="s">
        <v>483</v>
      </c>
      <c r="AD49" s="20" t="s">
        <v>408</v>
      </c>
      <c r="AE49" s="20" t="s">
        <v>127</v>
      </c>
      <c r="AF49" s="20" t="s">
        <v>380</v>
      </c>
      <c r="AG49" s="20">
        <v>600</v>
      </c>
      <c r="AH49" s="20" t="s">
        <v>215</v>
      </c>
      <c r="AI49" s="28">
        <f>IF(COUNTIFS($W$3:$W$25,Presupuesto!$L$7,$Z$3:$Z$25,AD49)&gt;0,1,0)</f>
        <v>0</v>
      </c>
      <c r="AK49" s="20" t="s">
        <v>181</v>
      </c>
      <c r="AL49" s="20" t="s">
        <v>66</v>
      </c>
      <c r="AM49" s="20">
        <v>1.8</v>
      </c>
      <c r="AN49" s="20"/>
      <c r="AO49" t="str">
        <f t="shared" si="1"/>
        <v>P-32|Tall-02</v>
      </c>
    </row>
    <row r="50" spans="29:41" x14ac:dyDescent="0.25">
      <c r="AC50" s="20" t="s">
        <v>484</v>
      </c>
      <c r="AD50" s="20" t="s">
        <v>408</v>
      </c>
      <c r="AE50" s="20" t="s">
        <v>127</v>
      </c>
      <c r="AF50" s="20" t="s">
        <v>390</v>
      </c>
      <c r="AG50" s="20">
        <v>400</v>
      </c>
      <c r="AH50" s="20" t="s">
        <v>215</v>
      </c>
      <c r="AI50" s="28">
        <f>IF(COUNTIFS($W$3:$W$25,Presupuesto!$L$7,$Z$3:$Z$25,AD50)&gt;0,1,0)</f>
        <v>0</v>
      </c>
      <c r="AK50" s="20" t="s">
        <v>183</v>
      </c>
      <c r="AL50" s="20" t="s">
        <v>95</v>
      </c>
      <c r="AM50" s="20">
        <v>0.6</v>
      </c>
      <c r="AN50" s="20"/>
      <c r="AO50" t="str">
        <f t="shared" si="1"/>
        <v>P-33|Tall-05</v>
      </c>
    </row>
    <row r="51" spans="29:41" x14ac:dyDescent="0.25">
      <c r="AC51" s="20" t="s">
        <v>485</v>
      </c>
      <c r="AD51" s="20" t="s">
        <v>373</v>
      </c>
      <c r="AE51" s="20" t="s">
        <v>137</v>
      </c>
      <c r="AF51" s="20" t="s">
        <v>368</v>
      </c>
      <c r="AG51" s="20">
        <v>4000</v>
      </c>
      <c r="AH51" s="20" t="s">
        <v>215</v>
      </c>
      <c r="AI51" s="28">
        <f>IF(COUNTIFS($W$3:$W$25,Presupuesto!$L$7,$Z$3:$Z$25,AD51)&gt;0,1,0)</f>
        <v>0</v>
      </c>
      <c r="AK51" s="20" t="s">
        <v>185</v>
      </c>
      <c r="AL51" s="20" t="s">
        <v>101</v>
      </c>
      <c r="AM51" s="20">
        <v>0.58333333333333304</v>
      </c>
      <c r="AN51" s="20"/>
      <c r="AO51" t="str">
        <f t="shared" si="1"/>
        <v>P-34|Tall-06</v>
      </c>
    </row>
    <row r="52" spans="29:41" x14ac:dyDescent="0.25">
      <c r="AC52" s="20" t="s">
        <v>486</v>
      </c>
      <c r="AD52" s="20" t="s">
        <v>373</v>
      </c>
      <c r="AE52" s="20" t="s">
        <v>137</v>
      </c>
      <c r="AF52" s="20" t="s">
        <v>380</v>
      </c>
      <c r="AG52" s="20">
        <v>3000</v>
      </c>
      <c r="AH52" s="20" t="s">
        <v>215</v>
      </c>
      <c r="AI52" s="28">
        <f>IF(COUNTIFS($W$3:$W$25,Presupuesto!$L$7,$Z$3:$Z$25,AD52)&gt;0,1,0)</f>
        <v>0</v>
      </c>
      <c r="AK52" s="20" t="s">
        <v>164</v>
      </c>
      <c r="AL52" s="20" t="s">
        <v>58</v>
      </c>
      <c r="AM52" s="20"/>
      <c r="AN52" s="20" t="s">
        <v>487</v>
      </c>
      <c r="AO52" t="str">
        <f t="shared" si="1"/>
        <v>P-24|Tall-01</v>
      </c>
    </row>
    <row r="53" spans="29:41" x14ac:dyDescent="0.25">
      <c r="AC53" s="20" t="s">
        <v>488</v>
      </c>
      <c r="AD53" s="20" t="s">
        <v>373</v>
      </c>
      <c r="AE53" s="20" t="s">
        <v>137</v>
      </c>
      <c r="AF53" s="20" t="s">
        <v>390</v>
      </c>
      <c r="AG53" s="20">
        <v>2000</v>
      </c>
      <c r="AH53" s="20" t="s">
        <v>215</v>
      </c>
      <c r="AI53" s="28">
        <f>IF(COUNTIFS($W$3:$W$25,Presupuesto!$L$7,$Z$3:$Z$25,AD53)&gt;0,1,0)</f>
        <v>0</v>
      </c>
      <c r="AK53" s="20" t="s">
        <v>164</v>
      </c>
      <c r="AL53" s="20" t="s">
        <v>75</v>
      </c>
      <c r="AM53" s="20"/>
      <c r="AN53" s="20" t="s">
        <v>489</v>
      </c>
      <c r="AO53" t="str">
        <f t="shared" si="1"/>
        <v>P-24|Tall-03</v>
      </c>
    </row>
    <row r="54" spans="29:41" x14ac:dyDescent="0.25">
      <c r="AC54" s="20" t="s">
        <v>490</v>
      </c>
      <c r="AD54" s="20" t="s">
        <v>373</v>
      </c>
      <c r="AE54" s="20" t="s">
        <v>142</v>
      </c>
      <c r="AF54" s="20" t="s">
        <v>368</v>
      </c>
      <c r="AG54" s="20">
        <v>3000</v>
      </c>
      <c r="AH54" s="20" t="s">
        <v>215</v>
      </c>
      <c r="AI54" s="28">
        <f>IF(COUNTIFS($W$3:$W$25,Presupuesto!$L$7,$Z$3:$Z$25,AD54)&gt;0,1,0)</f>
        <v>0</v>
      </c>
      <c r="AK54" s="20" t="s">
        <v>164</v>
      </c>
      <c r="AL54" s="20" t="s">
        <v>66</v>
      </c>
      <c r="AM54" s="20"/>
      <c r="AN54" s="20" t="s">
        <v>491</v>
      </c>
      <c r="AO54" t="str">
        <f t="shared" si="1"/>
        <v>P-24|Tall-02</v>
      </c>
    </row>
    <row r="55" spans="29:41" x14ac:dyDescent="0.25">
      <c r="AC55" s="20" t="s">
        <v>492</v>
      </c>
      <c r="AD55" s="20" t="s">
        <v>373</v>
      </c>
      <c r="AE55" s="20" t="s">
        <v>142</v>
      </c>
      <c r="AF55" s="20" t="s">
        <v>380</v>
      </c>
      <c r="AG55" s="20">
        <v>2500</v>
      </c>
      <c r="AH55" s="20" t="s">
        <v>215</v>
      </c>
      <c r="AI55" s="28">
        <f>IF(COUNTIFS($W$3:$W$25,Presupuesto!$L$7,$Z$3:$Z$25,AD55)&gt;0,1,0)</f>
        <v>0</v>
      </c>
      <c r="AK55" s="20" t="s">
        <v>188</v>
      </c>
      <c r="AL55" s="20" t="s">
        <v>101</v>
      </c>
      <c r="AM55" s="20"/>
      <c r="AN55" s="20" t="s">
        <v>493</v>
      </c>
      <c r="AO55" t="str">
        <f t="shared" si="1"/>
        <v>P-35|Tall-06</v>
      </c>
    </row>
    <row r="56" spans="29:41" x14ac:dyDescent="0.25">
      <c r="AC56" s="20" t="s">
        <v>494</v>
      </c>
      <c r="AD56" s="20" t="s">
        <v>373</v>
      </c>
      <c r="AE56" s="20" t="s">
        <v>142</v>
      </c>
      <c r="AF56" s="20" t="s">
        <v>390</v>
      </c>
      <c r="AG56" s="20">
        <v>2000</v>
      </c>
      <c r="AH56" s="20" t="s">
        <v>215</v>
      </c>
      <c r="AI56" s="28">
        <f>IF(COUNTIFS($W$3:$W$25,Presupuesto!$L$7,$Z$3:$Z$25,AD56)&gt;0,1,0)</f>
        <v>0</v>
      </c>
      <c r="AK56" s="20" t="s">
        <v>175</v>
      </c>
      <c r="AL56" s="20" t="s">
        <v>58</v>
      </c>
      <c r="AM56" s="20"/>
      <c r="AN56" s="20" t="s">
        <v>495</v>
      </c>
      <c r="AO56" t="str">
        <f t="shared" si="1"/>
        <v>P-29|Tall-01</v>
      </c>
    </row>
    <row r="57" spans="29:41" x14ac:dyDescent="0.25">
      <c r="AC57" s="20" t="s">
        <v>496</v>
      </c>
      <c r="AD57" s="20" t="s">
        <v>373</v>
      </c>
      <c r="AE57" s="20" t="s">
        <v>142</v>
      </c>
      <c r="AF57" s="20" t="s">
        <v>368</v>
      </c>
      <c r="AG57" s="20">
        <v>2500</v>
      </c>
      <c r="AH57" s="20" t="s">
        <v>215</v>
      </c>
      <c r="AI57" s="28">
        <f>IF(COUNTIFS($W$3:$W$25,Presupuesto!$L$7,$Z$3:$Z$25,AD57)&gt;0,1,0)</f>
        <v>0</v>
      </c>
      <c r="AK57" s="20" t="s">
        <v>175</v>
      </c>
      <c r="AL57" s="20" t="s">
        <v>75</v>
      </c>
      <c r="AM57" s="20"/>
      <c r="AN57" s="20" t="s">
        <v>497</v>
      </c>
      <c r="AO57" t="str">
        <f t="shared" si="1"/>
        <v>P-29|Tall-03</v>
      </c>
    </row>
    <row r="58" spans="29:41" x14ac:dyDescent="0.25">
      <c r="AC58" s="20" t="s">
        <v>498</v>
      </c>
      <c r="AD58" s="20" t="s">
        <v>373</v>
      </c>
      <c r="AE58" s="20" t="s">
        <v>142</v>
      </c>
      <c r="AF58" s="20" t="s">
        <v>380</v>
      </c>
      <c r="AG58" s="20">
        <v>1800</v>
      </c>
      <c r="AH58" s="20" t="s">
        <v>215</v>
      </c>
      <c r="AI58" s="28">
        <f>IF(COUNTIFS($W$3:$W$25,Presupuesto!$L$7,$Z$3:$Z$25,AD58)&gt;0,1,0)</f>
        <v>0</v>
      </c>
    </row>
    <row r="59" spans="29:41" x14ac:dyDescent="0.25">
      <c r="AC59" s="20" t="s">
        <v>499</v>
      </c>
      <c r="AD59" s="20" t="s">
        <v>373</v>
      </c>
      <c r="AE59" s="20" t="s">
        <v>142</v>
      </c>
      <c r="AF59" s="20" t="s">
        <v>390</v>
      </c>
      <c r="AG59" s="20">
        <v>1200</v>
      </c>
      <c r="AH59" s="20" t="s">
        <v>215</v>
      </c>
      <c r="AI59" s="28">
        <f>IF(COUNTIFS($W$3:$W$25,Presupuesto!$L$7,$Z$3:$Z$25,AD59)&gt;0,1,0)</f>
        <v>0</v>
      </c>
    </row>
    <row r="60" spans="29:41" x14ac:dyDescent="0.25">
      <c r="AC60" s="20" t="s">
        <v>500</v>
      </c>
      <c r="AD60" s="20" t="s">
        <v>373</v>
      </c>
      <c r="AE60" s="20" t="s">
        <v>155</v>
      </c>
      <c r="AF60" s="20" t="s">
        <v>368</v>
      </c>
      <c r="AG60" s="20">
        <v>8000</v>
      </c>
      <c r="AH60" s="20" t="s">
        <v>215</v>
      </c>
      <c r="AI60" s="28">
        <f>IF(COUNTIFS($W$3:$W$25,Presupuesto!$L$7,$Z$3:$Z$25,AD60)&gt;0,1,0)</f>
        <v>0</v>
      </c>
    </row>
    <row r="61" spans="29:41" x14ac:dyDescent="0.25">
      <c r="AC61" s="20" t="s">
        <v>501</v>
      </c>
      <c r="AD61" s="20" t="s">
        <v>373</v>
      </c>
      <c r="AE61" s="20" t="s">
        <v>155</v>
      </c>
      <c r="AF61" s="20" t="s">
        <v>380</v>
      </c>
      <c r="AG61" s="20">
        <v>7000</v>
      </c>
      <c r="AH61" s="20" t="s">
        <v>215</v>
      </c>
      <c r="AI61" s="28">
        <f>IF(COUNTIFS($W$3:$W$25,Presupuesto!$L$7,$Z$3:$Z$25,AD61)&gt;0,1,0)</f>
        <v>0</v>
      </c>
    </row>
    <row r="62" spans="29:41" x14ac:dyDescent="0.25">
      <c r="AC62" s="20" t="s">
        <v>502</v>
      </c>
      <c r="AD62" s="20" t="s">
        <v>373</v>
      </c>
      <c r="AE62" s="20" t="s">
        <v>155</v>
      </c>
      <c r="AF62" s="20" t="s">
        <v>390</v>
      </c>
      <c r="AG62" s="20">
        <v>6000</v>
      </c>
      <c r="AH62" s="20" t="s">
        <v>215</v>
      </c>
      <c r="AI62" s="28">
        <f>IF(COUNTIFS($W$3:$W$25,Presupuesto!$L$7,$Z$3:$Z$25,AD62)&gt;0,1,0)</f>
        <v>0</v>
      </c>
    </row>
    <row r="63" spans="29:41" x14ac:dyDescent="0.25">
      <c r="AC63" s="20" t="s">
        <v>503</v>
      </c>
      <c r="AD63" s="20" t="s">
        <v>373</v>
      </c>
      <c r="AE63" s="20" t="s">
        <v>157</v>
      </c>
      <c r="AF63" s="20" t="s">
        <v>368</v>
      </c>
      <c r="AG63" s="20">
        <v>2000</v>
      </c>
      <c r="AH63" s="20" t="s">
        <v>215</v>
      </c>
      <c r="AI63" s="28">
        <f>IF(COUNTIFS($W$3:$W$25,Presupuesto!$L$7,$Z$3:$Z$25,AD63)&gt;0,1,0)</f>
        <v>0</v>
      </c>
    </row>
    <row r="64" spans="29:41" x14ac:dyDescent="0.25">
      <c r="AC64" s="20" t="s">
        <v>504</v>
      </c>
      <c r="AD64" s="20" t="s">
        <v>373</v>
      </c>
      <c r="AE64" s="20" t="s">
        <v>157</v>
      </c>
      <c r="AF64" s="20" t="s">
        <v>380</v>
      </c>
      <c r="AG64" s="20">
        <v>1800</v>
      </c>
      <c r="AH64" s="20" t="s">
        <v>215</v>
      </c>
      <c r="AI64" s="28">
        <f>IF(COUNTIFS($W$3:$W$25,Presupuesto!$L$7,$Z$3:$Z$25,AD64)&gt;0,1,0)</f>
        <v>0</v>
      </c>
    </row>
    <row r="65" spans="29:35" x14ac:dyDescent="0.25">
      <c r="AC65" s="20" t="s">
        <v>505</v>
      </c>
      <c r="AD65" s="20" t="s">
        <v>373</v>
      </c>
      <c r="AE65" s="20" t="s">
        <v>157</v>
      </c>
      <c r="AF65" s="20" t="s">
        <v>390</v>
      </c>
      <c r="AG65" s="20">
        <v>1500</v>
      </c>
      <c r="AH65" s="20" t="s">
        <v>215</v>
      </c>
      <c r="AI65" s="28">
        <f>IF(COUNTIFS($W$3:$W$25,Presupuesto!$L$7,$Z$3:$Z$25,AD65)&gt;0,1,0)</f>
        <v>0</v>
      </c>
    </row>
    <row r="66" spans="29:35" x14ac:dyDescent="0.25">
      <c r="AC66" s="20" t="s">
        <v>506</v>
      </c>
      <c r="AD66" s="20" t="s">
        <v>373</v>
      </c>
      <c r="AE66" s="20" t="s">
        <v>159</v>
      </c>
      <c r="AF66" s="20" t="s">
        <v>368</v>
      </c>
      <c r="AG66" s="20">
        <v>4000</v>
      </c>
      <c r="AH66" s="20" t="s">
        <v>215</v>
      </c>
      <c r="AI66" s="28">
        <f>IF(COUNTIFS($W$3:$W$25,Presupuesto!$L$7,$Z$3:$Z$25,AD66)&gt;0,1,0)</f>
        <v>0</v>
      </c>
    </row>
    <row r="67" spans="29:35" x14ac:dyDescent="0.25">
      <c r="AC67" s="20" t="s">
        <v>507</v>
      </c>
      <c r="AD67" s="20" t="s">
        <v>373</v>
      </c>
      <c r="AE67" s="20" t="s">
        <v>159</v>
      </c>
      <c r="AF67" s="20" t="s">
        <v>380</v>
      </c>
      <c r="AG67" s="20">
        <v>3500</v>
      </c>
      <c r="AH67" s="20" t="s">
        <v>215</v>
      </c>
      <c r="AI67" s="28">
        <f>IF(COUNTIFS($W$3:$W$25,Presupuesto!$L$7,$Z$3:$Z$25,AD67)&gt;0,1,0)</f>
        <v>0</v>
      </c>
    </row>
    <row r="68" spans="29:35" x14ac:dyDescent="0.25">
      <c r="AC68" s="20" t="s">
        <v>508</v>
      </c>
      <c r="AD68" s="20" t="s">
        <v>373</v>
      </c>
      <c r="AE68" s="20" t="s">
        <v>159</v>
      </c>
      <c r="AF68" s="20" t="s">
        <v>390</v>
      </c>
      <c r="AG68" s="20">
        <v>3000</v>
      </c>
      <c r="AH68" s="20" t="s">
        <v>215</v>
      </c>
      <c r="AI68" s="28">
        <f>IF(COUNTIFS($W$3:$W$25,Presupuesto!$L$7,$Z$3:$Z$25,AD68)&gt;0,1,0)</f>
        <v>0</v>
      </c>
    </row>
    <row r="69" spans="29:35" x14ac:dyDescent="0.25">
      <c r="AC69" s="20" t="s">
        <v>509</v>
      </c>
      <c r="AD69" s="20" t="s">
        <v>373</v>
      </c>
      <c r="AE69" s="20" t="s">
        <v>162</v>
      </c>
      <c r="AF69" s="20" t="s">
        <v>368</v>
      </c>
      <c r="AG69" s="20">
        <v>1500</v>
      </c>
      <c r="AH69" s="20" t="s">
        <v>215</v>
      </c>
      <c r="AI69" s="28">
        <f>IF(COUNTIFS($W$3:$W$25,Presupuesto!$L$7,$Z$3:$Z$25,AD69)&gt;0,1,0)</f>
        <v>0</v>
      </c>
    </row>
    <row r="70" spans="29:35" x14ac:dyDescent="0.25">
      <c r="AC70" s="20" t="s">
        <v>510</v>
      </c>
      <c r="AD70" s="20" t="s">
        <v>373</v>
      </c>
      <c r="AE70" s="20" t="s">
        <v>162</v>
      </c>
      <c r="AF70" s="20" t="s">
        <v>380</v>
      </c>
      <c r="AG70" s="20">
        <v>1200</v>
      </c>
      <c r="AH70" s="20" t="s">
        <v>215</v>
      </c>
      <c r="AI70" s="28">
        <f>IF(COUNTIFS($W$3:$W$25,Presupuesto!$L$7,$Z$3:$Z$25,AD70)&gt;0,1,0)</f>
        <v>0</v>
      </c>
    </row>
    <row r="71" spans="29:35" x14ac:dyDescent="0.25">
      <c r="AC71" s="20" t="s">
        <v>511</v>
      </c>
      <c r="AD71" s="20" t="s">
        <v>373</v>
      </c>
      <c r="AE71" s="20" t="s">
        <v>162</v>
      </c>
      <c r="AF71" s="20" t="s">
        <v>390</v>
      </c>
      <c r="AG71" s="20">
        <v>900</v>
      </c>
      <c r="AH71" s="20" t="s">
        <v>215</v>
      </c>
      <c r="AI71" s="28">
        <f>IF(COUNTIFS($W$3:$W$25,Presupuesto!$L$7,$Z$3:$Z$25,AD71)&gt;0,1,0)</f>
        <v>0</v>
      </c>
    </row>
    <row r="72" spans="29:35" x14ac:dyDescent="0.25">
      <c r="AC72" s="20" t="s">
        <v>512</v>
      </c>
      <c r="AD72" s="20" t="s">
        <v>373</v>
      </c>
      <c r="AE72" s="20" t="s">
        <v>164</v>
      </c>
      <c r="AF72" s="20" t="s">
        <v>368</v>
      </c>
      <c r="AG72" s="20">
        <v>4000</v>
      </c>
      <c r="AH72" s="20" t="s">
        <v>215</v>
      </c>
      <c r="AI72" s="28">
        <f>IF(COUNTIFS($W$3:$W$25,Presupuesto!$L$7,$Z$3:$Z$25,AD72)&gt;0,1,0)</f>
        <v>0</v>
      </c>
    </row>
    <row r="73" spans="29:35" x14ac:dyDescent="0.25">
      <c r="AC73" s="20" t="s">
        <v>513</v>
      </c>
      <c r="AD73" s="20" t="s">
        <v>373</v>
      </c>
      <c r="AE73" s="20" t="s">
        <v>164</v>
      </c>
      <c r="AF73" s="20" t="s">
        <v>380</v>
      </c>
      <c r="AG73" s="20">
        <v>3200</v>
      </c>
      <c r="AH73" s="20" t="s">
        <v>215</v>
      </c>
      <c r="AI73" s="28">
        <f>IF(COUNTIFS($W$3:$W$25,Presupuesto!$L$7,$Z$3:$Z$25,AD73)&gt;0,1,0)</f>
        <v>0</v>
      </c>
    </row>
    <row r="74" spans="29:35" x14ac:dyDescent="0.25">
      <c r="AC74" s="20" t="s">
        <v>514</v>
      </c>
      <c r="AD74" s="20" t="s">
        <v>373</v>
      </c>
      <c r="AE74" s="20" t="s">
        <v>164</v>
      </c>
      <c r="AF74" s="20" t="s">
        <v>390</v>
      </c>
      <c r="AG74" s="20">
        <v>2800</v>
      </c>
      <c r="AH74" s="20" t="s">
        <v>215</v>
      </c>
      <c r="AI74" s="28">
        <f>IF(COUNTIFS($W$3:$W$25,Presupuesto!$L$7,$Z$3:$Z$25,AD74)&gt;0,1,0)</f>
        <v>0</v>
      </c>
    </row>
    <row r="75" spans="29:35" x14ac:dyDescent="0.25">
      <c r="AC75" s="20" t="s">
        <v>515</v>
      </c>
      <c r="AD75" s="20" t="s">
        <v>373</v>
      </c>
      <c r="AE75" s="20" t="s">
        <v>167</v>
      </c>
      <c r="AF75" s="20" t="s">
        <v>368</v>
      </c>
      <c r="AG75" s="20">
        <v>5000</v>
      </c>
      <c r="AH75" s="20" t="s">
        <v>215</v>
      </c>
      <c r="AI75" s="28">
        <f>IF(COUNTIFS($W$3:$W$25,Presupuesto!$L$7,$Z$3:$Z$25,AD75)&gt;0,1,0)</f>
        <v>0</v>
      </c>
    </row>
    <row r="76" spans="29:35" x14ac:dyDescent="0.25">
      <c r="AC76" s="20" t="s">
        <v>516</v>
      </c>
      <c r="AD76" s="20" t="s">
        <v>373</v>
      </c>
      <c r="AE76" s="20" t="s">
        <v>167</v>
      </c>
      <c r="AF76" s="20" t="s">
        <v>380</v>
      </c>
      <c r="AG76" s="20">
        <v>4000</v>
      </c>
      <c r="AH76" s="20" t="s">
        <v>215</v>
      </c>
      <c r="AI76" s="28">
        <f>IF(COUNTIFS($W$3:$W$25,Presupuesto!$L$7,$Z$3:$Z$25,AD76)&gt;0,1,0)</f>
        <v>0</v>
      </c>
    </row>
    <row r="77" spans="29:35" x14ac:dyDescent="0.25">
      <c r="AC77" s="20" t="s">
        <v>517</v>
      </c>
      <c r="AD77" s="20" t="s">
        <v>373</v>
      </c>
      <c r="AE77" s="20" t="s">
        <v>167</v>
      </c>
      <c r="AF77" s="20" t="s">
        <v>390</v>
      </c>
      <c r="AG77" s="20">
        <v>2500</v>
      </c>
      <c r="AH77" s="20" t="s">
        <v>215</v>
      </c>
      <c r="AI77" s="28">
        <f>IF(COUNTIFS($W$3:$W$25,Presupuesto!$L$7,$Z$3:$Z$25,AD77)&gt;0,1,0)</f>
        <v>0</v>
      </c>
    </row>
    <row r="78" spans="29:35" x14ac:dyDescent="0.25">
      <c r="AC78" s="20" t="s">
        <v>518</v>
      </c>
      <c r="AD78" s="20" t="s">
        <v>373</v>
      </c>
      <c r="AE78" s="20" t="s">
        <v>177</v>
      </c>
      <c r="AF78" s="20" t="s">
        <v>368</v>
      </c>
      <c r="AG78" s="20">
        <v>3000</v>
      </c>
      <c r="AH78" s="20" t="s">
        <v>215</v>
      </c>
      <c r="AI78" s="28">
        <f>IF(COUNTIFS($W$3:$W$25,Presupuesto!$L$7,$Z$3:$Z$25,AD78)&gt;0,1,0)</f>
        <v>0</v>
      </c>
    </row>
    <row r="79" spans="29:35" x14ac:dyDescent="0.25">
      <c r="AC79" s="20" t="s">
        <v>519</v>
      </c>
      <c r="AD79" s="20" t="s">
        <v>373</v>
      </c>
      <c r="AE79" s="20" t="s">
        <v>177</v>
      </c>
      <c r="AF79" s="20" t="s">
        <v>380</v>
      </c>
      <c r="AG79" s="20">
        <v>2200</v>
      </c>
      <c r="AH79" s="20" t="s">
        <v>215</v>
      </c>
      <c r="AI79" s="28">
        <f>IF(COUNTIFS($W$3:$W$25,Presupuesto!$L$7,$Z$3:$Z$25,AD79)&gt;0,1,0)</f>
        <v>0</v>
      </c>
    </row>
    <row r="80" spans="29:35" x14ac:dyDescent="0.25">
      <c r="AC80" s="20" t="s">
        <v>520</v>
      </c>
      <c r="AD80" s="20" t="s">
        <v>373</v>
      </c>
      <c r="AE80" s="20" t="s">
        <v>177</v>
      </c>
      <c r="AF80" s="20" t="s">
        <v>390</v>
      </c>
      <c r="AG80" s="20">
        <v>2000</v>
      </c>
      <c r="AH80" s="20" t="s">
        <v>215</v>
      </c>
      <c r="AI80" s="28">
        <f>IF(COUNTIFS($W$3:$W$25,Presupuesto!$L$7,$Z$3:$Z$25,AD80)&gt;0,1,0)</f>
        <v>0</v>
      </c>
    </row>
    <row r="81" spans="29:35" x14ac:dyDescent="0.25">
      <c r="AC81" s="20" t="s">
        <v>521</v>
      </c>
      <c r="AD81" s="20" t="s">
        <v>373</v>
      </c>
      <c r="AE81" s="20" t="s">
        <v>179</v>
      </c>
      <c r="AF81" s="20" t="s">
        <v>368</v>
      </c>
      <c r="AG81" s="20">
        <v>4500</v>
      </c>
      <c r="AH81" s="20" t="s">
        <v>215</v>
      </c>
      <c r="AI81" s="28">
        <f>IF(COUNTIFS($W$3:$W$25,Presupuesto!$L$7,$Z$3:$Z$25,AD81)&gt;0,1,0)</f>
        <v>0</v>
      </c>
    </row>
    <row r="82" spans="29:35" x14ac:dyDescent="0.25">
      <c r="AC82" s="20" t="s">
        <v>522</v>
      </c>
      <c r="AD82" s="20" t="s">
        <v>373</v>
      </c>
      <c r="AE82" s="20" t="s">
        <v>179</v>
      </c>
      <c r="AF82" s="20" t="s">
        <v>380</v>
      </c>
      <c r="AG82" s="20">
        <v>4000</v>
      </c>
      <c r="AH82" s="20" t="s">
        <v>215</v>
      </c>
      <c r="AI82" s="28">
        <f>IF(COUNTIFS($W$3:$W$25,Presupuesto!$L$7,$Z$3:$Z$25,AD82)&gt;0,1,0)</f>
        <v>0</v>
      </c>
    </row>
    <row r="83" spans="29:35" x14ac:dyDescent="0.25">
      <c r="AC83" s="20" t="s">
        <v>523</v>
      </c>
      <c r="AD83" s="20" t="s">
        <v>373</v>
      </c>
      <c r="AE83" s="20" t="s">
        <v>179</v>
      </c>
      <c r="AF83" s="20" t="s">
        <v>390</v>
      </c>
      <c r="AG83" s="20">
        <v>4000</v>
      </c>
      <c r="AH83" s="20" t="s">
        <v>215</v>
      </c>
      <c r="AI83" s="28">
        <f>IF(COUNTIFS($W$3:$W$25,Presupuesto!$L$7,$Z$3:$Z$25,AD83)&gt;0,1,0)</f>
        <v>0</v>
      </c>
    </row>
    <row r="84" spans="29:35" x14ac:dyDescent="0.25">
      <c r="AC84" s="20" t="s">
        <v>524</v>
      </c>
      <c r="AD84" s="20" t="s">
        <v>373</v>
      </c>
      <c r="AE84" s="20" t="s">
        <v>525</v>
      </c>
      <c r="AF84" s="20" t="s">
        <v>368</v>
      </c>
      <c r="AG84" s="20">
        <v>5000</v>
      </c>
      <c r="AH84" s="20" t="s">
        <v>215</v>
      </c>
      <c r="AI84" s="28">
        <f>IF(COUNTIFS($W$3:$W$25,Presupuesto!$L$7,$Z$3:$Z$25,AD84)&gt;0,1,0)</f>
        <v>0</v>
      </c>
    </row>
    <row r="85" spans="29:35" x14ac:dyDescent="0.25">
      <c r="AC85" s="20" t="s">
        <v>526</v>
      </c>
      <c r="AD85" s="20" t="s">
        <v>373</v>
      </c>
      <c r="AE85" s="20" t="s">
        <v>525</v>
      </c>
      <c r="AF85" s="20" t="s">
        <v>380</v>
      </c>
      <c r="AG85" s="20">
        <v>4000</v>
      </c>
      <c r="AH85" s="20" t="s">
        <v>215</v>
      </c>
      <c r="AI85" s="28">
        <f>IF(COUNTIFS($W$3:$W$25,Presupuesto!$L$7,$Z$3:$Z$25,AD85)&gt;0,1,0)</f>
        <v>0</v>
      </c>
    </row>
    <row r="86" spans="29:35" x14ac:dyDescent="0.25">
      <c r="AC86" s="20" t="s">
        <v>527</v>
      </c>
      <c r="AD86" s="20" t="s">
        <v>373</v>
      </c>
      <c r="AE86" s="20" t="s">
        <v>528</v>
      </c>
      <c r="AF86" s="20" t="s">
        <v>368</v>
      </c>
      <c r="AG86" s="20">
        <v>2500</v>
      </c>
      <c r="AH86" s="20" t="s">
        <v>215</v>
      </c>
      <c r="AI86" s="28">
        <f>IF(COUNTIFS($W$3:$W$25,Presupuesto!$L$7,$Z$3:$Z$25,AD86)&gt;0,1,0)</f>
        <v>0</v>
      </c>
    </row>
    <row r="87" spans="29:35" x14ac:dyDescent="0.25">
      <c r="AC87" s="20" t="s">
        <v>529</v>
      </c>
      <c r="AD87" s="20" t="s">
        <v>373</v>
      </c>
      <c r="AE87" s="20" t="s">
        <v>528</v>
      </c>
      <c r="AF87" s="20" t="s">
        <v>380</v>
      </c>
      <c r="AG87" s="20">
        <v>1200</v>
      </c>
      <c r="AH87" s="20" t="s">
        <v>215</v>
      </c>
      <c r="AI87" s="28">
        <f>IF(COUNTIFS($W$3:$W$25,Presupuesto!$L$7,$Z$3:$Z$25,AD87)&gt;0,1,0)</f>
        <v>0</v>
      </c>
    </row>
    <row r="88" spans="29:35" x14ac:dyDescent="0.25">
      <c r="AC88" s="20" t="s">
        <v>530</v>
      </c>
      <c r="AD88" s="20" t="s">
        <v>373</v>
      </c>
      <c r="AE88" s="20" t="s">
        <v>528</v>
      </c>
      <c r="AF88" s="20" t="s">
        <v>390</v>
      </c>
      <c r="AG88" s="20">
        <v>900</v>
      </c>
      <c r="AH88" s="20" t="s">
        <v>215</v>
      </c>
      <c r="AI88" s="28">
        <f>IF(COUNTIFS($W$3:$W$25,Presupuesto!$L$7,$Z$3:$Z$25,AD88)&gt;0,1,0)</f>
        <v>0</v>
      </c>
    </row>
    <row r="89" spans="29:35" x14ac:dyDescent="0.25">
      <c r="AC89" s="20" t="s">
        <v>531</v>
      </c>
      <c r="AD89" s="20" t="s">
        <v>421</v>
      </c>
      <c r="AE89" s="20" t="s">
        <v>120</v>
      </c>
      <c r="AF89" s="20" t="s">
        <v>390</v>
      </c>
      <c r="AG89" s="20">
        <v>0.17</v>
      </c>
      <c r="AH89" s="20" t="s">
        <v>240</v>
      </c>
      <c r="AI89" s="28">
        <f>IF(COUNTIFS($W$3:$W$25,Presupuesto!$L$7,$Z$3:$Z$25,AD89)&gt;0,1,0)</f>
        <v>0</v>
      </c>
    </row>
    <row r="90" spans="29:35" x14ac:dyDescent="0.25">
      <c r="AC90" s="20" t="s">
        <v>532</v>
      </c>
      <c r="AD90" s="20" t="s">
        <v>436</v>
      </c>
      <c r="AE90" s="20" t="s">
        <v>120</v>
      </c>
      <c r="AF90" s="20" t="s">
        <v>390</v>
      </c>
      <c r="AG90" s="20">
        <v>0.75</v>
      </c>
      <c r="AH90" s="20" t="s">
        <v>240</v>
      </c>
      <c r="AI90" s="28">
        <f>IF(COUNTIFS($W$3:$W$25,Presupuesto!$L$7,$Z$3:$Z$25,AD90)&gt;0,1,0)</f>
        <v>0</v>
      </c>
    </row>
    <row r="91" spans="29:35" x14ac:dyDescent="0.25">
      <c r="AC91" s="20" t="s">
        <v>533</v>
      </c>
      <c r="AD91" s="20" t="s">
        <v>421</v>
      </c>
      <c r="AE91" s="20" t="s">
        <v>120</v>
      </c>
      <c r="AF91" s="20" t="s">
        <v>380</v>
      </c>
      <c r="AG91" s="20">
        <v>0.17</v>
      </c>
      <c r="AH91" s="20" t="s">
        <v>240</v>
      </c>
      <c r="AI91" s="28">
        <f>IF(COUNTIFS($W$3:$W$25,Presupuesto!$L$7,$Z$3:$Z$25,AD91)&gt;0,1,0)</f>
        <v>0</v>
      </c>
    </row>
    <row r="92" spans="29:35" x14ac:dyDescent="0.25">
      <c r="AC92" s="20" t="s">
        <v>534</v>
      </c>
      <c r="AD92" s="20" t="s">
        <v>436</v>
      </c>
      <c r="AE92" s="20" t="s">
        <v>120</v>
      </c>
      <c r="AF92" s="20" t="s">
        <v>380</v>
      </c>
      <c r="AG92" s="20">
        <v>0.75</v>
      </c>
      <c r="AH92" s="20" t="s">
        <v>240</v>
      </c>
      <c r="AI92" s="28">
        <f>IF(COUNTIFS($W$3:$W$25,Presupuesto!$L$7,$Z$3:$Z$25,AD92)&gt;0,1,0)</f>
        <v>0</v>
      </c>
    </row>
    <row r="93" spans="29:35" x14ac:dyDescent="0.25">
      <c r="AC93" s="20" t="s">
        <v>535</v>
      </c>
      <c r="AD93" s="20" t="s">
        <v>421</v>
      </c>
      <c r="AE93" s="20" t="s">
        <v>120</v>
      </c>
      <c r="AF93" s="20" t="s">
        <v>368</v>
      </c>
      <c r="AG93" s="20">
        <v>0.17</v>
      </c>
      <c r="AH93" s="20" t="s">
        <v>240</v>
      </c>
      <c r="AI93" s="28">
        <f>IF(COUNTIFS($W$3:$W$25,Presupuesto!$L$7,$Z$3:$Z$25,AD93)&gt;0,1,0)</f>
        <v>0</v>
      </c>
    </row>
    <row r="94" spans="29:35" x14ac:dyDescent="0.25">
      <c r="AC94" s="20" t="s">
        <v>536</v>
      </c>
      <c r="AD94" s="20" t="s">
        <v>436</v>
      </c>
      <c r="AE94" s="20" t="s">
        <v>120</v>
      </c>
      <c r="AF94" s="20" t="s">
        <v>368</v>
      </c>
      <c r="AG94" s="20">
        <v>0.75</v>
      </c>
      <c r="AH94" s="20" t="s">
        <v>240</v>
      </c>
      <c r="AI94" s="28">
        <f>IF(COUNTIFS($W$3:$W$25,Presupuesto!$L$7,$Z$3:$Z$25,AD94)&gt;0,1,0)</f>
        <v>0</v>
      </c>
    </row>
    <row r="95" spans="29:35" x14ac:dyDescent="0.25">
      <c r="AC95" s="20" t="s">
        <v>537</v>
      </c>
      <c r="AD95" s="20" t="s">
        <v>371</v>
      </c>
      <c r="AE95" s="20" t="s">
        <v>120</v>
      </c>
      <c r="AF95" s="20" t="s">
        <v>390</v>
      </c>
      <c r="AG95" s="20">
        <v>0.62</v>
      </c>
      <c r="AH95" s="20" t="s">
        <v>240</v>
      </c>
      <c r="AI95" s="28">
        <f>IF(COUNTIFS($W$3:$W$25,Presupuesto!$L$7,$Z$3:$Z$25,AD95)&gt;0,1,0)</f>
        <v>0</v>
      </c>
    </row>
    <row r="96" spans="29:35" x14ac:dyDescent="0.25">
      <c r="AC96" s="20" t="s">
        <v>538</v>
      </c>
      <c r="AD96" s="20" t="s">
        <v>371</v>
      </c>
      <c r="AE96" s="20" t="s">
        <v>120</v>
      </c>
      <c r="AF96" s="20" t="s">
        <v>380</v>
      </c>
      <c r="AG96" s="20">
        <v>0.62</v>
      </c>
      <c r="AH96" s="20" t="s">
        <v>240</v>
      </c>
      <c r="AI96" s="28">
        <f>IF(COUNTIFS($W$3:$W$25,Presupuesto!$L$7,$Z$3:$Z$25,AD96)&gt;0,1,0)</f>
        <v>0</v>
      </c>
    </row>
    <row r="97" spans="29:35" x14ac:dyDescent="0.25">
      <c r="AC97" s="20" t="s">
        <v>539</v>
      </c>
      <c r="AD97" s="20" t="s">
        <v>371</v>
      </c>
      <c r="AE97" s="20" t="s">
        <v>120</v>
      </c>
      <c r="AF97" s="20" t="s">
        <v>368</v>
      </c>
      <c r="AG97" s="20">
        <v>0.62</v>
      </c>
      <c r="AH97" s="20" t="s">
        <v>240</v>
      </c>
      <c r="AI97" s="28">
        <f>IF(COUNTIFS($W$3:$W$25,Presupuesto!$L$7,$Z$3:$Z$25,AD97)&gt;0,1,0)</f>
        <v>0</v>
      </c>
    </row>
    <row r="98" spans="29:35" x14ac:dyDescent="0.25">
      <c r="AC98" s="20" t="s">
        <v>540</v>
      </c>
      <c r="AD98" s="20" t="s">
        <v>408</v>
      </c>
      <c r="AE98" s="20" t="s">
        <v>120</v>
      </c>
      <c r="AF98" s="20" t="s">
        <v>390</v>
      </c>
      <c r="AG98" s="20">
        <v>0.25</v>
      </c>
      <c r="AH98" s="20" t="s">
        <v>240</v>
      </c>
      <c r="AI98" s="28">
        <f>IF(COUNTIFS($W$3:$W$25,Presupuesto!$L$7,$Z$3:$Z$25,AD98)&gt;0,1,0)</f>
        <v>0</v>
      </c>
    </row>
    <row r="99" spans="29:35" x14ac:dyDescent="0.25">
      <c r="AC99" s="20" t="s">
        <v>541</v>
      </c>
      <c r="AD99" s="20" t="s">
        <v>362</v>
      </c>
      <c r="AE99" s="20" t="s">
        <v>120</v>
      </c>
      <c r="AF99" s="20" t="s">
        <v>390</v>
      </c>
      <c r="AG99" s="20">
        <v>0.05</v>
      </c>
      <c r="AH99" s="20" t="s">
        <v>240</v>
      </c>
      <c r="AI99" s="28">
        <f>IF(COUNTIFS($W$3:$W$25,Presupuesto!$L$7,$Z$3:$Z$25,AD99)&gt;0,1,0)</f>
        <v>0</v>
      </c>
    </row>
    <row r="100" spans="29:35" x14ac:dyDescent="0.25">
      <c r="AC100" s="20" t="s">
        <v>542</v>
      </c>
      <c r="AD100" s="20" t="s">
        <v>384</v>
      </c>
      <c r="AE100" s="20" t="s">
        <v>120</v>
      </c>
      <c r="AF100" s="20" t="s">
        <v>390</v>
      </c>
      <c r="AG100" s="20">
        <v>0.12</v>
      </c>
      <c r="AH100" s="20" t="s">
        <v>240</v>
      </c>
      <c r="AI100" s="28">
        <f>IF(COUNTIFS($W$3:$W$25,Presupuesto!$L$7,$Z$3:$Z$25,AD100)&gt;0,1,0)</f>
        <v>0</v>
      </c>
    </row>
    <row r="101" spans="29:35" x14ac:dyDescent="0.25">
      <c r="AC101" s="20" t="s">
        <v>543</v>
      </c>
      <c r="AD101" s="20" t="s">
        <v>408</v>
      </c>
      <c r="AE101" s="20" t="s">
        <v>120</v>
      </c>
      <c r="AF101" s="20" t="s">
        <v>380</v>
      </c>
      <c r="AG101" s="20">
        <v>0.25</v>
      </c>
      <c r="AH101" s="20" t="s">
        <v>240</v>
      </c>
      <c r="AI101" s="28">
        <f>IF(COUNTIFS($W$3:$W$25,Presupuesto!$L$7,$Z$3:$Z$25,AD101)&gt;0,1,0)</f>
        <v>0</v>
      </c>
    </row>
    <row r="102" spans="29:35" x14ac:dyDescent="0.25">
      <c r="AC102" s="20" t="s">
        <v>544</v>
      </c>
      <c r="AD102" s="20" t="s">
        <v>362</v>
      </c>
      <c r="AE102" s="20" t="s">
        <v>120</v>
      </c>
      <c r="AF102" s="20" t="s">
        <v>380</v>
      </c>
      <c r="AG102" s="20">
        <v>0.05</v>
      </c>
      <c r="AH102" s="20" t="s">
        <v>240</v>
      </c>
      <c r="AI102" s="28">
        <f>IF(COUNTIFS($W$3:$W$25,Presupuesto!$L$7,$Z$3:$Z$25,AD102)&gt;0,1,0)</f>
        <v>0</v>
      </c>
    </row>
    <row r="103" spans="29:35" x14ac:dyDescent="0.25">
      <c r="AC103" s="20" t="s">
        <v>545</v>
      </c>
      <c r="AD103" s="20" t="s">
        <v>384</v>
      </c>
      <c r="AE103" s="20" t="s">
        <v>120</v>
      </c>
      <c r="AF103" s="20" t="s">
        <v>380</v>
      </c>
      <c r="AG103" s="20">
        <v>0.12</v>
      </c>
      <c r="AH103" s="20" t="s">
        <v>240</v>
      </c>
      <c r="AI103" s="28">
        <f>IF(COUNTIFS($W$3:$W$25,Presupuesto!$L$7,$Z$3:$Z$25,AD103)&gt;0,1,0)</f>
        <v>0</v>
      </c>
    </row>
    <row r="104" spans="29:35" x14ac:dyDescent="0.25">
      <c r="AC104" s="20" t="s">
        <v>546</v>
      </c>
      <c r="AD104" s="20" t="s">
        <v>408</v>
      </c>
      <c r="AE104" s="20" t="s">
        <v>120</v>
      </c>
      <c r="AF104" s="20" t="s">
        <v>368</v>
      </c>
      <c r="AG104" s="20">
        <v>0.25</v>
      </c>
      <c r="AH104" s="20" t="s">
        <v>240</v>
      </c>
      <c r="AI104" s="28">
        <f>IF(COUNTIFS($W$3:$W$25,Presupuesto!$L$7,$Z$3:$Z$25,AD104)&gt;0,1,0)</f>
        <v>0</v>
      </c>
    </row>
    <row r="105" spans="29:35" x14ac:dyDescent="0.25">
      <c r="AC105" s="20" t="s">
        <v>547</v>
      </c>
      <c r="AD105" s="20" t="s">
        <v>362</v>
      </c>
      <c r="AE105" s="20" t="s">
        <v>120</v>
      </c>
      <c r="AF105" s="20" t="s">
        <v>368</v>
      </c>
      <c r="AG105" s="20">
        <v>0.05</v>
      </c>
      <c r="AH105" s="20" t="s">
        <v>240</v>
      </c>
      <c r="AI105" s="28">
        <f>IF(COUNTIFS($W$3:$W$25,Presupuesto!$L$7,$Z$3:$Z$25,AD105)&gt;0,1,0)</f>
        <v>0</v>
      </c>
    </row>
    <row r="106" spans="29:35" x14ac:dyDescent="0.25">
      <c r="AC106" s="20" t="s">
        <v>548</v>
      </c>
      <c r="AD106" s="20" t="s">
        <v>384</v>
      </c>
      <c r="AE106" s="20" t="s">
        <v>120</v>
      </c>
      <c r="AF106" s="20" t="s">
        <v>368</v>
      </c>
      <c r="AG106" s="20">
        <v>0.12</v>
      </c>
      <c r="AH106" s="20" t="s">
        <v>240</v>
      </c>
      <c r="AI106" s="28">
        <f>IF(COUNTIFS($W$3:$W$25,Presupuesto!$L$7,$Z$3:$Z$25,AD106)&gt;0,1,0)</f>
        <v>0</v>
      </c>
    </row>
    <row r="107" spans="29:35" x14ac:dyDescent="0.25">
      <c r="AC107" s="20" t="s">
        <v>549</v>
      </c>
      <c r="AD107" s="20" t="s">
        <v>394</v>
      </c>
      <c r="AE107" s="20" t="s">
        <v>120</v>
      </c>
      <c r="AF107" s="20" t="s">
        <v>390</v>
      </c>
      <c r="AG107" s="20">
        <v>0.25</v>
      </c>
      <c r="AH107" s="20" t="s">
        <v>240</v>
      </c>
      <c r="AI107" s="28">
        <f>IF(COUNTIFS($W$3:$W$25,Presupuesto!$L$7,$Z$3:$Z$25,AD107)&gt;0,1,0)</f>
        <v>0</v>
      </c>
    </row>
    <row r="108" spans="29:35" x14ac:dyDescent="0.25">
      <c r="AC108" s="20" t="s">
        <v>550</v>
      </c>
      <c r="AD108" s="20" t="s">
        <v>394</v>
      </c>
      <c r="AE108" s="20" t="s">
        <v>120</v>
      </c>
      <c r="AF108" s="20" t="s">
        <v>380</v>
      </c>
      <c r="AG108" s="20">
        <v>0.25</v>
      </c>
      <c r="AH108" s="20" t="s">
        <v>240</v>
      </c>
      <c r="AI108" s="28">
        <f>IF(COUNTIFS($W$3:$W$25,Presupuesto!$L$7,$Z$3:$Z$25,AD108)&gt;0,1,0)</f>
        <v>0</v>
      </c>
    </row>
    <row r="109" spans="29:35" x14ac:dyDescent="0.25">
      <c r="AC109" s="20" t="s">
        <v>551</v>
      </c>
      <c r="AD109" s="20" t="s">
        <v>394</v>
      </c>
      <c r="AE109" s="20" t="s">
        <v>120</v>
      </c>
      <c r="AF109" s="20" t="s">
        <v>368</v>
      </c>
      <c r="AG109" s="20">
        <v>0.25</v>
      </c>
      <c r="AH109" s="20" t="s">
        <v>240</v>
      </c>
      <c r="AI109" s="28">
        <f>IF(COUNTIFS($W$3:$W$25,Presupuesto!$L$7,$Z$3:$Z$25,AD109)&gt;0,1,0)</f>
        <v>0</v>
      </c>
    </row>
    <row r="110" spans="29:35" x14ac:dyDescent="0.25">
      <c r="AC110" s="20" t="s">
        <v>552</v>
      </c>
      <c r="AD110" s="20" t="s">
        <v>433</v>
      </c>
      <c r="AE110" s="20" t="s">
        <v>120</v>
      </c>
      <c r="AF110" s="20" t="s">
        <v>390</v>
      </c>
      <c r="AG110" s="20">
        <v>2.5</v>
      </c>
      <c r="AH110" s="20" t="s">
        <v>240</v>
      </c>
      <c r="AI110" s="28">
        <f>IF(COUNTIFS($W$3:$W$25,Presupuesto!$L$7,$Z$3:$Z$25,AD110)&gt;0,1,0)</f>
        <v>0</v>
      </c>
    </row>
    <row r="111" spans="29:35" x14ac:dyDescent="0.25">
      <c r="AC111" s="20" t="s">
        <v>553</v>
      </c>
      <c r="AD111" s="20" t="s">
        <v>433</v>
      </c>
      <c r="AE111" s="20" t="s">
        <v>120</v>
      </c>
      <c r="AF111" s="20" t="s">
        <v>380</v>
      </c>
      <c r="AG111" s="20">
        <v>2.5</v>
      </c>
      <c r="AH111" s="20" t="s">
        <v>240</v>
      </c>
      <c r="AI111" s="28">
        <f>IF(COUNTIFS($W$3:$W$25,Presupuesto!$L$7,$Z$3:$Z$25,AD111)&gt;0,1,0)</f>
        <v>0</v>
      </c>
    </row>
    <row r="112" spans="29:35" x14ac:dyDescent="0.25">
      <c r="AC112" s="20" t="s">
        <v>554</v>
      </c>
      <c r="AD112" s="20" t="s">
        <v>433</v>
      </c>
      <c r="AE112" s="20" t="s">
        <v>120</v>
      </c>
      <c r="AF112" s="20" t="s">
        <v>368</v>
      </c>
      <c r="AG112" s="20">
        <v>2.5</v>
      </c>
      <c r="AH112" s="20" t="s">
        <v>240</v>
      </c>
      <c r="AI112" s="28">
        <f>IF(COUNTIFS($W$3:$W$25,Presupuesto!$L$7,$Z$3:$Z$25,AD112)&gt;0,1,0)</f>
        <v>0</v>
      </c>
    </row>
    <row r="113" spans="29:35" x14ac:dyDescent="0.25">
      <c r="AC113" s="20" t="s">
        <v>555</v>
      </c>
      <c r="AD113" s="20" t="s">
        <v>415</v>
      </c>
      <c r="AE113" s="20" t="s">
        <v>120</v>
      </c>
      <c r="AF113" s="20" t="s">
        <v>390</v>
      </c>
      <c r="AG113" s="20">
        <v>0.62</v>
      </c>
      <c r="AH113" s="20" t="s">
        <v>240</v>
      </c>
      <c r="AI113" s="28">
        <f>IF(COUNTIFS($W$3:$W$25,Presupuesto!$L$7,$Z$3:$Z$25,AD113)&gt;0,1,0)</f>
        <v>0</v>
      </c>
    </row>
    <row r="114" spans="29:35" x14ac:dyDescent="0.25">
      <c r="AC114" s="20" t="s">
        <v>556</v>
      </c>
      <c r="AD114" s="20" t="s">
        <v>415</v>
      </c>
      <c r="AE114" s="20" t="s">
        <v>120</v>
      </c>
      <c r="AF114" s="20" t="s">
        <v>380</v>
      </c>
      <c r="AG114" s="20">
        <v>0.62</v>
      </c>
      <c r="AH114" s="20" t="s">
        <v>240</v>
      </c>
      <c r="AI114" s="28">
        <f>IF(COUNTIFS($W$3:$W$25,Presupuesto!$L$7,$Z$3:$Z$25,AD114)&gt;0,1,0)</f>
        <v>0</v>
      </c>
    </row>
    <row r="115" spans="29:35" x14ac:dyDescent="0.25">
      <c r="AC115" s="20" t="s">
        <v>557</v>
      </c>
      <c r="AD115" s="20" t="s">
        <v>415</v>
      </c>
      <c r="AE115" s="20" t="s">
        <v>120</v>
      </c>
      <c r="AF115" s="20" t="s">
        <v>368</v>
      </c>
      <c r="AG115" s="20">
        <v>0.62</v>
      </c>
      <c r="AH115" s="20" t="s">
        <v>240</v>
      </c>
      <c r="AI115" s="28">
        <f>IF(COUNTIFS($W$3:$W$25,Presupuesto!$L$7,$Z$3:$Z$25,AD115)&gt;0,1,0)</f>
        <v>0</v>
      </c>
    </row>
    <row r="116" spans="29:35" x14ac:dyDescent="0.25">
      <c r="AC116" s="20" t="s">
        <v>558</v>
      </c>
      <c r="AD116" s="20" t="s">
        <v>421</v>
      </c>
      <c r="AE116" s="20" t="s">
        <v>91</v>
      </c>
      <c r="AF116" s="20" t="s">
        <v>390</v>
      </c>
      <c r="AG116" s="20">
        <v>0.13</v>
      </c>
      <c r="AH116" s="20" t="s">
        <v>240</v>
      </c>
      <c r="AI116" s="28">
        <f>IF(COUNTIFS($W$3:$W$25,Presupuesto!$L$7,$Z$3:$Z$25,AD116)&gt;0,1,0)</f>
        <v>0</v>
      </c>
    </row>
    <row r="117" spans="29:35" x14ac:dyDescent="0.25">
      <c r="AC117" s="20" t="s">
        <v>559</v>
      </c>
      <c r="AD117" s="20" t="s">
        <v>408</v>
      </c>
      <c r="AE117" s="20" t="s">
        <v>91</v>
      </c>
      <c r="AF117" s="20" t="s">
        <v>390</v>
      </c>
      <c r="AG117" s="20">
        <v>0</v>
      </c>
      <c r="AH117" s="20" t="s">
        <v>240</v>
      </c>
      <c r="AI117" s="28">
        <f>IF(COUNTIFS($W$3:$W$25,Presupuesto!$L$7,$Z$3:$Z$25,AD117)&gt;0,1,0)</f>
        <v>0</v>
      </c>
    </row>
    <row r="118" spans="29:35" x14ac:dyDescent="0.25">
      <c r="AC118" s="20" t="s">
        <v>560</v>
      </c>
      <c r="AD118" s="20" t="s">
        <v>394</v>
      </c>
      <c r="AE118" s="20" t="s">
        <v>91</v>
      </c>
      <c r="AF118" s="20" t="s">
        <v>390</v>
      </c>
      <c r="AG118" s="20">
        <v>0.53</v>
      </c>
      <c r="AH118" s="20" t="s">
        <v>240</v>
      </c>
      <c r="AI118" s="28">
        <f>IF(COUNTIFS($W$3:$W$25,Presupuesto!$L$7,$Z$3:$Z$25,AD118)&gt;0,1,0)</f>
        <v>0</v>
      </c>
    </row>
    <row r="119" spans="29:35" x14ac:dyDescent="0.25">
      <c r="AC119" s="20" t="s">
        <v>561</v>
      </c>
      <c r="AD119" s="20" t="s">
        <v>362</v>
      </c>
      <c r="AE119" s="20" t="s">
        <v>91</v>
      </c>
      <c r="AF119" s="20" t="s">
        <v>390</v>
      </c>
      <c r="AG119" s="20">
        <v>0</v>
      </c>
      <c r="AH119" s="20" t="s">
        <v>240</v>
      </c>
      <c r="AI119" s="28">
        <f>IF(COUNTIFS($W$3:$W$25,Presupuesto!$L$7,$Z$3:$Z$25,AD119)&gt;0,1,0)</f>
        <v>0</v>
      </c>
    </row>
    <row r="120" spans="29:35" x14ac:dyDescent="0.25">
      <c r="AC120" s="20" t="s">
        <v>562</v>
      </c>
      <c r="AD120" s="20" t="s">
        <v>384</v>
      </c>
      <c r="AE120" s="20" t="s">
        <v>91</v>
      </c>
      <c r="AF120" s="20" t="s">
        <v>390</v>
      </c>
      <c r="AG120" s="20">
        <v>0</v>
      </c>
      <c r="AH120" s="20" t="s">
        <v>240</v>
      </c>
      <c r="AI120" s="28">
        <f>IF(COUNTIFS($W$3:$W$25,Presupuesto!$L$7,$Z$3:$Z$25,AD120)&gt;0,1,0)</f>
        <v>0</v>
      </c>
    </row>
    <row r="121" spans="29:35" x14ac:dyDescent="0.25">
      <c r="AC121" s="20" t="s">
        <v>563</v>
      </c>
      <c r="AD121" s="20" t="s">
        <v>436</v>
      </c>
      <c r="AE121" s="20" t="s">
        <v>91</v>
      </c>
      <c r="AF121" s="20" t="s">
        <v>390</v>
      </c>
      <c r="AG121" s="20">
        <v>1.05</v>
      </c>
      <c r="AH121" s="20" t="s">
        <v>240</v>
      </c>
      <c r="AI121" s="28">
        <f>IF(COUNTIFS($W$3:$W$25,Presupuesto!$L$7,$Z$3:$Z$25,AD121)&gt;0,1,0)</f>
        <v>0</v>
      </c>
    </row>
    <row r="122" spans="29:35" x14ac:dyDescent="0.25">
      <c r="AC122" s="20" t="s">
        <v>564</v>
      </c>
      <c r="AD122" s="20" t="s">
        <v>421</v>
      </c>
      <c r="AE122" s="20" t="s">
        <v>91</v>
      </c>
      <c r="AF122" s="20" t="s">
        <v>380</v>
      </c>
      <c r="AG122" s="20">
        <v>0.13</v>
      </c>
      <c r="AH122" s="20" t="s">
        <v>240</v>
      </c>
      <c r="AI122" s="28">
        <f>IF(COUNTIFS($W$3:$W$25,Presupuesto!$L$7,$Z$3:$Z$25,AD122)&gt;0,1,0)</f>
        <v>0</v>
      </c>
    </row>
    <row r="123" spans="29:35" x14ac:dyDescent="0.25">
      <c r="AC123" s="20" t="s">
        <v>565</v>
      </c>
      <c r="AD123" s="20" t="s">
        <v>408</v>
      </c>
      <c r="AE123" s="20" t="s">
        <v>91</v>
      </c>
      <c r="AF123" s="20" t="s">
        <v>380</v>
      </c>
      <c r="AG123" s="20">
        <v>0</v>
      </c>
      <c r="AH123" s="20" t="s">
        <v>240</v>
      </c>
      <c r="AI123" s="28">
        <f>IF(COUNTIFS($W$3:$W$25,Presupuesto!$L$7,$Z$3:$Z$25,AD123)&gt;0,1,0)</f>
        <v>0</v>
      </c>
    </row>
    <row r="124" spans="29:35" x14ac:dyDescent="0.25">
      <c r="AC124" s="20" t="s">
        <v>566</v>
      </c>
      <c r="AD124" s="20" t="s">
        <v>394</v>
      </c>
      <c r="AE124" s="20" t="s">
        <v>91</v>
      </c>
      <c r="AF124" s="20" t="s">
        <v>380</v>
      </c>
      <c r="AG124" s="20">
        <v>0.53</v>
      </c>
      <c r="AH124" s="20" t="s">
        <v>240</v>
      </c>
      <c r="AI124" s="28">
        <f>IF(COUNTIFS($W$3:$W$25,Presupuesto!$L$7,$Z$3:$Z$25,AD124)&gt;0,1,0)</f>
        <v>0</v>
      </c>
    </row>
    <row r="125" spans="29:35" x14ac:dyDescent="0.25">
      <c r="AC125" s="20" t="s">
        <v>567</v>
      </c>
      <c r="AD125" s="20" t="s">
        <v>362</v>
      </c>
      <c r="AE125" s="20" t="s">
        <v>91</v>
      </c>
      <c r="AF125" s="20" t="s">
        <v>380</v>
      </c>
      <c r="AG125" s="20">
        <v>0</v>
      </c>
      <c r="AH125" s="20" t="s">
        <v>240</v>
      </c>
      <c r="AI125" s="28">
        <f>IF(COUNTIFS($W$3:$W$25,Presupuesto!$L$7,$Z$3:$Z$25,AD125)&gt;0,1,0)</f>
        <v>0</v>
      </c>
    </row>
    <row r="126" spans="29:35" x14ac:dyDescent="0.25">
      <c r="AC126" s="20" t="s">
        <v>568</v>
      </c>
      <c r="AD126" s="20" t="s">
        <v>384</v>
      </c>
      <c r="AE126" s="20" t="s">
        <v>91</v>
      </c>
      <c r="AF126" s="20" t="s">
        <v>380</v>
      </c>
      <c r="AG126" s="20">
        <v>0</v>
      </c>
      <c r="AH126" s="20" t="s">
        <v>240</v>
      </c>
      <c r="AI126" s="28">
        <f>IF(COUNTIFS($W$3:$W$25,Presupuesto!$L$7,$Z$3:$Z$25,AD126)&gt;0,1,0)</f>
        <v>0</v>
      </c>
    </row>
    <row r="127" spans="29:35" x14ac:dyDescent="0.25">
      <c r="AC127" s="20" t="s">
        <v>569</v>
      </c>
      <c r="AD127" s="20" t="s">
        <v>436</v>
      </c>
      <c r="AE127" s="20" t="s">
        <v>91</v>
      </c>
      <c r="AF127" s="20" t="s">
        <v>380</v>
      </c>
      <c r="AG127" s="20">
        <v>1.05</v>
      </c>
      <c r="AH127" s="20" t="s">
        <v>240</v>
      </c>
      <c r="AI127" s="28">
        <f>IF(COUNTIFS($W$3:$W$25,Presupuesto!$L$7,$Z$3:$Z$25,AD127)&gt;0,1,0)</f>
        <v>0</v>
      </c>
    </row>
    <row r="128" spans="29:35" x14ac:dyDescent="0.25">
      <c r="AC128" s="20" t="s">
        <v>570</v>
      </c>
      <c r="AD128" s="20" t="s">
        <v>421</v>
      </c>
      <c r="AE128" s="20" t="s">
        <v>91</v>
      </c>
      <c r="AF128" s="20" t="s">
        <v>368</v>
      </c>
      <c r="AG128" s="20">
        <v>0.13</v>
      </c>
      <c r="AH128" s="20" t="s">
        <v>240</v>
      </c>
      <c r="AI128" s="28">
        <f>IF(COUNTIFS($W$3:$W$25,Presupuesto!$L$7,$Z$3:$Z$25,AD128)&gt;0,1,0)</f>
        <v>0</v>
      </c>
    </row>
    <row r="129" spans="29:35" x14ac:dyDescent="0.25">
      <c r="AC129" s="20" t="s">
        <v>571</v>
      </c>
      <c r="AD129" s="20" t="s">
        <v>408</v>
      </c>
      <c r="AE129" s="20" t="s">
        <v>91</v>
      </c>
      <c r="AF129" s="20" t="s">
        <v>368</v>
      </c>
      <c r="AG129" s="20">
        <v>0</v>
      </c>
      <c r="AH129" s="20" t="s">
        <v>240</v>
      </c>
      <c r="AI129" s="28">
        <f>IF(COUNTIFS($W$3:$W$25,Presupuesto!$L$7,$Z$3:$Z$25,AD129)&gt;0,1,0)</f>
        <v>0</v>
      </c>
    </row>
    <row r="130" spans="29:35" x14ac:dyDescent="0.25">
      <c r="AC130" s="20" t="s">
        <v>572</v>
      </c>
      <c r="AD130" s="20" t="s">
        <v>394</v>
      </c>
      <c r="AE130" s="20" t="s">
        <v>91</v>
      </c>
      <c r="AF130" s="20" t="s">
        <v>368</v>
      </c>
      <c r="AG130" s="20">
        <v>0.53</v>
      </c>
      <c r="AH130" s="20" t="s">
        <v>240</v>
      </c>
      <c r="AI130" s="28">
        <f>IF(COUNTIFS($W$3:$W$25,Presupuesto!$L$7,$Z$3:$Z$25,AD130)&gt;0,1,0)</f>
        <v>0</v>
      </c>
    </row>
    <row r="131" spans="29:35" x14ac:dyDescent="0.25">
      <c r="AC131" s="20" t="s">
        <v>573</v>
      </c>
      <c r="AD131" s="20" t="s">
        <v>362</v>
      </c>
      <c r="AE131" s="20" t="s">
        <v>91</v>
      </c>
      <c r="AF131" s="20" t="s">
        <v>368</v>
      </c>
      <c r="AG131" s="20">
        <v>0</v>
      </c>
      <c r="AH131" s="20" t="s">
        <v>240</v>
      </c>
      <c r="AI131" s="28">
        <f>IF(COUNTIFS($W$3:$W$25,Presupuesto!$L$7,$Z$3:$Z$25,AD131)&gt;0,1,0)</f>
        <v>0</v>
      </c>
    </row>
    <row r="132" spans="29:35" x14ac:dyDescent="0.25">
      <c r="AC132" s="20" t="s">
        <v>574</v>
      </c>
      <c r="AD132" s="20" t="s">
        <v>384</v>
      </c>
      <c r="AE132" s="20" t="s">
        <v>91</v>
      </c>
      <c r="AF132" s="20" t="s">
        <v>368</v>
      </c>
      <c r="AG132" s="20">
        <v>0</v>
      </c>
      <c r="AH132" s="20" t="s">
        <v>240</v>
      </c>
      <c r="AI132" s="28">
        <f>IF(COUNTIFS($W$3:$W$25,Presupuesto!$L$7,$Z$3:$Z$25,AD132)&gt;0,1,0)</f>
        <v>0</v>
      </c>
    </row>
    <row r="133" spans="29:35" x14ac:dyDescent="0.25">
      <c r="AC133" s="20" t="s">
        <v>575</v>
      </c>
      <c r="AD133" s="20" t="s">
        <v>436</v>
      </c>
      <c r="AE133" s="20" t="s">
        <v>91</v>
      </c>
      <c r="AF133" s="20" t="s">
        <v>368</v>
      </c>
      <c r="AG133" s="20">
        <v>1.05</v>
      </c>
      <c r="AH133" s="20" t="s">
        <v>240</v>
      </c>
      <c r="AI133" s="28">
        <f>IF(COUNTIFS($W$3:$W$25,Presupuesto!$L$7,$Z$3:$Z$25,AD133)&gt;0,1,0)</f>
        <v>0</v>
      </c>
    </row>
    <row r="134" spans="29:35" x14ac:dyDescent="0.25">
      <c r="AC134" s="20" t="s">
        <v>576</v>
      </c>
      <c r="AD134" s="20" t="s">
        <v>421</v>
      </c>
      <c r="AE134" s="20" t="s">
        <v>137</v>
      </c>
      <c r="AF134" s="20" t="s">
        <v>390</v>
      </c>
      <c r="AG134" s="20">
        <v>0.26</v>
      </c>
      <c r="AH134" s="20" t="s">
        <v>240</v>
      </c>
      <c r="AI134" s="28">
        <f>IF(COUNTIFS($W$3:$W$25,Presupuesto!$L$7,$Z$3:$Z$25,AD134)&gt;0,1,0)</f>
        <v>0</v>
      </c>
    </row>
    <row r="135" spans="29:35" x14ac:dyDescent="0.25">
      <c r="AC135" s="20" t="s">
        <v>577</v>
      </c>
      <c r="AD135" s="20" t="s">
        <v>408</v>
      </c>
      <c r="AE135" s="20" t="s">
        <v>137</v>
      </c>
      <c r="AF135" s="20" t="s">
        <v>390</v>
      </c>
      <c r="AG135" s="20">
        <v>0</v>
      </c>
      <c r="AH135" s="20" t="s">
        <v>240</v>
      </c>
      <c r="AI135" s="28">
        <f>IF(COUNTIFS($W$3:$W$25,Presupuesto!$L$7,$Z$3:$Z$25,AD135)&gt;0,1,0)</f>
        <v>0</v>
      </c>
    </row>
    <row r="136" spans="29:35" x14ac:dyDescent="0.25">
      <c r="AC136" s="20" t="s">
        <v>578</v>
      </c>
      <c r="AD136" s="20" t="s">
        <v>394</v>
      </c>
      <c r="AE136" s="20" t="s">
        <v>137</v>
      </c>
      <c r="AF136" s="20" t="s">
        <v>390</v>
      </c>
      <c r="AG136" s="20">
        <v>0</v>
      </c>
      <c r="AH136" s="20" t="s">
        <v>240</v>
      </c>
      <c r="AI136" s="28">
        <f>IF(COUNTIFS($W$3:$W$25,Presupuesto!$L$7,$Z$3:$Z$25,AD136)&gt;0,1,0)</f>
        <v>0</v>
      </c>
    </row>
    <row r="137" spans="29:35" x14ac:dyDescent="0.25">
      <c r="AC137" s="20" t="s">
        <v>579</v>
      </c>
      <c r="AD137" s="20" t="s">
        <v>362</v>
      </c>
      <c r="AE137" s="20" t="s">
        <v>137</v>
      </c>
      <c r="AF137" s="20" t="s">
        <v>390</v>
      </c>
      <c r="AG137" s="20">
        <v>0</v>
      </c>
      <c r="AH137" s="20" t="s">
        <v>240</v>
      </c>
      <c r="AI137" s="28">
        <f>IF(COUNTIFS($W$3:$W$25,Presupuesto!$L$7,$Z$3:$Z$25,AD137)&gt;0,1,0)</f>
        <v>0</v>
      </c>
    </row>
    <row r="138" spans="29:35" x14ac:dyDescent="0.25">
      <c r="AC138" s="20" t="s">
        <v>580</v>
      </c>
      <c r="AD138" s="20" t="s">
        <v>384</v>
      </c>
      <c r="AE138" s="20" t="s">
        <v>137</v>
      </c>
      <c r="AF138" s="20" t="s">
        <v>390</v>
      </c>
      <c r="AG138" s="20">
        <v>0</v>
      </c>
      <c r="AH138" s="20" t="s">
        <v>240</v>
      </c>
      <c r="AI138" s="28">
        <f>IF(COUNTIFS($W$3:$W$25,Presupuesto!$L$7,$Z$3:$Z$25,AD138)&gt;0,1,0)</f>
        <v>0</v>
      </c>
    </row>
    <row r="139" spans="29:35" x14ac:dyDescent="0.25">
      <c r="AC139" s="20" t="s">
        <v>581</v>
      </c>
      <c r="AD139" s="20" t="s">
        <v>436</v>
      </c>
      <c r="AE139" s="20" t="s">
        <v>137</v>
      </c>
      <c r="AF139" s="20" t="s">
        <v>390</v>
      </c>
      <c r="AG139" s="20">
        <v>1.05</v>
      </c>
      <c r="AH139" s="20" t="s">
        <v>240</v>
      </c>
      <c r="AI139" s="28">
        <f>IF(COUNTIFS($W$3:$W$25,Presupuesto!$L$7,$Z$3:$Z$25,AD139)&gt;0,1,0)</f>
        <v>0</v>
      </c>
    </row>
    <row r="140" spans="29:35" x14ac:dyDescent="0.25">
      <c r="AC140" s="20" t="s">
        <v>582</v>
      </c>
      <c r="AD140" s="20" t="s">
        <v>421</v>
      </c>
      <c r="AE140" s="20" t="s">
        <v>137</v>
      </c>
      <c r="AF140" s="20" t="s">
        <v>380</v>
      </c>
      <c r="AG140" s="20">
        <v>0.26</v>
      </c>
      <c r="AH140" s="20" t="s">
        <v>240</v>
      </c>
      <c r="AI140" s="28">
        <f>IF(COUNTIFS($W$3:$W$25,Presupuesto!$L$7,$Z$3:$Z$25,AD140)&gt;0,1,0)</f>
        <v>0</v>
      </c>
    </row>
    <row r="141" spans="29:35" x14ac:dyDescent="0.25">
      <c r="AC141" s="20" t="s">
        <v>583</v>
      </c>
      <c r="AD141" s="20" t="s">
        <v>408</v>
      </c>
      <c r="AE141" s="20" t="s">
        <v>137</v>
      </c>
      <c r="AF141" s="20" t="s">
        <v>380</v>
      </c>
      <c r="AG141" s="20">
        <v>0</v>
      </c>
      <c r="AH141" s="20" t="s">
        <v>240</v>
      </c>
      <c r="AI141" s="28">
        <f>IF(COUNTIFS($W$3:$W$25,Presupuesto!$L$7,$Z$3:$Z$25,AD141)&gt;0,1,0)</f>
        <v>0</v>
      </c>
    </row>
    <row r="142" spans="29:35" x14ac:dyDescent="0.25">
      <c r="AC142" s="20" t="s">
        <v>584</v>
      </c>
      <c r="AD142" s="20" t="s">
        <v>394</v>
      </c>
      <c r="AE142" s="20" t="s">
        <v>137</v>
      </c>
      <c r="AF142" s="20" t="s">
        <v>380</v>
      </c>
      <c r="AG142" s="20">
        <v>0</v>
      </c>
      <c r="AH142" s="20" t="s">
        <v>240</v>
      </c>
      <c r="AI142" s="28">
        <f>IF(COUNTIFS($W$3:$W$25,Presupuesto!$L$7,$Z$3:$Z$25,AD142)&gt;0,1,0)</f>
        <v>0</v>
      </c>
    </row>
    <row r="143" spans="29:35" x14ac:dyDescent="0.25">
      <c r="AC143" s="20" t="s">
        <v>585</v>
      </c>
      <c r="AD143" s="20" t="s">
        <v>362</v>
      </c>
      <c r="AE143" s="20" t="s">
        <v>137</v>
      </c>
      <c r="AF143" s="20" t="s">
        <v>380</v>
      </c>
      <c r="AG143" s="20">
        <v>0</v>
      </c>
      <c r="AH143" s="20" t="s">
        <v>240</v>
      </c>
      <c r="AI143" s="28">
        <f>IF(COUNTIFS($W$3:$W$25,Presupuesto!$L$7,$Z$3:$Z$25,AD143)&gt;0,1,0)</f>
        <v>0</v>
      </c>
    </row>
    <row r="144" spans="29:35" x14ac:dyDescent="0.25">
      <c r="AC144" s="20" t="s">
        <v>586</v>
      </c>
      <c r="AD144" s="20" t="s">
        <v>384</v>
      </c>
      <c r="AE144" s="20" t="s">
        <v>137</v>
      </c>
      <c r="AF144" s="20" t="s">
        <v>380</v>
      </c>
      <c r="AG144" s="20">
        <v>0</v>
      </c>
      <c r="AH144" s="20" t="s">
        <v>240</v>
      </c>
      <c r="AI144" s="28">
        <f>IF(COUNTIFS($W$3:$W$25,Presupuesto!$L$7,$Z$3:$Z$25,AD144)&gt;0,1,0)</f>
        <v>0</v>
      </c>
    </row>
    <row r="145" spans="29:35" x14ac:dyDescent="0.25">
      <c r="AC145" s="20" t="s">
        <v>587</v>
      </c>
      <c r="AD145" s="20" t="s">
        <v>436</v>
      </c>
      <c r="AE145" s="20" t="s">
        <v>137</v>
      </c>
      <c r="AF145" s="20" t="s">
        <v>380</v>
      </c>
      <c r="AG145" s="20">
        <v>1.05</v>
      </c>
      <c r="AH145" s="20" t="s">
        <v>240</v>
      </c>
      <c r="AI145" s="28">
        <f>IF(COUNTIFS($W$3:$W$25,Presupuesto!$L$7,$Z$3:$Z$25,AD145)&gt;0,1,0)</f>
        <v>0</v>
      </c>
    </row>
    <row r="146" spans="29:35" x14ac:dyDescent="0.25">
      <c r="AC146" s="20" t="s">
        <v>588</v>
      </c>
      <c r="AD146" s="20" t="s">
        <v>421</v>
      </c>
      <c r="AE146" s="20" t="s">
        <v>137</v>
      </c>
      <c r="AF146" s="20" t="s">
        <v>368</v>
      </c>
      <c r="AG146" s="20">
        <v>0.26</v>
      </c>
      <c r="AH146" s="20" t="s">
        <v>240</v>
      </c>
      <c r="AI146" s="28">
        <f>IF(COUNTIFS($W$3:$W$25,Presupuesto!$L$7,$Z$3:$Z$25,AD146)&gt;0,1,0)</f>
        <v>0</v>
      </c>
    </row>
    <row r="147" spans="29:35" x14ac:dyDescent="0.25">
      <c r="AC147" s="20" t="s">
        <v>589</v>
      </c>
      <c r="AD147" s="20" t="s">
        <v>408</v>
      </c>
      <c r="AE147" s="20" t="s">
        <v>137</v>
      </c>
      <c r="AF147" s="20" t="s">
        <v>368</v>
      </c>
      <c r="AG147" s="20">
        <v>0</v>
      </c>
      <c r="AH147" s="20" t="s">
        <v>240</v>
      </c>
      <c r="AI147" s="28">
        <f>IF(COUNTIFS($W$3:$W$25,Presupuesto!$L$7,$Z$3:$Z$25,AD147)&gt;0,1,0)</f>
        <v>0</v>
      </c>
    </row>
    <row r="148" spans="29:35" x14ac:dyDescent="0.25">
      <c r="AC148" s="20" t="s">
        <v>590</v>
      </c>
      <c r="AD148" s="20" t="s">
        <v>394</v>
      </c>
      <c r="AE148" s="20" t="s">
        <v>137</v>
      </c>
      <c r="AF148" s="20" t="s">
        <v>368</v>
      </c>
      <c r="AG148" s="20">
        <v>0</v>
      </c>
      <c r="AH148" s="20" t="s">
        <v>240</v>
      </c>
      <c r="AI148" s="28">
        <f>IF(COUNTIFS($W$3:$W$25,Presupuesto!$L$7,$Z$3:$Z$25,AD148)&gt;0,1,0)</f>
        <v>0</v>
      </c>
    </row>
    <row r="149" spans="29:35" x14ac:dyDescent="0.25">
      <c r="AC149" s="20" t="s">
        <v>591</v>
      </c>
      <c r="AD149" s="20" t="s">
        <v>362</v>
      </c>
      <c r="AE149" s="20" t="s">
        <v>137</v>
      </c>
      <c r="AF149" s="20" t="s">
        <v>368</v>
      </c>
      <c r="AG149" s="20">
        <v>0</v>
      </c>
      <c r="AH149" s="20" t="s">
        <v>240</v>
      </c>
      <c r="AI149" s="28">
        <f>IF(COUNTIFS($W$3:$W$25,Presupuesto!$L$7,$Z$3:$Z$25,AD149)&gt;0,1,0)</f>
        <v>0</v>
      </c>
    </row>
    <row r="150" spans="29:35" x14ac:dyDescent="0.25">
      <c r="AC150" s="20" t="s">
        <v>592</v>
      </c>
      <c r="AD150" s="20" t="s">
        <v>384</v>
      </c>
      <c r="AE150" s="20" t="s">
        <v>137</v>
      </c>
      <c r="AF150" s="20" t="s">
        <v>368</v>
      </c>
      <c r="AG150" s="20">
        <v>0</v>
      </c>
      <c r="AH150" s="20" t="s">
        <v>240</v>
      </c>
      <c r="AI150" s="28">
        <f>IF(COUNTIFS($W$3:$W$25,Presupuesto!$L$7,$Z$3:$Z$25,AD150)&gt;0,1,0)</f>
        <v>0</v>
      </c>
    </row>
    <row r="151" spans="29:35" x14ac:dyDescent="0.25">
      <c r="AC151" s="20" t="s">
        <v>593</v>
      </c>
      <c r="AD151" s="20" t="s">
        <v>436</v>
      </c>
      <c r="AE151" s="20" t="s">
        <v>137</v>
      </c>
      <c r="AF151" s="20" t="s">
        <v>368</v>
      </c>
      <c r="AG151" s="20">
        <v>1.05</v>
      </c>
      <c r="AH151" s="20" t="s">
        <v>240</v>
      </c>
      <c r="AI151" s="28">
        <f>IF(COUNTIFS($W$3:$W$25,Presupuesto!$L$7,$Z$3:$Z$25,AD151)&gt;0,1,0)</f>
        <v>0</v>
      </c>
    </row>
    <row r="152" spans="29:35" x14ac:dyDescent="0.25">
      <c r="AC152" s="20" t="s">
        <v>594</v>
      </c>
      <c r="AD152" s="20" t="s">
        <v>415</v>
      </c>
      <c r="AE152" s="20" t="s">
        <v>137</v>
      </c>
      <c r="AF152" s="20" t="s">
        <v>390</v>
      </c>
      <c r="AG152" s="20">
        <v>6.16</v>
      </c>
      <c r="AH152" s="20" t="s">
        <v>240</v>
      </c>
      <c r="AI152" s="28">
        <f>IF(COUNTIFS($W$3:$W$25,Presupuesto!$L$7,$Z$3:$Z$25,AD152)&gt;0,1,0)</f>
        <v>0</v>
      </c>
    </row>
    <row r="153" spans="29:35" x14ac:dyDescent="0.25">
      <c r="AC153" s="20" t="s">
        <v>595</v>
      </c>
      <c r="AD153" s="20" t="s">
        <v>415</v>
      </c>
      <c r="AE153" s="20" t="s">
        <v>137</v>
      </c>
      <c r="AF153" s="20" t="s">
        <v>380</v>
      </c>
      <c r="AG153" s="20">
        <v>6.16</v>
      </c>
      <c r="AH153" s="20" t="s">
        <v>240</v>
      </c>
      <c r="AI153" s="28">
        <f>IF(COUNTIFS($W$3:$W$25,Presupuesto!$L$7,$Z$3:$Z$25,AD153)&gt;0,1,0)</f>
        <v>0</v>
      </c>
    </row>
    <row r="154" spans="29:35" x14ac:dyDescent="0.25">
      <c r="AC154" s="20" t="s">
        <v>596</v>
      </c>
      <c r="AD154" s="20" t="s">
        <v>415</v>
      </c>
      <c r="AE154" s="20" t="s">
        <v>137</v>
      </c>
      <c r="AF154" s="20" t="s">
        <v>368</v>
      </c>
      <c r="AG154" s="20">
        <v>6.16</v>
      </c>
      <c r="AH154" s="20" t="s">
        <v>240</v>
      </c>
      <c r="AI154" s="28">
        <f>IF(COUNTIFS($W$3:$W$25,Presupuesto!$L$7,$Z$3:$Z$25,AD154)&gt;0,1,0)</f>
        <v>0</v>
      </c>
    </row>
    <row r="155" spans="29:35" x14ac:dyDescent="0.25">
      <c r="AC155" s="20" t="s">
        <v>597</v>
      </c>
      <c r="AD155" s="20" t="s">
        <v>433</v>
      </c>
      <c r="AE155" s="20" t="s">
        <v>137</v>
      </c>
      <c r="AF155" s="20" t="s">
        <v>390</v>
      </c>
      <c r="AG155" s="20">
        <v>0.53</v>
      </c>
      <c r="AH155" s="20" t="s">
        <v>240</v>
      </c>
      <c r="AI155" s="28">
        <f>IF(COUNTIFS($W$3:$W$25,Presupuesto!$L$7,$Z$3:$Z$25,AD155)&gt;0,1,0)</f>
        <v>0</v>
      </c>
    </row>
    <row r="156" spans="29:35" x14ac:dyDescent="0.25">
      <c r="AC156" s="20" t="s">
        <v>598</v>
      </c>
      <c r="AD156" s="20" t="s">
        <v>433</v>
      </c>
      <c r="AE156" s="20" t="s">
        <v>137</v>
      </c>
      <c r="AF156" s="20" t="s">
        <v>380</v>
      </c>
      <c r="AG156" s="20">
        <v>0.53</v>
      </c>
      <c r="AH156" s="20" t="s">
        <v>240</v>
      </c>
      <c r="AI156" s="28">
        <f>IF(COUNTIFS($W$3:$W$25,Presupuesto!$L$7,$Z$3:$Z$25,AD156)&gt;0,1,0)</f>
        <v>0</v>
      </c>
    </row>
    <row r="157" spans="29:35" x14ac:dyDescent="0.25">
      <c r="AC157" s="20" t="s">
        <v>599</v>
      </c>
      <c r="AD157" s="20" t="s">
        <v>433</v>
      </c>
      <c r="AE157" s="20" t="s">
        <v>137</v>
      </c>
      <c r="AF157" s="20" t="s">
        <v>368</v>
      </c>
      <c r="AG157" s="20">
        <v>0.53</v>
      </c>
      <c r="AH157" s="20" t="s">
        <v>240</v>
      </c>
      <c r="AI157" s="28">
        <f>IF(COUNTIFS($W$3:$W$25,Presupuesto!$L$7,$Z$3:$Z$25,AD157)&gt;0,1,0)</f>
        <v>0</v>
      </c>
    </row>
    <row r="158" spans="29:35" x14ac:dyDescent="0.25">
      <c r="AC158" s="20" t="s">
        <v>600</v>
      </c>
      <c r="AD158" s="20" t="s">
        <v>421</v>
      </c>
      <c r="AE158" s="20" t="s">
        <v>99</v>
      </c>
      <c r="AF158" s="20" t="s">
        <v>390</v>
      </c>
      <c r="AG158" s="20">
        <v>0.18</v>
      </c>
      <c r="AH158" s="20" t="s">
        <v>240</v>
      </c>
      <c r="AI158" s="28">
        <f>IF(COUNTIFS($W$3:$W$25,Presupuesto!$L$7,$Z$3:$Z$25,AD158)&gt;0,1,0)</f>
        <v>0</v>
      </c>
    </row>
    <row r="159" spans="29:35" x14ac:dyDescent="0.25">
      <c r="AC159" s="20" t="s">
        <v>601</v>
      </c>
      <c r="AD159" s="20" t="s">
        <v>394</v>
      </c>
      <c r="AE159" s="20" t="s">
        <v>99</v>
      </c>
      <c r="AF159" s="20" t="s">
        <v>390</v>
      </c>
      <c r="AG159" s="20">
        <v>0.26</v>
      </c>
      <c r="AH159" s="20" t="s">
        <v>240</v>
      </c>
      <c r="AI159" s="28">
        <f>IF(COUNTIFS($W$3:$W$25,Presupuesto!$L$7,$Z$3:$Z$25,AD159)&gt;0,1,0)</f>
        <v>0</v>
      </c>
    </row>
    <row r="160" spans="29:35" x14ac:dyDescent="0.25">
      <c r="AC160" s="20" t="s">
        <v>602</v>
      </c>
      <c r="AD160" s="20" t="s">
        <v>362</v>
      </c>
      <c r="AE160" s="20" t="s">
        <v>99</v>
      </c>
      <c r="AF160" s="20" t="s">
        <v>390</v>
      </c>
      <c r="AG160" s="20">
        <v>0</v>
      </c>
      <c r="AH160" s="20" t="s">
        <v>240</v>
      </c>
      <c r="AI160" s="28">
        <f>IF(COUNTIFS($W$3:$W$25,Presupuesto!$L$7,$Z$3:$Z$25,AD160)&gt;0,1,0)</f>
        <v>0</v>
      </c>
    </row>
    <row r="161" spans="29:35" x14ac:dyDescent="0.25">
      <c r="AC161" s="20" t="s">
        <v>603</v>
      </c>
      <c r="AD161" s="20" t="s">
        <v>384</v>
      </c>
      <c r="AE161" s="20" t="s">
        <v>99</v>
      </c>
      <c r="AF161" s="20" t="s">
        <v>390</v>
      </c>
      <c r="AG161" s="20">
        <v>0</v>
      </c>
      <c r="AH161" s="20" t="s">
        <v>240</v>
      </c>
      <c r="AI161" s="28">
        <f>IF(COUNTIFS($W$3:$W$25,Presupuesto!$L$7,$Z$3:$Z$25,AD161)&gt;0,1,0)</f>
        <v>0</v>
      </c>
    </row>
    <row r="162" spans="29:35" x14ac:dyDescent="0.25">
      <c r="AC162" s="20" t="s">
        <v>604</v>
      </c>
      <c r="AD162" s="20" t="s">
        <v>436</v>
      </c>
      <c r="AE162" s="20" t="s">
        <v>99</v>
      </c>
      <c r="AF162" s="20" t="s">
        <v>390</v>
      </c>
      <c r="AG162" s="20">
        <v>0.97</v>
      </c>
      <c r="AH162" s="20" t="s">
        <v>240</v>
      </c>
      <c r="AI162" s="28">
        <f>IF(COUNTIFS($W$3:$W$25,Presupuesto!$L$7,$Z$3:$Z$25,AD162)&gt;0,1,0)</f>
        <v>0</v>
      </c>
    </row>
    <row r="163" spans="29:35" x14ac:dyDescent="0.25">
      <c r="AC163" s="20" t="s">
        <v>605</v>
      </c>
      <c r="AD163" s="20" t="s">
        <v>421</v>
      </c>
      <c r="AE163" s="20" t="s">
        <v>99</v>
      </c>
      <c r="AF163" s="20" t="s">
        <v>380</v>
      </c>
      <c r="AG163" s="20">
        <v>0.18</v>
      </c>
      <c r="AH163" s="20" t="s">
        <v>240</v>
      </c>
      <c r="AI163" s="28">
        <f>IF(COUNTIFS($W$3:$W$25,Presupuesto!$L$7,$Z$3:$Z$25,AD163)&gt;0,1,0)</f>
        <v>0</v>
      </c>
    </row>
    <row r="164" spans="29:35" x14ac:dyDescent="0.25">
      <c r="AC164" s="20" t="s">
        <v>606</v>
      </c>
      <c r="AD164" s="20" t="s">
        <v>394</v>
      </c>
      <c r="AE164" s="20" t="s">
        <v>99</v>
      </c>
      <c r="AF164" s="20" t="s">
        <v>380</v>
      </c>
      <c r="AG164" s="20">
        <v>0.26</v>
      </c>
      <c r="AH164" s="20" t="s">
        <v>240</v>
      </c>
      <c r="AI164" s="28">
        <f>IF(COUNTIFS($W$3:$W$25,Presupuesto!$L$7,$Z$3:$Z$25,AD164)&gt;0,1,0)</f>
        <v>0</v>
      </c>
    </row>
    <row r="165" spans="29:35" x14ac:dyDescent="0.25">
      <c r="AC165" s="20" t="s">
        <v>607</v>
      </c>
      <c r="AD165" s="20" t="s">
        <v>362</v>
      </c>
      <c r="AE165" s="20" t="s">
        <v>99</v>
      </c>
      <c r="AF165" s="20" t="s">
        <v>380</v>
      </c>
      <c r="AG165" s="20">
        <v>0</v>
      </c>
      <c r="AH165" s="20" t="s">
        <v>240</v>
      </c>
      <c r="AI165" s="28">
        <f>IF(COUNTIFS($W$3:$W$25,Presupuesto!$L$7,$Z$3:$Z$25,AD165)&gt;0,1,0)</f>
        <v>0</v>
      </c>
    </row>
    <row r="166" spans="29:35" x14ac:dyDescent="0.25">
      <c r="AC166" s="20" t="s">
        <v>608</v>
      </c>
      <c r="AD166" s="20" t="s">
        <v>384</v>
      </c>
      <c r="AE166" s="20" t="s">
        <v>99</v>
      </c>
      <c r="AF166" s="20" t="s">
        <v>380</v>
      </c>
      <c r="AG166" s="20">
        <v>0</v>
      </c>
      <c r="AH166" s="20" t="s">
        <v>240</v>
      </c>
      <c r="AI166" s="28">
        <f>IF(COUNTIFS($W$3:$W$25,Presupuesto!$L$7,$Z$3:$Z$25,AD166)&gt;0,1,0)</f>
        <v>0</v>
      </c>
    </row>
    <row r="167" spans="29:35" x14ac:dyDescent="0.25">
      <c r="AC167" s="20" t="s">
        <v>609</v>
      </c>
      <c r="AD167" s="20" t="s">
        <v>436</v>
      </c>
      <c r="AE167" s="20" t="s">
        <v>99</v>
      </c>
      <c r="AF167" s="20" t="s">
        <v>380</v>
      </c>
      <c r="AG167" s="20">
        <v>0.97</v>
      </c>
      <c r="AH167" s="20" t="s">
        <v>240</v>
      </c>
      <c r="AI167" s="28">
        <f>IF(COUNTIFS($W$3:$W$25,Presupuesto!$L$7,$Z$3:$Z$25,AD167)&gt;0,1,0)</f>
        <v>0</v>
      </c>
    </row>
    <row r="168" spans="29:35" x14ac:dyDescent="0.25">
      <c r="AC168" s="20" t="s">
        <v>610</v>
      </c>
      <c r="AD168" s="20" t="s">
        <v>421</v>
      </c>
      <c r="AE168" s="20" t="s">
        <v>99</v>
      </c>
      <c r="AF168" s="20" t="s">
        <v>368</v>
      </c>
      <c r="AG168" s="20">
        <v>0.18</v>
      </c>
      <c r="AH168" s="20" t="s">
        <v>240</v>
      </c>
      <c r="AI168" s="28">
        <f>IF(COUNTIFS($W$3:$W$25,Presupuesto!$L$7,$Z$3:$Z$25,AD168)&gt;0,1,0)</f>
        <v>0</v>
      </c>
    </row>
    <row r="169" spans="29:35" x14ac:dyDescent="0.25">
      <c r="AC169" s="20" t="s">
        <v>611</v>
      </c>
      <c r="AD169" s="20" t="s">
        <v>394</v>
      </c>
      <c r="AE169" s="20" t="s">
        <v>99</v>
      </c>
      <c r="AF169" s="20" t="s">
        <v>368</v>
      </c>
      <c r="AG169" s="20">
        <v>0.26</v>
      </c>
      <c r="AH169" s="20" t="s">
        <v>240</v>
      </c>
      <c r="AI169" s="28">
        <f>IF(COUNTIFS($W$3:$W$25,Presupuesto!$L$7,$Z$3:$Z$25,AD169)&gt;0,1,0)</f>
        <v>0</v>
      </c>
    </row>
    <row r="170" spans="29:35" x14ac:dyDescent="0.25">
      <c r="AC170" s="20" t="s">
        <v>612</v>
      </c>
      <c r="AD170" s="20" t="s">
        <v>362</v>
      </c>
      <c r="AE170" s="20" t="s">
        <v>99</v>
      </c>
      <c r="AF170" s="20" t="s">
        <v>368</v>
      </c>
      <c r="AG170" s="20">
        <v>0</v>
      </c>
      <c r="AH170" s="20" t="s">
        <v>240</v>
      </c>
      <c r="AI170" s="28">
        <f>IF(COUNTIFS($W$3:$W$25,Presupuesto!$L$7,$Z$3:$Z$25,AD170)&gt;0,1,0)</f>
        <v>0</v>
      </c>
    </row>
    <row r="171" spans="29:35" x14ac:dyDescent="0.25">
      <c r="AC171" s="20" t="s">
        <v>613</v>
      </c>
      <c r="AD171" s="20" t="s">
        <v>384</v>
      </c>
      <c r="AE171" s="20" t="s">
        <v>99</v>
      </c>
      <c r="AF171" s="20" t="s">
        <v>368</v>
      </c>
      <c r="AG171" s="20">
        <v>0</v>
      </c>
      <c r="AH171" s="20" t="s">
        <v>240</v>
      </c>
      <c r="AI171" s="28">
        <f>IF(COUNTIFS($W$3:$W$25,Presupuesto!$L$7,$Z$3:$Z$25,AD171)&gt;0,1,0)</f>
        <v>0</v>
      </c>
    </row>
    <row r="172" spans="29:35" x14ac:dyDescent="0.25">
      <c r="AC172" s="20" t="s">
        <v>614</v>
      </c>
      <c r="AD172" s="20" t="s">
        <v>436</v>
      </c>
      <c r="AE172" s="20" t="s">
        <v>99</v>
      </c>
      <c r="AF172" s="20" t="s">
        <v>368</v>
      </c>
      <c r="AG172" s="20">
        <v>0.97</v>
      </c>
      <c r="AH172" s="20" t="s">
        <v>240</v>
      </c>
      <c r="AI172" s="28">
        <f>IF(COUNTIFS($W$3:$W$25,Presupuesto!$L$7,$Z$3:$Z$25,AD172)&gt;0,1,0)</f>
        <v>0</v>
      </c>
    </row>
    <row r="173" spans="29:35" x14ac:dyDescent="0.25">
      <c r="AC173" s="20" t="s">
        <v>615</v>
      </c>
      <c r="AD173" s="20" t="s">
        <v>421</v>
      </c>
      <c r="AE173" s="20" t="s">
        <v>194</v>
      </c>
      <c r="AF173" s="20" t="s">
        <v>390</v>
      </c>
      <c r="AG173" s="20">
        <v>1.75</v>
      </c>
      <c r="AH173" s="20" t="s">
        <v>240</v>
      </c>
      <c r="AI173" s="28">
        <f>IF(COUNTIFS($W$3:$W$25,Presupuesto!$L$7,$Z$3:$Z$25,AD173)&gt;0,1,0)</f>
        <v>0</v>
      </c>
    </row>
    <row r="174" spans="29:35" x14ac:dyDescent="0.25">
      <c r="AC174" s="20" t="s">
        <v>616</v>
      </c>
      <c r="AD174" s="20" t="s">
        <v>373</v>
      </c>
      <c r="AE174" s="20" t="s">
        <v>194</v>
      </c>
      <c r="AF174" s="20" t="s">
        <v>390</v>
      </c>
      <c r="AG174" s="20">
        <v>0.88</v>
      </c>
      <c r="AH174" s="20" t="s">
        <v>240</v>
      </c>
      <c r="AI174" s="28">
        <f>IF(COUNTIFS($W$3:$W$25,Presupuesto!$L$7,$Z$3:$Z$25,AD174)&gt;0,1,0)</f>
        <v>0</v>
      </c>
    </row>
    <row r="175" spans="29:35" x14ac:dyDescent="0.25">
      <c r="AC175" s="20" t="s">
        <v>617</v>
      </c>
      <c r="AD175" s="20" t="s">
        <v>408</v>
      </c>
      <c r="AE175" s="20" t="s">
        <v>194</v>
      </c>
      <c r="AF175" s="20" t="s">
        <v>390</v>
      </c>
      <c r="AG175" s="20">
        <v>0.25</v>
      </c>
      <c r="AH175" s="20" t="s">
        <v>240</v>
      </c>
      <c r="AI175" s="28">
        <f>IF(COUNTIFS($W$3:$W$25,Presupuesto!$L$7,$Z$3:$Z$25,AD175)&gt;0,1,0)</f>
        <v>0</v>
      </c>
    </row>
    <row r="176" spans="29:35" x14ac:dyDescent="0.25">
      <c r="AC176" s="20" t="s">
        <v>618</v>
      </c>
      <c r="AD176" s="20" t="s">
        <v>362</v>
      </c>
      <c r="AE176" s="20" t="s">
        <v>194</v>
      </c>
      <c r="AF176" s="20" t="s">
        <v>390</v>
      </c>
      <c r="AG176" s="20">
        <v>0.05</v>
      </c>
      <c r="AH176" s="20" t="s">
        <v>240</v>
      </c>
      <c r="AI176" s="28">
        <f>IF(COUNTIFS($W$3:$W$25,Presupuesto!$L$7,$Z$3:$Z$25,AD176)&gt;0,1,0)</f>
        <v>0</v>
      </c>
    </row>
    <row r="177" spans="29:35" x14ac:dyDescent="0.25">
      <c r="AC177" s="20" t="s">
        <v>619</v>
      </c>
      <c r="AD177" s="20" t="s">
        <v>433</v>
      </c>
      <c r="AE177" s="20" t="s">
        <v>194</v>
      </c>
      <c r="AF177" s="20" t="s">
        <v>390</v>
      </c>
      <c r="AG177" s="20">
        <v>0.38</v>
      </c>
      <c r="AH177" s="20" t="s">
        <v>240</v>
      </c>
      <c r="AI177" s="28">
        <f>IF(COUNTIFS($W$3:$W$25,Presupuesto!$L$7,$Z$3:$Z$25,AD177)&gt;0,1,0)</f>
        <v>0</v>
      </c>
    </row>
    <row r="178" spans="29:35" x14ac:dyDescent="0.25">
      <c r="AC178" s="20" t="s">
        <v>620</v>
      </c>
      <c r="AD178" s="20" t="s">
        <v>384</v>
      </c>
      <c r="AE178" s="20" t="s">
        <v>194</v>
      </c>
      <c r="AF178" s="20" t="s">
        <v>390</v>
      </c>
      <c r="AG178" s="20">
        <v>0.05</v>
      </c>
      <c r="AH178" s="20" t="s">
        <v>240</v>
      </c>
      <c r="AI178" s="28">
        <f>IF(COUNTIFS($W$3:$W$25,Presupuesto!$L$7,$Z$3:$Z$25,AD178)&gt;0,1,0)</f>
        <v>0</v>
      </c>
    </row>
    <row r="179" spans="29:35" x14ac:dyDescent="0.25">
      <c r="AC179" s="20" t="s">
        <v>621</v>
      </c>
      <c r="AD179" s="20" t="s">
        <v>436</v>
      </c>
      <c r="AE179" s="20" t="s">
        <v>194</v>
      </c>
      <c r="AF179" s="20" t="s">
        <v>390</v>
      </c>
      <c r="AG179" s="20">
        <v>1</v>
      </c>
      <c r="AH179" s="20" t="s">
        <v>240</v>
      </c>
      <c r="AI179" s="28">
        <f>IF(COUNTIFS($W$3:$W$25,Presupuesto!$L$7,$Z$3:$Z$25,AD179)&gt;0,1,0)</f>
        <v>0</v>
      </c>
    </row>
    <row r="180" spans="29:35" x14ac:dyDescent="0.25">
      <c r="AC180" s="20" t="s">
        <v>622</v>
      </c>
      <c r="AD180" s="20" t="s">
        <v>421</v>
      </c>
      <c r="AE180" s="20" t="s">
        <v>194</v>
      </c>
      <c r="AF180" s="20" t="s">
        <v>380</v>
      </c>
      <c r="AG180" s="20">
        <v>1.75</v>
      </c>
      <c r="AH180" s="20" t="s">
        <v>240</v>
      </c>
      <c r="AI180" s="28">
        <f>IF(COUNTIFS($W$3:$W$25,Presupuesto!$L$7,$Z$3:$Z$25,AD180)&gt;0,1,0)</f>
        <v>0</v>
      </c>
    </row>
    <row r="181" spans="29:35" x14ac:dyDescent="0.25">
      <c r="AC181" s="20" t="s">
        <v>623</v>
      </c>
      <c r="AD181" s="20" t="s">
        <v>373</v>
      </c>
      <c r="AE181" s="20" t="s">
        <v>194</v>
      </c>
      <c r="AF181" s="20" t="s">
        <v>380</v>
      </c>
      <c r="AG181" s="20">
        <v>0.88</v>
      </c>
      <c r="AH181" s="20" t="s">
        <v>240</v>
      </c>
      <c r="AI181" s="28">
        <f>IF(COUNTIFS($W$3:$W$25,Presupuesto!$L$7,$Z$3:$Z$25,AD181)&gt;0,1,0)</f>
        <v>0</v>
      </c>
    </row>
    <row r="182" spans="29:35" x14ac:dyDescent="0.25">
      <c r="AC182" s="20" t="s">
        <v>624</v>
      </c>
      <c r="AD182" s="20" t="s">
        <v>408</v>
      </c>
      <c r="AE182" s="20" t="s">
        <v>194</v>
      </c>
      <c r="AF182" s="20" t="s">
        <v>380</v>
      </c>
      <c r="AG182" s="20">
        <v>0.25</v>
      </c>
      <c r="AH182" s="20" t="s">
        <v>240</v>
      </c>
      <c r="AI182" s="28">
        <f>IF(COUNTIFS($W$3:$W$25,Presupuesto!$L$7,$Z$3:$Z$25,AD182)&gt;0,1,0)</f>
        <v>0</v>
      </c>
    </row>
    <row r="183" spans="29:35" x14ac:dyDescent="0.25">
      <c r="AC183" s="20" t="s">
        <v>625</v>
      </c>
      <c r="AD183" s="20" t="s">
        <v>362</v>
      </c>
      <c r="AE183" s="20" t="s">
        <v>194</v>
      </c>
      <c r="AF183" s="20" t="s">
        <v>380</v>
      </c>
      <c r="AG183" s="20">
        <v>0.05</v>
      </c>
      <c r="AH183" s="20" t="s">
        <v>240</v>
      </c>
      <c r="AI183" s="28">
        <f>IF(COUNTIFS($W$3:$W$25,Presupuesto!$L$7,$Z$3:$Z$25,AD183)&gt;0,1,0)</f>
        <v>0</v>
      </c>
    </row>
    <row r="184" spans="29:35" x14ac:dyDescent="0.25">
      <c r="AC184" s="20" t="s">
        <v>626</v>
      </c>
      <c r="AD184" s="20" t="s">
        <v>433</v>
      </c>
      <c r="AE184" s="20" t="s">
        <v>194</v>
      </c>
      <c r="AF184" s="20" t="s">
        <v>380</v>
      </c>
      <c r="AG184" s="20">
        <v>0.38</v>
      </c>
      <c r="AH184" s="20" t="s">
        <v>240</v>
      </c>
      <c r="AI184" s="28">
        <f>IF(COUNTIFS($W$3:$W$25,Presupuesto!$L$7,$Z$3:$Z$25,AD184)&gt;0,1,0)</f>
        <v>0</v>
      </c>
    </row>
    <row r="185" spans="29:35" x14ac:dyDescent="0.25">
      <c r="AC185" s="20" t="s">
        <v>627</v>
      </c>
      <c r="AD185" s="20" t="s">
        <v>384</v>
      </c>
      <c r="AE185" s="20" t="s">
        <v>194</v>
      </c>
      <c r="AF185" s="20" t="s">
        <v>380</v>
      </c>
      <c r="AG185" s="20">
        <v>0.05</v>
      </c>
      <c r="AH185" s="20" t="s">
        <v>240</v>
      </c>
      <c r="AI185" s="28">
        <f>IF(COUNTIFS($W$3:$W$25,Presupuesto!$L$7,$Z$3:$Z$25,AD185)&gt;0,1,0)</f>
        <v>0</v>
      </c>
    </row>
    <row r="186" spans="29:35" x14ac:dyDescent="0.25">
      <c r="AC186" s="20" t="s">
        <v>628</v>
      </c>
      <c r="AD186" s="20" t="s">
        <v>436</v>
      </c>
      <c r="AE186" s="20" t="s">
        <v>194</v>
      </c>
      <c r="AF186" s="20" t="s">
        <v>380</v>
      </c>
      <c r="AG186" s="20">
        <v>1</v>
      </c>
      <c r="AH186" s="20" t="s">
        <v>240</v>
      </c>
      <c r="AI186" s="28">
        <f>IF(COUNTIFS($W$3:$W$25,Presupuesto!$L$7,$Z$3:$Z$25,AD186)&gt;0,1,0)</f>
        <v>0</v>
      </c>
    </row>
    <row r="187" spans="29:35" x14ac:dyDescent="0.25">
      <c r="AC187" s="20" t="s">
        <v>629</v>
      </c>
      <c r="AD187" s="20" t="s">
        <v>421</v>
      </c>
      <c r="AE187" s="20" t="s">
        <v>194</v>
      </c>
      <c r="AF187" s="20" t="s">
        <v>368</v>
      </c>
      <c r="AG187" s="20">
        <v>1.75</v>
      </c>
      <c r="AH187" s="20" t="s">
        <v>240</v>
      </c>
      <c r="AI187" s="28">
        <f>IF(COUNTIFS($W$3:$W$25,Presupuesto!$L$7,$Z$3:$Z$25,AD187)&gt;0,1,0)</f>
        <v>0</v>
      </c>
    </row>
    <row r="188" spans="29:35" x14ac:dyDescent="0.25">
      <c r="AC188" s="20" t="s">
        <v>630</v>
      </c>
      <c r="AD188" s="20" t="s">
        <v>373</v>
      </c>
      <c r="AE188" s="20" t="s">
        <v>194</v>
      </c>
      <c r="AF188" s="20" t="s">
        <v>368</v>
      </c>
      <c r="AG188" s="20">
        <v>0.88</v>
      </c>
      <c r="AH188" s="20" t="s">
        <v>240</v>
      </c>
      <c r="AI188" s="28">
        <f>IF(COUNTIFS($W$3:$W$25,Presupuesto!$L$7,$Z$3:$Z$25,AD188)&gt;0,1,0)</f>
        <v>0</v>
      </c>
    </row>
    <row r="189" spans="29:35" x14ac:dyDescent="0.25">
      <c r="AC189" s="20" t="s">
        <v>631</v>
      </c>
      <c r="AD189" s="20" t="s">
        <v>408</v>
      </c>
      <c r="AE189" s="20" t="s">
        <v>194</v>
      </c>
      <c r="AF189" s="20" t="s">
        <v>368</v>
      </c>
      <c r="AG189" s="20">
        <v>0.25</v>
      </c>
      <c r="AH189" s="20" t="s">
        <v>240</v>
      </c>
      <c r="AI189" s="28">
        <f>IF(COUNTIFS($W$3:$W$25,Presupuesto!$L$7,$Z$3:$Z$25,AD189)&gt;0,1,0)</f>
        <v>0</v>
      </c>
    </row>
    <row r="190" spans="29:35" x14ac:dyDescent="0.25">
      <c r="AC190" s="20" t="s">
        <v>632</v>
      </c>
      <c r="AD190" s="20" t="s">
        <v>362</v>
      </c>
      <c r="AE190" s="20" t="s">
        <v>194</v>
      </c>
      <c r="AF190" s="20" t="s">
        <v>368</v>
      </c>
      <c r="AG190" s="20">
        <v>0.05</v>
      </c>
      <c r="AH190" s="20" t="s">
        <v>240</v>
      </c>
      <c r="AI190" s="28">
        <f>IF(COUNTIFS($W$3:$W$25,Presupuesto!$L$7,$Z$3:$Z$25,AD190)&gt;0,1,0)</f>
        <v>0</v>
      </c>
    </row>
    <row r="191" spans="29:35" x14ac:dyDescent="0.25">
      <c r="AC191" s="20" t="s">
        <v>633</v>
      </c>
      <c r="AD191" s="20" t="s">
        <v>433</v>
      </c>
      <c r="AE191" s="20" t="s">
        <v>194</v>
      </c>
      <c r="AF191" s="20" t="s">
        <v>368</v>
      </c>
      <c r="AG191" s="20">
        <v>0.38</v>
      </c>
      <c r="AH191" s="20" t="s">
        <v>240</v>
      </c>
      <c r="AI191" s="28">
        <f>IF(COUNTIFS($W$3:$W$25,Presupuesto!$L$7,$Z$3:$Z$25,AD191)&gt;0,1,0)</f>
        <v>0</v>
      </c>
    </row>
    <row r="192" spans="29:35" x14ac:dyDescent="0.25">
      <c r="AC192" s="20" t="s">
        <v>634</v>
      </c>
      <c r="AD192" s="20" t="s">
        <v>384</v>
      </c>
      <c r="AE192" s="20" t="s">
        <v>194</v>
      </c>
      <c r="AF192" s="20" t="s">
        <v>368</v>
      </c>
      <c r="AG192" s="20">
        <v>0.05</v>
      </c>
      <c r="AH192" s="20" t="s">
        <v>240</v>
      </c>
      <c r="AI192" s="28">
        <f>IF(COUNTIFS($W$3:$W$25,Presupuesto!$L$7,$Z$3:$Z$25,AD192)&gt;0,1,0)</f>
        <v>0</v>
      </c>
    </row>
    <row r="193" spans="29:35" x14ac:dyDescent="0.25">
      <c r="AC193" s="20" t="s">
        <v>635</v>
      </c>
      <c r="AD193" s="20" t="s">
        <v>436</v>
      </c>
      <c r="AE193" s="20" t="s">
        <v>194</v>
      </c>
      <c r="AF193" s="20" t="s">
        <v>368</v>
      </c>
      <c r="AG193" s="20">
        <v>1</v>
      </c>
      <c r="AH193" s="20" t="s">
        <v>240</v>
      </c>
      <c r="AI193" s="28">
        <f>IF(COUNTIFS($W$3:$W$25,Presupuesto!$L$7,$Z$3:$Z$25,AD193)&gt;0,1,0)</f>
        <v>0</v>
      </c>
    </row>
    <row r="194" spans="29:35" x14ac:dyDescent="0.25">
      <c r="AC194" s="20" t="s">
        <v>636</v>
      </c>
      <c r="AD194" s="20" t="s">
        <v>394</v>
      </c>
      <c r="AE194" s="20" t="s">
        <v>194</v>
      </c>
      <c r="AF194" s="20" t="s">
        <v>390</v>
      </c>
      <c r="AG194" s="20">
        <v>0.5</v>
      </c>
      <c r="AH194" s="20" t="s">
        <v>240</v>
      </c>
      <c r="AI194" s="28">
        <f>IF(COUNTIFS($W$3:$W$25,Presupuesto!$L$7,$Z$3:$Z$25,AD194)&gt;0,1,0)</f>
        <v>0</v>
      </c>
    </row>
    <row r="195" spans="29:35" x14ac:dyDescent="0.25">
      <c r="AC195" s="20" t="s">
        <v>637</v>
      </c>
      <c r="AD195" s="20" t="s">
        <v>394</v>
      </c>
      <c r="AE195" s="20" t="s">
        <v>194</v>
      </c>
      <c r="AF195" s="20" t="s">
        <v>380</v>
      </c>
      <c r="AG195" s="20">
        <v>0.5</v>
      </c>
      <c r="AH195" s="20" t="s">
        <v>240</v>
      </c>
      <c r="AI195" s="28">
        <f>IF(COUNTIFS($W$3:$W$25,Presupuesto!$L$7,$Z$3:$Z$25,AD195)&gt;0,1,0)</f>
        <v>0</v>
      </c>
    </row>
    <row r="196" spans="29:35" x14ac:dyDescent="0.25">
      <c r="AC196" s="20" t="s">
        <v>638</v>
      </c>
      <c r="AD196" s="20" t="s">
        <v>394</v>
      </c>
      <c r="AE196" s="20" t="s">
        <v>194</v>
      </c>
      <c r="AF196" s="20" t="s">
        <v>368</v>
      </c>
      <c r="AG196" s="20">
        <v>0.5</v>
      </c>
      <c r="AH196" s="20" t="s">
        <v>240</v>
      </c>
      <c r="AI196" s="28">
        <f>IF(COUNTIFS($W$3:$W$25,Presupuesto!$L$7,$Z$3:$Z$25,AD196)&gt;0,1,0)</f>
        <v>0</v>
      </c>
    </row>
    <row r="197" spans="29:35" x14ac:dyDescent="0.25">
      <c r="AC197" s="20" t="s">
        <v>639</v>
      </c>
      <c r="AD197" s="20" t="s">
        <v>421</v>
      </c>
      <c r="AE197" s="20" t="s">
        <v>173</v>
      </c>
      <c r="AF197" s="20" t="s">
        <v>390</v>
      </c>
      <c r="AG197" s="20">
        <v>0.13</v>
      </c>
      <c r="AH197" s="20" t="s">
        <v>240</v>
      </c>
      <c r="AI197" s="28">
        <f>IF(COUNTIFS($W$3:$W$25,Presupuesto!$L$7,$Z$3:$Z$25,AD197)&gt;0,1,0)</f>
        <v>0</v>
      </c>
    </row>
    <row r="198" spans="29:35" x14ac:dyDescent="0.25">
      <c r="AC198" s="20" t="s">
        <v>640</v>
      </c>
      <c r="AD198" s="20" t="s">
        <v>373</v>
      </c>
      <c r="AE198" s="20" t="s">
        <v>173</v>
      </c>
      <c r="AF198" s="20" t="s">
        <v>390</v>
      </c>
      <c r="AG198" s="20">
        <v>0.79</v>
      </c>
      <c r="AH198" s="20" t="s">
        <v>240</v>
      </c>
      <c r="AI198" s="28">
        <f>IF(COUNTIFS($W$3:$W$25,Presupuesto!$L$7,$Z$3:$Z$25,AD198)&gt;0,1,0)</f>
        <v>0</v>
      </c>
    </row>
    <row r="199" spans="29:35" x14ac:dyDescent="0.25">
      <c r="AC199" s="20" t="s">
        <v>641</v>
      </c>
      <c r="AD199" s="20" t="s">
        <v>408</v>
      </c>
      <c r="AE199" s="20" t="s">
        <v>173</v>
      </c>
      <c r="AF199" s="20" t="s">
        <v>390</v>
      </c>
      <c r="AG199" s="20">
        <v>0.13</v>
      </c>
      <c r="AH199" s="20" t="s">
        <v>240</v>
      </c>
      <c r="AI199" s="28">
        <f>IF(COUNTIFS($W$3:$W$25,Presupuesto!$L$7,$Z$3:$Z$25,AD199)&gt;0,1,0)</f>
        <v>0</v>
      </c>
    </row>
    <row r="200" spans="29:35" x14ac:dyDescent="0.25">
      <c r="AC200" s="20" t="s">
        <v>642</v>
      </c>
      <c r="AD200" s="20" t="s">
        <v>433</v>
      </c>
      <c r="AE200" s="20" t="s">
        <v>173</v>
      </c>
      <c r="AF200" s="20" t="s">
        <v>390</v>
      </c>
      <c r="AG200" s="20">
        <v>0.79</v>
      </c>
      <c r="AH200" s="20" t="s">
        <v>240</v>
      </c>
      <c r="AI200" s="28">
        <f>IF(COUNTIFS($W$3:$W$25,Presupuesto!$L$7,$Z$3:$Z$25,AD200)&gt;0,1,0)</f>
        <v>0</v>
      </c>
    </row>
    <row r="201" spans="29:35" x14ac:dyDescent="0.25">
      <c r="AC201" s="20" t="s">
        <v>643</v>
      </c>
      <c r="AD201" s="20" t="s">
        <v>362</v>
      </c>
      <c r="AE201" s="20" t="s">
        <v>173</v>
      </c>
      <c r="AF201" s="20" t="s">
        <v>390</v>
      </c>
      <c r="AG201" s="20">
        <v>0.05</v>
      </c>
      <c r="AH201" s="20" t="s">
        <v>240</v>
      </c>
      <c r="AI201" s="28">
        <f>IF(COUNTIFS($W$3:$W$25,Presupuesto!$L$7,$Z$3:$Z$25,AD201)&gt;0,1,0)</f>
        <v>0</v>
      </c>
    </row>
    <row r="202" spans="29:35" x14ac:dyDescent="0.25">
      <c r="AC202" s="20" t="s">
        <v>644</v>
      </c>
      <c r="AD202" s="20" t="s">
        <v>384</v>
      </c>
      <c r="AE202" s="20" t="s">
        <v>173</v>
      </c>
      <c r="AF202" s="20" t="s">
        <v>390</v>
      </c>
      <c r="AG202" s="20">
        <v>0.05</v>
      </c>
      <c r="AH202" s="20" t="s">
        <v>240</v>
      </c>
      <c r="AI202" s="28">
        <f>IF(COUNTIFS($W$3:$W$25,Presupuesto!$L$7,$Z$3:$Z$25,AD202)&gt;0,1,0)</f>
        <v>0</v>
      </c>
    </row>
    <row r="203" spans="29:35" x14ac:dyDescent="0.25">
      <c r="AC203" s="20" t="s">
        <v>645</v>
      </c>
      <c r="AD203" s="20" t="s">
        <v>436</v>
      </c>
      <c r="AE203" s="20" t="s">
        <v>173</v>
      </c>
      <c r="AF203" s="20" t="s">
        <v>390</v>
      </c>
      <c r="AG203" s="20">
        <v>1.05</v>
      </c>
      <c r="AH203" s="20" t="s">
        <v>240</v>
      </c>
      <c r="AI203" s="28">
        <f>IF(COUNTIFS($W$3:$W$25,Presupuesto!$L$7,$Z$3:$Z$25,AD203)&gt;0,1,0)</f>
        <v>0</v>
      </c>
    </row>
    <row r="204" spans="29:35" x14ac:dyDescent="0.25">
      <c r="AC204" s="20" t="s">
        <v>646</v>
      </c>
      <c r="AD204" s="20" t="s">
        <v>421</v>
      </c>
      <c r="AE204" s="20" t="s">
        <v>173</v>
      </c>
      <c r="AF204" s="20" t="s">
        <v>380</v>
      </c>
      <c r="AG204" s="20">
        <v>0.13</v>
      </c>
      <c r="AH204" s="20" t="s">
        <v>240</v>
      </c>
      <c r="AI204" s="28">
        <f>IF(COUNTIFS($W$3:$W$25,Presupuesto!$L$7,$Z$3:$Z$25,AD204)&gt;0,1,0)</f>
        <v>0</v>
      </c>
    </row>
    <row r="205" spans="29:35" x14ac:dyDescent="0.25">
      <c r="AC205" s="20" t="s">
        <v>647</v>
      </c>
      <c r="AD205" s="20" t="s">
        <v>373</v>
      </c>
      <c r="AE205" s="20" t="s">
        <v>173</v>
      </c>
      <c r="AF205" s="20" t="s">
        <v>380</v>
      </c>
      <c r="AG205" s="20">
        <v>0.79</v>
      </c>
      <c r="AH205" s="20" t="s">
        <v>240</v>
      </c>
      <c r="AI205" s="28">
        <f>IF(COUNTIFS($W$3:$W$25,Presupuesto!$L$7,$Z$3:$Z$25,AD205)&gt;0,1,0)</f>
        <v>0</v>
      </c>
    </row>
    <row r="206" spans="29:35" x14ac:dyDescent="0.25">
      <c r="AC206" s="20" t="s">
        <v>648</v>
      </c>
      <c r="AD206" s="20" t="s">
        <v>408</v>
      </c>
      <c r="AE206" s="20" t="s">
        <v>173</v>
      </c>
      <c r="AF206" s="20" t="s">
        <v>380</v>
      </c>
      <c r="AG206" s="20">
        <v>0.13</v>
      </c>
      <c r="AH206" s="20" t="s">
        <v>240</v>
      </c>
      <c r="AI206" s="28">
        <f>IF(COUNTIFS($W$3:$W$25,Presupuesto!$L$7,$Z$3:$Z$25,AD206)&gt;0,1,0)</f>
        <v>0</v>
      </c>
    </row>
    <row r="207" spans="29:35" x14ac:dyDescent="0.25">
      <c r="AC207" s="20" t="s">
        <v>649</v>
      </c>
      <c r="AD207" s="20" t="s">
        <v>433</v>
      </c>
      <c r="AE207" s="20" t="s">
        <v>173</v>
      </c>
      <c r="AF207" s="20" t="s">
        <v>380</v>
      </c>
      <c r="AG207" s="20">
        <v>0.79</v>
      </c>
      <c r="AH207" s="20" t="s">
        <v>240</v>
      </c>
      <c r="AI207" s="28">
        <f>IF(COUNTIFS($W$3:$W$25,Presupuesto!$L$7,$Z$3:$Z$25,AD207)&gt;0,1,0)</f>
        <v>0</v>
      </c>
    </row>
    <row r="208" spans="29:35" x14ac:dyDescent="0.25">
      <c r="AC208" s="20" t="s">
        <v>650</v>
      </c>
      <c r="AD208" s="20" t="s">
        <v>362</v>
      </c>
      <c r="AE208" s="20" t="s">
        <v>173</v>
      </c>
      <c r="AF208" s="20" t="s">
        <v>380</v>
      </c>
      <c r="AG208" s="20">
        <v>0.05</v>
      </c>
      <c r="AH208" s="20" t="s">
        <v>240</v>
      </c>
      <c r="AI208" s="28">
        <f>IF(COUNTIFS($W$3:$W$25,Presupuesto!$L$7,$Z$3:$Z$25,AD208)&gt;0,1,0)</f>
        <v>0</v>
      </c>
    </row>
    <row r="209" spans="29:35" x14ac:dyDescent="0.25">
      <c r="AC209" s="20" t="s">
        <v>651</v>
      </c>
      <c r="AD209" s="20" t="s">
        <v>384</v>
      </c>
      <c r="AE209" s="20" t="s">
        <v>173</v>
      </c>
      <c r="AF209" s="20" t="s">
        <v>380</v>
      </c>
      <c r="AG209" s="20">
        <v>0.05</v>
      </c>
      <c r="AH209" s="20" t="s">
        <v>240</v>
      </c>
      <c r="AI209" s="28">
        <f>IF(COUNTIFS($W$3:$W$25,Presupuesto!$L$7,$Z$3:$Z$25,AD209)&gt;0,1,0)</f>
        <v>0</v>
      </c>
    </row>
    <row r="210" spans="29:35" x14ac:dyDescent="0.25">
      <c r="AC210" s="20" t="s">
        <v>652</v>
      </c>
      <c r="AD210" s="20" t="s">
        <v>436</v>
      </c>
      <c r="AE210" s="20" t="s">
        <v>173</v>
      </c>
      <c r="AF210" s="20" t="s">
        <v>380</v>
      </c>
      <c r="AG210" s="20">
        <v>1.05</v>
      </c>
      <c r="AH210" s="20" t="s">
        <v>240</v>
      </c>
      <c r="AI210" s="28">
        <f>IF(COUNTIFS($W$3:$W$25,Presupuesto!$L$7,$Z$3:$Z$25,AD210)&gt;0,1,0)</f>
        <v>0</v>
      </c>
    </row>
    <row r="211" spans="29:35" x14ac:dyDescent="0.25">
      <c r="AC211" s="20" t="s">
        <v>653</v>
      </c>
      <c r="AD211" s="20" t="s">
        <v>421</v>
      </c>
      <c r="AE211" s="20" t="s">
        <v>173</v>
      </c>
      <c r="AF211" s="20" t="s">
        <v>368</v>
      </c>
      <c r="AG211" s="20">
        <v>0.13</v>
      </c>
      <c r="AH211" s="20" t="s">
        <v>240</v>
      </c>
      <c r="AI211" s="28">
        <f>IF(COUNTIFS($W$3:$W$25,Presupuesto!$L$7,$Z$3:$Z$25,AD211)&gt;0,1,0)</f>
        <v>0</v>
      </c>
    </row>
    <row r="212" spans="29:35" x14ac:dyDescent="0.25">
      <c r="AC212" s="20" t="s">
        <v>654</v>
      </c>
      <c r="AD212" s="20" t="s">
        <v>373</v>
      </c>
      <c r="AE212" s="20" t="s">
        <v>173</v>
      </c>
      <c r="AF212" s="20" t="s">
        <v>368</v>
      </c>
      <c r="AG212" s="20">
        <v>0.79</v>
      </c>
      <c r="AH212" s="20" t="s">
        <v>240</v>
      </c>
      <c r="AI212" s="28">
        <f>IF(COUNTIFS($W$3:$W$25,Presupuesto!$L$7,$Z$3:$Z$25,AD212)&gt;0,1,0)</f>
        <v>0</v>
      </c>
    </row>
    <row r="213" spans="29:35" x14ac:dyDescent="0.25">
      <c r="AC213" s="20" t="s">
        <v>655</v>
      </c>
      <c r="AD213" s="20" t="s">
        <v>408</v>
      </c>
      <c r="AE213" s="20" t="s">
        <v>173</v>
      </c>
      <c r="AF213" s="20" t="s">
        <v>368</v>
      </c>
      <c r="AG213" s="20">
        <v>0.13</v>
      </c>
      <c r="AH213" s="20" t="s">
        <v>240</v>
      </c>
      <c r="AI213" s="28">
        <f>IF(COUNTIFS($W$3:$W$25,Presupuesto!$L$7,$Z$3:$Z$25,AD213)&gt;0,1,0)</f>
        <v>0</v>
      </c>
    </row>
    <row r="214" spans="29:35" x14ac:dyDescent="0.25">
      <c r="AC214" s="20" t="s">
        <v>656</v>
      </c>
      <c r="AD214" s="20" t="s">
        <v>433</v>
      </c>
      <c r="AE214" s="20" t="s">
        <v>173</v>
      </c>
      <c r="AF214" s="20" t="s">
        <v>368</v>
      </c>
      <c r="AG214" s="20">
        <v>0.79</v>
      </c>
      <c r="AH214" s="20" t="s">
        <v>240</v>
      </c>
      <c r="AI214" s="28">
        <f>IF(COUNTIFS($W$3:$W$25,Presupuesto!$L$7,$Z$3:$Z$25,AD214)&gt;0,1,0)</f>
        <v>0</v>
      </c>
    </row>
    <row r="215" spans="29:35" x14ac:dyDescent="0.25">
      <c r="AC215" s="20" t="s">
        <v>657</v>
      </c>
      <c r="AD215" s="20" t="s">
        <v>362</v>
      </c>
      <c r="AE215" s="20" t="s">
        <v>173</v>
      </c>
      <c r="AF215" s="20" t="s">
        <v>368</v>
      </c>
      <c r="AG215" s="20">
        <v>0.05</v>
      </c>
      <c r="AH215" s="20" t="s">
        <v>240</v>
      </c>
      <c r="AI215" s="28">
        <f>IF(COUNTIFS($W$3:$W$25,Presupuesto!$L$7,$Z$3:$Z$25,AD215)&gt;0,1,0)</f>
        <v>0</v>
      </c>
    </row>
    <row r="216" spans="29:35" x14ac:dyDescent="0.25">
      <c r="AC216" s="20" t="s">
        <v>658</v>
      </c>
      <c r="AD216" s="20" t="s">
        <v>384</v>
      </c>
      <c r="AE216" s="20" t="s">
        <v>173</v>
      </c>
      <c r="AF216" s="20" t="s">
        <v>368</v>
      </c>
      <c r="AG216" s="20">
        <v>0.05</v>
      </c>
      <c r="AH216" s="20" t="s">
        <v>240</v>
      </c>
      <c r="AI216" s="28">
        <f>IF(COUNTIFS($W$3:$W$25,Presupuesto!$L$7,$Z$3:$Z$25,AD216)&gt;0,1,0)</f>
        <v>0</v>
      </c>
    </row>
    <row r="217" spans="29:35" x14ac:dyDescent="0.25">
      <c r="AC217" s="20" t="s">
        <v>659</v>
      </c>
      <c r="AD217" s="20" t="s">
        <v>436</v>
      </c>
      <c r="AE217" s="20" t="s">
        <v>173</v>
      </c>
      <c r="AF217" s="20" t="s">
        <v>368</v>
      </c>
      <c r="AG217" s="20">
        <v>1.05</v>
      </c>
      <c r="AH217" s="20" t="s">
        <v>240</v>
      </c>
      <c r="AI217" s="28">
        <f>IF(COUNTIFS($W$3:$W$25,Presupuesto!$L$7,$Z$3:$Z$25,AD217)&gt;0,1,0)</f>
        <v>0</v>
      </c>
    </row>
    <row r="218" spans="29:35" x14ac:dyDescent="0.25">
      <c r="AC218" s="20" t="s">
        <v>660</v>
      </c>
      <c r="AD218" s="20" t="s">
        <v>421</v>
      </c>
      <c r="AE218" s="20" t="s">
        <v>71</v>
      </c>
      <c r="AF218" s="20" t="s">
        <v>390</v>
      </c>
      <c r="AG218" s="20">
        <v>0.12</v>
      </c>
      <c r="AH218" s="20" t="s">
        <v>240</v>
      </c>
      <c r="AI218" s="28">
        <f>IF(COUNTIFS($W$3:$W$25,Presupuesto!$L$7,$Z$3:$Z$25,AD218)&gt;0,1,0)</f>
        <v>0</v>
      </c>
    </row>
    <row r="219" spans="29:35" x14ac:dyDescent="0.25">
      <c r="AC219" s="20" t="s">
        <v>661</v>
      </c>
      <c r="AD219" s="20" t="s">
        <v>373</v>
      </c>
      <c r="AE219" s="20" t="s">
        <v>71</v>
      </c>
      <c r="AF219" s="20" t="s">
        <v>390</v>
      </c>
      <c r="AG219" s="20">
        <v>0.5</v>
      </c>
      <c r="AH219" s="20" t="s">
        <v>240</v>
      </c>
      <c r="AI219" s="28">
        <f>IF(COUNTIFS($W$3:$W$25,Presupuesto!$L$7,$Z$3:$Z$25,AD219)&gt;0,1,0)</f>
        <v>0</v>
      </c>
    </row>
    <row r="220" spans="29:35" x14ac:dyDescent="0.25">
      <c r="AC220" s="20" t="s">
        <v>662</v>
      </c>
      <c r="AD220" s="20" t="s">
        <v>433</v>
      </c>
      <c r="AE220" s="20" t="s">
        <v>71</v>
      </c>
      <c r="AF220" s="20" t="s">
        <v>390</v>
      </c>
      <c r="AG220" s="20">
        <v>0.12</v>
      </c>
      <c r="AH220" s="20" t="s">
        <v>240</v>
      </c>
      <c r="AI220" s="28">
        <f>IF(COUNTIFS($W$3:$W$25,Presupuesto!$L$7,$Z$3:$Z$25,AD220)&gt;0,1,0)</f>
        <v>0</v>
      </c>
    </row>
    <row r="221" spans="29:35" x14ac:dyDescent="0.25">
      <c r="AC221" s="20" t="s">
        <v>663</v>
      </c>
      <c r="AD221" s="20" t="s">
        <v>408</v>
      </c>
      <c r="AE221" s="20" t="s">
        <v>71</v>
      </c>
      <c r="AF221" s="20" t="s">
        <v>390</v>
      </c>
      <c r="AG221" s="20">
        <v>0.12</v>
      </c>
      <c r="AH221" s="20" t="s">
        <v>240</v>
      </c>
      <c r="AI221" s="28">
        <f>IF(COUNTIFS($W$3:$W$25,Presupuesto!$L$7,$Z$3:$Z$25,AD221)&gt;0,1,0)</f>
        <v>0</v>
      </c>
    </row>
    <row r="222" spans="29:35" x14ac:dyDescent="0.25">
      <c r="AC222" s="20" t="s">
        <v>664</v>
      </c>
      <c r="AD222" s="20" t="s">
        <v>394</v>
      </c>
      <c r="AE222" s="20" t="s">
        <v>71</v>
      </c>
      <c r="AF222" s="20" t="s">
        <v>390</v>
      </c>
      <c r="AG222" s="20">
        <v>0</v>
      </c>
      <c r="AH222" s="20" t="s">
        <v>240</v>
      </c>
      <c r="AI222" s="28">
        <f>IF(COUNTIFS($W$3:$W$25,Presupuesto!$L$7,$Z$3:$Z$25,AD222)&gt;0,1,0)</f>
        <v>0</v>
      </c>
    </row>
    <row r="223" spans="29:35" x14ac:dyDescent="0.25">
      <c r="AC223" s="20" t="s">
        <v>665</v>
      </c>
      <c r="AD223" s="20" t="s">
        <v>362</v>
      </c>
      <c r="AE223" s="20" t="s">
        <v>71</v>
      </c>
      <c r="AF223" s="20" t="s">
        <v>390</v>
      </c>
      <c r="AG223" s="20">
        <v>0.05</v>
      </c>
      <c r="AH223" s="20" t="s">
        <v>240</v>
      </c>
      <c r="AI223" s="28">
        <f>IF(COUNTIFS($W$3:$W$25,Presupuesto!$L$7,$Z$3:$Z$25,AD223)&gt;0,1,0)</f>
        <v>0</v>
      </c>
    </row>
    <row r="224" spans="29:35" x14ac:dyDescent="0.25">
      <c r="AC224" s="20" t="s">
        <v>666</v>
      </c>
      <c r="AD224" s="20" t="s">
        <v>384</v>
      </c>
      <c r="AE224" s="20" t="s">
        <v>71</v>
      </c>
      <c r="AF224" s="20" t="s">
        <v>390</v>
      </c>
      <c r="AG224" s="20">
        <v>0.01</v>
      </c>
      <c r="AH224" s="20" t="s">
        <v>240</v>
      </c>
      <c r="AI224" s="28">
        <f>IF(COUNTIFS($W$3:$W$25,Presupuesto!$L$7,$Z$3:$Z$25,AD224)&gt;0,1,0)</f>
        <v>0</v>
      </c>
    </row>
    <row r="225" spans="29:35" x14ac:dyDescent="0.25">
      <c r="AC225" s="20" t="s">
        <v>667</v>
      </c>
      <c r="AD225" s="20" t="s">
        <v>436</v>
      </c>
      <c r="AE225" s="20" t="s">
        <v>71</v>
      </c>
      <c r="AF225" s="20" t="s">
        <v>390</v>
      </c>
      <c r="AG225" s="20">
        <v>0.5</v>
      </c>
      <c r="AH225" s="20" t="s">
        <v>240</v>
      </c>
      <c r="AI225" s="28">
        <f>IF(COUNTIFS($W$3:$W$25,Presupuesto!$L$7,$Z$3:$Z$25,AD225)&gt;0,1,0)</f>
        <v>0</v>
      </c>
    </row>
    <row r="226" spans="29:35" x14ac:dyDescent="0.25">
      <c r="AC226" s="20" t="s">
        <v>668</v>
      </c>
      <c r="AD226" s="20" t="s">
        <v>421</v>
      </c>
      <c r="AE226" s="20" t="s">
        <v>71</v>
      </c>
      <c r="AF226" s="20" t="s">
        <v>380</v>
      </c>
      <c r="AG226" s="20">
        <v>0.12</v>
      </c>
      <c r="AH226" s="20" t="s">
        <v>240</v>
      </c>
      <c r="AI226" s="28">
        <f>IF(COUNTIFS($W$3:$W$25,Presupuesto!$L$7,$Z$3:$Z$25,AD226)&gt;0,1,0)</f>
        <v>0</v>
      </c>
    </row>
    <row r="227" spans="29:35" x14ac:dyDescent="0.25">
      <c r="AC227" s="20" t="s">
        <v>669</v>
      </c>
      <c r="AD227" s="20" t="s">
        <v>433</v>
      </c>
      <c r="AE227" s="20" t="s">
        <v>71</v>
      </c>
      <c r="AF227" s="20" t="s">
        <v>380</v>
      </c>
      <c r="AG227" s="20">
        <v>0.12</v>
      </c>
      <c r="AH227" s="20" t="s">
        <v>240</v>
      </c>
      <c r="AI227" s="28">
        <f>IF(COUNTIFS($W$3:$W$25,Presupuesto!$L$7,$Z$3:$Z$25,AD227)&gt;0,1,0)</f>
        <v>0</v>
      </c>
    </row>
    <row r="228" spans="29:35" x14ac:dyDescent="0.25">
      <c r="AC228" s="20" t="s">
        <v>670</v>
      </c>
      <c r="AD228" s="20" t="s">
        <v>408</v>
      </c>
      <c r="AE228" s="20" t="s">
        <v>71</v>
      </c>
      <c r="AF228" s="20" t="s">
        <v>380</v>
      </c>
      <c r="AG228" s="20">
        <v>0.12</v>
      </c>
      <c r="AH228" s="20" t="s">
        <v>240</v>
      </c>
      <c r="AI228" s="28">
        <f>IF(COUNTIFS($W$3:$W$25,Presupuesto!$L$7,$Z$3:$Z$25,AD228)&gt;0,1,0)</f>
        <v>0</v>
      </c>
    </row>
    <row r="229" spans="29:35" x14ac:dyDescent="0.25">
      <c r="AC229" s="20" t="s">
        <v>671</v>
      </c>
      <c r="AD229" s="20" t="s">
        <v>394</v>
      </c>
      <c r="AE229" s="20" t="s">
        <v>71</v>
      </c>
      <c r="AF229" s="20" t="s">
        <v>380</v>
      </c>
      <c r="AG229" s="20">
        <v>0</v>
      </c>
      <c r="AH229" s="20" t="s">
        <v>240</v>
      </c>
      <c r="AI229" s="28">
        <f>IF(COUNTIFS($W$3:$W$25,Presupuesto!$L$7,$Z$3:$Z$25,AD229)&gt;0,1,0)</f>
        <v>0</v>
      </c>
    </row>
    <row r="230" spans="29:35" x14ac:dyDescent="0.25">
      <c r="AC230" s="20" t="s">
        <v>672</v>
      </c>
      <c r="AD230" s="20" t="s">
        <v>362</v>
      </c>
      <c r="AE230" s="20" t="s">
        <v>71</v>
      </c>
      <c r="AF230" s="20" t="s">
        <v>380</v>
      </c>
      <c r="AG230" s="20">
        <v>0.05</v>
      </c>
      <c r="AH230" s="20" t="s">
        <v>240</v>
      </c>
      <c r="AI230" s="28">
        <f>IF(COUNTIFS($W$3:$W$25,Presupuesto!$L$7,$Z$3:$Z$25,AD230)&gt;0,1,0)</f>
        <v>0</v>
      </c>
    </row>
    <row r="231" spans="29:35" x14ac:dyDescent="0.25">
      <c r="AC231" s="20" t="s">
        <v>673</v>
      </c>
      <c r="AD231" s="20" t="s">
        <v>384</v>
      </c>
      <c r="AE231" s="20" t="s">
        <v>71</v>
      </c>
      <c r="AF231" s="20" t="s">
        <v>380</v>
      </c>
      <c r="AG231" s="20">
        <v>0.01</v>
      </c>
      <c r="AH231" s="20" t="s">
        <v>240</v>
      </c>
      <c r="AI231" s="28">
        <f>IF(COUNTIFS($W$3:$W$25,Presupuesto!$L$7,$Z$3:$Z$25,AD231)&gt;0,1,0)</f>
        <v>0</v>
      </c>
    </row>
    <row r="232" spans="29:35" x14ac:dyDescent="0.25">
      <c r="AC232" s="20" t="s">
        <v>674</v>
      </c>
      <c r="AD232" s="20" t="s">
        <v>436</v>
      </c>
      <c r="AE232" s="20" t="s">
        <v>71</v>
      </c>
      <c r="AF232" s="20" t="s">
        <v>380</v>
      </c>
      <c r="AG232" s="20">
        <v>0.5</v>
      </c>
      <c r="AH232" s="20" t="s">
        <v>240</v>
      </c>
      <c r="AI232" s="28">
        <f>IF(COUNTIFS($W$3:$W$25,Presupuesto!$L$7,$Z$3:$Z$25,AD232)&gt;0,1,0)</f>
        <v>0</v>
      </c>
    </row>
    <row r="233" spans="29:35" x14ac:dyDescent="0.25">
      <c r="AC233" s="20" t="s">
        <v>675</v>
      </c>
      <c r="AD233" s="20" t="s">
        <v>421</v>
      </c>
      <c r="AE233" s="20" t="s">
        <v>71</v>
      </c>
      <c r="AF233" s="20" t="s">
        <v>368</v>
      </c>
      <c r="AG233" s="20">
        <v>0.12</v>
      </c>
      <c r="AH233" s="20" t="s">
        <v>240</v>
      </c>
      <c r="AI233" s="28">
        <f>IF(COUNTIFS($W$3:$W$25,Presupuesto!$L$7,$Z$3:$Z$25,AD233)&gt;0,1,0)</f>
        <v>0</v>
      </c>
    </row>
    <row r="234" spans="29:35" x14ac:dyDescent="0.25">
      <c r="AC234" s="20" t="s">
        <v>676</v>
      </c>
      <c r="AD234" s="20" t="s">
        <v>433</v>
      </c>
      <c r="AE234" s="20" t="s">
        <v>71</v>
      </c>
      <c r="AF234" s="20" t="s">
        <v>368</v>
      </c>
      <c r="AG234" s="20">
        <v>0.12</v>
      </c>
      <c r="AH234" s="20" t="s">
        <v>240</v>
      </c>
      <c r="AI234" s="28">
        <f>IF(COUNTIFS($W$3:$W$25,Presupuesto!$L$7,$Z$3:$Z$25,AD234)&gt;0,1,0)</f>
        <v>0</v>
      </c>
    </row>
    <row r="235" spans="29:35" x14ac:dyDescent="0.25">
      <c r="AC235" s="20" t="s">
        <v>677</v>
      </c>
      <c r="AD235" s="20" t="s">
        <v>408</v>
      </c>
      <c r="AE235" s="20" t="s">
        <v>71</v>
      </c>
      <c r="AF235" s="20" t="s">
        <v>368</v>
      </c>
      <c r="AG235" s="20">
        <v>0.12</v>
      </c>
      <c r="AH235" s="20" t="s">
        <v>240</v>
      </c>
      <c r="AI235" s="28">
        <f>IF(COUNTIFS($W$3:$W$25,Presupuesto!$L$7,$Z$3:$Z$25,AD235)&gt;0,1,0)</f>
        <v>0</v>
      </c>
    </row>
    <row r="236" spans="29:35" x14ac:dyDescent="0.25">
      <c r="AC236" s="20" t="s">
        <v>678</v>
      </c>
      <c r="AD236" s="20" t="s">
        <v>394</v>
      </c>
      <c r="AE236" s="20" t="s">
        <v>71</v>
      </c>
      <c r="AF236" s="20" t="s">
        <v>368</v>
      </c>
      <c r="AG236" s="20">
        <v>0</v>
      </c>
      <c r="AH236" s="20" t="s">
        <v>240</v>
      </c>
      <c r="AI236" s="28">
        <f>IF(COUNTIFS($W$3:$W$25,Presupuesto!$L$7,$Z$3:$Z$25,AD236)&gt;0,1,0)</f>
        <v>0</v>
      </c>
    </row>
    <row r="237" spans="29:35" x14ac:dyDescent="0.25">
      <c r="AC237" s="20" t="s">
        <v>679</v>
      </c>
      <c r="AD237" s="20" t="s">
        <v>362</v>
      </c>
      <c r="AE237" s="20" t="s">
        <v>71</v>
      </c>
      <c r="AF237" s="20" t="s">
        <v>368</v>
      </c>
      <c r="AG237" s="20">
        <v>0.05</v>
      </c>
      <c r="AH237" s="20" t="s">
        <v>240</v>
      </c>
      <c r="AI237" s="28">
        <f>IF(COUNTIFS($W$3:$W$25,Presupuesto!$L$7,$Z$3:$Z$25,AD237)&gt;0,1,0)</f>
        <v>0</v>
      </c>
    </row>
    <row r="238" spans="29:35" x14ac:dyDescent="0.25">
      <c r="AC238" s="20" t="s">
        <v>680</v>
      </c>
      <c r="AD238" s="20" t="s">
        <v>384</v>
      </c>
      <c r="AE238" s="20" t="s">
        <v>71</v>
      </c>
      <c r="AF238" s="20" t="s">
        <v>368</v>
      </c>
      <c r="AG238" s="20">
        <v>0.01</v>
      </c>
      <c r="AH238" s="20" t="s">
        <v>240</v>
      </c>
      <c r="AI238" s="28">
        <f>IF(COUNTIFS($W$3:$W$25,Presupuesto!$L$7,$Z$3:$Z$25,AD238)&gt;0,1,0)</f>
        <v>0</v>
      </c>
    </row>
    <row r="239" spans="29:35" x14ac:dyDescent="0.25">
      <c r="AC239" s="20" t="s">
        <v>681</v>
      </c>
      <c r="AD239" s="20" t="s">
        <v>436</v>
      </c>
      <c r="AE239" s="20" t="s">
        <v>71</v>
      </c>
      <c r="AF239" s="20" t="s">
        <v>368</v>
      </c>
      <c r="AG239" s="20">
        <v>0.5</v>
      </c>
      <c r="AH239" s="20" t="s">
        <v>240</v>
      </c>
      <c r="AI239" s="28">
        <f>IF(COUNTIFS($W$3:$W$25,Presupuesto!$L$7,$Z$3:$Z$25,AD239)&gt;0,1,0)</f>
        <v>0</v>
      </c>
    </row>
    <row r="240" spans="29:35" x14ac:dyDescent="0.25">
      <c r="AC240" s="20" t="s">
        <v>682</v>
      </c>
      <c r="AD240" s="20" t="s">
        <v>415</v>
      </c>
      <c r="AE240" s="20" t="s">
        <v>71</v>
      </c>
      <c r="AF240" s="20" t="s">
        <v>390</v>
      </c>
      <c r="AG240" s="20">
        <v>3.58</v>
      </c>
      <c r="AH240" s="20" t="s">
        <v>240</v>
      </c>
      <c r="AI240" s="28">
        <f>IF(COUNTIFS($W$3:$W$25,Presupuesto!$L$7,$Z$3:$Z$25,AD240)&gt;0,1,0)</f>
        <v>0</v>
      </c>
    </row>
    <row r="241" spans="29:35" x14ac:dyDescent="0.25">
      <c r="AC241" s="20" t="s">
        <v>683</v>
      </c>
      <c r="AD241" s="20" t="s">
        <v>415</v>
      </c>
      <c r="AE241" s="20" t="s">
        <v>71</v>
      </c>
      <c r="AF241" s="20" t="s">
        <v>380</v>
      </c>
      <c r="AG241" s="20">
        <v>3.58</v>
      </c>
      <c r="AH241" s="20" t="s">
        <v>240</v>
      </c>
      <c r="AI241" s="28">
        <f>IF(COUNTIFS($W$3:$W$25,Presupuesto!$L$7,$Z$3:$Z$25,AD241)&gt;0,1,0)</f>
        <v>0</v>
      </c>
    </row>
    <row r="242" spans="29:35" x14ac:dyDescent="0.25">
      <c r="AC242" s="20" t="s">
        <v>684</v>
      </c>
      <c r="AD242" s="20" t="s">
        <v>415</v>
      </c>
      <c r="AE242" s="20" t="s">
        <v>71</v>
      </c>
      <c r="AF242" s="20" t="s">
        <v>368</v>
      </c>
      <c r="AG242" s="20">
        <v>3.58</v>
      </c>
      <c r="AH242" s="20" t="s">
        <v>240</v>
      </c>
      <c r="AI242" s="28">
        <f>IF(COUNTIFS($W$3:$W$25,Presupuesto!$L$7,$Z$3:$Z$25,AD242)&gt;0,1,0)</f>
        <v>0</v>
      </c>
    </row>
    <row r="243" spans="29:35" x14ac:dyDescent="0.25">
      <c r="AC243" s="20" t="s">
        <v>685</v>
      </c>
      <c r="AD243" s="20" t="s">
        <v>421</v>
      </c>
      <c r="AE243" s="20" t="s">
        <v>142</v>
      </c>
      <c r="AF243" s="20" t="s">
        <v>390</v>
      </c>
      <c r="AG243" s="20">
        <v>0.13</v>
      </c>
      <c r="AH243" s="20" t="s">
        <v>240</v>
      </c>
      <c r="AI243" s="28">
        <f>IF(COUNTIFS($W$3:$W$25,Presupuesto!$L$7,$Z$3:$Z$25,AD243)&gt;0,1,0)</f>
        <v>0</v>
      </c>
    </row>
    <row r="244" spans="29:35" x14ac:dyDescent="0.25">
      <c r="AC244" s="20" t="s">
        <v>686</v>
      </c>
      <c r="AD244" s="20" t="s">
        <v>408</v>
      </c>
      <c r="AE244" s="20" t="s">
        <v>142</v>
      </c>
      <c r="AF244" s="20" t="s">
        <v>390</v>
      </c>
      <c r="AG244" s="20">
        <v>0</v>
      </c>
      <c r="AH244" s="20" t="s">
        <v>240</v>
      </c>
      <c r="AI244" s="28">
        <f>IF(COUNTIFS($W$3:$W$25,Presupuesto!$L$7,$Z$3:$Z$25,AD244)&gt;0,1,0)</f>
        <v>0</v>
      </c>
    </row>
    <row r="245" spans="29:35" x14ac:dyDescent="0.25">
      <c r="AC245" s="20" t="s">
        <v>687</v>
      </c>
      <c r="AD245" s="20" t="s">
        <v>394</v>
      </c>
      <c r="AE245" s="20" t="s">
        <v>142</v>
      </c>
      <c r="AF245" s="20" t="s">
        <v>390</v>
      </c>
      <c r="AG245" s="20">
        <v>0</v>
      </c>
      <c r="AH245" s="20" t="s">
        <v>240</v>
      </c>
      <c r="AI245" s="28">
        <f>IF(COUNTIFS($W$3:$W$25,Presupuesto!$L$7,$Z$3:$Z$25,AD245)&gt;0,1,0)</f>
        <v>0</v>
      </c>
    </row>
    <row r="246" spans="29:35" x14ac:dyDescent="0.25">
      <c r="AC246" s="20" t="s">
        <v>688</v>
      </c>
      <c r="AD246" s="20" t="s">
        <v>362</v>
      </c>
      <c r="AE246" s="20" t="s">
        <v>142</v>
      </c>
      <c r="AF246" s="20" t="s">
        <v>390</v>
      </c>
      <c r="AG246" s="20">
        <v>0</v>
      </c>
      <c r="AH246" s="20" t="s">
        <v>240</v>
      </c>
      <c r="AI246" s="28">
        <f>IF(COUNTIFS($W$3:$W$25,Presupuesto!$L$7,$Z$3:$Z$25,AD246)&gt;0,1,0)</f>
        <v>0</v>
      </c>
    </row>
    <row r="247" spans="29:35" x14ac:dyDescent="0.25">
      <c r="AC247" s="20" t="s">
        <v>689</v>
      </c>
      <c r="AD247" s="20" t="s">
        <v>384</v>
      </c>
      <c r="AE247" s="20" t="s">
        <v>142</v>
      </c>
      <c r="AF247" s="20" t="s">
        <v>390</v>
      </c>
      <c r="AG247" s="20">
        <v>0</v>
      </c>
      <c r="AH247" s="20" t="s">
        <v>240</v>
      </c>
      <c r="AI247" s="28">
        <f>IF(COUNTIFS($W$3:$W$25,Presupuesto!$L$7,$Z$3:$Z$25,AD247)&gt;0,1,0)</f>
        <v>0</v>
      </c>
    </row>
    <row r="248" spans="29:35" x14ac:dyDescent="0.25">
      <c r="AC248" s="20" t="s">
        <v>690</v>
      </c>
      <c r="AD248" s="20" t="s">
        <v>436</v>
      </c>
      <c r="AE248" s="20" t="s">
        <v>142</v>
      </c>
      <c r="AF248" s="20" t="s">
        <v>390</v>
      </c>
      <c r="AG248" s="20">
        <v>0.53</v>
      </c>
      <c r="AH248" s="20" t="s">
        <v>240</v>
      </c>
      <c r="AI248" s="28">
        <f>IF(COUNTIFS($W$3:$W$25,Presupuesto!$L$7,$Z$3:$Z$25,AD248)&gt;0,1,0)</f>
        <v>0</v>
      </c>
    </row>
    <row r="249" spans="29:35" x14ac:dyDescent="0.25">
      <c r="AC249" s="20" t="s">
        <v>691</v>
      </c>
      <c r="AD249" s="20" t="s">
        <v>421</v>
      </c>
      <c r="AE249" s="20" t="s">
        <v>142</v>
      </c>
      <c r="AF249" s="20" t="s">
        <v>380</v>
      </c>
      <c r="AG249" s="20">
        <v>0.13</v>
      </c>
      <c r="AH249" s="20" t="s">
        <v>240</v>
      </c>
      <c r="AI249" s="28">
        <f>IF(COUNTIFS($W$3:$W$25,Presupuesto!$L$7,$Z$3:$Z$25,AD249)&gt;0,1,0)</f>
        <v>0</v>
      </c>
    </row>
    <row r="250" spans="29:35" x14ac:dyDescent="0.25">
      <c r="AC250" s="20" t="s">
        <v>692</v>
      </c>
      <c r="AD250" s="20" t="s">
        <v>408</v>
      </c>
      <c r="AE250" s="20" t="s">
        <v>142</v>
      </c>
      <c r="AF250" s="20" t="s">
        <v>380</v>
      </c>
      <c r="AG250" s="20">
        <v>0</v>
      </c>
      <c r="AH250" s="20" t="s">
        <v>240</v>
      </c>
      <c r="AI250" s="28">
        <f>IF(COUNTIFS($W$3:$W$25,Presupuesto!$L$7,$Z$3:$Z$25,AD250)&gt;0,1,0)</f>
        <v>0</v>
      </c>
    </row>
    <row r="251" spans="29:35" x14ac:dyDescent="0.25">
      <c r="AC251" s="20" t="s">
        <v>693</v>
      </c>
      <c r="AD251" s="20" t="s">
        <v>394</v>
      </c>
      <c r="AE251" s="20" t="s">
        <v>142</v>
      </c>
      <c r="AF251" s="20" t="s">
        <v>380</v>
      </c>
      <c r="AG251" s="20">
        <v>0</v>
      </c>
      <c r="AH251" s="20" t="s">
        <v>240</v>
      </c>
      <c r="AI251" s="28">
        <f>IF(COUNTIFS($W$3:$W$25,Presupuesto!$L$7,$Z$3:$Z$25,AD251)&gt;0,1,0)</f>
        <v>0</v>
      </c>
    </row>
    <row r="252" spans="29:35" x14ac:dyDescent="0.25">
      <c r="AC252" s="20" t="s">
        <v>694</v>
      </c>
      <c r="AD252" s="20" t="s">
        <v>362</v>
      </c>
      <c r="AE252" s="20" t="s">
        <v>142</v>
      </c>
      <c r="AF252" s="20" t="s">
        <v>380</v>
      </c>
      <c r="AG252" s="20">
        <v>0</v>
      </c>
      <c r="AH252" s="20" t="s">
        <v>240</v>
      </c>
      <c r="AI252" s="28">
        <f>IF(COUNTIFS($W$3:$W$25,Presupuesto!$L$7,$Z$3:$Z$25,AD252)&gt;0,1,0)</f>
        <v>0</v>
      </c>
    </row>
    <row r="253" spans="29:35" x14ac:dyDescent="0.25">
      <c r="AC253" s="20" t="s">
        <v>695</v>
      </c>
      <c r="AD253" s="20" t="s">
        <v>384</v>
      </c>
      <c r="AE253" s="20" t="s">
        <v>142</v>
      </c>
      <c r="AF253" s="20" t="s">
        <v>380</v>
      </c>
      <c r="AG253" s="20">
        <v>0</v>
      </c>
      <c r="AH253" s="20" t="s">
        <v>240</v>
      </c>
      <c r="AI253" s="28">
        <f>IF(COUNTIFS($W$3:$W$25,Presupuesto!$L$7,$Z$3:$Z$25,AD253)&gt;0,1,0)</f>
        <v>0</v>
      </c>
    </row>
    <row r="254" spans="29:35" x14ac:dyDescent="0.25">
      <c r="AC254" s="20" t="s">
        <v>696</v>
      </c>
      <c r="AD254" s="20" t="s">
        <v>436</v>
      </c>
      <c r="AE254" s="20" t="s">
        <v>142</v>
      </c>
      <c r="AF254" s="20" t="s">
        <v>380</v>
      </c>
      <c r="AG254" s="20">
        <v>0.53</v>
      </c>
      <c r="AH254" s="20" t="s">
        <v>240</v>
      </c>
      <c r="AI254" s="28">
        <f>IF(COUNTIFS($W$3:$W$25,Presupuesto!$L$7,$Z$3:$Z$25,AD254)&gt;0,1,0)</f>
        <v>0</v>
      </c>
    </row>
    <row r="255" spans="29:35" x14ac:dyDescent="0.25">
      <c r="AC255" s="20" t="s">
        <v>697</v>
      </c>
      <c r="AD255" s="20" t="s">
        <v>421</v>
      </c>
      <c r="AE255" s="20" t="s">
        <v>142</v>
      </c>
      <c r="AF255" s="20" t="s">
        <v>368</v>
      </c>
      <c r="AG255" s="20">
        <v>0.13</v>
      </c>
      <c r="AH255" s="20" t="s">
        <v>240</v>
      </c>
      <c r="AI255" s="28">
        <f>IF(COUNTIFS($W$3:$W$25,Presupuesto!$L$7,$Z$3:$Z$25,AD255)&gt;0,1,0)</f>
        <v>0</v>
      </c>
    </row>
    <row r="256" spans="29:35" x14ac:dyDescent="0.25">
      <c r="AC256" s="20" t="s">
        <v>698</v>
      </c>
      <c r="AD256" s="20" t="s">
        <v>408</v>
      </c>
      <c r="AE256" s="20" t="s">
        <v>142</v>
      </c>
      <c r="AF256" s="20" t="s">
        <v>368</v>
      </c>
      <c r="AG256" s="20">
        <v>0</v>
      </c>
      <c r="AH256" s="20" t="s">
        <v>240</v>
      </c>
      <c r="AI256" s="28">
        <f>IF(COUNTIFS($W$3:$W$25,Presupuesto!$L$7,$Z$3:$Z$25,AD256)&gt;0,1,0)</f>
        <v>0</v>
      </c>
    </row>
    <row r="257" spans="29:35" x14ac:dyDescent="0.25">
      <c r="AC257" s="20" t="s">
        <v>699</v>
      </c>
      <c r="AD257" s="20" t="s">
        <v>394</v>
      </c>
      <c r="AE257" s="20" t="s">
        <v>142</v>
      </c>
      <c r="AF257" s="20" t="s">
        <v>368</v>
      </c>
      <c r="AG257" s="20">
        <v>0</v>
      </c>
      <c r="AH257" s="20" t="s">
        <v>240</v>
      </c>
      <c r="AI257" s="28">
        <f>IF(COUNTIFS($W$3:$W$25,Presupuesto!$L$7,$Z$3:$Z$25,AD257)&gt;0,1,0)</f>
        <v>0</v>
      </c>
    </row>
    <row r="258" spans="29:35" x14ac:dyDescent="0.25">
      <c r="AC258" s="20" t="s">
        <v>700</v>
      </c>
      <c r="AD258" s="20" t="s">
        <v>362</v>
      </c>
      <c r="AE258" s="20" t="s">
        <v>142</v>
      </c>
      <c r="AF258" s="20" t="s">
        <v>368</v>
      </c>
      <c r="AG258" s="20">
        <v>0</v>
      </c>
      <c r="AH258" s="20" t="s">
        <v>240</v>
      </c>
      <c r="AI258" s="28">
        <f>IF(COUNTIFS($W$3:$W$25,Presupuesto!$L$7,$Z$3:$Z$25,AD258)&gt;0,1,0)</f>
        <v>0</v>
      </c>
    </row>
    <row r="259" spans="29:35" x14ac:dyDescent="0.25">
      <c r="AC259" s="20" t="s">
        <v>701</v>
      </c>
      <c r="AD259" s="20" t="s">
        <v>384</v>
      </c>
      <c r="AE259" s="20" t="s">
        <v>142</v>
      </c>
      <c r="AF259" s="20" t="s">
        <v>368</v>
      </c>
      <c r="AG259" s="20">
        <v>0</v>
      </c>
      <c r="AH259" s="20" t="s">
        <v>240</v>
      </c>
      <c r="AI259" s="28">
        <f>IF(COUNTIFS($W$3:$W$25,Presupuesto!$L$7,$Z$3:$Z$25,AD259)&gt;0,1,0)</f>
        <v>0</v>
      </c>
    </row>
    <row r="260" spans="29:35" x14ac:dyDescent="0.25">
      <c r="AC260" s="20" t="s">
        <v>702</v>
      </c>
      <c r="AD260" s="20" t="s">
        <v>436</v>
      </c>
      <c r="AE260" s="20" t="s">
        <v>142</v>
      </c>
      <c r="AF260" s="20" t="s">
        <v>368</v>
      </c>
      <c r="AG260" s="20">
        <v>0.53</v>
      </c>
      <c r="AH260" s="20" t="s">
        <v>240</v>
      </c>
      <c r="AI260" s="28">
        <f>IF(COUNTIFS($W$3:$W$25,Presupuesto!$L$7,$Z$3:$Z$25,AD260)&gt;0,1,0)</f>
        <v>0</v>
      </c>
    </row>
    <row r="261" spans="29:35" x14ac:dyDescent="0.25">
      <c r="AC261" s="20" t="s">
        <v>703</v>
      </c>
      <c r="AD261" s="20" t="s">
        <v>433</v>
      </c>
      <c r="AE261" s="20" t="s">
        <v>142</v>
      </c>
      <c r="AF261" s="20" t="s">
        <v>390</v>
      </c>
      <c r="AG261" s="20">
        <v>0.13</v>
      </c>
      <c r="AH261" s="20" t="s">
        <v>240</v>
      </c>
      <c r="AI261" s="28">
        <f>IF(COUNTIFS($W$3:$W$25,Presupuesto!$L$7,$Z$3:$Z$25,AD261)&gt;0,1,0)</f>
        <v>0</v>
      </c>
    </row>
    <row r="262" spans="29:35" x14ac:dyDescent="0.25">
      <c r="AC262" s="20" t="s">
        <v>704</v>
      </c>
      <c r="AD262" s="20" t="s">
        <v>433</v>
      </c>
      <c r="AE262" s="20" t="s">
        <v>142</v>
      </c>
      <c r="AF262" s="20" t="s">
        <v>380</v>
      </c>
      <c r="AG262" s="20">
        <v>0.13</v>
      </c>
      <c r="AH262" s="20" t="s">
        <v>240</v>
      </c>
      <c r="AI262" s="28">
        <f>IF(COUNTIFS($W$3:$W$25,Presupuesto!$L$7,$Z$3:$Z$25,AD262)&gt;0,1,0)</f>
        <v>0</v>
      </c>
    </row>
    <row r="263" spans="29:35" x14ac:dyDescent="0.25">
      <c r="AC263" s="20" t="s">
        <v>705</v>
      </c>
      <c r="AD263" s="20" t="s">
        <v>433</v>
      </c>
      <c r="AE263" s="20" t="s">
        <v>142</v>
      </c>
      <c r="AF263" s="20" t="s">
        <v>368</v>
      </c>
      <c r="AG263" s="20">
        <v>0.13</v>
      </c>
      <c r="AH263" s="20" t="s">
        <v>240</v>
      </c>
      <c r="AI263" s="28">
        <f>IF(COUNTIFS($W$3:$W$25,Presupuesto!$L$7,$Z$3:$Z$25,AD263)&gt;0,1,0)</f>
        <v>0</v>
      </c>
    </row>
    <row r="264" spans="29:35" x14ac:dyDescent="0.25">
      <c r="AC264" s="20" t="s">
        <v>706</v>
      </c>
      <c r="AD264" s="20" t="s">
        <v>415</v>
      </c>
      <c r="AE264" s="20" t="s">
        <v>142</v>
      </c>
      <c r="AF264" s="20" t="s">
        <v>390</v>
      </c>
      <c r="AG264" s="20">
        <v>1.45</v>
      </c>
      <c r="AH264" s="20" t="s">
        <v>240</v>
      </c>
      <c r="AI264" s="28">
        <f>IF(COUNTIFS($W$3:$W$25,Presupuesto!$L$7,$Z$3:$Z$25,AD264)&gt;0,1,0)</f>
        <v>0</v>
      </c>
    </row>
    <row r="265" spans="29:35" x14ac:dyDescent="0.25">
      <c r="AC265" s="20" t="s">
        <v>707</v>
      </c>
      <c r="AD265" s="20" t="s">
        <v>415</v>
      </c>
      <c r="AE265" s="20" t="s">
        <v>142</v>
      </c>
      <c r="AF265" s="20" t="s">
        <v>380</v>
      </c>
      <c r="AG265" s="20">
        <v>1.45</v>
      </c>
      <c r="AH265" s="20" t="s">
        <v>240</v>
      </c>
      <c r="AI265" s="28">
        <f>IF(COUNTIFS($W$3:$W$25,Presupuesto!$L$7,$Z$3:$Z$25,AD265)&gt;0,1,0)</f>
        <v>0</v>
      </c>
    </row>
    <row r="266" spans="29:35" x14ac:dyDescent="0.25">
      <c r="AC266" s="20" t="s">
        <v>708</v>
      </c>
      <c r="AD266" s="20" t="s">
        <v>415</v>
      </c>
      <c r="AE266" s="20" t="s">
        <v>142</v>
      </c>
      <c r="AF266" s="20" t="s">
        <v>368</v>
      </c>
      <c r="AG266" s="20">
        <v>1.45</v>
      </c>
      <c r="AH266" s="20" t="s">
        <v>240</v>
      </c>
      <c r="AI266" s="28">
        <f>IF(COUNTIFS($W$3:$W$25,Presupuesto!$L$7,$Z$3:$Z$25,AD266)&gt;0,1,0)</f>
        <v>0</v>
      </c>
    </row>
    <row r="267" spans="29:35" x14ac:dyDescent="0.25">
      <c r="AC267" s="20" t="s">
        <v>709</v>
      </c>
      <c r="AD267" s="20" t="s">
        <v>421</v>
      </c>
      <c r="AE267" s="20" t="s">
        <v>110</v>
      </c>
      <c r="AF267" s="20" t="s">
        <v>390</v>
      </c>
      <c r="AG267" s="20">
        <v>0.18</v>
      </c>
      <c r="AH267" s="20" t="s">
        <v>240</v>
      </c>
      <c r="AI267" s="28">
        <f>IF(COUNTIFS($W$3:$W$25,Presupuesto!$L$7,$Z$3:$Z$25,AD267)&gt;0,1,0)</f>
        <v>0</v>
      </c>
    </row>
    <row r="268" spans="29:35" x14ac:dyDescent="0.25">
      <c r="AC268" s="20" t="s">
        <v>710</v>
      </c>
      <c r="AD268" s="20" t="s">
        <v>373</v>
      </c>
      <c r="AE268" s="20" t="s">
        <v>110</v>
      </c>
      <c r="AF268" s="20" t="s">
        <v>390</v>
      </c>
      <c r="AG268" s="20">
        <v>1.1499999999999999</v>
      </c>
      <c r="AH268" s="20" t="s">
        <v>240</v>
      </c>
      <c r="AI268" s="28">
        <f>IF(COUNTIFS($W$3:$W$25,Presupuesto!$L$7,$Z$3:$Z$25,AD268)&gt;0,1,0)</f>
        <v>0</v>
      </c>
    </row>
    <row r="269" spans="29:35" x14ac:dyDescent="0.25">
      <c r="AC269" s="20" t="s">
        <v>711</v>
      </c>
      <c r="AD269" s="20" t="s">
        <v>408</v>
      </c>
      <c r="AE269" s="20" t="s">
        <v>110</v>
      </c>
      <c r="AF269" s="20" t="s">
        <v>390</v>
      </c>
      <c r="AG269" s="20">
        <v>0.13</v>
      </c>
      <c r="AH269" s="20" t="s">
        <v>240</v>
      </c>
      <c r="AI269" s="28">
        <f>IF(COUNTIFS($W$3:$W$25,Presupuesto!$L$7,$Z$3:$Z$25,AD269)&gt;0,1,0)</f>
        <v>0</v>
      </c>
    </row>
    <row r="270" spans="29:35" x14ac:dyDescent="0.25">
      <c r="AC270" s="20" t="s">
        <v>712</v>
      </c>
      <c r="AD270" s="20" t="s">
        <v>394</v>
      </c>
      <c r="AE270" s="20" t="s">
        <v>110</v>
      </c>
      <c r="AF270" s="20" t="s">
        <v>390</v>
      </c>
      <c r="AG270" s="20">
        <v>0.51</v>
      </c>
      <c r="AH270" s="20" t="s">
        <v>240</v>
      </c>
      <c r="AI270" s="28">
        <f>IF(COUNTIFS($W$3:$W$25,Presupuesto!$L$7,$Z$3:$Z$25,AD270)&gt;0,1,0)</f>
        <v>0</v>
      </c>
    </row>
    <row r="271" spans="29:35" x14ac:dyDescent="0.25">
      <c r="AC271" s="20" t="s">
        <v>713</v>
      </c>
      <c r="AD271" s="20" t="s">
        <v>436</v>
      </c>
      <c r="AE271" s="20" t="s">
        <v>110</v>
      </c>
      <c r="AF271" s="20" t="s">
        <v>390</v>
      </c>
      <c r="AG271" s="20">
        <v>1.03</v>
      </c>
      <c r="AH271" s="20" t="s">
        <v>240</v>
      </c>
      <c r="AI271" s="28">
        <f>IF(COUNTIFS($W$3:$W$25,Presupuesto!$L$7,$Z$3:$Z$25,AD271)&gt;0,1,0)</f>
        <v>0</v>
      </c>
    </row>
    <row r="272" spans="29:35" x14ac:dyDescent="0.25">
      <c r="AC272" s="20" t="s">
        <v>714</v>
      </c>
      <c r="AD272" s="20" t="s">
        <v>421</v>
      </c>
      <c r="AE272" s="20" t="s">
        <v>110</v>
      </c>
      <c r="AF272" s="20" t="s">
        <v>380</v>
      </c>
      <c r="AG272" s="20">
        <v>0.18</v>
      </c>
      <c r="AH272" s="20" t="s">
        <v>240</v>
      </c>
      <c r="AI272" s="28">
        <f>IF(COUNTIFS($W$3:$W$25,Presupuesto!$L$7,$Z$3:$Z$25,AD272)&gt;0,1,0)</f>
        <v>0</v>
      </c>
    </row>
    <row r="273" spans="29:35" x14ac:dyDescent="0.25">
      <c r="AC273" s="20" t="s">
        <v>715</v>
      </c>
      <c r="AD273" s="20" t="s">
        <v>373</v>
      </c>
      <c r="AE273" s="20" t="s">
        <v>110</v>
      </c>
      <c r="AF273" s="20" t="s">
        <v>380</v>
      </c>
      <c r="AG273" s="20">
        <v>1.1499999999999999</v>
      </c>
      <c r="AH273" s="20" t="s">
        <v>240</v>
      </c>
      <c r="AI273" s="28">
        <f>IF(COUNTIFS($W$3:$W$25,Presupuesto!$L$7,$Z$3:$Z$25,AD273)&gt;0,1,0)</f>
        <v>0</v>
      </c>
    </row>
    <row r="274" spans="29:35" x14ac:dyDescent="0.25">
      <c r="AC274" s="20" t="s">
        <v>716</v>
      </c>
      <c r="AD274" s="20" t="s">
        <v>408</v>
      </c>
      <c r="AE274" s="20" t="s">
        <v>110</v>
      </c>
      <c r="AF274" s="20" t="s">
        <v>380</v>
      </c>
      <c r="AG274" s="20">
        <v>0.13</v>
      </c>
      <c r="AH274" s="20" t="s">
        <v>240</v>
      </c>
      <c r="AI274" s="28">
        <f>IF(COUNTIFS($W$3:$W$25,Presupuesto!$L$7,$Z$3:$Z$25,AD274)&gt;0,1,0)</f>
        <v>0</v>
      </c>
    </row>
    <row r="275" spans="29:35" x14ac:dyDescent="0.25">
      <c r="AC275" s="20" t="s">
        <v>717</v>
      </c>
      <c r="AD275" s="20" t="s">
        <v>394</v>
      </c>
      <c r="AE275" s="20" t="s">
        <v>110</v>
      </c>
      <c r="AF275" s="20" t="s">
        <v>380</v>
      </c>
      <c r="AG275" s="20">
        <v>0.51</v>
      </c>
      <c r="AH275" s="20" t="s">
        <v>240</v>
      </c>
      <c r="AI275" s="28">
        <f>IF(COUNTIFS($W$3:$W$25,Presupuesto!$L$7,$Z$3:$Z$25,AD275)&gt;0,1,0)</f>
        <v>0</v>
      </c>
    </row>
    <row r="276" spans="29:35" x14ac:dyDescent="0.25">
      <c r="AC276" s="20" t="s">
        <v>718</v>
      </c>
      <c r="AD276" s="20" t="s">
        <v>436</v>
      </c>
      <c r="AE276" s="20" t="s">
        <v>110</v>
      </c>
      <c r="AF276" s="20" t="s">
        <v>380</v>
      </c>
      <c r="AG276" s="20">
        <v>1.03</v>
      </c>
      <c r="AH276" s="20" t="s">
        <v>240</v>
      </c>
      <c r="AI276" s="28">
        <f>IF(COUNTIFS($W$3:$W$25,Presupuesto!$L$7,$Z$3:$Z$25,AD276)&gt;0,1,0)</f>
        <v>0</v>
      </c>
    </row>
    <row r="277" spans="29:35" x14ac:dyDescent="0.25">
      <c r="AC277" s="20" t="s">
        <v>719</v>
      </c>
      <c r="AD277" s="20" t="s">
        <v>421</v>
      </c>
      <c r="AE277" s="20" t="s">
        <v>110</v>
      </c>
      <c r="AF277" s="20" t="s">
        <v>368</v>
      </c>
      <c r="AG277" s="20">
        <v>0.18</v>
      </c>
      <c r="AH277" s="20" t="s">
        <v>240</v>
      </c>
      <c r="AI277" s="28">
        <f>IF(COUNTIFS($W$3:$W$25,Presupuesto!$L$7,$Z$3:$Z$25,AD277)&gt;0,1,0)</f>
        <v>0</v>
      </c>
    </row>
    <row r="278" spans="29:35" x14ac:dyDescent="0.25">
      <c r="AC278" s="20" t="s">
        <v>720</v>
      </c>
      <c r="AD278" s="20" t="s">
        <v>408</v>
      </c>
      <c r="AE278" s="20" t="s">
        <v>110</v>
      </c>
      <c r="AF278" s="20" t="s">
        <v>368</v>
      </c>
      <c r="AG278" s="20">
        <v>0.13</v>
      </c>
      <c r="AH278" s="20" t="s">
        <v>240</v>
      </c>
      <c r="AI278" s="28">
        <f>IF(COUNTIFS($W$3:$W$25,Presupuesto!$L$7,$Z$3:$Z$25,AD278)&gt;0,1,0)</f>
        <v>0</v>
      </c>
    </row>
    <row r="279" spans="29:35" x14ac:dyDescent="0.25">
      <c r="AC279" s="20" t="s">
        <v>721</v>
      </c>
      <c r="AD279" s="20" t="s">
        <v>394</v>
      </c>
      <c r="AE279" s="20" t="s">
        <v>110</v>
      </c>
      <c r="AF279" s="20" t="s">
        <v>368</v>
      </c>
      <c r="AG279" s="20">
        <v>0.51</v>
      </c>
      <c r="AH279" s="20" t="s">
        <v>240</v>
      </c>
      <c r="AI279" s="28">
        <f>IF(COUNTIFS($W$3:$W$25,Presupuesto!$L$7,$Z$3:$Z$25,AD279)&gt;0,1,0)</f>
        <v>0</v>
      </c>
    </row>
    <row r="280" spans="29:35" x14ac:dyDescent="0.25">
      <c r="AC280" s="20" t="s">
        <v>722</v>
      </c>
      <c r="AD280" s="20" t="s">
        <v>436</v>
      </c>
      <c r="AE280" s="20" t="s">
        <v>110</v>
      </c>
      <c r="AF280" s="20" t="s">
        <v>368</v>
      </c>
      <c r="AG280" s="20">
        <v>1.03</v>
      </c>
      <c r="AH280" s="20" t="s">
        <v>240</v>
      </c>
      <c r="AI280" s="28">
        <f>IF(COUNTIFS($W$3:$W$25,Presupuesto!$L$7,$Z$3:$Z$25,AD280)&gt;0,1,0)</f>
        <v>0</v>
      </c>
    </row>
    <row r="281" spans="29:35" x14ac:dyDescent="0.25">
      <c r="AC281" s="20" t="s">
        <v>723</v>
      </c>
      <c r="AD281" s="20" t="s">
        <v>362</v>
      </c>
      <c r="AE281" s="20" t="s">
        <v>110</v>
      </c>
      <c r="AF281" s="20" t="s">
        <v>390</v>
      </c>
      <c r="AG281" s="20">
        <v>0.13</v>
      </c>
      <c r="AH281" s="20" t="s">
        <v>240</v>
      </c>
      <c r="AI281" s="28">
        <f>IF(COUNTIFS($W$3:$W$25,Presupuesto!$L$7,$Z$3:$Z$25,AD281)&gt;0,1,0)</f>
        <v>0</v>
      </c>
    </row>
    <row r="282" spans="29:35" x14ac:dyDescent="0.25">
      <c r="AC282" s="20" t="s">
        <v>724</v>
      </c>
      <c r="AD282" s="20" t="s">
        <v>384</v>
      </c>
      <c r="AE282" s="20" t="s">
        <v>110</v>
      </c>
      <c r="AF282" s="20" t="s">
        <v>390</v>
      </c>
      <c r="AG282" s="20">
        <v>0.13</v>
      </c>
      <c r="AH282" s="20" t="s">
        <v>240</v>
      </c>
      <c r="AI282" s="28">
        <f>IF(COUNTIFS($W$3:$W$25,Presupuesto!$L$7,$Z$3:$Z$25,AD282)&gt;0,1,0)</f>
        <v>0</v>
      </c>
    </row>
    <row r="283" spans="29:35" x14ac:dyDescent="0.25">
      <c r="AC283" s="20" t="s">
        <v>725</v>
      </c>
      <c r="AD283" s="20" t="s">
        <v>362</v>
      </c>
      <c r="AE283" s="20" t="s">
        <v>110</v>
      </c>
      <c r="AF283" s="20" t="s">
        <v>380</v>
      </c>
      <c r="AG283" s="20">
        <v>0.13</v>
      </c>
      <c r="AH283" s="20" t="s">
        <v>240</v>
      </c>
      <c r="AI283" s="28">
        <f>IF(COUNTIFS($W$3:$W$25,Presupuesto!$L$7,$Z$3:$Z$25,AD283)&gt;0,1,0)</f>
        <v>0</v>
      </c>
    </row>
    <row r="284" spans="29:35" x14ac:dyDescent="0.25">
      <c r="AC284" s="20" t="s">
        <v>726</v>
      </c>
      <c r="AD284" s="20" t="s">
        <v>384</v>
      </c>
      <c r="AE284" s="20" t="s">
        <v>110</v>
      </c>
      <c r="AF284" s="20" t="s">
        <v>380</v>
      </c>
      <c r="AG284" s="20">
        <v>0.13</v>
      </c>
      <c r="AH284" s="20" t="s">
        <v>240</v>
      </c>
      <c r="AI284" s="28">
        <f>IF(COUNTIFS($W$3:$W$25,Presupuesto!$L$7,$Z$3:$Z$25,AD284)&gt;0,1,0)</f>
        <v>0</v>
      </c>
    </row>
    <row r="285" spans="29:35" x14ac:dyDescent="0.25">
      <c r="AC285" s="20" t="s">
        <v>727</v>
      </c>
      <c r="AD285" s="20" t="s">
        <v>362</v>
      </c>
      <c r="AE285" s="20" t="s">
        <v>110</v>
      </c>
      <c r="AF285" s="20" t="s">
        <v>368</v>
      </c>
      <c r="AG285" s="20">
        <v>0.13</v>
      </c>
      <c r="AH285" s="20" t="s">
        <v>240</v>
      </c>
      <c r="AI285" s="28">
        <f>IF(COUNTIFS($W$3:$W$25,Presupuesto!$L$7,$Z$3:$Z$25,AD285)&gt;0,1,0)</f>
        <v>0</v>
      </c>
    </row>
    <row r="286" spans="29:35" x14ac:dyDescent="0.25">
      <c r="AC286" s="20" t="s">
        <v>728</v>
      </c>
      <c r="AD286" s="20" t="s">
        <v>384</v>
      </c>
      <c r="AE286" s="20" t="s">
        <v>110</v>
      </c>
      <c r="AF286" s="20" t="s">
        <v>368</v>
      </c>
      <c r="AG286" s="20">
        <v>0.13</v>
      </c>
      <c r="AH286" s="20" t="s">
        <v>240</v>
      </c>
      <c r="AI286" s="28">
        <f>IF(COUNTIFS($W$3:$W$25,Presupuesto!$L$7,$Z$3:$Z$25,AD286)&gt;0,1,0)</f>
        <v>0</v>
      </c>
    </row>
    <row r="287" spans="29:35" x14ac:dyDescent="0.25">
      <c r="AC287" s="20" t="s">
        <v>729</v>
      </c>
      <c r="AD287" s="20" t="s">
        <v>415</v>
      </c>
      <c r="AE287" s="20" t="s">
        <v>110</v>
      </c>
      <c r="AF287" s="20" t="s">
        <v>390</v>
      </c>
      <c r="AG287" s="20">
        <v>2.7</v>
      </c>
      <c r="AH287" s="20" t="s">
        <v>240</v>
      </c>
      <c r="AI287" s="28">
        <f>IF(COUNTIFS($W$3:$W$25,Presupuesto!$L$7,$Z$3:$Z$25,AD287)&gt;0,1,0)</f>
        <v>0</v>
      </c>
    </row>
    <row r="288" spans="29:35" x14ac:dyDescent="0.25">
      <c r="AC288" s="20" t="s">
        <v>730</v>
      </c>
      <c r="AD288" s="20" t="s">
        <v>415</v>
      </c>
      <c r="AE288" s="20" t="s">
        <v>110</v>
      </c>
      <c r="AF288" s="20" t="s">
        <v>380</v>
      </c>
      <c r="AG288" s="20">
        <v>2.7</v>
      </c>
      <c r="AH288" s="20" t="s">
        <v>240</v>
      </c>
      <c r="AI288" s="28">
        <f>IF(COUNTIFS($W$3:$W$25,Presupuesto!$L$7,$Z$3:$Z$25,AD288)&gt;0,1,0)</f>
        <v>0</v>
      </c>
    </row>
    <row r="289" spans="29:35" x14ac:dyDescent="0.25">
      <c r="AC289" s="20" t="s">
        <v>731</v>
      </c>
      <c r="AD289" s="20" t="s">
        <v>415</v>
      </c>
      <c r="AE289" s="20" t="s">
        <v>110</v>
      </c>
      <c r="AF289" s="20" t="s">
        <v>368</v>
      </c>
      <c r="AG289" s="20">
        <v>2.7</v>
      </c>
      <c r="AH289" s="20" t="s">
        <v>240</v>
      </c>
      <c r="AI289" s="28">
        <f>IF(COUNTIFS($W$3:$W$25,Presupuesto!$L$7,$Z$3:$Z$25,AD289)&gt;0,1,0)</f>
        <v>0</v>
      </c>
    </row>
    <row r="290" spans="29:35" x14ac:dyDescent="0.25">
      <c r="AC290" s="20" t="s">
        <v>732</v>
      </c>
      <c r="AD290" s="20" t="s">
        <v>433</v>
      </c>
      <c r="AE290" s="20" t="s">
        <v>110</v>
      </c>
      <c r="AF290" s="20" t="s">
        <v>390</v>
      </c>
      <c r="AG290" s="20">
        <v>0</v>
      </c>
      <c r="AH290" s="20" t="s">
        <v>240</v>
      </c>
      <c r="AI290" s="28">
        <f>IF(COUNTIFS($W$3:$W$25,Presupuesto!$L$7,$Z$3:$Z$25,AD290)&gt;0,1,0)</f>
        <v>0</v>
      </c>
    </row>
    <row r="291" spans="29:35" x14ac:dyDescent="0.25">
      <c r="AC291" s="20" t="s">
        <v>733</v>
      </c>
      <c r="AD291" s="20" t="s">
        <v>433</v>
      </c>
      <c r="AE291" s="20" t="s">
        <v>110</v>
      </c>
      <c r="AF291" s="20" t="s">
        <v>380</v>
      </c>
      <c r="AG291" s="20">
        <v>0</v>
      </c>
      <c r="AH291" s="20" t="s">
        <v>240</v>
      </c>
      <c r="AI291" s="28">
        <f>IF(COUNTIFS($W$3:$W$25,Presupuesto!$L$7,$Z$3:$Z$25,AD291)&gt;0,1,0)</f>
        <v>0</v>
      </c>
    </row>
    <row r="292" spans="29:35" x14ac:dyDescent="0.25">
      <c r="AC292" s="20" t="s">
        <v>734</v>
      </c>
      <c r="AD292" s="20" t="s">
        <v>433</v>
      </c>
      <c r="AE292" s="20" t="s">
        <v>110</v>
      </c>
      <c r="AF292" s="20" t="s">
        <v>368</v>
      </c>
      <c r="AG292" s="20">
        <v>0</v>
      </c>
      <c r="AH292" s="20" t="s">
        <v>240</v>
      </c>
      <c r="AI292" s="28">
        <f>IF(COUNTIFS($W$3:$W$25,Presupuesto!$L$7,$Z$3:$Z$25,AD292)&gt;0,1,0)</f>
        <v>0</v>
      </c>
    </row>
    <row r="293" spans="29:35" x14ac:dyDescent="0.25">
      <c r="AC293" s="20" t="s">
        <v>735</v>
      </c>
      <c r="AD293" s="20" t="s">
        <v>421</v>
      </c>
      <c r="AE293" s="20" t="s">
        <v>149</v>
      </c>
      <c r="AF293" s="20" t="s">
        <v>390</v>
      </c>
      <c r="AG293" s="20">
        <v>0.25</v>
      </c>
      <c r="AH293" s="20" t="s">
        <v>240</v>
      </c>
      <c r="AI293" s="28">
        <f>IF(COUNTIFS($W$3:$W$25,Presupuesto!$L$7,$Z$3:$Z$25,AD293)&gt;0,1,0)</f>
        <v>0</v>
      </c>
    </row>
    <row r="294" spans="29:35" x14ac:dyDescent="0.25">
      <c r="AC294" s="20" t="s">
        <v>736</v>
      </c>
      <c r="AD294" s="20" t="s">
        <v>373</v>
      </c>
      <c r="AE294" s="20" t="s">
        <v>149</v>
      </c>
      <c r="AF294" s="20" t="s">
        <v>390</v>
      </c>
      <c r="AG294" s="20">
        <v>0.38</v>
      </c>
      <c r="AH294" s="20" t="s">
        <v>240</v>
      </c>
      <c r="AI294" s="28">
        <f>IF(COUNTIFS($W$3:$W$25,Presupuesto!$L$7,$Z$3:$Z$25,AD294)&gt;0,1,0)</f>
        <v>0</v>
      </c>
    </row>
    <row r="295" spans="29:35" x14ac:dyDescent="0.25">
      <c r="AC295" s="20" t="s">
        <v>737</v>
      </c>
      <c r="AD295" s="20" t="s">
        <v>408</v>
      </c>
      <c r="AE295" s="20" t="s">
        <v>149</v>
      </c>
      <c r="AF295" s="20" t="s">
        <v>390</v>
      </c>
      <c r="AG295" s="20">
        <v>0.25</v>
      </c>
      <c r="AH295" s="20" t="s">
        <v>240</v>
      </c>
      <c r="AI295" s="28">
        <f>IF(COUNTIFS($W$3:$W$25,Presupuesto!$L$7,$Z$3:$Z$25,AD295)&gt;0,1,0)</f>
        <v>0</v>
      </c>
    </row>
    <row r="296" spans="29:35" x14ac:dyDescent="0.25">
      <c r="AC296" s="20" t="s">
        <v>738</v>
      </c>
      <c r="AD296" s="20" t="s">
        <v>394</v>
      </c>
      <c r="AE296" s="20" t="s">
        <v>149</v>
      </c>
      <c r="AF296" s="20" t="s">
        <v>390</v>
      </c>
      <c r="AG296" s="20">
        <v>0.25</v>
      </c>
      <c r="AH296" s="20" t="s">
        <v>240</v>
      </c>
      <c r="AI296" s="28">
        <f>IF(COUNTIFS($W$3:$W$25,Presupuesto!$L$7,$Z$3:$Z$25,AD296)&gt;0,1,0)</f>
        <v>0</v>
      </c>
    </row>
    <row r="297" spans="29:35" x14ac:dyDescent="0.25">
      <c r="AC297" s="20" t="s">
        <v>739</v>
      </c>
      <c r="AD297" s="20" t="s">
        <v>362</v>
      </c>
      <c r="AE297" s="20" t="s">
        <v>149</v>
      </c>
      <c r="AF297" s="20" t="s">
        <v>390</v>
      </c>
      <c r="AG297" s="20">
        <v>0.05</v>
      </c>
      <c r="AH297" s="20" t="s">
        <v>240</v>
      </c>
      <c r="AI297" s="28">
        <f>IF(COUNTIFS($W$3:$W$25,Presupuesto!$L$7,$Z$3:$Z$25,AD297)&gt;0,1,0)</f>
        <v>0</v>
      </c>
    </row>
    <row r="298" spans="29:35" x14ac:dyDescent="0.25">
      <c r="AC298" s="20" t="s">
        <v>740</v>
      </c>
      <c r="AD298" s="20" t="s">
        <v>384</v>
      </c>
      <c r="AE298" s="20" t="s">
        <v>149</v>
      </c>
      <c r="AF298" s="20" t="s">
        <v>390</v>
      </c>
      <c r="AG298" s="20">
        <v>0.05</v>
      </c>
      <c r="AH298" s="20" t="s">
        <v>240</v>
      </c>
      <c r="AI298" s="28">
        <f>IF(COUNTIFS($W$3:$W$25,Presupuesto!$L$7,$Z$3:$Z$25,AD298)&gt;0,1,0)</f>
        <v>0</v>
      </c>
    </row>
    <row r="299" spans="29:35" x14ac:dyDescent="0.25">
      <c r="AC299" s="20" t="s">
        <v>741</v>
      </c>
      <c r="AD299" s="20" t="s">
        <v>436</v>
      </c>
      <c r="AE299" s="20" t="s">
        <v>149</v>
      </c>
      <c r="AF299" s="20" t="s">
        <v>390</v>
      </c>
      <c r="AG299" s="20">
        <v>1</v>
      </c>
      <c r="AH299" s="20" t="s">
        <v>240</v>
      </c>
      <c r="AI299" s="28">
        <f>IF(COUNTIFS($W$3:$W$25,Presupuesto!$L$7,$Z$3:$Z$25,AD299)&gt;0,1,0)</f>
        <v>0</v>
      </c>
    </row>
    <row r="300" spans="29:35" x14ac:dyDescent="0.25">
      <c r="AC300" s="20" t="s">
        <v>742</v>
      </c>
      <c r="AD300" s="20" t="s">
        <v>421</v>
      </c>
      <c r="AE300" s="20" t="s">
        <v>149</v>
      </c>
      <c r="AF300" s="20" t="s">
        <v>380</v>
      </c>
      <c r="AG300" s="20">
        <v>0.25</v>
      </c>
      <c r="AH300" s="20" t="s">
        <v>240</v>
      </c>
      <c r="AI300" s="28">
        <f>IF(COUNTIFS($W$3:$W$25,Presupuesto!$L$7,$Z$3:$Z$25,AD300)&gt;0,1,0)</f>
        <v>0</v>
      </c>
    </row>
    <row r="301" spans="29:35" x14ac:dyDescent="0.25">
      <c r="AC301" s="20" t="s">
        <v>743</v>
      </c>
      <c r="AD301" s="20" t="s">
        <v>373</v>
      </c>
      <c r="AE301" s="20" t="s">
        <v>149</v>
      </c>
      <c r="AF301" s="20" t="s">
        <v>380</v>
      </c>
      <c r="AG301" s="20">
        <v>0.38</v>
      </c>
      <c r="AH301" s="20" t="s">
        <v>240</v>
      </c>
      <c r="AI301" s="28">
        <f>IF(COUNTIFS($W$3:$W$25,Presupuesto!$L$7,$Z$3:$Z$25,AD301)&gt;0,1,0)</f>
        <v>0</v>
      </c>
    </row>
    <row r="302" spans="29:35" x14ac:dyDescent="0.25">
      <c r="AC302" s="20" t="s">
        <v>744</v>
      </c>
      <c r="AD302" s="20" t="s">
        <v>408</v>
      </c>
      <c r="AE302" s="20" t="s">
        <v>149</v>
      </c>
      <c r="AF302" s="20" t="s">
        <v>380</v>
      </c>
      <c r="AG302" s="20">
        <v>0.25</v>
      </c>
      <c r="AH302" s="20" t="s">
        <v>240</v>
      </c>
      <c r="AI302" s="28">
        <f>IF(COUNTIFS($W$3:$W$25,Presupuesto!$L$7,$Z$3:$Z$25,AD302)&gt;0,1,0)</f>
        <v>0</v>
      </c>
    </row>
    <row r="303" spans="29:35" x14ac:dyDescent="0.25">
      <c r="AC303" s="20" t="s">
        <v>745</v>
      </c>
      <c r="AD303" s="20" t="s">
        <v>394</v>
      </c>
      <c r="AE303" s="20" t="s">
        <v>149</v>
      </c>
      <c r="AF303" s="20" t="s">
        <v>380</v>
      </c>
      <c r="AG303" s="20">
        <v>0.25</v>
      </c>
      <c r="AH303" s="20" t="s">
        <v>240</v>
      </c>
      <c r="AI303" s="28">
        <f>IF(COUNTIFS($W$3:$W$25,Presupuesto!$L$7,$Z$3:$Z$25,AD303)&gt;0,1,0)</f>
        <v>0</v>
      </c>
    </row>
    <row r="304" spans="29:35" x14ac:dyDescent="0.25">
      <c r="AC304" s="20" t="s">
        <v>746</v>
      </c>
      <c r="AD304" s="20" t="s">
        <v>362</v>
      </c>
      <c r="AE304" s="20" t="s">
        <v>149</v>
      </c>
      <c r="AF304" s="20" t="s">
        <v>380</v>
      </c>
      <c r="AG304" s="20">
        <v>0.05</v>
      </c>
      <c r="AH304" s="20" t="s">
        <v>240</v>
      </c>
      <c r="AI304" s="28">
        <f>IF(COUNTIFS($W$3:$W$25,Presupuesto!$L$7,$Z$3:$Z$25,AD304)&gt;0,1,0)</f>
        <v>0</v>
      </c>
    </row>
    <row r="305" spans="29:35" x14ac:dyDescent="0.25">
      <c r="AC305" s="20" t="s">
        <v>747</v>
      </c>
      <c r="AD305" s="20" t="s">
        <v>384</v>
      </c>
      <c r="AE305" s="20" t="s">
        <v>149</v>
      </c>
      <c r="AF305" s="20" t="s">
        <v>380</v>
      </c>
      <c r="AG305" s="20">
        <v>0.05</v>
      </c>
      <c r="AH305" s="20" t="s">
        <v>240</v>
      </c>
      <c r="AI305" s="28">
        <f>IF(COUNTIFS($W$3:$W$25,Presupuesto!$L$7,$Z$3:$Z$25,AD305)&gt;0,1,0)</f>
        <v>0</v>
      </c>
    </row>
    <row r="306" spans="29:35" x14ac:dyDescent="0.25">
      <c r="AC306" s="20" t="s">
        <v>748</v>
      </c>
      <c r="AD306" s="20" t="s">
        <v>436</v>
      </c>
      <c r="AE306" s="20" t="s">
        <v>149</v>
      </c>
      <c r="AF306" s="20" t="s">
        <v>380</v>
      </c>
      <c r="AG306" s="20">
        <v>1</v>
      </c>
      <c r="AH306" s="20" t="s">
        <v>240</v>
      </c>
      <c r="AI306" s="28">
        <f>IF(COUNTIFS($W$3:$W$25,Presupuesto!$L$7,$Z$3:$Z$25,AD306)&gt;0,1,0)</f>
        <v>0</v>
      </c>
    </row>
    <row r="307" spans="29:35" x14ac:dyDescent="0.25">
      <c r="AC307" s="20" t="s">
        <v>749</v>
      </c>
      <c r="AD307" s="20" t="s">
        <v>421</v>
      </c>
      <c r="AE307" s="20" t="s">
        <v>149</v>
      </c>
      <c r="AF307" s="20" t="s">
        <v>368</v>
      </c>
      <c r="AG307" s="20">
        <v>0.25</v>
      </c>
      <c r="AH307" s="20" t="s">
        <v>240</v>
      </c>
      <c r="AI307" s="28">
        <f>IF(COUNTIFS($W$3:$W$25,Presupuesto!$L$7,$Z$3:$Z$25,AD307)&gt;0,1,0)</f>
        <v>0</v>
      </c>
    </row>
    <row r="308" spans="29:35" x14ac:dyDescent="0.25">
      <c r="AC308" s="20" t="s">
        <v>750</v>
      </c>
      <c r="AD308" s="20" t="s">
        <v>373</v>
      </c>
      <c r="AE308" s="20" t="s">
        <v>149</v>
      </c>
      <c r="AF308" s="20" t="s">
        <v>368</v>
      </c>
      <c r="AG308" s="20">
        <v>0.38</v>
      </c>
      <c r="AH308" s="20" t="s">
        <v>240</v>
      </c>
      <c r="AI308" s="28">
        <f>IF(COUNTIFS($W$3:$W$25,Presupuesto!$L$7,$Z$3:$Z$25,AD308)&gt;0,1,0)</f>
        <v>0</v>
      </c>
    </row>
    <row r="309" spans="29:35" x14ac:dyDescent="0.25">
      <c r="AC309" s="20" t="s">
        <v>751</v>
      </c>
      <c r="AD309" s="20" t="s">
        <v>408</v>
      </c>
      <c r="AE309" s="20" t="s">
        <v>149</v>
      </c>
      <c r="AF309" s="20" t="s">
        <v>368</v>
      </c>
      <c r="AG309" s="20">
        <v>0.25</v>
      </c>
      <c r="AH309" s="20" t="s">
        <v>240</v>
      </c>
      <c r="AI309" s="28">
        <f>IF(COUNTIFS($W$3:$W$25,Presupuesto!$L$7,$Z$3:$Z$25,AD309)&gt;0,1,0)</f>
        <v>0</v>
      </c>
    </row>
    <row r="310" spans="29:35" x14ac:dyDescent="0.25">
      <c r="AC310" s="20" t="s">
        <v>752</v>
      </c>
      <c r="AD310" s="20" t="s">
        <v>394</v>
      </c>
      <c r="AE310" s="20" t="s">
        <v>149</v>
      </c>
      <c r="AF310" s="20" t="s">
        <v>368</v>
      </c>
      <c r="AG310" s="20">
        <v>0.25</v>
      </c>
      <c r="AH310" s="20" t="s">
        <v>240</v>
      </c>
      <c r="AI310" s="28">
        <f>IF(COUNTIFS($W$3:$W$25,Presupuesto!$L$7,$Z$3:$Z$25,AD310)&gt;0,1,0)</f>
        <v>0</v>
      </c>
    </row>
    <row r="311" spans="29:35" x14ac:dyDescent="0.25">
      <c r="AC311" s="20" t="s">
        <v>753</v>
      </c>
      <c r="AD311" s="20" t="s">
        <v>362</v>
      </c>
      <c r="AE311" s="20" t="s">
        <v>149</v>
      </c>
      <c r="AF311" s="20" t="s">
        <v>368</v>
      </c>
      <c r="AG311" s="20">
        <v>0.05</v>
      </c>
      <c r="AH311" s="20" t="s">
        <v>240</v>
      </c>
      <c r="AI311" s="28">
        <f>IF(COUNTIFS($W$3:$W$25,Presupuesto!$L$7,$Z$3:$Z$25,AD311)&gt;0,1,0)</f>
        <v>0</v>
      </c>
    </row>
    <row r="312" spans="29:35" x14ac:dyDescent="0.25">
      <c r="AC312" s="20" t="s">
        <v>754</v>
      </c>
      <c r="AD312" s="20" t="s">
        <v>384</v>
      </c>
      <c r="AE312" s="20" t="s">
        <v>149</v>
      </c>
      <c r="AF312" s="20" t="s">
        <v>368</v>
      </c>
      <c r="AG312" s="20">
        <v>0.05</v>
      </c>
      <c r="AH312" s="20" t="s">
        <v>240</v>
      </c>
      <c r="AI312" s="28">
        <f>IF(COUNTIFS($W$3:$W$25,Presupuesto!$L$7,$Z$3:$Z$25,AD312)&gt;0,1,0)</f>
        <v>0</v>
      </c>
    </row>
    <row r="313" spans="29:35" x14ac:dyDescent="0.25">
      <c r="AC313" s="20" t="s">
        <v>755</v>
      </c>
      <c r="AD313" s="20" t="s">
        <v>436</v>
      </c>
      <c r="AE313" s="20" t="s">
        <v>149</v>
      </c>
      <c r="AF313" s="20" t="s">
        <v>368</v>
      </c>
      <c r="AG313" s="20">
        <v>1</v>
      </c>
      <c r="AH313" s="20" t="s">
        <v>240</v>
      </c>
      <c r="AI313" s="28">
        <f>IF(COUNTIFS($W$3:$W$25,Presupuesto!$L$7,$Z$3:$Z$25,AD313)&gt;0,1,0)</f>
        <v>0</v>
      </c>
    </row>
    <row r="314" spans="29:35" x14ac:dyDescent="0.25">
      <c r="AC314" s="20" t="s">
        <v>756</v>
      </c>
      <c r="AD314" s="20" t="s">
        <v>433</v>
      </c>
      <c r="AE314" s="20" t="s">
        <v>149</v>
      </c>
      <c r="AF314" s="20" t="s">
        <v>390</v>
      </c>
      <c r="AG314" s="20">
        <v>0</v>
      </c>
      <c r="AH314" s="20" t="s">
        <v>240</v>
      </c>
      <c r="AI314" s="28">
        <f>IF(COUNTIFS($W$3:$W$25,Presupuesto!$L$7,$Z$3:$Z$25,AD314)&gt;0,1,0)</f>
        <v>0</v>
      </c>
    </row>
    <row r="315" spans="29:35" x14ac:dyDescent="0.25">
      <c r="AC315" s="20" t="s">
        <v>757</v>
      </c>
      <c r="AD315" s="20" t="s">
        <v>433</v>
      </c>
      <c r="AE315" s="20" t="s">
        <v>149</v>
      </c>
      <c r="AF315" s="20" t="s">
        <v>380</v>
      </c>
      <c r="AG315" s="20">
        <v>0</v>
      </c>
      <c r="AH315" s="20" t="s">
        <v>240</v>
      </c>
      <c r="AI315" s="28">
        <f>IF(COUNTIFS($W$3:$W$25,Presupuesto!$L$7,$Z$3:$Z$25,AD315)&gt;0,1,0)</f>
        <v>0</v>
      </c>
    </row>
    <row r="316" spans="29:35" x14ac:dyDescent="0.25">
      <c r="AC316" s="20" t="s">
        <v>758</v>
      </c>
      <c r="AD316" s="20" t="s">
        <v>433</v>
      </c>
      <c r="AE316" s="20" t="s">
        <v>149</v>
      </c>
      <c r="AF316" s="20" t="s">
        <v>368</v>
      </c>
      <c r="AG316" s="20">
        <v>0</v>
      </c>
      <c r="AH316" s="20" t="s">
        <v>240</v>
      </c>
      <c r="AI316" s="28">
        <f>IF(COUNTIFS($W$3:$W$25,Presupuesto!$L$7,$Z$3:$Z$25,AD316)&gt;0,1,0)</f>
        <v>0</v>
      </c>
    </row>
    <row r="317" spans="29:35" x14ac:dyDescent="0.25">
      <c r="AC317" s="20" t="s">
        <v>759</v>
      </c>
      <c r="AD317" s="20" t="s">
        <v>415</v>
      </c>
      <c r="AE317" s="20" t="s">
        <v>149</v>
      </c>
      <c r="AF317" s="20" t="s">
        <v>390</v>
      </c>
      <c r="AG317" s="20">
        <v>0</v>
      </c>
      <c r="AH317" s="20" t="s">
        <v>240</v>
      </c>
      <c r="AI317" s="28">
        <f>IF(COUNTIFS($W$3:$W$25,Presupuesto!$L$7,$Z$3:$Z$25,AD317)&gt;0,1,0)</f>
        <v>0</v>
      </c>
    </row>
    <row r="318" spans="29:35" x14ac:dyDescent="0.25">
      <c r="AC318" s="20" t="s">
        <v>760</v>
      </c>
      <c r="AD318" s="20" t="s">
        <v>415</v>
      </c>
      <c r="AE318" s="20" t="s">
        <v>149</v>
      </c>
      <c r="AF318" s="20" t="s">
        <v>380</v>
      </c>
      <c r="AG318" s="20">
        <v>0</v>
      </c>
      <c r="AH318" s="20" t="s">
        <v>240</v>
      </c>
      <c r="AI318" s="28">
        <f>IF(COUNTIFS($W$3:$W$25,Presupuesto!$L$7,$Z$3:$Z$25,AD318)&gt;0,1,0)</f>
        <v>0</v>
      </c>
    </row>
    <row r="319" spans="29:35" x14ac:dyDescent="0.25">
      <c r="AC319" s="20" t="s">
        <v>761</v>
      </c>
      <c r="AD319" s="20" t="s">
        <v>415</v>
      </c>
      <c r="AE319" s="20" t="s">
        <v>149</v>
      </c>
      <c r="AF319" s="20" t="s">
        <v>368</v>
      </c>
      <c r="AG319" s="20">
        <v>0</v>
      </c>
      <c r="AH319" s="20" t="s">
        <v>240</v>
      </c>
      <c r="AI319" s="28">
        <f>IF(COUNTIFS($W$3:$W$25,Presupuesto!$L$7,$Z$3:$Z$25,AD319)&gt;0,1,0)</f>
        <v>0</v>
      </c>
    </row>
    <row r="320" spans="29:35" x14ac:dyDescent="0.25">
      <c r="AC320" s="20" t="s">
        <v>762</v>
      </c>
      <c r="AD320" s="20" t="s">
        <v>421</v>
      </c>
      <c r="AE320" s="20" t="s">
        <v>164</v>
      </c>
      <c r="AF320" s="20" t="s">
        <v>390</v>
      </c>
      <c r="AG320" s="20">
        <v>0.18</v>
      </c>
      <c r="AH320" s="20" t="s">
        <v>240</v>
      </c>
      <c r="AI320" s="28">
        <f>IF(COUNTIFS($W$3:$W$25,Presupuesto!$L$7,$Z$3:$Z$25,AD320)&gt;0,1,0)</f>
        <v>0</v>
      </c>
    </row>
    <row r="321" spans="29:35" x14ac:dyDescent="0.25">
      <c r="AC321" s="20" t="s">
        <v>763</v>
      </c>
      <c r="AD321" s="20" t="s">
        <v>408</v>
      </c>
      <c r="AE321" s="20" t="s">
        <v>164</v>
      </c>
      <c r="AF321" s="20" t="s">
        <v>390</v>
      </c>
      <c r="AG321" s="20">
        <v>0.13</v>
      </c>
      <c r="AH321" s="20" t="s">
        <v>240</v>
      </c>
      <c r="AI321" s="28">
        <f>IF(COUNTIFS($W$3:$W$25,Presupuesto!$L$7,$Z$3:$Z$25,AD321)&gt;0,1,0)</f>
        <v>0</v>
      </c>
    </row>
    <row r="322" spans="29:35" x14ac:dyDescent="0.25">
      <c r="AC322" s="20" t="s">
        <v>764</v>
      </c>
      <c r="AD322" s="20" t="s">
        <v>433</v>
      </c>
      <c r="AE322" s="20" t="s">
        <v>164</v>
      </c>
      <c r="AF322" s="20" t="s">
        <v>390</v>
      </c>
      <c r="AG322" s="20">
        <v>0.13</v>
      </c>
      <c r="AH322" s="20" t="s">
        <v>240</v>
      </c>
      <c r="AI322" s="28">
        <f>IF(COUNTIFS($W$3:$W$25,Presupuesto!$L$7,$Z$3:$Z$25,AD322)&gt;0,1,0)</f>
        <v>0</v>
      </c>
    </row>
    <row r="323" spans="29:35" x14ac:dyDescent="0.25">
      <c r="AC323" s="20" t="s">
        <v>765</v>
      </c>
      <c r="AD323" s="20" t="s">
        <v>362</v>
      </c>
      <c r="AE323" s="20" t="s">
        <v>164</v>
      </c>
      <c r="AF323" s="20" t="s">
        <v>390</v>
      </c>
      <c r="AG323" s="20">
        <v>0.05</v>
      </c>
      <c r="AH323" s="20" t="s">
        <v>240</v>
      </c>
      <c r="AI323" s="28">
        <f>IF(COUNTIFS($W$3:$W$25,Presupuesto!$L$7,$Z$3:$Z$25,AD323)&gt;0,1,0)</f>
        <v>0</v>
      </c>
    </row>
    <row r="324" spans="29:35" x14ac:dyDescent="0.25">
      <c r="AC324" s="20" t="s">
        <v>766</v>
      </c>
      <c r="AD324" s="20" t="s">
        <v>384</v>
      </c>
      <c r="AE324" s="20" t="s">
        <v>164</v>
      </c>
      <c r="AF324" s="20" t="s">
        <v>390</v>
      </c>
      <c r="AG324" s="20">
        <v>0.05</v>
      </c>
      <c r="AH324" s="20" t="s">
        <v>240</v>
      </c>
      <c r="AI324" s="28">
        <f>IF(COUNTIFS($W$3:$W$25,Presupuesto!$L$7,$Z$3:$Z$25,AD324)&gt;0,1,0)</f>
        <v>0</v>
      </c>
    </row>
    <row r="325" spans="29:35" x14ac:dyDescent="0.25">
      <c r="AC325" s="20" t="s">
        <v>767</v>
      </c>
      <c r="AD325" s="20" t="s">
        <v>436</v>
      </c>
      <c r="AE325" s="20" t="s">
        <v>164</v>
      </c>
      <c r="AF325" s="20" t="s">
        <v>390</v>
      </c>
      <c r="AG325" s="20">
        <v>1.05</v>
      </c>
      <c r="AH325" s="20" t="s">
        <v>240</v>
      </c>
      <c r="AI325" s="28">
        <f>IF(COUNTIFS($W$3:$W$25,Presupuesto!$L$7,$Z$3:$Z$25,AD325)&gt;0,1,0)</f>
        <v>0</v>
      </c>
    </row>
    <row r="326" spans="29:35" x14ac:dyDescent="0.25">
      <c r="AC326" s="20" t="s">
        <v>768</v>
      </c>
      <c r="AD326" s="20" t="s">
        <v>421</v>
      </c>
      <c r="AE326" s="20" t="s">
        <v>164</v>
      </c>
      <c r="AF326" s="20" t="s">
        <v>380</v>
      </c>
      <c r="AG326" s="20">
        <v>0.18</v>
      </c>
      <c r="AH326" s="20" t="s">
        <v>240</v>
      </c>
      <c r="AI326" s="28">
        <f>IF(COUNTIFS($W$3:$W$25,Presupuesto!$L$7,$Z$3:$Z$25,AD326)&gt;0,1,0)</f>
        <v>0</v>
      </c>
    </row>
    <row r="327" spans="29:35" x14ac:dyDescent="0.25">
      <c r="AC327" s="20" t="s">
        <v>769</v>
      </c>
      <c r="AD327" s="20" t="s">
        <v>408</v>
      </c>
      <c r="AE327" s="20" t="s">
        <v>164</v>
      </c>
      <c r="AF327" s="20" t="s">
        <v>380</v>
      </c>
      <c r="AG327" s="20">
        <v>0.13</v>
      </c>
      <c r="AH327" s="20" t="s">
        <v>240</v>
      </c>
      <c r="AI327" s="28">
        <f>IF(COUNTIFS($W$3:$W$25,Presupuesto!$L$7,$Z$3:$Z$25,AD327)&gt;0,1,0)</f>
        <v>0</v>
      </c>
    </row>
    <row r="328" spans="29:35" x14ac:dyDescent="0.25">
      <c r="AC328" s="20" t="s">
        <v>770</v>
      </c>
      <c r="AD328" s="20" t="s">
        <v>433</v>
      </c>
      <c r="AE328" s="20" t="s">
        <v>164</v>
      </c>
      <c r="AF328" s="20" t="s">
        <v>380</v>
      </c>
      <c r="AG328" s="20">
        <v>0.13</v>
      </c>
      <c r="AH328" s="20" t="s">
        <v>240</v>
      </c>
      <c r="AI328" s="28">
        <f>IF(COUNTIFS($W$3:$W$25,Presupuesto!$L$7,$Z$3:$Z$25,AD328)&gt;0,1,0)</f>
        <v>0</v>
      </c>
    </row>
    <row r="329" spans="29:35" x14ac:dyDescent="0.25">
      <c r="AC329" s="20" t="s">
        <v>771</v>
      </c>
      <c r="AD329" s="20" t="s">
        <v>362</v>
      </c>
      <c r="AE329" s="20" t="s">
        <v>164</v>
      </c>
      <c r="AF329" s="20" t="s">
        <v>380</v>
      </c>
      <c r="AG329" s="20">
        <v>0.05</v>
      </c>
      <c r="AH329" s="20" t="s">
        <v>240</v>
      </c>
      <c r="AI329" s="28">
        <f>IF(COUNTIFS($W$3:$W$25,Presupuesto!$L$7,$Z$3:$Z$25,AD329)&gt;0,1,0)</f>
        <v>0</v>
      </c>
    </row>
    <row r="330" spans="29:35" x14ac:dyDescent="0.25">
      <c r="AC330" s="20" t="s">
        <v>772</v>
      </c>
      <c r="AD330" s="20" t="s">
        <v>384</v>
      </c>
      <c r="AE330" s="20" t="s">
        <v>164</v>
      </c>
      <c r="AF330" s="20" t="s">
        <v>380</v>
      </c>
      <c r="AG330" s="20">
        <v>0.05</v>
      </c>
      <c r="AH330" s="20" t="s">
        <v>240</v>
      </c>
      <c r="AI330" s="28">
        <f>IF(COUNTIFS($W$3:$W$25,Presupuesto!$L$7,$Z$3:$Z$25,AD330)&gt;0,1,0)</f>
        <v>0</v>
      </c>
    </row>
    <row r="331" spans="29:35" x14ac:dyDescent="0.25">
      <c r="AC331" s="20" t="s">
        <v>773</v>
      </c>
      <c r="AD331" s="20" t="s">
        <v>436</v>
      </c>
      <c r="AE331" s="20" t="s">
        <v>164</v>
      </c>
      <c r="AF331" s="20" t="s">
        <v>380</v>
      </c>
      <c r="AG331" s="20">
        <v>1.05</v>
      </c>
      <c r="AH331" s="20" t="s">
        <v>240</v>
      </c>
      <c r="AI331" s="28">
        <f>IF(COUNTIFS($W$3:$W$25,Presupuesto!$L$7,$Z$3:$Z$25,AD331)&gt;0,1,0)</f>
        <v>0</v>
      </c>
    </row>
    <row r="332" spans="29:35" x14ac:dyDescent="0.25">
      <c r="AC332" s="20" t="s">
        <v>774</v>
      </c>
      <c r="AD332" s="20" t="s">
        <v>421</v>
      </c>
      <c r="AE332" s="20" t="s">
        <v>164</v>
      </c>
      <c r="AF332" s="20" t="s">
        <v>368</v>
      </c>
      <c r="AG332" s="20">
        <v>0.18</v>
      </c>
      <c r="AH332" s="20" t="s">
        <v>240</v>
      </c>
      <c r="AI332" s="28">
        <f>IF(COUNTIFS($W$3:$W$25,Presupuesto!$L$7,$Z$3:$Z$25,AD332)&gt;0,1,0)</f>
        <v>0</v>
      </c>
    </row>
    <row r="333" spans="29:35" x14ac:dyDescent="0.25">
      <c r="AC333" s="20" t="s">
        <v>775</v>
      </c>
      <c r="AD333" s="20" t="s">
        <v>408</v>
      </c>
      <c r="AE333" s="20" t="s">
        <v>164</v>
      </c>
      <c r="AF333" s="20" t="s">
        <v>368</v>
      </c>
      <c r="AG333" s="20">
        <v>0.13</v>
      </c>
      <c r="AH333" s="20" t="s">
        <v>240</v>
      </c>
      <c r="AI333" s="28">
        <f>IF(COUNTIFS($W$3:$W$25,Presupuesto!$L$7,$Z$3:$Z$25,AD333)&gt;0,1,0)</f>
        <v>0</v>
      </c>
    </row>
    <row r="334" spans="29:35" x14ac:dyDescent="0.25">
      <c r="AC334" s="20" t="s">
        <v>776</v>
      </c>
      <c r="AD334" s="20" t="s">
        <v>433</v>
      </c>
      <c r="AE334" s="20" t="s">
        <v>164</v>
      </c>
      <c r="AF334" s="20" t="s">
        <v>368</v>
      </c>
      <c r="AG334" s="20">
        <v>0.13</v>
      </c>
      <c r="AH334" s="20" t="s">
        <v>240</v>
      </c>
      <c r="AI334" s="28">
        <f>IF(COUNTIFS($W$3:$W$25,Presupuesto!$L$7,$Z$3:$Z$25,AD334)&gt;0,1,0)</f>
        <v>0</v>
      </c>
    </row>
    <row r="335" spans="29:35" x14ac:dyDescent="0.25">
      <c r="AC335" s="20" t="s">
        <v>777</v>
      </c>
      <c r="AD335" s="20" t="s">
        <v>362</v>
      </c>
      <c r="AE335" s="20" t="s">
        <v>164</v>
      </c>
      <c r="AF335" s="20" t="s">
        <v>368</v>
      </c>
      <c r="AG335" s="20">
        <v>0.05</v>
      </c>
      <c r="AH335" s="20" t="s">
        <v>240</v>
      </c>
      <c r="AI335" s="28">
        <f>IF(COUNTIFS($W$3:$W$25,Presupuesto!$L$7,$Z$3:$Z$25,AD335)&gt;0,1,0)</f>
        <v>0</v>
      </c>
    </row>
    <row r="336" spans="29:35" x14ac:dyDescent="0.25">
      <c r="AC336" s="20" t="s">
        <v>778</v>
      </c>
      <c r="AD336" s="20" t="s">
        <v>384</v>
      </c>
      <c r="AE336" s="20" t="s">
        <v>164</v>
      </c>
      <c r="AF336" s="20" t="s">
        <v>368</v>
      </c>
      <c r="AG336" s="20">
        <v>0.05</v>
      </c>
      <c r="AH336" s="20" t="s">
        <v>240</v>
      </c>
      <c r="AI336" s="28">
        <f>IF(COUNTIFS($W$3:$W$25,Presupuesto!$L$7,$Z$3:$Z$25,AD336)&gt;0,1,0)</f>
        <v>0</v>
      </c>
    </row>
    <row r="337" spans="29:35" x14ac:dyDescent="0.25">
      <c r="AC337" s="20" t="s">
        <v>779</v>
      </c>
      <c r="AD337" s="20" t="s">
        <v>436</v>
      </c>
      <c r="AE337" s="20" t="s">
        <v>164</v>
      </c>
      <c r="AF337" s="20" t="s">
        <v>368</v>
      </c>
      <c r="AG337" s="20">
        <v>1.05</v>
      </c>
      <c r="AH337" s="20" t="s">
        <v>240</v>
      </c>
      <c r="AI337" s="28">
        <f>IF(COUNTIFS($W$3:$W$25,Presupuesto!$L$7,$Z$3:$Z$25,AD337)&gt;0,1,0)</f>
        <v>0</v>
      </c>
    </row>
    <row r="338" spans="29:35" x14ac:dyDescent="0.25">
      <c r="AC338" s="20" t="s">
        <v>780</v>
      </c>
      <c r="AD338" s="20" t="s">
        <v>394</v>
      </c>
      <c r="AE338" s="20" t="s">
        <v>164</v>
      </c>
      <c r="AF338" s="20" t="s">
        <v>390</v>
      </c>
      <c r="AG338" s="20">
        <v>11.84</v>
      </c>
      <c r="AH338" s="20" t="s">
        <v>240</v>
      </c>
      <c r="AI338" s="28">
        <f>IF(COUNTIFS($W$3:$W$25,Presupuesto!$L$7,$Z$3:$Z$25,AD338)&gt;0,1,0)</f>
        <v>0</v>
      </c>
    </row>
    <row r="339" spans="29:35" x14ac:dyDescent="0.25">
      <c r="AC339" s="20" t="s">
        <v>781</v>
      </c>
      <c r="AD339" s="20" t="s">
        <v>415</v>
      </c>
      <c r="AE339" s="20" t="s">
        <v>164</v>
      </c>
      <c r="AF339" s="20" t="s">
        <v>390</v>
      </c>
      <c r="AG339" s="20">
        <v>3.42</v>
      </c>
      <c r="AH339" s="20" t="s">
        <v>240</v>
      </c>
      <c r="AI339" s="28">
        <f>IF(COUNTIFS($W$3:$W$25,Presupuesto!$L$7,$Z$3:$Z$25,AD339)&gt;0,1,0)</f>
        <v>0</v>
      </c>
    </row>
    <row r="340" spans="29:35" x14ac:dyDescent="0.25">
      <c r="AC340" s="20" t="s">
        <v>782</v>
      </c>
      <c r="AD340" s="20" t="s">
        <v>394</v>
      </c>
      <c r="AE340" s="20" t="s">
        <v>164</v>
      </c>
      <c r="AF340" s="20" t="s">
        <v>380</v>
      </c>
      <c r="AG340" s="20">
        <v>11.84</v>
      </c>
      <c r="AH340" s="20" t="s">
        <v>240</v>
      </c>
      <c r="AI340" s="28">
        <f>IF(COUNTIFS($W$3:$W$25,Presupuesto!$L$7,$Z$3:$Z$25,AD340)&gt;0,1,0)</f>
        <v>0</v>
      </c>
    </row>
    <row r="341" spans="29:35" x14ac:dyDescent="0.25">
      <c r="AC341" s="20" t="s">
        <v>783</v>
      </c>
      <c r="AD341" s="20" t="s">
        <v>415</v>
      </c>
      <c r="AE341" s="20" t="s">
        <v>164</v>
      </c>
      <c r="AF341" s="20" t="s">
        <v>380</v>
      </c>
      <c r="AG341" s="20">
        <v>3.42</v>
      </c>
      <c r="AH341" s="20" t="s">
        <v>240</v>
      </c>
      <c r="AI341" s="28">
        <f>IF(COUNTIFS($W$3:$W$25,Presupuesto!$L$7,$Z$3:$Z$25,AD341)&gt;0,1,0)</f>
        <v>0</v>
      </c>
    </row>
    <row r="342" spans="29:35" x14ac:dyDescent="0.25">
      <c r="AC342" s="20" t="s">
        <v>784</v>
      </c>
      <c r="AD342" s="20" t="s">
        <v>394</v>
      </c>
      <c r="AE342" s="20" t="s">
        <v>164</v>
      </c>
      <c r="AF342" s="20" t="s">
        <v>368</v>
      </c>
      <c r="AG342" s="20">
        <v>11.84</v>
      </c>
      <c r="AH342" s="20" t="s">
        <v>240</v>
      </c>
      <c r="AI342" s="28">
        <f>IF(COUNTIFS($W$3:$W$25,Presupuesto!$L$7,$Z$3:$Z$25,AD342)&gt;0,1,0)</f>
        <v>0</v>
      </c>
    </row>
    <row r="343" spans="29:35" x14ac:dyDescent="0.25">
      <c r="AC343" s="20" t="s">
        <v>785</v>
      </c>
      <c r="AD343" s="20" t="s">
        <v>415</v>
      </c>
      <c r="AE343" s="20" t="s">
        <v>164</v>
      </c>
      <c r="AF343" s="20" t="s">
        <v>368</v>
      </c>
      <c r="AG343" s="20">
        <v>3.42</v>
      </c>
      <c r="AH343" s="20" t="s">
        <v>240</v>
      </c>
      <c r="AI343" s="28">
        <f>IF(COUNTIFS($W$3:$W$25,Presupuesto!$L$7,$Z$3:$Z$25,AD343)&gt;0,1,0)</f>
        <v>0</v>
      </c>
    </row>
    <row r="344" spans="29:35" x14ac:dyDescent="0.25">
      <c r="AC344" s="20" t="s">
        <v>786</v>
      </c>
      <c r="AD344" s="20" t="s">
        <v>394</v>
      </c>
      <c r="AE344" s="20" t="s">
        <v>105</v>
      </c>
      <c r="AF344" s="20" t="s">
        <v>390</v>
      </c>
      <c r="AG344" s="20">
        <v>0.26</v>
      </c>
      <c r="AH344" s="20" t="s">
        <v>240</v>
      </c>
      <c r="AI344" s="28">
        <f>IF(COUNTIFS($W$3:$W$25,Presupuesto!$L$7,$Z$3:$Z$25,AD344)&gt;0,1,0)</f>
        <v>0</v>
      </c>
    </row>
    <row r="345" spans="29:35" x14ac:dyDescent="0.25">
      <c r="AC345" s="20" t="s">
        <v>787</v>
      </c>
      <c r="AD345" s="20" t="s">
        <v>433</v>
      </c>
      <c r="AE345" s="20" t="s">
        <v>105</v>
      </c>
      <c r="AF345" s="20" t="s">
        <v>390</v>
      </c>
      <c r="AG345" s="20">
        <v>0.79</v>
      </c>
      <c r="AH345" s="20" t="s">
        <v>240</v>
      </c>
      <c r="AI345" s="28">
        <f>IF(COUNTIFS($W$3:$W$25,Presupuesto!$L$7,$Z$3:$Z$25,AD345)&gt;0,1,0)</f>
        <v>0</v>
      </c>
    </row>
    <row r="346" spans="29:35" x14ac:dyDescent="0.25">
      <c r="AC346" s="20" t="s">
        <v>788</v>
      </c>
      <c r="AD346" s="20" t="s">
        <v>421</v>
      </c>
      <c r="AE346" s="20" t="s">
        <v>105</v>
      </c>
      <c r="AF346" s="20" t="s">
        <v>390</v>
      </c>
      <c r="AG346" s="20">
        <v>0.26</v>
      </c>
      <c r="AH346" s="20" t="s">
        <v>240</v>
      </c>
      <c r="AI346" s="28">
        <f>IF(COUNTIFS($W$3:$W$25,Presupuesto!$L$7,$Z$3:$Z$25,AD346)&gt;0,1,0)</f>
        <v>0</v>
      </c>
    </row>
    <row r="347" spans="29:35" x14ac:dyDescent="0.25">
      <c r="AC347" s="20" t="s">
        <v>789</v>
      </c>
      <c r="AD347" s="20" t="s">
        <v>408</v>
      </c>
      <c r="AE347" s="20" t="s">
        <v>105</v>
      </c>
      <c r="AF347" s="20" t="s">
        <v>390</v>
      </c>
      <c r="AG347" s="20">
        <v>0.26</v>
      </c>
      <c r="AH347" s="20" t="s">
        <v>240</v>
      </c>
      <c r="AI347" s="28">
        <f>IF(COUNTIFS($W$3:$W$25,Presupuesto!$L$7,$Z$3:$Z$25,AD347)&gt;0,1,0)</f>
        <v>0</v>
      </c>
    </row>
    <row r="348" spans="29:35" x14ac:dyDescent="0.25">
      <c r="AC348" s="20" t="s">
        <v>790</v>
      </c>
      <c r="AD348" s="20" t="s">
        <v>436</v>
      </c>
      <c r="AE348" s="20" t="s">
        <v>105</v>
      </c>
      <c r="AF348" s="20" t="s">
        <v>390</v>
      </c>
      <c r="AG348" s="20">
        <v>1.05</v>
      </c>
      <c r="AH348" s="20" t="s">
        <v>240</v>
      </c>
      <c r="AI348" s="28">
        <f>IF(COUNTIFS($W$3:$W$25,Presupuesto!$L$7,$Z$3:$Z$25,AD348)&gt;0,1,0)</f>
        <v>0</v>
      </c>
    </row>
    <row r="349" spans="29:35" x14ac:dyDescent="0.25">
      <c r="AC349" s="20" t="s">
        <v>791</v>
      </c>
      <c r="AD349" s="20" t="s">
        <v>394</v>
      </c>
      <c r="AE349" s="20" t="s">
        <v>105</v>
      </c>
      <c r="AF349" s="20" t="s">
        <v>380</v>
      </c>
      <c r="AG349" s="20">
        <v>0.26</v>
      </c>
      <c r="AH349" s="20" t="s">
        <v>240</v>
      </c>
      <c r="AI349" s="28">
        <f>IF(COUNTIFS($W$3:$W$25,Presupuesto!$L$7,$Z$3:$Z$25,AD349)&gt;0,1,0)</f>
        <v>0</v>
      </c>
    </row>
    <row r="350" spans="29:35" x14ac:dyDescent="0.25">
      <c r="AC350" s="20" t="s">
        <v>792</v>
      </c>
      <c r="AD350" s="20" t="s">
        <v>433</v>
      </c>
      <c r="AE350" s="20" t="s">
        <v>105</v>
      </c>
      <c r="AF350" s="20" t="s">
        <v>380</v>
      </c>
      <c r="AG350" s="20">
        <v>0.79</v>
      </c>
      <c r="AH350" s="20" t="s">
        <v>240</v>
      </c>
      <c r="AI350" s="28">
        <f>IF(COUNTIFS($W$3:$W$25,Presupuesto!$L$7,$Z$3:$Z$25,AD350)&gt;0,1,0)</f>
        <v>0</v>
      </c>
    </row>
    <row r="351" spans="29:35" x14ac:dyDescent="0.25">
      <c r="AC351" s="20" t="s">
        <v>793</v>
      </c>
      <c r="AD351" s="20" t="s">
        <v>421</v>
      </c>
      <c r="AE351" s="20" t="s">
        <v>105</v>
      </c>
      <c r="AF351" s="20" t="s">
        <v>380</v>
      </c>
      <c r="AG351" s="20">
        <v>0.26</v>
      </c>
      <c r="AH351" s="20" t="s">
        <v>240</v>
      </c>
      <c r="AI351" s="28">
        <f>IF(COUNTIFS($W$3:$W$25,Presupuesto!$L$7,$Z$3:$Z$25,AD351)&gt;0,1,0)</f>
        <v>0</v>
      </c>
    </row>
    <row r="352" spans="29:35" x14ac:dyDescent="0.25">
      <c r="AC352" s="20" t="s">
        <v>794</v>
      </c>
      <c r="AD352" s="20" t="s">
        <v>408</v>
      </c>
      <c r="AE352" s="20" t="s">
        <v>105</v>
      </c>
      <c r="AF352" s="20" t="s">
        <v>380</v>
      </c>
      <c r="AG352" s="20">
        <v>0.26</v>
      </c>
      <c r="AH352" s="20" t="s">
        <v>240</v>
      </c>
      <c r="AI352" s="28">
        <f>IF(COUNTIFS($W$3:$W$25,Presupuesto!$L$7,$Z$3:$Z$25,AD352)&gt;0,1,0)</f>
        <v>0</v>
      </c>
    </row>
    <row r="353" spans="29:35" x14ac:dyDescent="0.25">
      <c r="AC353" s="20" t="s">
        <v>795</v>
      </c>
      <c r="AD353" s="20" t="s">
        <v>436</v>
      </c>
      <c r="AE353" s="20" t="s">
        <v>105</v>
      </c>
      <c r="AF353" s="20" t="s">
        <v>380</v>
      </c>
      <c r="AG353" s="20">
        <v>1.05</v>
      </c>
      <c r="AH353" s="20" t="s">
        <v>240</v>
      </c>
      <c r="AI353" s="28">
        <f>IF(COUNTIFS($W$3:$W$25,Presupuesto!$L$7,$Z$3:$Z$25,AD353)&gt;0,1,0)</f>
        <v>0</v>
      </c>
    </row>
    <row r="354" spans="29:35" x14ac:dyDescent="0.25">
      <c r="AC354" s="20" t="s">
        <v>796</v>
      </c>
      <c r="AD354" s="20" t="s">
        <v>394</v>
      </c>
      <c r="AE354" s="20" t="s">
        <v>105</v>
      </c>
      <c r="AF354" s="20" t="s">
        <v>368</v>
      </c>
      <c r="AG354" s="20">
        <v>0.26</v>
      </c>
      <c r="AH354" s="20" t="s">
        <v>240</v>
      </c>
      <c r="AI354" s="28">
        <f>IF(COUNTIFS($W$3:$W$25,Presupuesto!$L$7,$Z$3:$Z$25,AD354)&gt;0,1,0)</f>
        <v>0</v>
      </c>
    </row>
    <row r="355" spans="29:35" x14ac:dyDescent="0.25">
      <c r="AC355" s="20" t="s">
        <v>797</v>
      </c>
      <c r="AD355" s="20" t="s">
        <v>433</v>
      </c>
      <c r="AE355" s="20" t="s">
        <v>105</v>
      </c>
      <c r="AF355" s="20" t="s">
        <v>368</v>
      </c>
      <c r="AG355" s="20">
        <v>0.79</v>
      </c>
      <c r="AH355" s="20" t="s">
        <v>240</v>
      </c>
      <c r="AI355" s="28">
        <f>IF(COUNTIFS($W$3:$W$25,Presupuesto!$L$7,$Z$3:$Z$25,AD355)&gt;0,1,0)</f>
        <v>0</v>
      </c>
    </row>
    <row r="356" spans="29:35" x14ac:dyDescent="0.25">
      <c r="AC356" s="20" t="s">
        <v>798</v>
      </c>
      <c r="AD356" s="20" t="s">
        <v>421</v>
      </c>
      <c r="AE356" s="20" t="s">
        <v>105</v>
      </c>
      <c r="AF356" s="20" t="s">
        <v>368</v>
      </c>
      <c r="AG356" s="20">
        <v>0.26</v>
      </c>
      <c r="AH356" s="20" t="s">
        <v>240</v>
      </c>
      <c r="AI356" s="28">
        <f>IF(COUNTIFS($W$3:$W$25,Presupuesto!$L$7,$Z$3:$Z$25,AD356)&gt;0,1,0)</f>
        <v>0</v>
      </c>
    </row>
    <row r="357" spans="29:35" x14ac:dyDescent="0.25">
      <c r="AC357" s="20" t="s">
        <v>799</v>
      </c>
      <c r="AD357" s="20" t="s">
        <v>408</v>
      </c>
      <c r="AE357" s="20" t="s">
        <v>105</v>
      </c>
      <c r="AF357" s="20" t="s">
        <v>368</v>
      </c>
      <c r="AG357" s="20">
        <v>0.26</v>
      </c>
      <c r="AH357" s="20" t="s">
        <v>240</v>
      </c>
      <c r="AI357" s="28">
        <f>IF(COUNTIFS($W$3:$W$25,Presupuesto!$L$7,$Z$3:$Z$25,AD357)&gt;0,1,0)</f>
        <v>0</v>
      </c>
    </row>
    <row r="358" spans="29:35" x14ac:dyDescent="0.25">
      <c r="AC358" s="20" t="s">
        <v>800</v>
      </c>
      <c r="AD358" s="20" t="s">
        <v>436</v>
      </c>
      <c r="AE358" s="20" t="s">
        <v>105</v>
      </c>
      <c r="AF358" s="20" t="s">
        <v>368</v>
      </c>
      <c r="AG358" s="20">
        <v>1.05</v>
      </c>
      <c r="AH358" s="20" t="s">
        <v>240</v>
      </c>
      <c r="AI358" s="28">
        <f>IF(COUNTIFS($W$3:$W$25,Presupuesto!$L$7,$Z$3:$Z$25,AD358)&gt;0,1,0)</f>
        <v>0</v>
      </c>
    </row>
    <row r="359" spans="29:35" x14ac:dyDescent="0.25">
      <c r="AC359" s="20" t="s">
        <v>801</v>
      </c>
      <c r="AD359" s="20" t="s">
        <v>371</v>
      </c>
      <c r="AE359" s="20" t="s">
        <v>105</v>
      </c>
      <c r="AF359" s="20" t="s">
        <v>390</v>
      </c>
      <c r="AG359" s="20">
        <v>0</v>
      </c>
      <c r="AH359" s="20" t="s">
        <v>240</v>
      </c>
      <c r="AI359" s="28">
        <f>IF(COUNTIFS($W$3:$W$25,Presupuesto!$L$7,$Z$3:$Z$25,AD359)&gt;0,1,0)</f>
        <v>0</v>
      </c>
    </row>
    <row r="360" spans="29:35" x14ac:dyDescent="0.25">
      <c r="AC360" s="20" t="s">
        <v>802</v>
      </c>
      <c r="AD360" s="20" t="s">
        <v>371</v>
      </c>
      <c r="AE360" s="20" t="s">
        <v>105</v>
      </c>
      <c r="AF360" s="20" t="s">
        <v>380</v>
      </c>
      <c r="AG360" s="20">
        <v>0</v>
      </c>
      <c r="AH360" s="20" t="s">
        <v>240</v>
      </c>
      <c r="AI360" s="28">
        <f>IF(COUNTIFS($W$3:$W$25,Presupuesto!$L$7,$Z$3:$Z$25,AD360)&gt;0,1,0)</f>
        <v>0</v>
      </c>
    </row>
    <row r="361" spans="29:35" x14ac:dyDescent="0.25">
      <c r="AC361" s="20" t="s">
        <v>803</v>
      </c>
      <c r="AD361" s="20" t="s">
        <v>371</v>
      </c>
      <c r="AE361" s="20" t="s">
        <v>105</v>
      </c>
      <c r="AF361" s="20" t="s">
        <v>368</v>
      </c>
      <c r="AG361" s="20">
        <v>0</v>
      </c>
      <c r="AH361" s="20" t="s">
        <v>240</v>
      </c>
      <c r="AI361" s="28">
        <f>IF(COUNTIFS($W$3:$W$25,Presupuesto!$L$7,$Z$3:$Z$25,AD361)&gt;0,1,0)</f>
        <v>0</v>
      </c>
    </row>
    <row r="362" spans="29:35" x14ac:dyDescent="0.25">
      <c r="AC362" s="20" t="s">
        <v>804</v>
      </c>
      <c r="AD362" s="20" t="s">
        <v>415</v>
      </c>
      <c r="AE362" s="20" t="s">
        <v>105</v>
      </c>
      <c r="AF362" s="20" t="s">
        <v>390</v>
      </c>
      <c r="AG362" s="20">
        <v>4.34</v>
      </c>
      <c r="AH362" s="20" t="s">
        <v>240</v>
      </c>
      <c r="AI362" s="28">
        <f>IF(COUNTIFS($W$3:$W$25,Presupuesto!$L$7,$Z$3:$Z$25,AD362)&gt;0,1,0)</f>
        <v>0</v>
      </c>
    </row>
    <row r="363" spans="29:35" x14ac:dyDescent="0.25">
      <c r="AC363" s="20" t="s">
        <v>805</v>
      </c>
      <c r="AD363" s="20" t="s">
        <v>415</v>
      </c>
      <c r="AE363" s="20" t="s">
        <v>105</v>
      </c>
      <c r="AF363" s="20" t="s">
        <v>380</v>
      </c>
      <c r="AG363" s="20">
        <v>4.34</v>
      </c>
      <c r="AH363" s="20" t="s">
        <v>240</v>
      </c>
      <c r="AI363" s="28">
        <f>IF(COUNTIFS($W$3:$W$25,Presupuesto!$L$7,$Z$3:$Z$25,AD363)&gt;0,1,0)</f>
        <v>0</v>
      </c>
    </row>
    <row r="364" spans="29:35" x14ac:dyDescent="0.25">
      <c r="AC364" s="20" t="s">
        <v>806</v>
      </c>
      <c r="AD364" s="20" t="s">
        <v>415</v>
      </c>
      <c r="AE364" s="20" t="s">
        <v>105</v>
      </c>
      <c r="AF364" s="20" t="s">
        <v>368</v>
      </c>
      <c r="AG364" s="20">
        <v>4.34</v>
      </c>
      <c r="AH364" s="20" t="s">
        <v>240</v>
      </c>
      <c r="AI364" s="28">
        <f>IF(COUNTIFS($W$3:$W$25,Presupuesto!$L$7,$Z$3:$Z$25,AD364)&gt;0,1,0)</f>
        <v>0</v>
      </c>
    </row>
    <row r="365" spans="29:35" x14ac:dyDescent="0.25">
      <c r="AC365" s="20" t="s">
        <v>807</v>
      </c>
      <c r="AD365" s="20" t="s">
        <v>421</v>
      </c>
      <c r="AE365" s="20" t="s">
        <v>81</v>
      </c>
      <c r="AF365" s="20" t="s">
        <v>390</v>
      </c>
      <c r="AG365" s="20">
        <v>0.26</v>
      </c>
      <c r="AH365" s="20" t="s">
        <v>240</v>
      </c>
      <c r="AI365" s="28">
        <f>IF(COUNTIFS($W$3:$W$25,Presupuesto!$L$7,$Z$3:$Z$25,AD365)&gt;0,1,0)</f>
        <v>0</v>
      </c>
    </row>
    <row r="366" spans="29:35" x14ac:dyDescent="0.25">
      <c r="AC366" s="20" t="s">
        <v>808</v>
      </c>
      <c r="AD366" s="20" t="s">
        <v>373</v>
      </c>
      <c r="AE366" s="20" t="s">
        <v>81</v>
      </c>
      <c r="AF366" s="20" t="s">
        <v>390</v>
      </c>
      <c r="AG366" s="20">
        <v>1.32</v>
      </c>
      <c r="AH366" s="20" t="s">
        <v>240</v>
      </c>
      <c r="AI366" s="28">
        <f>IF(COUNTIFS($W$3:$W$25,Presupuesto!$L$7,$Z$3:$Z$25,AD366)&gt;0,1,0)</f>
        <v>0</v>
      </c>
    </row>
    <row r="367" spans="29:35" x14ac:dyDescent="0.25">
      <c r="AC367" s="20" t="s">
        <v>809</v>
      </c>
      <c r="AD367" s="20" t="s">
        <v>408</v>
      </c>
      <c r="AE367" s="20" t="s">
        <v>81</v>
      </c>
      <c r="AF367" s="20" t="s">
        <v>390</v>
      </c>
      <c r="AG367" s="20">
        <v>0.13</v>
      </c>
      <c r="AH367" s="20" t="s">
        <v>240</v>
      </c>
      <c r="AI367" s="28">
        <f>IF(COUNTIFS($W$3:$W$25,Presupuesto!$L$7,$Z$3:$Z$25,AD367)&gt;0,1,0)</f>
        <v>0</v>
      </c>
    </row>
    <row r="368" spans="29:35" x14ac:dyDescent="0.25">
      <c r="AC368" s="20" t="s">
        <v>810</v>
      </c>
      <c r="AD368" s="20" t="s">
        <v>362</v>
      </c>
      <c r="AE368" s="20" t="s">
        <v>81</v>
      </c>
      <c r="AF368" s="20" t="s">
        <v>390</v>
      </c>
      <c r="AG368" s="20">
        <v>0.05</v>
      </c>
      <c r="AH368" s="20" t="s">
        <v>240</v>
      </c>
      <c r="AI368" s="28">
        <f>IF(COUNTIFS($W$3:$W$25,Presupuesto!$L$7,$Z$3:$Z$25,AD368)&gt;0,1,0)</f>
        <v>0</v>
      </c>
    </row>
    <row r="369" spans="29:35" x14ac:dyDescent="0.25">
      <c r="AC369" s="20" t="s">
        <v>811</v>
      </c>
      <c r="AD369" s="20" t="s">
        <v>436</v>
      </c>
      <c r="AE369" s="20" t="s">
        <v>81</v>
      </c>
      <c r="AF369" s="20" t="s">
        <v>390</v>
      </c>
      <c r="AG369" s="20">
        <v>1.05</v>
      </c>
      <c r="AH369" s="20" t="s">
        <v>240</v>
      </c>
      <c r="AI369" s="28">
        <f>IF(COUNTIFS($W$3:$W$25,Presupuesto!$L$7,$Z$3:$Z$25,AD369)&gt;0,1,0)</f>
        <v>0</v>
      </c>
    </row>
    <row r="370" spans="29:35" x14ac:dyDescent="0.25">
      <c r="AC370" s="20" t="s">
        <v>812</v>
      </c>
      <c r="AD370" s="20" t="s">
        <v>421</v>
      </c>
      <c r="AE370" s="20" t="s">
        <v>81</v>
      </c>
      <c r="AF370" s="20" t="s">
        <v>380</v>
      </c>
      <c r="AG370" s="20">
        <v>0.26</v>
      </c>
      <c r="AH370" s="20" t="s">
        <v>240</v>
      </c>
      <c r="AI370" s="28">
        <f>IF(COUNTIFS($W$3:$W$25,Presupuesto!$L$7,$Z$3:$Z$25,AD370)&gt;0,1,0)</f>
        <v>0</v>
      </c>
    </row>
    <row r="371" spans="29:35" x14ac:dyDescent="0.25">
      <c r="AC371" s="20" t="s">
        <v>813</v>
      </c>
      <c r="AD371" s="20" t="s">
        <v>373</v>
      </c>
      <c r="AE371" s="20" t="s">
        <v>81</v>
      </c>
      <c r="AF371" s="20" t="s">
        <v>380</v>
      </c>
      <c r="AG371" s="20">
        <v>1.32</v>
      </c>
      <c r="AH371" s="20" t="s">
        <v>240</v>
      </c>
      <c r="AI371" s="28">
        <f>IF(COUNTIFS($W$3:$W$25,Presupuesto!$L$7,$Z$3:$Z$25,AD371)&gt;0,1,0)</f>
        <v>0</v>
      </c>
    </row>
    <row r="372" spans="29:35" x14ac:dyDescent="0.25">
      <c r="AC372" s="20" t="s">
        <v>814</v>
      </c>
      <c r="AD372" s="20" t="s">
        <v>408</v>
      </c>
      <c r="AE372" s="20" t="s">
        <v>81</v>
      </c>
      <c r="AF372" s="20" t="s">
        <v>380</v>
      </c>
      <c r="AG372" s="20">
        <v>0.13</v>
      </c>
      <c r="AH372" s="20" t="s">
        <v>240</v>
      </c>
      <c r="AI372" s="28">
        <f>IF(COUNTIFS($W$3:$W$25,Presupuesto!$L$7,$Z$3:$Z$25,AD372)&gt;0,1,0)</f>
        <v>0</v>
      </c>
    </row>
    <row r="373" spans="29:35" x14ac:dyDescent="0.25">
      <c r="AC373" s="20" t="s">
        <v>815</v>
      </c>
      <c r="AD373" s="20" t="s">
        <v>362</v>
      </c>
      <c r="AE373" s="20" t="s">
        <v>81</v>
      </c>
      <c r="AF373" s="20" t="s">
        <v>380</v>
      </c>
      <c r="AG373" s="20">
        <v>0.05</v>
      </c>
      <c r="AH373" s="20" t="s">
        <v>240</v>
      </c>
      <c r="AI373" s="28">
        <f>IF(COUNTIFS($W$3:$W$25,Presupuesto!$L$7,$Z$3:$Z$25,AD373)&gt;0,1,0)</f>
        <v>0</v>
      </c>
    </row>
    <row r="374" spans="29:35" x14ac:dyDescent="0.25">
      <c r="AC374" s="20" t="s">
        <v>816</v>
      </c>
      <c r="AD374" s="20" t="s">
        <v>436</v>
      </c>
      <c r="AE374" s="20" t="s">
        <v>81</v>
      </c>
      <c r="AF374" s="20" t="s">
        <v>380</v>
      </c>
      <c r="AG374" s="20">
        <v>1.05</v>
      </c>
      <c r="AH374" s="20" t="s">
        <v>240</v>
      </c>
      <c r="AI374" s="28">
        <f>IF(COUNTIFS($W$3:$W$25,Presupuesto!$L$7,$Z$3:$Z$25,AD374)&gt;0,1,0)</f>
        <v>0</v>
      </c>
    </row>
    <row r="375" spans="29:35" x14ac:dyDescent="0.25">
      <c r="AC375" s="20" t="s">
        <v>817</v>
      </c>
      <c r="AD375" s="20" t="s">
        <v>421</v>
      </c>
      <c r="AE375" s="20" t="s">
        <v>81</v>
      </c>
      <c r="AF375" s="20" t="s">
        <v>368</v>
      </c>
      <c r="AG375" s="20">
        <v>0.26</v>
      </c>
      <c r="AH375" s="20" t="s">
        <v>240</v>
      </c>
      <c r="AI375" s="28">
        <f>IF(COUNTIFS($W$3:$W$25,Presupuesto!$L$7,$Z$3:$Z$25,AD375)&gt;0,1,0)</f>
        <v>0</v>
      </c>
    </row>
    <row r="376" spans="29:35" x14ac:dyDescent="0.25">
      <c r="AC376" s="20" t="s">
        <v>818</v>
      </c>
      <c r="AD376" s="20" t="s">
        <v>373</v>
      </c>
      <c r="AE376" s="20" t="s">
        <v>81</v>
      </c>
      <c r="AF376" s="20" t="s">
        <v>368</v>
      </c>
      <c r="AG376" s="20">
        <v>1.32</v>
      </c>
      <c r="AH376" s="20" t="s">
        <v>240</v>
      </c>
      <c r="AI376" s="28">
        <f>IF(COUNTIFS($W$3:$W$25,Presupuesto!$L$7,$Z$3:$Z$25,AD376)&gt;0,1,0)</f>
        <v>0</v>
      </c>
    </row>
    <row r="377" spans="29:35" x14ac:dyDescent="0.25">
      <c r="AC377" s="20" t="s">
        <v>819</v>
      </c>
      <c r="AD377" s="20" t="s">
        <v>408</v>
      </c>
      <c r="AE377" s="20" t="s">
        <v>81</v>
      </c>
      <c r="AF377" s="20" t="s">
        <v>368</v>
      </c>
      <c r="AG377" s="20">
        <v>0.13</v>
      </c>
      <c r="AH377" s="20" t="s">
        <v>240</v>
      </c>
      <c r="AI377" s="28">
        <f>IF(COUNTIFS($W$3:$W$25,Presupuesto!$L$7,$Z$3:$Z$25,AD377)&gt;0,1,0)</f>
        <v>0</v>
      </c>
    </row>
    <row r="378" spans="29:35" x14ac:dyDescent="0.25">
      <c r="AC378" s="20" t="s">
        <v>820</v>
      </c>
      <c r="AD378" s="20" t="s">
        <v>362</v>
      </c>
      <c r="AE378" s="20" t="s">
        <v>81</v>
      </c>
      <c r="AF378" s="20" t="s">
        <v>368</v>
      </c>
      <c r="AG378" s="20">
        <v>0.05</v>
      </c>
      <c r="AH378" s="20" t="s">
        <v>240</v>
      </c>
      <c r="AI378" s="28">
        <f>IF(COUNTIFS($W$3:$W$25,Presupuesto!$L$7,$Z$3:$Z$25,AD378)&gt;0,1,0)</f>
        <v>0</v>
      </c>
    </row>
    <row r="379" spans="29:35" x14ac:dyDescent="0.25">
      <c r="AC379" s="20" t="s">
        <v>821</v>
      </c>
      <c r="AD379" s="20" t="s">
        <v>436</v>
      </c>
      <c r="AE379" s="20" t="s">
        <v>81</v>
      </c>
      <c r="AF379" s="20" t="s">
        <v>368</v>
      </c>
      <c r="AG379" s="20">
        <v>1.05</v>
      </c>
      <c r="AH379" s="20" t="s">
        <v>240</v>
      </c>
      <c r="AI379" s="28">
        <f>IF(COUNTIFS($W$3:$W$25,Presupuesto!$L$7,$Z$3:$Z$25,AD379)&gt;0,1,0)</f>
        <v>0</v>
      </c>
    </row>
    <row r="380" spans="29:35" x14ac:dyDescent="0.25">
      <c r="AC380" s="20" t="s">
        <v>822</v>
      </c>
      <c r="AD380" s="20" t="s">
        <v>433</v>
      </c>
      <c r="AE380" s="20" t="s">
        <v>81</v>
      </c>
      <c r="AF380" s="20" t="s">
        <v>390</v>
      </c>
      <c r="AG380" s="20">
        <v>0.79</v>
      </c>
      <c r="AH380" s="20" t="s">
        <v>240</v>
      </c>
      <c r="AI380" s="28">
        <f>IF(COUNTIFS($W$3:$W$25,Presupuesto!$L$7,$Z$3:$Z$25,AD380)&gt;0,1,0)</f>
        <v>0</v>
      </c>
    </row>
    <row r="381" spans="29:35" x14ac:dyDescent="0.25">
      <c r="AC381" s="20" t="s">
        <v>823</v>
      </c>
      <c r="AD381" s="20" t="s">
        <v>394</v>
      </c>
      <c r="AE381" s="20" t="s">
        <v>81</v>
      </c>
      <c r="AF381" s="20" t="s">
        <v>390</v>
      </c>
      <c r="AG381" s="20">
        <v>0.26</v>
      </c>
      <c r="AH381" s="20" t="s">
        <v>240</v>
      </c>
      <c r="AI381" s="28">
        <f>IF(COUNTIFS($W$3:$W$25,Presupuesto!$L$7,$Z$3:$Z$25,AD381)&gt;0,1,0)</f>
        <v>0</v>
      </c>
    </row>
    <row r="382" spans="29:35" x14ac:dyDescent="0.25">
      <c r="AC382" s="20" t="s">
        <v>824</v>
      </c>
      <c r="AD382" s="20" t="s">
        <v>384</v>
      </c>
      <c r="AE382" s="20" t="s">
        <v>81</v>
      </c>
      <c r="AF382" s="20" t="s">
        <v>390</v>
      </c>
      <c r="AG382" s="20">
        <v>0.13</v>
      </c>
      <c r="AH382" s="20" t="s">
        <v>240</v>
      </c>
      <c r="AI382" s="28">
        <f>IF(COUNTIFS($W$3:$W$25,Presupuesto!$L$7,$Z$3:$Z$25,AD382)&gt;0,1,0)</f>
        <v>0</v>
      </c>
    </row>
    <row r="383" spans="29:35" x14ac:dyDescent="0.25">
      <c r="AC383" s="20" t="s">
        <v>825</v>
      </c>
      <c r="AD383" s="20" t="s">
        <v>433</v>
      </c>
      <c r="AE383" s="20" t="s">
        <v>81</v>
      </c>
      <c r="AF383" s="20" t="s">
        <v>380</v>
      </c>
      <c r="AG383" s="20">
        <v>0.79</v>
      </c>
      <c r="AH383" s="20" t="s">
        <v>240</v>
      </c>
      <c r="AI383" s="28">
        <f>IF(COUNTIFS($W$3:$W$25,Presupuesto!$L$7,$Z$3:$Z$25,AD383)&gt;0,1,0)</f>
        <v>0</v>
      </c>
    </row>
    <row r="384" spans="29:35" x14ac:dyDescent="0.25">
      <c r="AC384" s="20" t="s">
        <v>826</v>
      </c>
      <c r="AD384" s="20" t="s">
        <v>394</v>
      </c>
      <c r="AE384" s="20" t="s">
        <v>81</v>
      </c>
      <c r="AF384" s="20" t="s">
        <v>380</v>
      </c>
      <c r="AG384" s="20">
        <v>0.26</v>
      </c>
      <c r="AH384" s="20" t="s">
        <v>240</v>
      </c>
      <c r="AI384" s="28">
        <f>IF(COUNTIFS($W$3:$W$25,Presupuesto!$L$7,$Z$3:$Z$25,AD384)&gt;0,1,0)</f>
        <v>0</v>
      </c>
    </row>
    <row r="385" spans="29:35" x14ac:dyDescent="0.25">
      <c r="AC385" s="20" t="s">
        <v>827</v>
      </c>
      <c r="AD385" s="20" t="s">
        <v>384</v>
      </c>
      <c r="AE385" s="20" t="s">
        <v>81</v>
      </c>
      <c r="AF385" s="20" t="s">
        <v>380</v>
      </c>
      <c r="AG385" s="20">
        <v>0.13</v>
      </c>
      <c r="AH385" s="20" t="s">
        <v>240</v>
      </c>
      <c r="AI385" s="28">
        <f>IF(COUNTIFS($W$3:$W$25,Presupuesto!$L$7,$Z$3:$Z$25,AD385)&gt;0,1,0)</f>
        <v>0</v>
      </c>
    </row>
    <row r="386" spans="29:35" x14ac:dyDescent="0.25">
      <c r="AC386" s="20" t="s">
        <v>828</v>
      </c>
      <c r="AD386" s="20" t="s">
        <v>433</v>
      </c>
      <c r="AE386" s="20" t="s">
        <v>81</v>
      </c>
      <c r="AF386" s="20" t="s">
        <v>368</v>
      </c>
      <c r="AG386" s="20">
        <v>0.79</v>
      </c>
      <c r="AH386" s="20" t="s">
        <v>240</v>
      </c>
      <c r="AI386" s="28">
        <f>IF(COUNTIFS($W$3:$W$25,Presupuesto!$L$7,$Z$3:$Z$25,AD386)&gt;0,1,0)</f>
        <v>0</v>
      </c>
    </row>
    <row r="387" spans="29:35" x14ac:dyDescent="0.25">
      <c r="AC387" s="20" t="s">
        <v>829</v>
      </c>
      <c r="AD387" s="20" t="s">
        <v>394</v>
      </c>
      <c r="AE387" s="20" t="s">
        <v>81</v>
      </c>
      <c r="AF387" s="20" t="s">
        <v>368</v>
      </c>
      <c r="AG387" s="20">
        <v>0.26</v>
      </c>
      <c r="AH387" s="20" t="s">
        <v>240</v>
      </c>
      <c r="AI387" s="28">
        <f>IF(COUNTIFS($W$3:$W$25,Presupuesto!$L$7,$Z$3:$Z$25,AD387)&gt;0,1,0)</f>
        <v>0</v>
      </c>
    </row>
    <row r="388" spans="29:35" x14ac:dyDescent="0.25">
      <c r="AC388" s="20" t="s">
        <v>830</v>
      </c>
      <c r="AD388" s="20" t="s">
        <v>384</v>
      </c>
      <c r="AE388" s="20" t="s">
        <v>81</v>
      </c>
      <c r="AF388" s="20" t="s">
        <v>368</v>
      </c>
      <c r="AG388" s="20">
        <v>0.13</v>
      </c>
      <c r="AH388" s="20" t="s">
        <v>240</v>
      </c>
      <c r="AI388" s="28">
        <f>IF(COUNTIFS($W$3:$W$25,Presupuesto!$L$7,$Z$3:$Z$25,AD388)&gt;0,1,0)</f>
        <v>0</v>
      </c>
    </row>
    <row r="389" spans="29:35" x14ac:dyDescent="0.25">
      <c r="AC389" s="20" t="s">
        <v>831</v>
      </c>
      <c r="AD389" s="20" t="s">
        <v>371</v>
      </c>
      <c r="AE389" s="20" t="s">
        <v>81</v>
      </c>
      <c r="AF389" s="20" t="s">
        <v>390</v>
      </c>
      <c r="AG389" s="20">
        <v>1.5</v>
      </c>
      <c r="AH389" s="20" t="s">
        <v>240</v>
      </c>
      <c r="AI389" s="28">
        <f>IF(COUNTIFS($W$3:$W$25,Presupuesto!$L$7,$Z$3:$Z$25,AD389)&gt;0,1,0)</f>
        <v>0</v>
      </c>
    </row>
    <row r="390" spans="29:35" x14ac:dyDescent="0.25">
      <c r="AC390" s="20" t="s">
        <v>832</v>
      </c>
      <c r="AD390" s="20" t="s">
        <v>382</v>
      </c>
      <c r="AE390" s="20" t="s">
        <v>81</v>
      </c>
      <c r="AF390" s="20" t="s">
        <v>390</v>
      </c>
      <c r="AG390" s="20">
        <v>0.75</v>
      </c>
      <c r="AH390" s="20" t="s">
        <v>240</v>
      </c>
      <c r="AI390" s="28">
        <f>IF(COUNTIFS($W$3:$W$25,Presupuesto!$L$7,$Z$3:$Z$25,AD390)&gt;0,1,0)</f>
        <v>0</v>
      </c>
    </row>
    <row r="391" spans="29:35" x14ac:dyDescent="0.25">
      <c r="AC391" s="20" t="s">
        <v>833</v>
      </c>
      <c r="AD391" s="20" t="s">
        <v>371</v>
      </c>
      <c r="AE391" s="20" t="s">
        <v>81</v>
      </c>
      <c r="AF391" s="20" t="s">
        <v>380</v>
      </c>
      <c r="AG391" s="20">
        <v>1.5</v>
      </c>
      <c r="AH391" s="20" t="s">
        <v>240</v>
      </c>
      <c r="AI391" s="28">
        <f>IF(COUNTIFS($W$3:$W$25,Presupuesto!$L$7,$Z$3:$Z$25,AD391)&gt;0,1,0)</f>
        <v>0</v>
      </c>
    </row>
    <row r="392" spans="29:35" x14ac:dyDescent="0.25">
      <c r="AC392" s="20" t="s">
        <v>834</v>
      </c>
      <c r="AD392" s="20" t="s">
        <v>382</v>
      </c>
      <c r="AE392" s="20" t="s">
        <v>81</v>
      </c>
      <c r="AF392" s="20" t="s">
        <v>380</v>
      </c>
      <c r="AG392" s="20">
        <v>0.75</v>
      </c>
      <c r="AH392" s="20" t="s">
        <v>240</v>
      </c>
      <c r="AI392" s="28">
        <f>IF(COUNTIFS($W$3:$W$25,Presupuesto!$L$7,$Z$3:$Z$25,AD392)&gt;0,1,0)</f>
        <v>0</v>
      </c>
    </row>
    <row r="393" spans="29:35" x14ac:dyDescent="0.25">
      <c r="AC393" s="20" t="s">
        <v>835</v>
      </c>
      <c r="AD393" s="20" t="s">
        <v>371</v>
      </c>
      <c r="AE393" s="20" t="s">
        <v>81</v>
      </c>
      <c r="AF393" s="20" t="s">
        <v>368</v>
      </c>
      <c r="AG393" s="20">
        <v>1.5</v>
      </c>
      <c r="AH393" s="20" t="s">
        <v>240</v>
      </c>
      <c r="AI393" s="28">
        <f>IF(COUNTIFS($W$3:$W$25,Presupuesto!$L$7,$Z$3:$Z$25,AD393)&gt;0,1,0)</f>
        <v>0</v>
      </c>
    </row>
    <row r="394" spans="29:35" x14ac:dyDescent="0.25">
      <c r="AC394" s="20" t="s">
        <v>836</v>
      </c>
      <c r="AD394" s="20" t="s">
        <v>382</v>
      </c>
      <c r="AE394" s="20" t="s">
        <v>81</v>
      </c>
      <c r="AF394" s="20" t="s">
        <v>368</v>
      </c>
      <c r="AG394" s="20">
        <v>0.75</v>
      </c>
      <c r="AH394" s="20" t="s">
        <v>240</v>
      </c>
      <c r="AI394" s="28">
        <f>IF(COUNTIFS($W$3:$W$25,Presupuesto!$L$7,$Z$3:$Z$25,AD394)&gt;0,1,0)</f>
        <v>0</v>
      </c>
    </row>
    <row r="395" spans="29:35" x14ac:dyDescent="0.25">
      <c r="AC395" s="20" t="s">
        <v>837</v>
      </c>
      <c r="AD395" s="20" t="s">
        <v>421</v>
      </c>
      <c r="AE395" s="20" t="s">
        <v>190</v>
      </c>
      <c r="AF395" s="20" t="s">
        <v>390</v>
      </c>
      <c r="AG395" s="20">
        <v>0.22</v>
      </c>
      <c r="AH395" s="20" t="s">
        <v>240</v>
      </c>
      <c r="AI395" s="28">
        <f>IF(COUNTIFS($W$3:$W$25,Presupuesto!$L$7,$Z$3:$Z$25,AD395)&gt;0,1,0)</f>
        <v>0</v>
      </c>
    </row>
    <row r="396" spans="29:35" x14ac:dyDescent="0.25">
      <c r="AC396" s="20" t="s">
        <v>838</v>
      </c>
      <c r="AD396" s="20" t="s">
        <v>373</v>
      </c>
      <c r="AE396" s="20" t="s">
        <v>190</v>
      </c>
      <c r="AF396" s="20" t="s">
        <v>390</v>
      </c>
      <c r="AG396" s="20">
        <v>0.56000000000000005</v>
      </c>
      <c r="AH396" s="20" t="s">
        <v>240</v>
      </c>
      <c r="AI396" s="28">
        <f>IF(COUNTIFS($W$3:$W$25,Presupuesto!$L$7,$Z$3:$Z$25,AD396)&gt;0,1,0)</f>
        <v>0</v>
      </c>
    </row>
    <row r="397" spans="29:35" x14ac:dyDescent="0.25">
      <c r="AC397" s="20" t="s">
        <v>839</v>
      </c>
      <c r="AD397" s="20" t="s">
        <v>436</v>
      </c>
      <c r="AE397" s="20" t="s">
        <v>190</v>
      </c>
      <c r="AF397" s="20" t="s">
        <v>390</v>
      </c>
      <c r="AG397" s="20">
        <v>0.89</v>
      </c>
      <c r="AH397" s="20" t="s">
        <v>240</v>
      </c>
      <c r="AI397" s="28">
        <f>IF(COUNTIFS($W$3:$W$25,Presupuesto!$L$7,$Z$3:$Z$25,AD397)&gt;0,1,0)</f>
        <v>0</v>
      </c>
    </row>
    <row r="398" spans="29:35" x14ac:dyDescent="0.25">
      <c r="AC398" s="20" t="s">
        <v>840</v>
      </c>
      <c r="AD398" s="20" t="s">
        <v>421</v>
      </c>
      <c r="AE398" s="20" t="s">
        <v>190</v>
      </c>
      <c r="AF398" s="20" t="s">
        <v>380</v>
      </c>
      <c r="AG398" s="20">
        <v>0.22</v>
      </c>
      <c r="AH398" s="20" t="s">
        <v>240</v>
      </c>
      <c r="AI398" s="28">
        <f>IF(COUNTIFS($W$3:$W$25,Presupuesto!$L$7,$Z$3:$Z$25,AD398)&gt;0,1,0)</f>
        <v>0</v>
      </c>
    </row>
    <row r="399" spans="29:35" x14ac:dyDescent="0.25">
      <c r="AC399" s="20" t="s">
        <v>841</v>
      </c>
      <c r="AD399" s="20" t="s">
        <v>373</v>
      </c>
      <c r="AE399" s="20" t="s">
        <v>190</v>
      </c>
      <c r="AF399" s="20" t="s">
        <v>380</v>
      </c>
      <c r="AG399" s="20">
        <v>0.56000000000000005</v>
      </c>
      <c r="AH399" s="20" t="s">
        <v>240</v>
      </c>
      <c r="AI399" s="28">
        <f>IF(COUNTIFS($W$3:$W$25,Presupuesto!$L$7,$Z$3:$Z$25,AD399)&gt;0,1,0)</f>
        <v>0</v>
      </c>
    </row>
    <row r="400" spans="29:35" x14ac:dyDescent="0.25">
      <c r="AC400" s="20" t="s">
        <v>842</v>
      </c>
      <c r="AD400" s="20" t="s">
        <v>436</v>
      </c>
      <c r="AE400" s="20" t="s">
        <v>190</v>
      </c>
      <c r="AF400" s="20" t="s">
        <v>380</v>
      </c>
      <c r="AG400" s="20">
        <v>0.89</v>
      </c>
      <c r="AH400" s="20" t="s">
        <v>240</v>
      </c>
      <c r="AI400" s="28">
        <f>IF(COUNTIFS($W$3:$W$25,Presupuesto!$L$7,$Z$3:$Z$25,AD400)&gt;0,1,0)</f>
        <v>0</v>
      </c>
    </row>
    <row r="401" spans="29:35" x14ac:dyDescent="0.25">
      <c r="AC401" s="20" t="s">
        <v>843</v>
      </c>
      <c r="AD401" s="20" t="s">
        <v>421</v>
      </c>
      <c r="AE401" s="20" t="s">
        <v>190</v>
      </c>
      <c r="AF401" s="20" t="s">
        <v>368</v>
      </c>
      <c r="AG401" s="20">
        <v>0.22</v>
      </c>
      <c r="AH401" s="20" t="s">
        <v>240</v>
      </c>
      <c r="AI401" s="28">
        <f>IF(COUNTIFS($W$3:$W$25,Presupuesto!$L$7,$Z$3:$Z$25,AD401)&gt;0,1,0)</f>
        <v>0</v>
      </c>
    </row>
    <row r="402" spans="29:35" x14ac:dyDescent="0.25">
      <c r="AC402" s="20" t="s">
        <v>844</v>
      </c>
      <c r="AD402" s="20" t="s">
        <v>373</v>
      </c>
      <c r="AE402" s="20" t="s">
        <v>190</v>
      </c>
      <c r="AF402" s="20" t="s">
        <v>368</v>
      </c>
      <c r="AG402" s="20">
        <v>0.56000000000000005</v>
      </c>
      <c r="AH402" s="20" t="s">
        <v>240</v>
      </c>
      <c r="AI402" s="28">
        <f>IF(COUNTIFS($W$3:$W$25,Presupuesto!$L$7,$Z$3:$Z$25,AD402)&gt;0,1,0)</f>
        <v>0</v>
      </c>
    </row>
    <row r="403" spans="29:35" x14ac:dyDescent="0.25">
      <c r="AC403" s="20" t="s">
        <v>845</v>
      </c>
      <c r="AD403" s="20" t="s">
        <v>436</v>
      </c>
      <c r="AE403" s="20" t="s">
        <v>190</v>
      </c>
      <c r="AF403" s="20" t="s">
        <v>368</v>
      </c>
      <c r="AG403" s="20">
        <v>0.89</v>
      </c>
      <c r="AH403" s="20" t="s">
        <v>240</v>
      </c>
      <c r="AI403" s="28">
        <f>IF(COUNTIFS($W$3:$W$25,Presupuesto!$L$7,$Z$3:$Z$25,AD403)&gt;0,1,0)</f>
        <v>0</v>
      </c>
    </row>
    <row r="404" spans="29:35" x14ac:dyDescent="0.25">
      <c r="AC404" s="20" t="s">
        <v>846</v>
      </c>
      <c r="AD404" s="20" t="s">
        <v>421</v>
      </c>
      <c r="AE404" s="20" t="s">
        <v>123</v>
      </c>
      <c r="AF404" s="20" t="s">
        <v>390</v>
      </c>
      <c r="AG404" s="20">
        <v>0.17</v>
      </c>
      <c r="AH404" s="20" t="s">
        <v>240</v>
      </c>
      <c r="AI404" s="28">
        <f>IF(COUNTIFS($W$3:$W$25,Presupuesto!$L$7,$Z$3:$Z$25,AD404)&gt;0,1,0)</f>
        <v>0</v>
      </c>
    </row>
    <row r="405" spans="29:35" x14ac:dyDescent="0.25">
      <c r="AC405" s="20" t="s">
        <v>847</v>
      </c>
      <c r="AD405" s="20" t="s">
        <v>373</v>
      </c>
      <c r="AE405" s="20" t="s">
        <v>123</v>
      </c>
      <c r="AF405" s="20" t="s">
        <v>390</v>
      </c>
      <c r="AG405" s="20">
        <v>0.75</v>
      </c>
      <c r="AH405" s="20" t="s">
        <v>240</v>
      </c>
      <c r="AI405" s="28">
        <f>IF(COUNTIFS($W$3:$W$25,Presupuesto!$L$7,$Z$3:$Z$25,AD405)&gt;0,1,0)</f>
        <v>0</v>
      </c>
    </row>
    <row r="406" spans="29:35" x14ac:dyDescent="0.25">
      <c r="AC406" s="20" t="s">
        <v>848</v>
      </c>
      <c r="AD406" s="20" t="s">
        <v>436</v>
      </c>
      <c r="AE406" s="20" t="s">
        <v>123</v>
      </c>
      <c r="AF406" s="20" t="s">
        <v>390</v>
      </c>
      <c r="AG406" s="20">
        <v>1</v>
      </c>
      <c r="AH406" s="20" t="s">
        <v>240</v>
      </c>
      <c r="AI406" s="28">
        <f>IF(COUNTIFS($W$3:$W$25,Presupuesto!$L$7,$Z$3:$Z$25,AD406)&gt;0,1,0)</f>
        <v>0</v>
      </c>
    </row>
    <row r="407" spans="29:35" x14ac:dyDescent="0.25">
      <c r="AC407" s="20" t="s">
        <v>849</v>
      </c>
      <c r="AD407" s="20" t="s">
        <v>421</v>
      </c>
      <c r="AE407" s="20" t="s">
        <v>123</v>
      </c>
      <c r="AF407" s="20" t="s">
        <v>380</v>
      </c>
      <c r="AG407" s="20">
        <v>0.17</v>
      </c>
      <c r="AH407" s="20" t="s">
        <v>240</v>
      </c>
      <c r="AI407" s="28">
        <f>IF(COUNTIFS($W$3:$W$25,Presupuesto!$L$7,$Z$3:$Z$25,AD407)&gt;0,1,0)</f>
        <v>0</v>
      </c>
    </row>
    <row r="408" spans="29:35" x14ac:dyDescent="0.25">
      <c r="AC408" s="20" t="s">
        <v>850</v>
      </c>
      <c r="AD408" s="20" t="s">
        <v>373</v>
      </c>
      <c r="AE408" s="20" t="s">
        <v>123</v>
      </c>
      <c r="AF408" s="20" t="s">
        <v>380</v>
      </c>
      <c r="AG408" s="20">
        <v>0.75</v>
      </c>
      <c r="AH408" s="20" t="s">
        <v>240</v>
      </c>
      <c r="AI408" s="28">
        <f>IF(COUNTIFS($W$3:$W$25,Presupuesto!$L$7,$Z$3:$Z$25,AD408)&gt;0,1,0)</f>
        <v>0</v>
      </c>
    </row>
    <row r="409" spans="29:35" x14ac:dyDescent="0.25">
      <c r="AC409" s="20" t="s">
        <v>851</v>
      </c>
      <c r="AD409" s="20" t="s">
        <v>436</v>
      </c>
      <c r="AE409" s="20" t="s">
        <v>123</v>
      </c>
      <c r="AF409" s="20" t="s">
        <v>380</v>
      </c>
      <c r="AG409" s="20">
        <v>1</v>
      </c>
      <c r="AH409" s="20" t="s">
        <v>240</v>
      </c>
      <c r="AI409" s="28">
        <f>IF(COUNTIFS($W$3:$W$25,Presupuesto!$L$7,$Z$3:$Z$25,AD409)&gt;0,1,0)</f>
        <v>0</v>
      </c>
    </row>
    <row r="410" spans="29:35" x14ac:dyDescent="0.25">
      <c r="AC410" s="20" t="s">
        <v>852</v>
      </c>
      <c r="AD410" s="20" t="s">
        <v>421</v>
      </c>
      <c r="AE410" s="20" t="s">
        <v>123</v>
      </c>
      <c r="AF410" s="20" t="s">
        <v>368</v>
      </c>
      <c r="AG410" s="20">
        <v>0.17</v>
      </c>
      <c r="AH410" s="20" t="s">
        <v>240</v>
      </c>
      <c r="AI410" s="28">
        <f>IF(COUNTIFS($W$3:$W$25,Presupuesto!$L$7,$Z$3:$Z$25,AD410)&gt;0,1,0)</f>
        <v>0</v>
      </c>
    </row>
    <row r="411" spans="29:35" x14ac:dyDescent="0.25">
      <c r="AC411" s="20" t="s">
        <v>853</v>
      </c>
      <c r="AD411" s="20" t="s">
        <v>373</v>
      </c>
      <c r="AE411" s="20" t="s">
        <v>123</v>
      </c>
      <c r="AF411" s="20" t="s">
        <v>368</v>
      </c>
      <c r="AG411" s="20">
        <v>0.75</v>
      </c>
      <c r="AH411" s="20" t="s">
        <v>240</v>
      </c>
      <c r="AI411" s="28">
        <f>IF(COUNTIFS($W$3:$W$25,Presupuesto!$L$7,$Z$3:$Z$25,AD411)&gt;0,1,0)</f>
        <v>0</v>
      </c>
    </row>
    <row r="412" spans="29:35" x14ac:dyDescent="0.25">
      <c r="AC412" s="20" t="s">
        <v>854</v>
      </c>
      <c r="AD412" s="20" t="s">
        <v>436</v>
      </c>
      <c r="AE412" s="20" t="s">
        <v>123</v>
      </c>
      <c r="AF412" s="20" t="s">
        <v>368</v>
      </c>
      <c r="AG412" s="20">
        <v>1</v>
      </c>
      <c r="AH412" s="20" t="s">
        <v>240</v>
      </c>
      <c r="AI412" s="28">
        <f>IF(COUNTIFS($W$3:$W$25,Presupuesto!$L$7,$Z$3:$Z$25,AD412)&gt;0,1,0)</f>
        <v>0</v>
      </c>
    </row>
    <row r="413" spans="29:35" x14ac:dyDescent="0.25">
      <c r="AC413" s="20" t="s">
        <v>855</v>
      </c>
      <c r="AD413" s="20" t="s">
        <v>408</v>
      </c>
      <c r="AE413" s="20" t="s">
        <v>123</v>
      </c>
      <c r="AF413" s="20" t="s">
        <v>390</v>
      </c>
      <c r="AG413" s="20">
        <v>0.25</v>
      </c>
      <c r="AH413" s="20" t="s">
        <v>240</v>
      </c>
      <c r="AI413" s="28">
        <f>IF(COUNTIFS($W$3:$W$25,Presupuesto!$L$7,$Z$3:$Z$25,AD413)&gt;0,1,0)</f>
        <v>0</v>
      </c>
    </row>
    <row r="414" spans="29:35" x14ac:dyDescent="0.25">
      <c r="AC414" s="20" t="s">
        <v>856</v>
      </c>
      <c r="AD414" s="20" t="s">
        <v>394</v>
      </c>
      <c r="AE414" s="20" t="s">
        <v>123</v>
      </c>
      <c r="AF414" s="20" t="s">
        <v>390</v>
      </c>
      <c r="AG414" s="20">
        <v>0.25</v>
      </c>
      <c r="AH414" s="20" t="s">
        <v>240</v>
      </c>
      <c r="AI414" s="28">
        <f>IF(COUNTIFS($W$3:$W$25,Presupuesto!$L$7,$Z$3:$Z$25,AD414)&gt;0,1,0)</f>
        <v>0</v>
      </c>
    </row>
    <row r="415" spans="29:35" x14ac:dyDescent="0.25">
      <c r="AC415" s="20" t="s">
        <v>857</v>
      </c>
      <c r="AD415" s="20" t="s">
        <v>362</v>
      </c>
      <c r="AE415" s="20" t="s">
        <v>123</v>
      </c>
      <c r="AF415" s="20" t="s">
        <v>390</v>
      </c>
      <c r="AG415" s="20">
        <v>0.05</v>
      </c>
      <c r="AH415" s="20" t="s">
        <v>240</v>
      </c>
      <c r="AI415" s="28">
        <f>IF(COUNTIFS($W$3:$W$25,Presupuesto!$L$7,$Z$3:$Z$25,AD415)&gt;0,1,0)</f>
        <v>0</v>
      </c>
    </row>
    <row r="416" spans="29:35" x14ac:dyDescent="0.25">
      <c r="AC416" s="20" t="s">
        <v>858</v>
      </c>
      <c r="AD416" s="20" t="s">
        <v>384</v>
      </c>
      <c r="AE416" s="20" t="s">
        <v>123</v>
      </c>
      <c r="AF416" s="20" t="s">
        <v>390</v>
      </c>
      <c r="AG416" s="20">
        <v>0.05</v>
      </c>
      <c r="AH416" s="20" t="s">
        <v>240</v>
      </c>
      <c r="AI416" s="28">
        <f>IF(COUNTIFS($W$3:$W$25,Presupuesto!$L$7,$Z$3:$Z$25,AD416)&gt;0,1,0)</f>
        <v>0</v>
      </c>
    </row>
    <row r="417" spans="29:35" x14ac:dyDescent="0.25">
      <c r="AC417" s="20" t="s">
        <v>859</v>
      </c>
      <c r="AD417" s="20" t="s">
        <v>408</v>
      </c>
      <c r="AE417" s="20" t="s">
        <v>123</v>
      </c>
      <c r="AF417" s="20" t="s">
        <v>380</v>
      </c>
      <c r="AG417" s="20">
        <v>0.25</v>
      </c>
      <c r="AH417" s="20" t="s">
        <v>240</v>
      </c>
      <c r="AI417" s="28">
        <f>IF(COUNTIFS($W$3:$W$25,Presupuesto!$L$7,$Z$3:$Z$25,AD417)&gt;0,1,0)</f>
        <v>0</v>
      </c>
    </row>
    <row r="418" spans="29:35" x14ac:dyDescent="0.25">
      <c r="AC418" s="20" t="s">
        <v>860</v>
      </c>
      <c r="AD418" s="20" t="s">
        <v>394</v>
      </c>
      <c r="AE418" s="20" t="s">
        <v>123</v>
      </c>
      <c r="AF418" s="20" t="s">
        <v>380</v>
      </c>
      <c r="AG418" s="20">
        <v>0.25</v>
      </c>
      <c r="AH418" s="20" t="s">
        <v>240</v>
      </c>
      <c r="AI418" s="28">
        <f>IF(COUNTIFS($W$3:$W$25,Presupuesto!$L$7,$Z$3:$Z$25,AD418)&gt;0,1,0)</f>
        <v>0</v>
      </c>
    </row>
    <row r="419" spans="29:35" x14ac:dyDescent="0.25">
      <c r="AC419" s="20" t="s">
        <v>861</v>
      </c>
      <c r="AD419" s="20" t="s">
        <v>362</v>
      </c>
      <c r="AE419" s="20" t="s">
        <v>123</v>
      </c>
      <c r="AF419" s="20" t="s">
        <v>380</v>
      </c>
      <c r="AG419" s="20">
        <v>0.05</v>
      </c>
      <c r="AH419" s="20" t="s">
        <v>240</v>
      </c>
      <c r="AI419" s="28">
        <f>IF(COUNTIFS($W$3:$W$25,Presupuesto!$L$7,$Z$3:$Z$25,AD419)&gt;0,1,0)</f>
        <v>0</v>
      </c>
    </row>
    <row r="420" spans="29:35" x14ac:dyDescent="0.25">
      <c r="AC420" s="20" t="s">
        <v>862</v>
      </c>
      <c r="AD420" s="20" t="s">
        <v>384</v>
      </c>
      <c r="AE420" s="20" t="s">
        <v>123</v>
      </c>
      <c r="AF420" s="20" t="s">
        <v>380</v>
      </c>
      <c r="AG420" s="20">
        <v>0.05</v>
      </c>
      <c r="AH420" s="20" t="s">
        <v>240</v>
      </c>
      <c r="AI420" s="28">
        <f>IF(COUNTIFS($W$3:$W$25,Presupuesto!$L$7,$Z$3:$Z$25,AD420)&gt;0,1,0)</f>
        <v>0</v>
      </c>
    </row>
    <row r="421" spans="29:35" x14ac:dyDescent="0.25">
      <c r="AC421" s="20" t="s">
        <v>863</v>
      </c>
      <c r="AD421" s="20" t="s">
        <v>408</v>
      </c>
      <c r="AE421" s="20" t="s">
        <v>123</v>
      </c>
      <c r="AF421" s="20" t="s">
        <v>368</v>
      </c>
      <c r="AG421" s="20">
        <v>0.25</v>
      </c>
      <c r="AH421" s="20" t="s">
        <v>240</v>
      </c>
      <c r="AI421" s="28">
        <f>IF(COUNTIFS($W$3:$W$25,Presupuesto!$L$7,$Z$3:$Z$25,AD421)&gt;0,1,0)</f>
        <v>0</v>
      </c>
    </row>
    <row r="422" spans="29:35" x14ac:dyDescent="0.25">
      <c r="AC422" s="20" t="s">
        <v>864</v>
      </c>
      <c r="AD422" s="20" t="s">
        <v>394</v>
      </c>
      <c r="AE422" s="20" t="s">
        <v>123</v>
      </c>
      <c r="AF422" s="20" t="s">
        <v>368</v>
      </c>
      <c r="AG422" s="20">
        <v>0.25</v>
      </c>
      <c r="AH422" s="20" t="s">
        <v>240</v>
      </c>
      <c r="AI422" s="28">
        <f>IF(COUNTIFS($W$3:$W$25,Presupuesto!$L$7,$Z$3:$Z$25,AD422)&gt;0,1,0)</f>
        <v>0</v>
      </c>
    </row>
    <row r="423" spans="29:35" x14ac:dyDescent="0.25">
      <c r="AC423" s="20" t="s">
        <v>865</v>
      </c>
      <c r="AD423" s="20" t="s">
        <v>362</v>
      </c>
      <c r="AE423" s="20" t="s">
        <v>123</v>
      </c>
      <c r="AF423" s="20" t="s">
        <v>368</v>
      </c>
      <c r="AG423" s="20">
        <v>0.05</v>
      </c>
      <c r="AH423" s="20" t="s">
        <v>240</v>
      </c>
      <c r="AI423" s="28">
        <f>IF(COUNTIFS($W$3:$W$25,Presupuesto!$L$7,$Z$3:$Z$25,AD423)&gt;0,1,0)</f>
        <v>0</v>
      </c>
    </row>
    <row r="424" spans="29:35" x14ac:dyDescent="0.25">
      <c r="AC424" s="20" t="s">
        <v>866</v>
      </c>
      <c r="AD424" s="20" t="s">
        <v>384</v>
      </c>
      <c r="AE424" s="20" t="s">
        <v>123</v>
      </c>
      <c r="AF424" s="20" t="s">
        <v>368</v>
      </c>
      <c r="AG424" s="20">
        <v>0.05</v>
      </c>
      <c r="AH424" s="20" t="s">
        <v>240</v>
      </c>
      <c r="AI424" s="28">
        <f>IF(COUNTIFS($W$3:$W$25,Presupuesto!$L$7,$Z$3:$Z$25,AD424)&gt;0,1,0)</f>
        <v>0</v>
      </c>
    </row>
    <row r="425" spans="29:35" x14ac:dyDescent="0.25">
      <c r="AC425" s="20" t="s">
        <v>867</v>
      </c>
      <c r="AD425" s="20" t="s">
        <v>433</v>
      </c>
      <c r="AE425" s="20" t="s">
        <v>123</v>
      </c>
      <c r="AF425" s="20" t="s">
        <v>390</v>
      </c>
      <c r="AG425" s="20">
        <v>0.25</v>
      </c>
      <c r="AH425" s="20" t="s">
        <v>240</v>
      </c>
      <c r="AI425" s="28">
        <f>IF(COUNTIFS($W$3:$W$25,Presupuesto!$L$7,$Z$3:$Z$25,AD425)&gt;0,1,0)</f>
        <v>0</v>
      </c>
    </row>
    <row r="426" spans="29:35" x14ac:dyDescent="0.25">
      <c r="AC426" s="20" t="s">
        <v>868</v>
      </c>
      <c r="AD426" s="20" t="s">
        <v>433</v>
      </c>
      <c r="AE426" s="20" t="s">
        <v>123</v>
      </c>
      <c r="AF426" s="20" t="s">
        <v>380</v>
      </c>
      <c r="AG426" s="20">
        <v>0.25</v>
      </c>
      <c r="AH426" s="20" t="s">
        <v>240</v>
      </c>
      <c r="AI426" s="28">
        <f>IF(COUNTIFS($W$3:$W$25,Presupuesto!$L$7,$Z$3:$Z$25,AD426)&gt;0,1,0)</f>
        <v>0</v>
      </c>
    </row>
    <row r="427" spans="29:35" x14ac:dyDescent="0.25">
      <c r="AC427" s="20" t="s">
        <v>869</v>
      </c>
      <c r="AD427" s="20" t="s">
        <v>433</v>
      </c>
      <c r="AE427" s="20" t="s">
        <v>123</v>
      </c>
      <c r="AF427" s="20" t="s">
        <v>368</v>
      </c>
      <c r="AG427" s="20">
        <v>0.25</v>
      </c>
      <c r="AH427" s="20" t="s">
        <v>240</v>
      </c>
      <c r="AI427" s="28">
        <f>IF(COUNTIFS($W$3:$W$25,Presupuesto!$L$7,$Z$3:$Z$25,AD427)&gt;0,1,0)</f>
        <v>0</v>
      </c>
    </row>
    <row r="428" spans="29:35" x14ac:dyDescent="0.25">
      <c r="AC428" s="20" t="s">
        <v>870</v>
      </c>
      <c r="AD428" s="20" t="s">
        <v>415</v>
      </c>
      <c r="AE428" s="20" t="s">
        <v>123</v>
      </c>
      <c r="AF428" s="20" t="s">
        <v>390</v>
      </c>
      <c r="AG428" s="20">
        <v>0.62</v>
      </c>
      <c r="AH428" s="20" t="s">
        <v>240</v>
      </c>
      <c r="AI428" s="28">
        <f>IF(COUNTIFS($W$3:$W$25,Presupuesto!$L$7,$Z$3:$Z$25,AD428)&gt;0,1,0)</f>
        <v>0</v>
      </c>
    </row>
    <row r="429" spans="29:35" x14ac:dyDescent="0.25">
      <c r="AC429" s="20" t="s">
        <v>871</v>
      </c>
      <c r="AD429" s="20" t="s">
        <v>415</v>
      </c>
      <c r="AE429" s="20" t="s">
        <v>123</v>
      </c>
      <c r="AF429" s="20" t="s">
        <v>380</v>
      </c>
      <c r="AG429" s="20">
        <v>0.62</v>
      </c>
      <c r="AH429" s="20" t="s">
        <v>240</v>
      </c>
      <c r="AI429" s="28">
        <f>IF(COUNTIFS($W$3:$W$25,Presupuesto!$L$7,$Z$3:$Z$25,AD429)&gt;0,1,0)</f>
        <v>0</v>
      </c>
    </row>
    <row r="430" spans="29:35" x14ac:dyDescent="0.25">
      <c r="AC430" s="20" t="s">
        <v>872</v>
      </c>
      <c r="AD430" s="20" t="s">
        <v>415</v>
      </c>
      <c r="AE430" s="20" t="s">
        <v>123</v>
      </c>
      <c r="AF430" s="20" t="s">
        <v>368</v>
      </c>
      <c r="AG430" s="20">
        <v>0.62</v>
      </c>
      <c r="AH430" s="20" t="s">
        <v>240</v>
      </c>
      <c r="AI430" s="28">
        <f>IF(COUNTIFS($W$3:$W$25,Presupuesto!$L$7,$Z$3:$Z$25,AD430)&gt;0,1,0)</f>
        <v>0</v>
      </c>
    </row>
    <row r="431" spans="29:35" x14ac:dyDescent="0.25">
      <c r="AC431" s="20" t="s">
        <v>873</v>
      </c>
      <c r="AD431" s="20" t="s">
        <v>408</v>
      </c>
      <c r="AE431" s="20" t="s">
        <v>188</v>
      </c>
      <c r="AF431" s="20" t="s">
        <v>390</v>
      </c>
      <c r="AG431" s="20">
        <v>0.41</v>
      </c>
      <c r="AH431" s="20" t="s">
        <v>240</v>
      </c>
      <c r="AI431" s="28">
        <f>IF(COUNTIFS($W$3:$W$25,Presupuesto!$L$7,$Z$3:$Z$25,AD431)&gt;0,1,0)</f>
        <v>0</v>
      </c>
    </row>
    <row r="432" spans="29:35" x14ac:dyDescent="0.25">
      <c r="AC432" s="20" t="s">
        <v>874</v>
      </c>
      <c r="AD432" s="20" t="s">
        <v>394</v>
      </c>
      <c r="AE432" s="20" t="s">
        <v>188</v>
      </c>
      <c r="AF432" s="20" t="s">
        <v>390</v>
      </c>
      <c r="AG432" s="20">
        <v>0.27</v>
      </c>
      <c r="AH432" s="20" t="s">
        <v>240</v>
      </c>
      <c r="AI432" s="28">
        <f>IF(COUNTIFS($W$3:$W$25,Presupuesto!$L$7,$Z$3:$Z$25,AD432)&gt;0,1,0)</f>
        <v>0</v>
      </c>
    </row>
    <row r="433" spans="29:35" x14ac:dyDescent="0.25">
      <c r="AC433" s="20" t="s">
        <v>875</v>
      </c>
      <c r="AD433" s="20" t="s">
        <v>421</v>
      </c>
      <c r="AE433" s="20" t="s">
        <v>188</v>
      </c>
      <c r="AF433" s="20" t="s">
        <v>390</v>
      </c>
      <c r="AG433" s="20">
        <v>0.19</v>
      </c>
      <c r="AH433" s="20" t="s">
        <v>240</v>
      </c>
      <c r="AI433" s="28">
        <f>IF(COUNTIFS($W$3:$W$25,Presupuesto!$L$7,$Z$3:$Z$25,AD433)&gt;0,1,0)</f>
        <v>0</v>
      </c>
    </row>
    <row r="434" spans="29:35" x14ac:dyDescent="0.25">
      <c r="AC434" s="20" t="s">
        <v>876</v>
      </c>
      <c r="AD434" s="20" t="s">
        <v>373</v>
      </c>
      <c r="AE434" s="20" t="s">
        <v>188</v>
      </c>
      <c r="AF434" s="20" t="s">
        <v>390</v>
      </c>
      <c r="AG434" s="20">
        <v>1.08</v>
      </c>
      <c r="AH434" s="20" t="s">
        <v>240</v>
      </c>
      <c r="AI434" s="28">
        <f>IF(COUNTIFS($W$3:$W$25,Presupuesto!$L$7,$Z$3:$Z$25,AD434)&gt;0,1,0)</f>
        <v>0</v>
      </c>
    </row>
    <row r="435" spans="29:35" x14ac:dyDescent="0.25">
      <c r="AC435" s="20" t="s">
        <v>877</v>
      </c>
      <c r="AD435" s="20" t="s">
        <v>436</v>
      </c>
      <c r="AE435" s="20" t="s">
        <v>188</v>
      </c>
      <c r="AF435" s="20" t="s">
        <v>390</v>
      </c>
      <c r="AG435" s="20">
        <v>1</v>
      </c>
      <c r="AH435" s="20" t="s">
        <v>240</v>
      </c>
      <c r="AI435" s="28">
        <f>IF(COUNTIFS($W$3:$W$25,Presupuesto!$L$7,$Z$3:$Z$25,AD435)&gt;0,1,0)</f>
        <v>0</v>
      </c>
    </row>
    <row r="436" spans="29:35" x14ac:dyDescent="0.25">
      <c r="AC436" s="20" t="s">
        <v>878</v>
      </c>
      <c r="AD436" s="20" t="s">
        <v>408</v>
      </c>
      <c r="AE436" s="20" t="s">
        <v>188</v>
      </c>
      <c r="AF436" s="20" t="s">
        <v>368</v>
      </c>
      <c r="AG436" s="20">
        <v>0.41</v>
      </c>
      <c r="AH436" s="20" t="s">
        <v>240</v>
      </c>
      <c r="AI436" s="28">
        <f>IF(COUNTIFS($W$3:$W$25,Presupuesto!$L$7,$Z$3:$Z$25,AD436)&gt;0,1,0)</f>
        <v>0</v>
      </c>
    </row>
    <row r="437" spans="29:35" x14ac:dyDescent="0.25">
      <c r="AC437" s="20" t="s">
        <v>879</v>
      </c>
      <c r="AD437" s="20" t="s">
        <v>394</v>
      </c>
      <c r="AE437" s="20" t="s">
        <v>188</v>
      </c>
      <c r="AF437" s="20" t="s">
        <v>368</v>
      </c>
      <c r="AG437" s="20">
        <v>0.27</v>
      </c>
      <c r="AH437" s="20" t="s">
        <v>240</v>
      </c>
      <c r="AI437" s="28">
        <f>IF(COUNTIFS($W$3:$W$25,Presupuesto!$L$7,$Z$3:$Z$25,AD437)&gt;0,1,0)</f>
        <v>0</v>
      </c>
    </row>
    <row r="438" spans="29:35" x14ac:dyDescent="0.25">
      <c r="AC438" s="20" t="s">
        <v>880</v>
      </c>
      <c r="AD438" s="20" t="s">
        <v>421</v>
      </c>
      <c r="AE438" s="20" t="s">
        <v>188</v>
      </c>
      <c r="AF438" s="20" t="s">
        <v>368</v>
      </c>
      <c r="AG438" s="20">
        <v>0.19</v>
      </c>
      <c r="AH438" s="20" t="s">
        <v>240</v>
      </c>
      <c r="AI438" s="28">
        <f>IF(COUNTIFS($W$3:$W$25,Presupuesto!$L$7,$Z$3:$Z$25,AD438)&gt;0,1,0)</f>
        <v>0</v>
      </c>
    </row>
    <row r="439" spans="29:35" x14ac:dyDescent="0.25">
      <c r="AC439" s="20" t="s">
        <v>881</v>
      </c>
      <c r="AD439" s="20" t="s">
        <v>373</v>
      </c>
      <c r="AE439" s="20" t="s">
        <v>188</v>
      </c>
      <c r="AF439" s="20" t="s">
        <v>368</v>
      </c>
      <c r="AG439" s="20">
        <v>1.08</v>
      </c>
      <c r="AH439" s="20" t="s">
        <v>240</v>
      </c>
      <c r="AI439" s="28">
        <f>IF(COUNTIFS($W$3:$W$25,Presupuesto!$L$7,$Z$3:$Z$25,AD439)&gt;0,1,0)</f>
        <v>0</v>
      </c>
    </row>
    <row r="440" spans="29:35" x14ac:dyDescent="0.25">
      <c r="AC440" s="20" t="s">
        <v>882</v>
      </c>
      <c r="AD440" s="20" t="s">
        <v>436</v>
      </c>
      <c r="AE440" s="20" t="s">
        <v>188</v>
      </c>
      <c r="AF440" s="20" t="s">
        <v>368</v>
      </c>
      <c r="AG440" s="20">
        <v>1</v>
      </c>
      <c r="AH440" s="20" t="s">
        <v>240</v>
      </c>
      <c r="AI440" s="28">
        <f>IF(COUNTIFS($W$3:$W$25,Presupuesto!$L$7,$Z$3:$Z$25,AD440)&gt;0,1,0)</f>
        <v>0</v>
      </c>
    </row>
    <row r="441" spans="29:35" x14ac:dyDescent="0.25">
      <c r="AC441" s="20" t="s">
        <v>883</v>
      </c>
      <c r="AD441" s="20" t="s">
        <v>433</v>
      </c>
      <c r="AE441" s="20" t="s">
        <v>188</v>
      </c>
      <c r="AF441" s="20" t="s">
        <v>390</v>
      </c>
      <c r="AG441" s="20">
        <v>0.38</v>
      </c>
      <c r="AH441" s="20" t="s">
        <v>240</v>
      </c>
      <c r="AI441" s="28">
        <f>IF(COUNTIFS($W$3:$W$25,Presupuesto!$L$7,$Z$3:$Z$25,AD441)&gt;0,1,0)</f>
        <v>0</v>
      </c>
    </row>
    <row r="442" spans="29:35" x14ac:dyDescent="0.25">
      <c r="AC442" s="20" t="s">
        <v>884</v>
      </c>
      <c r="AD442" s="20" t="s">
        <v>433</v>
      </c>
      <c r="AE442" s="20" t="s">
        <v>188</v>
      </c>
      <c r="AF442" s="20" t="s">
        <v>368</v>
      </c>
      <c r="AG442" s="20">
        <v>0.38</v>
      </c>
      <c r="AH442" s="20" t="s">
        <v>240</v>
      </c>
      <c r="AI442" s="28">
        <f>IF(COUNTIFS($W$3:$W$25,Presupuesto!$L$7,$Z$3:$Z$25,AD442)&gt;0,1,0)</f>
        <v>0</v>
      </c>
    </row>
    <row r="443" spans="29:35" x14ac:dyDescent="0.25">
      <c r="AC443" s="20" t="s">
        <v>885</v>
      </c>
      <c r="AD443" s="20" t="s">
        <v>421</v>
      </c>
      <c r="AE443" s="20" t="s">
        <v>175</v>
      </c>
      <c r="AF443" s="20" t="s">
        <v>390</v>
      </c>
      <c r="AG443" s="20">
        <v>0.16</v>
      </c>
      <c r="AH443" s="20" t="s">
        <v>240</v>
      </c>
      <c r="AI443" s="28">
        <f>IF(COUNTIFS($W$3:$W$25,Presupuesto!$L$7,$Z$3:$Z$25,AD443)&gt;0,1,0)</f>
        <v>0</v>
      </c>
    </row>
    <row r="444" spans="29:35" x14ac:dyDescent="0.25">
      <c r="AC444" s="20" t="s">
        <v>886</v>
      </c>
      <c r="AD444" s="20" t="s">
        <v>373</v>
      </c>
      <c r="AE444" s="20" t="s">
        <v>175</v>
      </c>
      <c r="AF444" s="20" t="s">
        <v>390</v>
      </c>
      <c r="AG444" s="20">
        <v>0.56000000000000005</v>
      </c>
      <c r="AH444" s="20" t="s">
        <v>240</v>
      </c>
      <c r="AI444" s="28">
        <f>IF(COUNTIFS($W$3:$W$25,Presupuesto!$L$7,$Z$3:$Z$25,AD444)&gt;0,1,0)</f>
        <v>0</v>
      </c>
    </row>
    <row r="445" spans="29:35" x14ac:dyDescent="0.25">
      <c r="AC445" s="20" t="s">
        <v>887</v>
      </c>
      <c r="AD445" s="20" t="s">
        <v>436</v>
      </c>
      <c r="AE445" s="20" t="s">
        <v>175</v>
      </c>
      <c r="AF445" s="20" t="s">
        <v>390</v>
      </c>
      <c r="AG445" s="20">
        <v>0.89</v>
      </c>
      <c r="AH445" s="20" t="s">
        <v>240</v>
      </c>
      <c r="AI445" s="28">
        <f>IF(COUNTIFS($W$3:$W$25,Presupuesto!$L$7,$Z$3:$Z$25,AD445)&gt;0,1,0)</f>
        <v>0</v>
      </c>
    </row>
    <row r="446" spans="29:35" x14ac:dyDescent="0.25">
      <c r="AC446" s="20" t="s">
        <v>888</v>
      </c>
      <c r="AD446" s="20" t="s">
        <v>421</v>
      </c>
      <c r="AE446" s="20" t="s">
        <v>175</v>
      </c>
      <c r="AF446" s="20" t="s">
        <v>380</v>
      </c>
      <c r="AG446" s="20">
        <v>0.16</v>
      </c>
      <c r="AH446" s="20" t="s">
        <v>240</v>
      </c>
      <c r="AI446" s="28">
        <f>IF(COUNTIFS($W$3:$W$25,Presupuesto!$L$7,$Z$3:$Z$25,AD446)&gt;0,1,0)</f>
        <v>0</v>
      </c>
    </row>
    <row r="447" spans="29:35" x14ac:dyDescent="0.25">
      <c r="AC447" s="20" t="s">
        <v>889</v>
      </c>
      <c r="AD447" s="20" t="s">
        <v>373</v>
      </c>
      <c r="AE447" s="20" t="s">
        <v>175</v>
      </c>
      <c r="AF447" s="20" t="s">
        <v>380</v>
      </c>
      <c r="AG447" s="20">
        <v>0.56000000000000005</v>
      </c>
      <c r="AH447" s="20" t="s">
        <v>240</v>
      </c>
      <c r="AI447" s="28">
        <f>IF(COUNTIFS($W$3:$W$25,Presupuesto!$L$7,$Z$3:$Z$25,AD447)&gt;0,1,0)</f>
        <v>0</v>
      </c>
    </row>
    <row r="448" spans="29:35" x14ac:dyDescent="0.25">
      <c r="AC448" s="20" t="s">
        <v>890</v>
      </c>
      <c r="AD448" s="20" t="s">
        <v>436</v>
      </c>
      <c r="AE448" s="20" t="s">
        <v>175</v>
      </c>
      <c r="AF448" s="20" t="s">
        <v>380</v>
      </c>
      <c r="AG448" s="20">
        <v>0.89</v>
      </c>
      <c r="AH448" s="20" t="s">
        <v>240</v>
      </c>
      <c r="AI448" s="28">
        <f>IF(COUNTIFS($W$3:$W$25,Presupuesto!$L$7,$Z$3:$Z$25,AD448)&gt;0,1,0)</f>
        <v>0</v>
      </c>
    </row>
    <row r="449" spans="29:35" x14ac:dyDescent="0.25">
      <c r="AC449" s="20" t="s">
        <v>891</v>
      </c>
      <c r="AD449" s="20" t="s">
        <v>421</v>
      </c>
      <c r="AE449" s="20" t="s">
        <v>175</v>
      </c>
      <c r="AF449" s="20" t="s">
        <v>368</v>
      </c>
      <c r="AG449" s="20">
        <v>0.16</v>
      </c>
      <c r="AH449" s="20" t="s">
        <v>240</v>
      </c>
      <c r="AI449" s="28">
        <f>IF(COUNTIFS($W$3:$W$25,Presupuesto!$L$7,$Z$3:$Z$25,AD449)&gt;0,1,0)</f>
        <v>0</v>
      </c>
    </row>
    <row r="450" spans="29:35" x14ac:dyDescent="0.25">
      <c r="AC450" s="20" t="s">
        <v>892</v>
      </c>
      <c r="AD450" s="20" t="s">
        <v>373</v>
      </c>
      <c r="AE450" s="20" t="s">
        <v>175</v>
      </c>
      <c r="AF450" s="20" t="s">
        <v>368</v>
      </c>
      <c r="AG450" s="20">
        <v>0.56000000000000005</v>
      </c>
      <c r="AH450" s="20" t="s">
        <v>240</v>
      </c>
      <c r="AI450" s="28">
        <f>IF(COUNTIFS($W$3:$W$25,Presupuesto!$L$7,$Z$3:$Z$25,AD450)&gt;0,1,0)</f>
        <v>0</v>
      </c>
    </row>
    <row r="451" spans="29:35" x14ac:dyDescent="0.25">
      <c r="AC451" s="20" t="s">
        <v>893</v>
      </c>
      <c r="AD451" s="20" t="s">
        <v>436</v>
      </c>
      <c r="AE451" s="20" t="s">
        <v>175</v>
      </c>
      <c r="AF451" s="20" t="s">
        <v>368</v>
      </c>
      <c r="AG451" s="20">
        <v>0.89</v>
      </c>
      <c r="AH451" s="20" t="s">
        <v>240</v>
      </c>
      <c r="AI451" s="28">
        <f>IF(COUNTIFS($W$3:$W$25,Presupuesto!$L$7,$Z$3:$Z$25,AD451)&gt;0,1,0)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B2:D5"/>
  <sheetViews>
    <sheetView showGridLines="0" zoomScaleNormal="100" workbookViewId="0">
      <selection activeCell="C5" sqref="C5"/>
    </sheetView>
  </sheetViews>
  <sheetFormatPr baseColWidth="10" defaultColWidth="8.7109375" defaultRowHeight="15" x14ac:dyDescent="0.25"/>
  <cols>
    <col min="2" max="2" width="10" customWidth="1"/>
    <col min="3" max="3" width="14" customWidth="1"/>
    <col min="4" max="4" width="40" customWidth="1"/>
  </cols>
  <sheetData>
    <row r="2" spans="2:4" x14ac:dyDescent="0.25">
      <c r="B2" s="19" t="s">
        <v>204</v>
      </c>
      <c r="C2" s="19" t="s">
        <v>894</v>
      </c>
      <c r="D2" s="19" t="s">
        <v>895</v>
      </c>
    </row>
    <row r="3" spans="2:4" x14ac:dyDescent="0.25">
      <c r="B3" s="20" t="s">
        <v>14</v>
      </c>
      <c r="C3" s="20">
        <v>1</v>
      </c>
      <c r="D3" s="20" t="s">
        <v>896</v>
      </c>
    </row>
    <row r="4" spans="2:4" x14ac:dyDescent="0.25">
      <c r="B4" s="20" t="s">
        <v>897</v>
      </c>
      <c r="C4" s="20">
        <v>3400</v>
      </c>
      <c r="D4" s="20" t="s">
        <v>898</v>
      </c>
    </row>
    <row r="5" spans="2:4" x14ac:dyDescent="0.25">
      <c r="B5" s="20" t="s">
        <v>899</v>
      </c>
      <c r="C5" s="20">
        <v>950</v>
      </c>
      <c r="D5" s="20" t="s">
        <v>898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B2:S6"/>
  <sheetViews>
    <sheetView showGridLines="0" zoomScale="85" zoomScaleNormal="85" workbookViewId="0">
      <selection activeCell="L18" sqref="L18"/>
    </sheetView>
  </sheetViews>
  <sheetFormatPr baseColWidth="10" defaultColWidth="8.7109375" defaultRowHeight="15" x14ac:dyDescent="0.25"/>
  <cols>
    <col min="2" max="3" width="12" customWidth="1"/>
    <col min="4" max="4" width="22" customWidth="1"/>
    <col min="5" max="5" width="14" customWidth="1"/>
    <col min="6" max="6" width="9" customWidth="1"/>
    <col min="7" max="10" width="12" customWidth="1"/>
    <col min="11" max="11" width="32" customWidth="1"/>
    <col min="13" max="13" width="12" customWidth="1"/>
    <col min="14" max="14" width="8" customWidth="1"/>
    <col min="15" max="15" width="10" customWidth="1"/>
    <col min="16" max="16" width="30" customWidth="1"/>
    <col min="17" max="18" width="12" customWidth="1"/>
    <col min="19" max="19" width="39.28515625" bestFit="1" customWidth="1"/>
  </cols>
  <sheetData>
    <row r="2" spans="2:19" x14ac:dyDescent="0.25">
      <c r="B2" s="19" t="s">
        <v>900</v>
      </c>
      <c r="C2" s="19" t="s">
        <v>4</v>
      </c>
      <c r="D2" s="19" t="s">
        <v>7</v>
      </c>
      <c r="E2" s="19" t="s">
        <v>901</v>
      </c>
      <c r="F2" s="19" t="s">
        <v>204</v>
      </c>
      <c r="G2" s="19" t="s">
        <v>902</v>
      </c>
      <c r="H2" s="19" t="s">
        <v>903</v>
      </c>
      <c r="I2" s="19" t="s">
        <v>904</v>
      </c>
      <c r="J2" s="19" t="s">
        <v>17</v>
      </c>
      <c r="K2" s="19" t="s">
        <v>905</v>
      </c>
      <c r="M2" s="19" t="s">
        <v>900</v>
      </c>
      <c r="N2" s="19" t="s">
        <v>906</v>
      </c>
      <c r="O2" s="19" t="s">
        <v>26</v>
      </c>
      <c r="P2" s="19" t="s">
        <v>907</v>
      </c>
      <c r="Q2" s="19" t="s">
        <v>908</v>
      </c>
      <c r="R2" s="19" t="s">
        <v>902</v>
      </c>
      <c r="S2" s="19" t="s">
        <v>25</v>
      </c>
    </row>
    <row r="3" spans="2:19" x14ac:dyDescent="0.25">
      <c r="B3" s="20"/>
      <c r="C3" s="20"/>
      <c r="D3" s="20"/>
      <c r="E3" s="20"/>
      <c r="F3" s="20"/>
      <c r="G3" s="20"/>
      <c r="H3" s="20"/>
      <c r="I3" s="20"/>
      <c r="J3" s="20"/>
      <c r="K3" s="20" t="str">
        <f>IF($B3="","",$B3&amp;" - "&amp;$D3)</f>
        <v/>
      </c>
      <c r="M3" s="20"/>
      <c r="N3" s="20"/>
      <c r="O3" s="20"/>
      <c r="P3" s="20"/>
      <c r="Q3" s="20"/>
      <c r="R3" s="20"/>
      <c r="S3" s="20"/>
    </row>
    <row r="4" spans="2:19" x14ac:dyDescent="0.25">
      <c r="B4" s="22" t="s">
        <v>3</v>
      </c>
      <c r="C4" s="22"/>
      <c r="D4" s="22"/>
      <c r="E4" s="22"/>
      <c r="F4" s="22" t="s">
        <v>14</v>
      </c>
      <c r="G4" s="22">
        <v>0</v>
      </c>
      <c r="H4" s="22">
        <v>206800</v>
      </c>
      <c r="I4" s="22">
        <v>-206800</v>
      </c>
      <c r="J4" s="22" t="s">
        <v>912</v>
      </c>
      <c r="K4" s="22"/>
      <c r="M4" s="22" t="s">
        <v>3</v>
      </c>
      <c r="N4" s="22">
        <v>3</v>
      </c>
      <c r="O4" s="22">
        <v>10</v>
      </c>
      <c r="P4" s="22" t="s">
        <v>910</v>
      </c>
      <c r="Q4" s="22">
        <v>20680</v>
      </c>
      <c r="R4" s="22">
        <v>206800</v>
      </c>
      <c r="S4" s="22" t="s">
        <v>911</v>
      </c>
    </row>
    <row r="6" spans="2:19" x14ac:dyDescent="0.25">
      <c r="B6" s="18" t="s">
        <v>909</v>
      </c>
    </row>
  </sheetData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Presupuesto</vt:lpstr>
      <vt:lpstr>Productos</vt:lpstr>
      <vt:lpstr>Materiales</vt:lpstr>
      <vt:lpstr>Produccion</vt:lpstr>
      <vt:lpstr>TasasCambio</vt:lpstr>
      <vt:lpstr>Comandas</vt:lpstr>
      <vt:lpstr>Presupuesto!Área_de_impresión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ms720096</cp:lastModifiedBy>
  <cp:revision>0</cp:revision>
  <cp:lastPrinted>2026-08-17T18:45:01Z</cp:lastPrinted>
  <dcterms:created xsi:type="dcterms:W3CDTF">2026-08-17T17:17:00Z</dcterms:created>
  <dcterms:modified xsi:type="dcterms:W3CDTF">2026-08-17T18:54:18Z</dcterms:modified>
  <dc:language>en-US</dc:language>
</cp:coreProperties>
</file>