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M_Recetas" sheetId="2" state="visible" r:id="rId4"/>
    <sheet name="M_Escalas" sheetId="3" state="visible" r:id="rId5"/>
    <sheet name="M_Insumos" sheetId="4" state="visible" r:id="rId6"/>
    <sheet name="M_Procesos" sheetId="5" state="visible" r:id="rId7"/>
    <sheet name="Anomalias" sheetId="6" state="visible" r:id="rId8"/>
    <sheet name="Indice" sheetId="7" state="visible" r:id="rId9"/>
  </sheets>
  <definedNames>
    <definedName function="false" hidden="false" localSheetId="0" name="_xlnm.Print_Area" vbProcedure="false">Presupuesto!$A$1:$N$29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<sst xmlns="http://schemas.openxmlformats.org/spreadsheetml/2006/main" count="25549" uniqueCount="4102">
  <si>
    <t xml:space="preserve">PRESUPUESTO</t>
  </si>
  <si>
    <t xml:space="preserve">CONFIGURADOR</t>
  </si>
  <si>
    <t xml:space="preserve">Número</t>
  </si>
  <si>
    <t xml:space="preserve">PRE-0001</t>
  </si>
  <si>
    <t xml:space="preserve">Fecha</t>
  </si>
  <si>
    <t xml:space="preserve">Configuración</t>
  </si>
  <si>
    <t xml:space="preserve">FRA MUSE MICR — MUSELINA DAMA  [#1]</t>
  </si>
  <si>
    <t xml:space="preserve">Cliente</t>
  </si>
  <si>
    <t xml:space="preserve">Escala</t>
  </si>
  <si>
    <t xml:space="preserve">1 A 5 DOC</t>
  </si>
  <si>
    <t xml:space="preserve">Teléfono</t>
  </si>
  <si>
    <t xml:space="preserve">Cantidad</t>
  </si>
  <si>
    <t xml:space="preserve">Email</t>
  </si>
  <si>
    <t xml:space="preserve">id_receta (auxiliar)</t>
  </si>
  <si>
    <t xml:space="preserve">ITEM</t>
  </si>
  <si>
    <t xml:space="preserve">CANT</t>
  </si>
  <si>
    <t xml:space="preserve">DESCRIPCIÓN</t>
  </si>
  <si>
    <t xml:space="preserve">COSTO UNIT</t>
  </si>
  <si>
    <t xml:space="preserve">TOTAL</t>
  </si>
  <si>
    <t xml:space="preserve">Configuración (auxiliar)</t>
  </si>
  <si>
    <t xml:space="preserve">Escala (auxiliar)</t>
  </si>
  <si>
    <t xml:space="preserve">Descripción</t>
  </si>
  <si>
    <t xml:space="preserve">Costo interno unitario (USD)</t>
  </si>
  <si>
    <t xml:space="preserve">Precio unitario (USD)</t>
  </si>
  <si>
    <t xml:space="preserve">Margen (USD)</t>
  </si>
  <si>
    <t xml:space="preserve">Margen (%)</t>
  </si>
  <si>
    <t xml:space="preserve">Desglose del costo interno</t>
  </si>
  <si>
    <t xml:space="preserve">Insumo</t>
  </si>
  <si>
    <t xml:space="preserve">Proceso</t>
  </si>
  <si>
    <t xml:space="preserve">Tecnica</t>
  </si>
  <si>
    <t xml:space="preserve">Indirecto</t>
  </si>
  <si>
    <t xml:space="preserve">Otro</t>
  </si>
  <si>
    <t xml:space="preserve">Total (verificación)</t>
  </si>
  <si>
    <t xml:space="preserve">Editar línea Nº (ITEM)</t>
  </si>
  <si>
    <t xml:space="preserve">Botones (a asignar tras importar el macro):
① Agregar/Actualizar línea  → M01_GestionPresupuesto.AgregarOActualizarItem
② Cargar línea para editar → M01_GestionPresupuesto.CargarItemParaEditar
③ Limpiar configurador      → M01_GestionPresupuesto.LimpiarConfigurador
④ Eliminar línea             → M01_GestionPresupuesto.EliminarItem</t>
  </si>
  <si>
    <t xml:space="preserve">TOTAL A PAGAR</t>
  </si>
  <si>
    <t xml:space="preserve">ABONO:</t>
  </si>
  <si>
    <t xml:space="preserve">RESTA:</t>
  </si>
  <si>
    <t xml:space="preserve">Términos y condiciones (editable):
- Se requiere un abono del 60% del total para dar comienzo al proyecto.
- El precio a partir de la talla XL suma un recargo por unidad (definir monto).
- La fecha de entrega es estimada. El presupuesto es válido solo para el día especificado.</t>
  </si>
  <si>
    <t xml:space="preserve">id_receta</t>
  </si>
  <si>
    <t xml:space="preserve">hoja</t>
  </si>
  <si>
    <t xml:space="preserve">seccion_tecnica</t>
  </si>
  <si>
    <t xml:space="preserve">bloque_variante</t>
  </si>
  <si>
    <t xml:space="preserve">componente</t>
  </si>
  <si>
    <t xml:space="preserve">clasificacion</t>
  </si>
  <si>
    <t xml:space="preserve">consumo</t>
  </si>
  <si>
    <t xml:space="preserve">precio_unitario</t>
  </si>
  <si>
    <t xml:space="preserve">costo_local</t>
  </si>
  <si>
    <t xml:space="preserve">costo_usd</t>
  </si>
  <si>
    <t xml:space="preserve">origen</t>
  </si>
  <si>
    <t xml:space="preserve">formula</t>
  </si>
  <si>
    <t xml:space="preserve">FRA MUSE MICR</t>
  </si>
  <si>
    <t xml:space="preserve">MUSELINA    DAMA</t>
  </si>
  <si>
    <t xml:space="preserve">TELA</t>
  </si>
  <si>
    <t xml:space="preserve">FRA MUSE MICR!B4</t>
  </si>
  <si>
    <t xml:space="preserve">fx: 0.8*2.3*E2</t>
  </si>
  <si>
    <t xml:space="preserve">CORTE</t>
  </si>
  <si>
    <t xml:space="preserve">FRA MUSE MICR!B5</t>
  </si>
  <si>
    <t xml:space="preserve">COSTURA</t>
  </si>
  <si>
    <t xml:space="preserve">FRA MUSE MICR!B6</t>
  </si>
  <si>
    <t xml:space="preserve">ETIQUETA</t>
  </si>
  <si>
    <t xml:space="preserve">FRA MUSE MICR!B7</t>
  </si>
  <si>
    <t xml:space="preserve">BOLSA</t>
  </si>
  <si>
    <t xml:space="preserve">FRA MUSE MICR!B8</t>
  </si>
  <si>
    <t xml:space="preserve">MARQUILLA</t>
  </si>
  <si>
    <t xml:space="preserve">FRA MUSE MICR!B9</t>
  </si>
  <si>
    <t xml:space="preserve">HILO</t>
  </si>
  <si>
    <t xml:space="preserve">FRA MUSE MICR!B10</t>
  </si>
  <si>
    <t xml:space="preserve">GASTOS OPERATIVOS</t>
  </si>
  <si>
    <t xml:space="preserve">FRA MUSE MICR!B11</t>
  </si>
  <si>
    <t xml:space="preserve">MICRO    DAMA</t>
  </si>
  <si>
    <t xml:space="preserve">FRA MUSE MICR!G4</t>
  </si>
  <si>
    <t xml:space="preserve">fx: 0.8*2*E2</t>
  </si>
  <si>
    <t xml:space="preserve">FRA MUSE MICR!G5</t>
  </si>
  <si>
    <t xml:space="preserve">FRA MUSE MICR!G6</t>
  </si>
  <si>
    <t xml:space="preserve">FRA MUSE MICR!G7</t>
  </si>
  <si>
    <t xml:space="preserve">FRA MUSE MICR!G8</t>
  </si>
  <si>
    <t xml:space="preserve">FRA MUSE MICR!G9</t>
  </si>
  <si>
    <t xml:space="preserve">FRA MUSE MICR!G10</t>
  </si>
  <si>
    <t xml:space="preserve">FRA MUSE MICR!G11</t>
  </si>
  <si>
    <t xml:space="preserve">MUSELINA  NIÑO</t>
  </si>
  <si>
    <t xml:space="preserve">FRA MUSE MICR!B14</t>
  </si>
  <si>
    <t xml:space="preserve">fx: 0.3*1.3*E2</t>
  </si>
  <si>
    <t xml:space="preserve">FRA MUSE MICR!B15</t>
  </si>
  <si>
    <t xml:space="preserve">FRA MUSE MICR!B16</t>
  </si>
  <si>
    <t xml:space="preserve">FRA MUSE MICR!B17</t>
  </si>
  <si>
    <t xml:space="preserve">FRA MUSE MICR!B18</t>
  </si>
  <si>
    <t xml:space="preserve">FRA MUSE MICR!B19</t>
  </si>
  <si>
    <t xml:space="preserve">FRA MUSE MICR!B20</t>
  </si>
  <si>
    <t xml:space="preserve">FRA MUSE MICR!B21</t>
  </si>
  <si>
    <t xml:space="preserve">MICRO    NIÑO</t>
  </si>
  <si>
    <t xml:space="preserve">FRA MUSE MICR!G14</t>
  </si>
  <si>
    <t xml:space="preserve">fx: 0.6*2*E2</t>
  </si>
  <si>
    <t xml:space="preserve">FRA MUSE MICR!G15</t>
  </si>
  <si>
    <t xml:space="preserve">FRA MUSE MICR!G16</t>
  </si>
  <si>
    <t xml:space="preserve">FRA MUSE MICR!G17</t>
  </si>
  <si>
    <t xml:space="preserve">fx: 0.6*12000</t>
  </si>
  <si>
    <t xml:space="preserve">FRA MUSE MICR!G18</t>
  </si>
  <si>
    <t xml:space="preserve">FRA MUSE MICR!G19</t>
  </si>
  <si>
    <t xml:space="preserve">FRA MUSE MICR!G20</t>
  </si>
  <si>
    <t xml:space="preserve">FRA MUSE MICR!G21</t>
  </si>
  <si>
    <t xml:space="preserve">MUSELINA    CABALLERO</t>
  </si>
  <si>
    <t xml:space="preserve">FRA MUSE MICR!B24</t>
  </si>
  <si>
    <t xml:space="preserve">fx: 0.9*1.5*E2</t>
  </si>
  <si>
    <t xml:space="preserve">FRA MUSE MICR!B25</t>
  </si>
  <si>
    <t xml:space="preserve">FRA MUSE MICR!B26</t>
  </si>
  <si>
    <t xml:space="preserve">BORDADO</t>
  </si>
  <si>
    <t xml:space="preserve">FRA MUSE MICR!B27</t>
  </si>
  <si>
    <t xml:space="preserve">FRA MUSE MICR!B28</t>
  </si>
  <si>
    <t xml:space="preserve">FRA MUSE MICR!B29</t>
  </si>
  <si>
    <t xml:space="preserve">FRA MUSE MICR!B30</t>
  </si>
  <si>
    <t xml:space="preserve">fx: B20</t>
  </si>
  <si>
    <t xml:space="preserve">FRA MUSE MICR!B31</t>
  </si>
  <si>
    <t xml:space="preserve">MICRO           CABALLERO</t>
  </si>
  <si>
    <t xml:space="preserve">FRA MUSE MICR!G24</t>
  </si>
  <si>
    <t xml:space="preserve">fx: 1*2.3*E2</t>
  </si>
  <si>
    <t xml:space="preserve">FRA MUSE MICR!G25</t>
  </si>
  <si>
    <t xml:space="preserve">FRA MUSE MICR!G26</t>
  </si>
  <si>
    <t xml:space="preserve">FRA MUSE MICR!G27</t>
  </si>
  <si>
    <t xml:space="preserve">FRA MUSE MICR!G28</t>
  </si>
  <si>
    <t xml:space="preserve">FRA MUSE MICR!G29</t>
  </si>
  <si>
    <t xml:space="preserve">fx: 11000</t>
  </si>
  <si>
    <t xml:space="preserve">FRA MUSE MICR!G30</t>
  </si>
  <si>
    <t xml:space="preserve">fx: B30</t>
  </si>
  <si>
    <t xml:space="preserve">FRA MUSE MICR!G31</t>
  </si>
  <si>
    <t xml:space="preserve">FRA MUSE MICR!B37</t>
  </si>
  <si>
    <t xml:space="preserve">FRA MUSE MICR!B38</t>
  </si>
  <si>
    <t xml:space="preserve">FRA MUSE MICR!B39</t>
  </si>
  <si>
    <t xml:space="preserve">PLANCHA</t>
  </si>
  <si>
    <t xml:space="preserve">FRA MUSE MICR!B40</t>
  </si>
  <si>
    <t xml:space="preserve">VINIL 15 CMS</t>
  </si>
  <si>
    <t xml:space="preserve">FRA MUSE MICR!B41</t>
  </si>
  <si>
    <t xml:space="preserve">CORTE DEL PLOTTER</t>
  </si>
  <si>
    <t xml:space="preserve">FRA MUSE MICR!B42</t>
  </si>
  <si>
    <t xml:space="preserve">DEPILADA</t>
  </si>
  <si>
    <t xml:space="preserve">FRA MUSE MICR!B43</t>
  </si>
  <si>
    <t xml:space="preserve">FRA MUSE MICR!B44</t>
  </si>
  <si>
    <t xml:space="preserve">FRA MUSE MICR!B45</t>
  </si>
  <si>
    <t xml:space="preserve">FRA MUSE MICR!B46</t>
  </si>
  <si>
    <t xml:space="preserve">FRA MUSE MICR!B47</t>
  </si>
  <si>
    <t xml:space="preserve">FRA MUSE MICR!B48</t>
  </si>
  <si>
    <t xml:space="preserve">MUSELINA    NIÑO</t>
  </si>
  <si>
    <t xml:space="preserve">FRA MUSE MICR!G37</t>
  </si>
  <si>
    <t xml:space="preserve">fx: 0.8*1.8*4000</t>
  </si>
  <si>
    <t xml:space="preserve">FRA MUSE MICR!G38</t>
  </si>
  <si>
    <t xml:space="preserve">FRA MUSE MICR!G39</t>
  </si>
  <si>
    <t xml:space="preserve">FRA MUSE MICR!G40</t>
  </si>
  <si>
    <t xml:space="preserve">FRA MUSE MICR!G41</t>
  </si>
  <si>
    <t xml:space="preserve">FRA MUSE MICR!G42</t>
  </si>
  <si>
    <t xml:space="preserve">FRA MUSE MICR!G43</t>
  </si>
  <si>
    <t xml:space="preserve">FRA MUSE MICR!G44</t>
  </si>
  <si>
    <t xml:space="preserve">FRA MUSE MICR!G45</t>
  </si>
  <si>
    <t xml:space="preserve">FRA MUSE MICR!G46</t>
  </si>
  <si>
    <t xml:space="preserve">FRA MUSE MICR!G47</t>
  </si>
  <si>
    <t xml:space="preserve">FRA MUSE MICR!G48</t>
  </si>
  <si>
    <t xml:space="preserve">FRA MUSE MICR!B52</t>
  </si>
  <si>
    <t xml:space="preserve">FRA MUSE MICR!B53</t>
  </si>
  <si>
    <t xml:space="preserve">FRA MUSE MICR!B54</t>
  </si>
  <si>
    <t xml:space="preserve">DISEÑO</t>
  </si>
  <si>
    <t xml:space="preserve">FRA MUSE MICR!B55</t>
  </si>
  <si>
    <t xml:space="preserve">FRA MUSE MICR!B56</t>
  </si>
  <si>
    <t xml:space="preserve">FRA MUSE MICR!B57</t>
  </si>
  <si>
    <t xml:space="preserve">FRA MUSE MICR!B58</t>
  </si>
  <si>
    <t xml:space="preserve">FRA MUSE MICR!B59</t>
  </si>
  <si>
    <t xml:space="preserve">FRA MUSE MICR!B60</t>
  </si>
  <si>
    <t xml:space="preserve">FRA MUSE MICR!B61</t>
  </si>
  <si>
    <t xml:space="preserve">FRA MUSE MICR!B62</t>
  </si>
  <si>
    <t xml:space="preserve">fx: B46</t>
  </si>
  <si>
    <t xml:space="preserve">FRA MUSE MICR!B63</t>
  </si>
  <si>
    <t xml:space="preserve">FRA MUSE MICR!B64</t>
  </si>
  <si>
    <t xml:space="preserve">FRA MUSE MICR!G52</t>
  </si>
  <si>
    <t xml:space="preserve">FRA MUSE MICR!G53</t>
  </si>
  <si>
    <t xml:space="preserve">FRA MUSE MICR!G54</t>
  </si>
  <si>
    <t xml:space="preserve">FRA MUSE MICR!G55</t>
  </si>
  <si>
    <t xml:space="preserve">FRA MUSE MICR!G56</t>
  </si>
  <si>
    <t xml:space="preserve">FRA MUSE MICR!G57</t>
  </si>
  <si>
    <t xml:space="preserve">FRA MUSE MICR!G58</t>
  </si>
  <si>
    <t xml:space="preserve">FRA MUSE MICR!G59</t>
  </si>
  <si>
    <t xml:space="preserve">FRA MUSE MICR!G60</t>
  </si>
  <si>
    <t xml:space="preserve">FRA MUSE MICR!G61</t>
  </si>
  <si>
    <t xml:space="preserve">FRA MUSE MICR!G62</t>
  </si>
  <si>
    <t xml:space="preserve">fx: G46</t>
  </si>
  <si>
    <t xml:space="preserve">FRA MUSE MICR!G63</t>
  </si>
  <si>
    <t xml:space="preserve">FRA MUSE MICR!G64</t>
  </si>
  <si>
    <t xml:space="preserve">MUSE   CABALLERO</t>
  </si>
  <si>
    <t xml:space="preserve">FRA MUSE MICR!B68</t>
  </si>
  <si>
    <t xml:space="preserve">fx: 0.9*1.1*E2</t>
  </si>
  <si>
    <t xml:space="preserve">FRA MUSE MICR!B69</t>
  </si>
  <si>
    <t xml:space="preserve">FRA MUSE MICR!B70</t>
  </si>
  <si>
    <t xml:space="preserve">FRA MUSE MICR!B71</t>
  </si>
  <si>
    <t xml:space="preserve">FRA MUSE MICR!B72</t>
  </si>
  <si>
    <t xml:space="preserve">FRA MUSE MICR!B73</t>
  </si>
  <si>
    <t xml:space="preserve">FRA MUSE MICR!B74</t>
  </si>
  <si>
    <t xml:space="preserve">FRA MUSE MICR!B75</t>
  </si>
  <si>
    <t xml:space="preserve">FRA MUSE MICR!B76</t>
  </si>
  <si>
    <t xml:space="preserve">FRA MUSE MICR!B77</t>
  </si>
  <si>
    <t xml:space="preserve">FRA MUSE MICR!B78</t>
  </si>
  <si>
    <t xml:space="preserve">FRA MUSE MICR!B79</t>
  </si>
  <si>
    <t xml:space="preserve">MICRO      CABALLERO</t>
  </si>
  <si>
    <t xml:space="preserve">FRA MUSE MICR!G68</t>
  </si>
  <si>
    <t xml:space="preserve">fx: 0.8*2*4000</t>
  </si>
  <si>
    <t xml:space="preserve">FRA MUSE MICR!G69</t>
  </si>
  <si>
    <t xml:space="preserve">FRA MUSE MICR!G70</t>
  </si>
  <si>
    <t xml:space="preserve">VINIL</t>
  </si>
  <si>
    <t xml:space="preserve">FRA MUSE MICR!G71</t>
  </si>
  <si>
    <t xml:space="preserve">FRA MUSE MICR!G72</t>
  </si>
  <si>
    <t xml:space="preserve">FRA MUSE MICR!G73</t>
  </si>
  <si>
    <t xml:space="preserve">FRA MUSE MICR!G74</t>
  </si>
  <si>
    <t xml:space="preserve">FRA MUSE MICR!G75</t>
  </si>
  <si>
    <t xml:space="preserve">FRA MUSE MICR!G76</t>
  </si>
  <si>
    <t xml:space="preserve">FRA MUSE MICR!G77</t>
  </si>
  <si>
    <t xml:space="preserve">FRA MUSE MICR!G78</t>
  </si>
  <si>
    <t xml:space="preserve">FRA MUSE MICR!G79</t>
  </si>
  <si>
    <t xml:space="preserve">MUSELINA             DAMA</t>
  </si>
  <si>
    <t xml:space="preserve">FRA MUSE MICR!B86</t>
  </si>
  <si>
    <t xml:space="preserve">fx: 0.7*1.6*E2</t>
  </si>
  <si>
    <t xml:space="preserve">FRA MUSE MICR!B87</t>
  </si>
  <si>
    <t xml:space="preserve">FRA MUSE MICR!B88</t>
  </si>
  <si>
    <t xml:space="preserve">SUBLIMACION CARTA</t>
  </si>
  <si>
    <t xml:space="preserve">FRA MUSE MICR!B89</t>
  </si>
  <si>
    <t xml:space="preserve">fx: 13000/15</t>
  </si>
  <si>
    <t xml:space="preserve">FRA MUSE MICR!B90</t>
  </si>
  <si>
    <t xml:space="preserve">FRA MUSE MICR!B91</t>
  </si>
  <si>
    <t xml:space="preserve">FRA MUSE MICR!B92</t>
  </si>
  <si>
    <t xml:space="preserve">fx: 30000/39</t>
  </si>
  <si>
    <t xml:space="preserve">FRA MUSE MICR!B93</t>
  </si>
  <si>
    <t xml:space="preserve">FRA MUSE MICR!B94</t>
  </si>
  <si>
    <t xml:space="preserve">FRA MUSE MICR!B95</t>
  </si>
  <si>
    <t xml:space="preserve">MUSELINA              NIÑO</t>
  </si>
  <si>
    <t xml:space="preserve">FRA MUSE MICR!G86</t>
  </si>
  <si>
    <t xml:space="preserve">fx: 0.5*1.6*E2</t>
  </si>
  <si>
    <t xml:space="preserve">FRA MUSE MICR!G87</t>
  </si>
  <si>
    <t xml:space="preserve">FRA MUSE MICR!G88</t>
  </si>
  <si>
    <t xml:space="preserve">FRA MUSE MICR!G89</t>
  </si>
  <si>
    <t xml:space="preserve">fx: B89</t>
  </si>
  <si>
    <t xml:space="preserve">FRA MUSE MICR!G90</t>
  </si>
  <si>
    <t xml:space="preserve">fx: B90</t>
  </si>
  <si>
    <t xml:space="preserve">FRA MUSE MICR!G91</t>
  </si>
  <si>
    <t xml:space="preserve">FRA MUSE MICR!G92</t>
  </si>
  <si>
    <t xml:space="preserve">fx: B92</t>
  </si>
  <si>
    <t xml:space="preserve">FRA MUSE MICR!G93</t>
  </si>
  <si>
    <t xml:space="preserve">FRA MUSE MICR!G94</t>
  </si>
  <si>
    <t xml:space="preserve">FRA MUSE MICR!G95</t>
  </si>
  <si>
    <t xml:space="preserve">micro    DAMA</t>
  </si>
  <si>
    <t xml:space="preserve">FRA MUSE MICR!B98</t>
  </si>
  <si>
    <t xml:space="preserve">fx: 0.6*1.8*E2</t>
  </si>
  <si>
    <t xml:space="preserve">FRA MUSE MICR!B99</t>
  </si>
  <si>
    <t xml:space="preserve">FRA MUSE MICR!B100</t>
  </si>
  <si>
    <t xml:space="preserve">FRA MUSE MICR!B101</t>
  </si>
  <si>
    <t xml:space="preserve">fx: 4000</t>
  </si>
  <si>
    <t xml:space="preserve">FRA MUSE MICR!B102</t>
  </si>
  <si>
    <t xml:space="preserve">FRA MUSE MICR!B103</t>
  </si>
  <si>
    <t xml:space="preserve">FRA MUSE MICR!B104</t>
  </si>
  <si>
    <t xml:space="preserve">FRA MUSE MICR!B105</t>
  </si>
  <si>
    <t xml:space="preserve">FRA MUSE MICR!B106</t>
  </si>
  <si>
    <t xml:space="preserve">FRA MUSE MICR!B107</t>
  </si>
  <si>
    <t xml:space="preserve">FRA MUSE MICR!B108</t>
  </si>
  <si>
    <t xml:space="preserve">micro      NIÑO</t>
  </si>
  <si>
    <t xml:space="preserve">FRA MUSE MICR!G98</t>
  </si>
  <si>
    <t xml:space="preserve">fx: 0.7*2.65*E2</t>
  </si>
  <si>
    <t xml:space="preserve">FRA MUSE MICR!G99</t>
  </si>
  <si>
    <t xml:space="preserve">FRA MUSE MICR!G100</t>
  </si>
  <si>
    <t xml:space="preserve">FRA MUSE MICR!G101</t>
  </si>
  <si>
    <t xml:space="preserve">FRA MUSE MICR!G102</t>
  </si>
  <si>
    <t xml:space="preserve">FRA MUSE MICR!G103</t>
  </si>
  <si>
    <t xml:space="preserve">FRA MUSE MICR!G104</t>
  </si>
  <si>
    <t xml:space="preserve">FRA MUSE MICR!G105</t>
  </si>
  <si>
    <t xml:space="preserve">FRA MUSE MICR!G106</t>
  </si>
  <si>
    <t xml:space="preserve">FRA MUSE MICR!G107</t>
  </si>
  <si>
    <t xml:space="preserve">FRA MUSE MICR!G108</t>
  </si>
  <si>
    <t xml:space="preserve">MUSE      CABALLERO</t>
  </si>
  <si>
    <t xml:space="preserve">FRA MUSE MICR!B111</t>
  </si>
  <si>
    <t xml:space="preserve">fx: 1*1.2*E2</t>
  </si>
  <si>
    <t xml:space="preserve">FRA MUSE MICR!B112</t>
  </si>
  <si>
    <t xml:space="preserve">FRA MUSE MICR!B113</t>
  </si>
  <si>
    <t xml:space="preserve">FRA MUSE MICR!B114</t>
  </si>
  <si>
    <t xml:space="preserve">FRA MUSE MICR!B115</t>
  </si>
  <si>
    <t xml:space="preserve">FRA MUSE MICR!B116</t>
  </si>
  <si>
    <t xml:space="preserve">FRA MUSE MICR!B117</t>
  </si>
  <si>
    <t xml:space="preserve">FRA MUSE MICR!B118</t>
  </si>
  <si>
    <t xml:space="preserve">FRA MUSE MICR!B119</t>
  </si>
  <si>
    <t xml:space="preserve">FRA MUSE MICR!B120</t>
  </si>
  <si>
    <t xml:space="preserve">FRA MUSE MICR!B121</t>
  </si>
  <si>
    <t xml:space="preserve">MICRO    CABALLERO</t>
  </si>
  <si>
    <t xml:space="preserve">FRA MUSE MICR!G111</t>
  </si>
  <si>
    <t xml:space="preserve">fx: 1*2*3800</t>
  </si>
  <si>
    <t xml:space="preserve">FRA MUSE MICR!G112</t>
  </si>
  <si>
    <t xml:space="preserve">FRA MUSE MICR!G113</t>
  </si>
  <si>
    <t xml:space="preserve">FRA MUSE MICR!G114</t>
  </si>
  <si>
    <t xml:space="preserve">FRA MUSE MICR!G115</t>
  </si>
  <si>
    <t xml:space="preserve">FRA MUSE MICR!G116</t>
  </si>
  <si>
    <t xml:space="preserve">FRA MUSE MICR!G117</t>
  </si>
  <si>
    <t xml:space="preserve">FRA MUSE MICR!G118</t>
  </si>
  <si>
    <t xml:space="preserve">FRA MUSE MICR!G119</t>
  </si>
  <si>
    <t xml:space="preserve">FRA MUSE MICR!G120</t>
  </si>
  <si>
    <t xml:space="preserve">FRA MUSE MICR!G121</t>
  </si>
  <si>
    <t xml:space="preserve">DAMA</t>
  </si>
  <si>
    <t xml:space="preserve">FRA MUSE MICR!B127</t>
  </si>
  <si>
    <t xml:space="preserve">fx: 0.8*1.8*E2</t>
  </si>
  <si>
    <t xml:space="preserve">FRA MUSE MICR!B128</t>
  </si>
  <si>
    <t xml:space="preserve">FRA MUSE MICR!B129</t>
  </si>
  <si>
    <t xml:space="preserve">SUBLIMACION OFICIO</t>
  </si>
  <si>
    <t xml:space="preserve">FRA MUSE MICR!B130</t>
  </si>
  <si>
    <t xml:space="preserve">fx: 15000*0.3/3</t>
  </si>
  <si>
    <t xml:space="preserve">FRA MUSE MICR!B131</t>
  </si>
  <si>
    <t xml:space="preserve">FRA MUSE MICR!B132</t>
  </si>
  <si>
    <t xml:space="preserve">FRA MUSE MICR!B133</t>
  </si>
  <si>
    <t xml:space="preserve">FRA MUSE MICR!B134</t>
  </si>
  <si>
    <t xml:space="preserve">FRA MUSE MICR!B135</t>
  </si>
  <si>
    <t xml:space="preserve">FRA MUSE MICR!B136</t>
  </si>
  <si>
    <t xml:space="preserve">FRA MUSE MICR!B137</t>
  </si>
  <si>
    <t xml:space="preserve">NIÑO</t>
  </si>
  <si>
    <t xml:space="preserve">FRA MUSE MICR!G127</t>
  </si>
  <si>
    <t xml:space="preserve">FRA MUSE MICR!G128</t>
  </si>
  <si>
    <t xml:space="preserve">FRA MUSE MICR!G129</t>
  </si>
  <si>
    <t xml:space="preserve">FRA MUSE MICR!G130</t>
  </si>
  <si>
    <t xml:space="preserve">fx: 15000*0.3/4</t>
  </si>
  <si>
    <t xml:space="preserve">FRA MUSE MICR!G131</t>
  </si>
  <si>
    <t xml:space="preserve">FRA MUSE MICR!G132</t>
  </si>
  <si>
    <t xml:space="preserve">FRA MUSE MICR!G133</t>
  </si>
  <si>
    <t xml:space="preserve">FRA MUSE MICR!G134</t>
  </si>
  <si>
    <t xml:space="preserve">FRA MUSE MICR!G135</t>
  </si>
  <si>
    <t xml:space="preserve">FRA MUSE MICR!G136</t>
  </si>
  <si>
    <t xml:space="preserve">FRA MUSE MICR!G137</t>
  </si>
  <si>
    <t xml:space="preserve">FRA MUSE MICR!B142</t>
  </si>
  <si>
    <t xml:space="preserve">fx: 0.8*2.65*E2</t>
  </si>
  <si>
    <t xml:space="preserve">FRA MUSE MICR!B143</t>
  </si>
  <si>
    <t xml:space="preserve">FRA MUSE MICR!B144</t>
  </si>
  <si>
    <t xml:space="preserve">FRA MUSE MICR!B145</t>
  </si>
  <si>
    <t xml:space="preserve">FRA MUSE MICR!B146</t>
  </si>
  <si>
    <t xml:space="preserve">FRA MUSE MICR!B147</t>
  </si>
  <si>
    <t xml:space="preserve">FRA MUSE MICR!B148</t>
  </si>
  <si>
    <t xml:space="preserve">FRA MUSE MICR!B149</t>
  </si>
  <si>
    <t xml:space="preserve">FRA MUSE MICR!B150</t>
  </si>
  <si>
    <t xml:space="preserve">FRA MUSE MICR!B151</t>
  </si>
  <si>
    <t xml:space="preserve">FRA MUSE MICR!B152</t>
  </si>
  <si>
    <t xml:space="preserve">FRA MUSE MICR!G142</t>
  </si>
  <si>
    <t xml:space="preserve">fx: 0.6*2.4*E2</t>
  </si>
  <si>
    <t xml:space="preserve">FRA MUSE MICR!G143</t>
  </si>
  <si>
    <t xml:space="preserve">FRA MUSE MICR!G144</t>
  </si>
  <si>
    <t xml:space="preserve">FRA MUSE MICR!G145</t>
  </si>
  <si>
    <t xml:space="preserve">fx: 11000*0.6</t>
  </si>
  <si>
    <t xml:space="preserve">FRA MUSE MICR!G146</t>
  </si>
  <si>
    <t xml:space="preserve">FRA MUSE MICR!G147</t>
  </si>
  <si>
    <t xml:space="preserve">FRA MUSE MICR!G148</t>
  </si>
  <si>
    <t xml:space="preserve">FRA MUSE MICR!G149</t>
  </si>
  <si>
    <t xml:space="preserve">FRA MUSE MICR!G150</t>
  </si>
  <si>
    <t xml:space="preserve">FRA MUSE MICR!G151</t>
  </si>
  <si>
    <t xml:space="preserve">FRA MUSE MICR!G152</t>
  </si>
  <si>
    <t xml:space="preserve">CABALLERO</t>
  </si>
  <si>
    <t xml:space="preserve">FRA MUSE MICR!B157</t>
  </si>
  <si>
    <t xml:space="preserve">fx: 1*1*E2</t>
  </si>
  <si>
    <t xml:space="preserve">FRA MUSE MICR!B158</t>
  </si>
  <si>
    <t xml:space="preserve">FRA MUSE MICR!B159</t>
  </si>
  <si>
    <t xml:space="preserve">FRA MUSE MICR!B160</t>
  </si>
  <si>
    <t xml:space="preserve">fx: 1.3*11000</t>
  </si>
  <si>
    <t xml:space="preserve">FRA MUSE MICR!B161</t>
  </si>
  <si>
    <t xml:space="preserve">FRA MUSE MICR!B162</t>
  </si>
  <si>
    <t xml:space="preserve">FRA MUSE MICR!B163</t>
  </si>
  <si>
    <t xml:space="preserve">FRA MUSE MICR!B164</t>
  </si>
  <si>
    <t xml:space="preserve">FRA MUSE MICR!B165</t>
  </si>
  <si>
    <t xml:space="preserve">FRA MUSE MICR!B166</t>
  </si>
  <si>
    <t xml:space="preserve">FRA MUSE MICR!B167</t>
  </si>
  <si>
    <t xml:space="preserve">FRA MUSE MICR!G157</t>
  </si>
  <si>
    <t xml:space="preserve">fx: 1*1.7*E2</t>
  </si>
  <si>
    <t xml:space="preserve">FRA MUSE MICR!G158</t>
  </si>
  <si>
    <t xml:space="preserve">FRA MUSE MICR!G159</t>
  </si>
  <si>
    <t xml:space="preserve">FRA MUSE MICR!G160</t>
  </si>
  <si>
    <t xml:space="preserve">FRA MUSE MICR!G161</t>
  </si>
  <si>
    <t xml:space="preserve">FRA MUSE MICR!G162</t>
  </si>
  <si>
    <t xml:space="preserve">FRA MUSE MICR!G163</t>
  </si>
  <si>
    <t xml:space="preserve">FRA MUSE MICR!G164</t>
  </si>
  <si>
    <t xml:space="preserve">FRA MUSE MICR!G165</t>
  </si>
  <si>
    <t xml:space="preserve">FRA MUSE MICR!G166</t>
  </si>
  <si>
    <t xml:space="preserve">FRA MUSE MICR!G167</t>
  </si>
  <si>
    <t xml:space="preserve">FRA MUSE MICR!B173</t>
  </si>
  <si>
    <t xml:space="preserve">fx: 0.8*1.6*E2</t>
  </si>
  <si>
    <t xml:space="preserve">FRA MUSE MICR!B174</t>
  </si>
  <si>
    <t xml:space="preserve">FRA MUSE MICR!B175</t>
  </si>
  <si>
    <t xml:space="preserve">SUBLIMACION</t>
  </si>
  <si>
    <t xml:space="preserve">FRA MUSE MICR!B176</t>
  </si>
  <si>
    <t xml:space="preserve">FRA MUSE MICR!B177</t>
  </si>
  <si>
    <t xml:space="preserve">FRA MUSE MICR!B178</t>
  </si>
  <si>
    <t xml:space="preserve">FRA MUSE MICR!B179</t>
  </si>
  <si>
    <t xml:space="preserve">FRA MUSE MICR!B180</t>
  </si>
  <si>
    <t xml:space="preserve">FRA MUSE MICR!B181</t>
  </si>
  <si>
    <t xml:space="preserve">FRA MUSE MICR!B182</t>
  </si>
  <si>
    <t xml:space="preserve">FRA MUSE MICR!B183</t>
  </si>
  <si>
    <t xml:space="preserve">FRA MUSE MICR!G173</t>
  </si>
  <si>
    <t xml:space="preserve">fx: 0.7*1.8*E2</t>
  </si>
  <si>
    <t xml:space="preserve">FRA MUSE MICR!G174</t>
  </si>
  <si>
    <t xml:space="preserve">FRA MUSE MICR!G175</t>
  </si>
  <si>
    <t xml:space="preserve">FRA MUSE MICR!G176</t>
  </si>
  <si>
    <t xml:space="preserve">FRA MUSE MICR!G177</t>
  </si>
  <si>
    <t xml:space="preserve">FRA MUSE MICR!G178</t>
  </si>
  <si>
    <t xml:space="preserve">FRA MUSE MICR!G179</t>
  </si>
  <si>
    <t xml:space="preserve">FRA MUSE MICR!G180</t>
  </si>
  <si>
    <t xml:space="preserve">FRA MUSE MICR!G181</t>
  </si>
  <si>
    <t xml:space="preserve">FRA MUSE MICR!G182</t>
  </si>
  <si>
    <t xml:space="preserve">FRA MUSE MICR!G183</t>
  </si>
  <si>
    <t xml:space="preserve">FRA MUSE MICR!B188</t>
  </si>
  <si>
    <t xml:space="preserve">fx: 0.8*2.6*E2</t>
  </si>
  <si>
    <t xml:space="preserve">FRA MUSE MICR!B189</t>
  </si>
  <si>
    <t xml:space="preserve">FRA MUSE MICR!B190</t>
  </si>
  <si>
    <t xml:space="preserve">FRA MUSE MICR!B191</t>
  </si>
  <si>
    <t xml:space="preserve">FRA MUSE MICR!B192</t>
  </si>
  <si>
    <t xml:space="preserve">FRA MUSE MICR!B193</t>
  </si>
  <si>
    <t xml:space="preserve">FRA MUSE MICR!B194</t>
  </si>
  <si>
    <t xml:space="preserve">FRA MUSE MICR!B195</t>
  </si>
  <si>
    <t xml:space="preserve">FRA MUSE MICR!B196</t>
  </si>
  <si>
    <t xml:space="preserve">FRA MUSE MICR!B197</t>
  </si>
  <si>
    <t xml:space="preserve">FRA MUSE MICR!B198</t>
  </si>
  <si>
    <t xml:space="preserve">FRA MUSE MICR!G188</t>
  </si>
  <si>
    <t xml:space="preserve">fx: 0.6*2.3*E2</t>
  </si>
  <si>
    <t xml:space="preserve">FRA MUSE MICR!G189</t>
  </si>
  <si>
    <t xml:space="preserve">FRA MUSE MICR!G190</t>
  </si>
  <si>
    <t xml:space="preserve">FRA MUSE MICR!G191</t>
  </si>
  <si>
    <t xml:space="preserve">fx: 15000/4</t>
  </si>
  <si>
    <t xml:space="preserve">FRA MUSE MICR!G192</t>
  </si>
  <si>
    <t xml:space="preserve">FRA MUSE MICR!G193</t>
  </si>
  <si>
    <t xml:space="preserve">FRA MUSE MICR!G194</t>
  </si>
  <si>
    <t xml:space="preserve">FRA MUSE MICR!G195</t>
  </si>
  <si>
    <t xml:space="preserve">FRA MUSE MICR!G196</t>
  </si>
  <si>
    <t xml:space="preserve">FRA MUSE MICR!G197</t>
  </si>
  <si>
    <t xml:space="preserve">FRA MUSE MICR!G198</t>
  </si>
  <si>
    <t xml:space="preserve">FRA MUSE MICR!B203</t>
  </si>
  <si>
    <t xml:space="preserve">fx: 1.1*2.7*E2</t>
  </si>
  <si>
    <t xml:space="preserve">FRA MUSE MICR!B204</t>
  </si>
  <si>
    <t xml:space="preserve">FRA MUSE MICR!B205</t>
  </si>
  <si>
    <t xml:space="preserve">FRA MUSE MICR!B206</t>
  </si>
  <si>
    <t xml:space="preserve">fx: 13000</t>
  </si>
  <si>
    <t xml:space="preserve">FRA MUSE MICR!B207</t>
  </si>
  <si>
    <t xml:space="preserve">FRA MUSE MICR!B208</t>
  </si>
  <si>
    <t xml:space="preserve">FRA MUSE MICR!B209</t>
  </si>
  <si>
    <t xml:space="preserve">FRA MUSE MICR!B210</t>
  </si>
  <si>
    <t xml:space="preserve">FRA MUSE MICR!B211</t>
  </si>
  <si>
    <t xml:space="preserve">FRA MUSE MICR!B212</t>
  </si>
  <si>
    <t xml:space="preserve">FRA MUSE MICR!B213</t>
  </si>
  <si>
    <t xml:space="preserve">FRA MUSE MICR!G203</t>
  </si>
  <si>
    <t xml:space="preserve">fx: 1*4.5*E2</t>
  </si>
  <si>
    <t xml:space="preserve">FRA MUSE MICR!G204</t>
  </si>
  <si>
    <t xml:space="preserve">FRA MUSE MICR!G205</t>
  </si>
  <si>
    <t xml:space="preserve">FRA MUSE MICR!G206</t>
  </si>
  <si>
    <t xml:space="preserve">fx: 35000/4</t>
  </si>
  <si>
    <t xml:space="preserve">FRA MUSE MICR!G207</t>
  </si>
  <si>
    <t xml:space="preserve">FRA MUSE MICR!G208</t>
  </si>
  <si>
    <t xml:space="preserve">FRA MUSE MICR!G209</t>
  </si>
  <si>
    <t xml:space="preserve">FRA MUSE MICR!G210</t>
  </si>
  <si>
    <t xml:space="preserve">FRA MUSE MICR!G211</t>
  </si>
  <si>
    <t xml:space="preserve">FRA MUSE MICR!G212</t>
  </si>
  <si>
    <t xml:space="preserve">FRA MUSE MICR!G213</t>
  </si>
  <si>
    <t xml:space="preserve">FRA MUSE MICR!B220</t>
  </si>
  <si>
    <t xml:space="preserve">FRA MUSE MICR!B221</t>
  </si>
  <si>
    <t xml:space="preserve">FRA MUSE MICR!B222</t>
  </si>
  <si>
    <t xml:space="preserve">FRA MUSE MICR!B223</t>
  </si>
  <si>
    <t xml:space="preserve">fx: 0.7*13000</t>
  </si>
  <si>
    <t xml:space="preserve">FRA MUSE MICR!B224</t>
  </si>
  <si>
    <t xml:space="preserve">FRA MUSE MICR!B225</t>
  </si>
  <si>
    <t xml:space="preserve">FRA MUSE MICR!B226</t>
  </si>
  <si>
    <t xml:space="preserve">FRA MUSE MICR!B227</t>
  </si>
  <si>
    <t xml:space="preserve">FRA MUSE MICR!B228</t>
  </si>
  <si>
    <t xml:space="preserve">FRA MUSE MICR!B229</t>
  </si>
  <si>
    <t xml:space="preserve">FRA MUSE MICR!B230</t>
  </si>
  <si>
    <t xml:space="preserve">FRA MUSE MICR!G220</t>
  </si>
  <si>
    <t xml:space="preserve">fx: 0.5*1.3*E2</t>
  </si>
  <si>
    <t xml:space="preserve">FRA MUSE MICR!G221</t>
  </si>
  <si>
    <t xml:space="preserve">FRA MUSE MICR!G222</t>
  </si>
  <si>
    <t xml:space="preserve">FRA MUSE MICR!G223</t>
  </si>
  <si>
    <t xml:space="preserve">fx: 0.5*11000</t>
  </si>
  <si>
    <t xml:space="preserve">FRA MUSE MICR!G224</t>
  </si>
  <si>
    <t xml:space="preserve">FRA MUSE MICR!G225</t>
  </si>
  <si>
    <t xml:space="preserve">FRA MUSE MICR!G226</t>
  </si>
  <si>
    <t xml:space="preserve">FRA MUSE MICR!G227</t>
  </si>
  <si>
    <t xml:space="preserve">FRA MUSE MICR!G228</t>
  </si>
  <si>
    <t xml:space="preserve">FRA MUSE MICR!G229</t>
  </si>
  <si>
    <t xml:space="preserve">FRA MUSE MICR!G230</t>
  </si>
  <si>
    <t xml:space="preserve">FRA MUSE MICR!B235</t>
  </si>
  <si>
    <t xml:space="preserve">FRA MUSE MICR!B236</t>
  </si>
  <si>
    <t xml:space="preserve">FRA MUSE MICR!B237</t>
  </si>
  <si>
    <t xml:space="preserve">FRA MUSE MICR!B238</t>
  </si>
  <si>
    <t xml:space="preserve">fx: 1*13000</t>
  </si>
  <si>
    <t xml:space="preserve">FRA MUSE MICR!B239</t>
  </si>
  <si>
    <t xml:space="preserve">FRA MUSE MICR!B240</t>
  </si>
  <si>
    <t xml:space="preserve">FRA MUSE MICR!B241</t>
  </si>
  <si>
    <t xml:space="preserve">FRA MUSE MICR!B242</t>
  </si>
  <si>
    <t xml:space="preserve">FRA MUSE MICR!B243</t>
  </si>
  <si>
    <t xml:space="preserve">FRA MUSE MICR!B244</t>
  </si>
  <si>
    <t xml:space="preserve">FRA MUSE MICR!B245</t>
  </si>
  <si>
    <t xml:space="preserve">FRA MUSE MICR!G235</t>
  </si>
  <si>
    <t xml:space="preserve">fx: 0.8*1.07*E2</t>
  </si>
  <si>
    <t xml:space="preserve">FRA MUSE MICR!G236</t>
  </si>
  <si>
    <t xml:space="preserve">FRA MUSE MICR!G237</t>
  </si>
  <si>
    <t xml:space="preserve">FRA MUSE MICR!G238</t>
  </si>
  <si>
    <t xml:space="preserve">fx: 0.8*10000</t>
  </si>
  <si>
    <t xml:space="preserve">FRA MUSE MICR!G239</t>
  </si>
  <si>
    <t xml:space="preserve">FRA MUSE MICR!G240</t>
  </si>
  <si>
    <t xml:space="preserve">FRA MUSE MICR!G241</t>
  </si>
  <si>
    <t xml:space="preserve">FRA MUSE MICR!G242</t>
  </si>
  <si>
    <t xml:space="preserve">FRA MUSE MICR!G243</t>
  </si>
  <si>
    <t xml:space="preserve">FRA MUSE MICR!G244</t>
  </si>
  <si>
    <t xml:space="preserve">FRA MUSE MICR!G245</t>
  </si>
  <si>
    <t xml:space="preserve">FRA MUSE MICR!B250</t>
  </si>
  <si>
    <t xml:space="preserve">FRA MUSE MICR!B251</t>
  </si>
  <si>
    <t xml:space="preserve">FRA MUSE MICR!B252</t>
  </si>
  <si>
    <t xml:space="preserve">FRA MUSE MICR!B253</t>
  </si>
  <si>
    <t xml:space="preserve">fx: 12000/2</t>
  </si>
  <si>
    <t xml:space="preserve">FRA MUSE MICR!B254</t>
  </si>
  <si>
    <t xml:space="preserve">FRA MUSE MICR!B255</t>
  </si>
  <si>
    <t xml:space="preserve">fx: 3*500</t>
  </si>
  <si>
    <t xml:space="preserve">FRA MUSE MICR!B256</t>
  </si>
  <si>
    <t xml:space="preserve">FRA MUSE MICR!B257</t>
  </si>
  <si>
    <t xml:space="preserve">FRA MUSE MICR!B258</t>
  </si>
  <si>
    <t xml:space="preserve">FRA MUSE MICR!B259</t>
  </si>
  <si>
    <t xml:space="preserve">FRA MUSE MICR!B260</t>
  </si>
  <si>
    <t xml:space="preserve">FRA MUSE MICR!G250</t>
  </si>
  <si>
    <t xml:space="preserve">FRA MUSE MICR!G251</t>
  </si>
  <si>
    <t xml:space="preserve">FRA MUSE MICR!G252</t>
  </si>
  <si>
    <t xml:space="preserve">FRA MUSE MICR!G253</t>
  </si>
  <si>
    <t xml:space="preserve">fx: 8500*1</t>
  </si>
  <si>
    <t xml:space="preserve">FRA MUSE MICR!G254</t>
  </si>
  <si>
    <t xml:space="preserve">FRA MUSE MICR!G255</t>
  </si>
  <si>
    <t xml:space="preserve">FRA MUSE MICR!G256</t>
  </si>
  <si>
    <t xml:space="preserve">FRA MUSE MICR!G257</t>
  </si>
  <si>
    <t xml:space="preserve">FRA MUSE MICR!G258</t>
  </si>
  <si>
    <t xml:space="preserve">FRA MUSE MICR!G259</t>
  </si>
  <si>
    <t xml:space="preserve">FRA MUSE MICR!G260</t>
  </si>
  <si>
    <t xml:space="preserve">FRA MUSE MICR!B266</t>
  </si>
  <si>
    <t xml:space="preserve">fx: 0.8*1.8*E140</t>
  </si>
  <si>
    <t xml:space="preserve">FRA MUSE MICR!B267</t>
  </si>
  <si>
    <t xml:space="preserve">FRA MUSE MICR!B268</t>
  </si>
  <si>
    <t xml:space="preserve">FRA MUSE MICR!B269</t>
  </si>
  <si>
    <t xml:space="preserve">VINIL 25*30</t>
  </si>
  <si>
    <t xml:space="preserve">FRA MUSE MICR!B270</t>
  </si>
  <si>
    <t xml:space="preserve">FRA MUSE MICR!B271</t>
  </si>
  <si>
    <t xml:space="preserve">FRA MUSE MICR!B272</t>
  </si>
  <si>
    <t xml:space="preserve">FRA MUSE MICR!B273</t>
  </si>
  <si>
    <t xml:space="preserve">FRA MUSE MICR!B274</t>
  </si>
  <si>
    <t xml:space="preserve">FRA MUSE MICR!B275</t>
  </si>
  <si>
    <t xml:space="preserve">FRA MUSE MICR!B276</t>
  </si>
  <si>
    <t xml:space="preserve">FRA MUSE MICR!B277</t>
  </si>
  <si>
    <t xml:space="preserve">FRA MUSE MICR!B278</t>
  </si>
  <si>
    <t xml:space="preserve">FRA MUSE MICR!G266</t>
  </si>
  <si>
    <t xml:space="preserve">FRA MUSE MICR!G267</t>
  </si>
  <si>
    <t xml:space="preserve">FRA MUSE MICR!G268</t>
  </si>
  <si>
    <t xml:space="preserve">FRA MUSE MICR!G269</t>
  </si>
  <si>
    <t xml:space="preserve">VINIL 20*20</t>
  </si>
  <si>
    <t xml:space="preserve">FRA MUSE MICR!G270</t>
  </si>
  <si>
    <t xml:space="preserve">FRA MUSE MICR!G271</t>
  </si>
  <si>
    <t xml:space="preserve">FRA MUSE MICR!G272</t>
  </si>
  <si>
    <t xml:space="preserve">FRA MUSE MICR!G273</t>
  </si>
  <si>
    <t xml:space="preserve">FRA MUSE MICR!G274</t>
  </si>
  <si>
    <t xml:space="preserve">FRA MUSE MICR!G275</t>
  </si>
  <si>
    <t xml:space="preserve">FRA MUSE MICR!G276</t>
  </si>
  <si>
    <t xml:space="preserve">FRA MUSE MICR!G277</t>
  </si>
  <si>
    <t xml:space="preserve">FRA MUSE MICR!G278</t>
  </si>
  <si>
    <t xml:space="preserve">FRA MUSE MICR!B284</t>
  </si>
  <si>
    <t xml:space="preserve">fx: 0.8*2.8*E140</t>
  </si>
  <si>
    <t xml:space="preserve">FRA MUSE MICR!B285</t>
  </si>
  <si>
    <t xml:space="preserve">FRA MUSE MICR!B286</t>
  </si>
  <si>
    <t xml:space="preserve">FRA MUSE MICR!B287</t>
  </si>
  <si>
    <t xml:space="preserve">FRA MUSE MICR!B288</t>
  </si>
  <si>
    <t xml:space="preserve">fx: B270</t>
  </si>
  <si>
    <t xml:space="preserve">FRA MUSE MICR!B289</t>
  </si>
  <si>
    <t xml:space="preserve">FRA MUSE MICR!B290</t>
  </si>
  <si>
    <t xml:space="preserve">fx: B272</t>
  </si>
  <si>
    <t xml:space="preserve">FRA MUSE MICR!B291</t>
  </si>
  <si>
    <t xml:space="preserve">fx: B273</t>
  </si>
  <si>
    <t xml:space="preserve">FRA MUSE MICR!B292</t>
  </si>
  <si>
    <t xml:space="preserve">FRA MUSE MICR!B293</t>
  </si>
  <si>
    <t xml:space="preserve">FRA MUSE MICR!B294</t>
  </si>
  <si>
    <t xml:space="preserve">fx: B276</t>
  </si>
  <si>
    <t xml:space="preserve">FRA MUSE MICR!B295</t>
  </si>
  <si>
    <t xml:space="preserve">fx: B277</t>
  </si>
  <si>
    <t xml:space="preserve">FRA MUSE MICR!B296</t>
  </si>
  <si>
    <t xml:space="preserve">fx: B278</t>
  </si>
  <si>
    <t xml:space="preserve">FRA MUSE MICR!G284</t>
  </si>
  <si>
    <t xml:space="preserve">fx: 0.6*3*E2</t>
  </si>
  <si>
    <t xml:space="preserve">FRA MUSE MICR!G285</t>
  </si>
  <si>
    <t xml:space="preserve">FRA MUSE MICR!G286</t>
  </si>
  <si>
    <t xml:space="preserve">FRA MUSE MICR!G287</t>
  </si>
  <si>
    <t xml:space="preserve">FRA MUSE MICR!G288</t>
  </si>
  <si>
    <t xml:space="preserve">fx: G270</t>
  </si>
  <si>
    <t xml:space="preserve">FRA MUSE MICR!G289</t>
  </si>
  <si>
    <t xml:space="preserve">fx: G271</t>
  </si>
  <si>
    <t xml:space="preserve">FRA MUSE MICR!G290</t>
  </si>
  <si>
    <t xml:space="preserve">fx: G272</t>
  </si>
  <si>
    <t xml:space="preserve">FRA MUSE MICR!G291</t>
  </si>
  <si>
    <t xml:space="preserve">fx: G273</t>
  </si>
  <si>
    <t xml:space="preserve">FRA MUSE MICR!G292</t>
  </si>
  <si>
    <t xml:space="preserve">FRA MUSE MICR!G293</t>
  </si>
  <si>
    <t xml:space="preserve">FRA MUSE MICR!G294</t>
  </si>
  <si>
    <t xml:space="preserve">fx: G276</t>
  </si>
  <si>
    <t xml:space="preserve">FRA MUSE MICR!G295</t>
  </si>
  <si>
    <t xml:space="preserve">fx: G277</t>
  </si>
  <si>
    <t xml:space="preserve">FRA MUSE MICR!G296</t>
  </si>
  <si>
    <t xml:space="preserve">fx: G278</t>
  </si>
  <si>
    <t xml:space="preserve">FRA MUSE MICR!B301</t>
  </si>
  <si>
    <t xml:space="preserve">fx: 1*1.8*E140</t>
  </si>
  <si>
    <t xml:space="preserve">FRA MUSE MICR!B302</t>
  </si>
  <si>
    <t xml:space="preserve">FRA MUSE MICR!B303</t>
  </si>
  <si>
    <t xml:space="preserve">FRA MUSE MICR!B304</t>
  </si>
  <si>
    <t xml:space="preserve">FRA MUSE MICR!B305</t>
  </si>
  <si>
    <t xml:space="preserve">FRA MUSE MICR!B306</t>
  </si>
  <si>
    <t xml:space="preserve">FRA MUSE MICR!B307</t>
  </si>
  <si>
    <t xml:space="preserve">FRA MUSE MICR!B308</t>
  </si>
  <si>
    <t xml:space="preserve">FRA MUSE MICR!B309</t>
  </si>
  <si>
    <t xml:space="preserve">FRA MUSE MICR!B310</t>
  </si>
  <si>
    <t xml:space="preserve">FRA MUSE MICR!B311</t>
  </si>
  <si>
    <t xml:space="preserve">FRA MUSE MICR!B312</t>
  </si>
  <si>
    <t xml:space="preserve">FRA MUSE MICR!B313</t>
  </si>
  <si>
    <t xml:space="preserve">FRA MUSE MICR!G301</t>
  </si>
  <si>
    <t xml:space="preserve">fx: 1*2.8*E140</t>
  </si>
  <si>
    <t xml:space="preserve">FRA MUSE MICR!G302</t>
  </si>
  <si>
    <t xml:space="preserve">FRA MUSE MICR!G303</t>
  </si>
  <si>
    <t xml:space="preserve">FRA MUSE MICR!G304</t>
  </si>
  <si>
    <t xml:space="preserve">FRA MUSE MICR!G305</t>
  </si>
  <si>
    <t xml:space="preserve">FRA MUSE MICR!G306</t>
  </si>
  <si>
    <t xml:space="preserve">FRA MUSE MICR!G307</t>
  </si>
  <si>
    <t xml:space="preserve">FRA MUSE MICR!G308</t>
  </si>
  <si>
    <t xml:space="preserve">fx: B307</t>
  </si>
  <si>
    <t xml:space="preserve">FRA MUSE MICR!G309</t>
  </si>
  <si>
    <t xml:space="preserve">FRA MUSE MICR!G310</t>
  </si>
  <si>
    <t xml:space="preserve">FRA MUSE MICR!G311</t>
  </si>
  <si>
    <t xml:space="preserve">FRA MUSE MICR!G312</t>
  </si>
  <si>
    <t xml:space="preserve">FRA MUSE MICR!G313</t>
  </si>
  <si>
    <t xml:space="preserve">franelas cucuta</t>
  </si>
  <si>
    <t xml:space="preserve">COTTONE    DAMA</t>
  </si>
  <si>
    <t xml:space="preserve">franelas cucuta!B4</t>
  </si>
  <si>
    <t xml:space="preserve">fx: 0.8*4.2*E2</t>
  </si>
  <si>
    <t xml:space="preserve">franelas cucuta!B5</t>
  </si>
  <si>
    <t xml:space="preserve">franelas cucuta!B6</t>
  </si>
  <si>
    <t xml:space="preserve">franelas cucuta!B7</t>
  </si>
  <si>
    <t xml:space="preserve">franelas cucuta!B8</t>
  </si>
  <si>
    <t xml:space="preserve">franelas cucuta!B9</t>
  </si>
  <si>
    <t xml:space="preserve">franelas cucuta!B10</t>
  </si>
  <si>
    <t xml:space="preserve">franelas cucuta!B11</t>
  </si>
  <si>
    <t xml:space="preserve">COTTONE CABALLERO</t>
  </si>
  <si>
    <t xml:space="preserve">franelas cucuta!I4</t>
  </si>
  <si>
    <t xml:space="preserve">fx: 1*4.2*E2</t>
  </si>
  <si>
    <t xml:space="preserve">franelas cucuta!I5</t>
  </si>
  <si>
    <t xml:space="preserve">franelas cucuta!I6</t>
  </si>
  <si>
    <t xml:space="preserve">franelas cucuta!I7</t>
  </si>
  <si>
    <t xml:space="preserve">franelas cucuta!I8</t>
  </si>
  <si>
    <t xml:space="preserve">franelas cucuta!I9</t>
  </si>
  <si>
    <t xml:space="preserve">franelas cucuta!I10</t>
  </si>
  <si>
    <t xml:space="preserve">fx: B10</t>
  </si>
  <si>
    <t xml:space="preserve">franelas cucuta!I11</t>
  </si>
  <si>
    <t xml:space="preserve">fx: B11</t>
  </si>
  <si>
    <t xml:space="preserve">KEIRA PLUS DAMA</t>
  </si>
  <si>
    <t xml:space="preserve">franelas cucuta!B15</t>
  </si>
  <si>
    <t xml:space="preserve">fx: 0.8*2.8*E2</t>
  </si>
  <si>
    <t xml:space="preserve">franelas cucuta!B16</t>
  </si>
  <si>
    <t xml:space="preserve">fx: B5</t>
  </si>
  <si>
    <t xml:space="preserve">franelas cucuta!B17</t>
  </si>
  <si>
    <t xml:space="preserve">fx: B6</t>
  </si>
  <si>
    <t xml:space="preserve">franelas cucuta!B18</t>
  </si>
  <si>
    <t xml:space="preserve">franelas cucuta!B19</t>
  </si>
  <si>
    <t xml:space="preserve">franelas cucuta!B20</t>
  </si>
  <si>
    <t xml:space="preserve">franelas cucuta!B21</t>
  </si>
  <si>
    <t xml:space="preserve">franelas cucuta!B22</t>
  </si>
  <si>
    <t xml:space="preserve">KEIRA PLUS CABALLERO</t>
  </si>
  <si>
    <t xml:space="preserve">franelas cucuta!I15</t>
  </si>
  <si>
    <t xml:space="preserve">fx: 1*2.8*E2</t>
  </si>
  <si>
    <t xml:space="preserve">franelas cucuta!I16</t>
  </si>
  <si>
    <t xml:space="preserve">franelas cucuta!I17</t>
  </si>
  <si>
    <t xml:space="preserve">franelas cucuta!I18</t>
  </si>
  <si>
    <t xml:space="preserve">franelas cucuta!I19</t>
  </si>
  <si>
    <t xml:space="preserve">franelas cucuta!I20</t>
  </si>
  <si>
    <t xml:space="preserve">franelas cucuta!I21</t>
  </si>
  <si>
    <t xml:space="preserve">franelas cucuta!I22</t>
  </si>
  <si>
    <t xml:space="preserve">CENTAURO  DAMA</t>
  </si>
  <si>
    <t xml:space="preserve">franelas cucuta!B26</t>
  </si>
  <si>
    <t xml:space="preserve">fx: 0.8*3.8*E2</t>
  </si>
  <si>
    <t xml:space="preserve">franelas cucuta!B27</t>
  </si>
  <si>
    <t xml:space="preserve">fx: B16</t>
  </si>
  <si>
    <t xml:space="preserve">franelas cucuta!B28</t>
  </si>
  <si>
    <t xml:space="preserve">fx: B17</t>
  </si>
  <si>
    <t xml:space="preserve">franelas cucuta!B29</t>
  </si>
  <si>
    <t xml:space="preserve">franelas cucuta!B30</t>
  </si>
  <si>
    <t xml:space="preserve">franelas cucuta!B31</t>
  </si>
  <si>
    <t xml:space="preserve">franelas cucuta!B32</t>
  </si>
  <si>
    <t xml:space="preserve">franelas cucuta!B33</t>
  </si>
  <si>
    <t xml:space="preserve">CENTAURO CABALLERO</t>
  </si>
  <si>
    <t xml:space="preserve">franelas cucuta!I25</t>
  </si>
  <si>
    <t xml:space="preserve">fx: 1*4*E2</t>
  </si>
  <si>
    <t xml:space="preserve">franelas cucuta!I26</t>
  </si>
  <si>
    <t xml:space="preserve">franelas cucuta!I27</t>
  </si>
  <si>
    <t xml:space="preserve">franelas cucuta!I28</t>
  </si>
  <si>
    <t xml:space="preserve">franelas cucuta!I29</t>
  </si>
  <si>
    <t xml:space="preserve">franelas cucuta!I30</t>
  </si>
  <si>
    <t xml:space="preserve">franelas cucuta!I31</t>
  </si>
  <si>
    <t xml:space="preserve">franelas cucuta!I32</t>
  </si>
  <si>
    <t xml:space="preserve">franelas cucuta!I33</t>
  </si>
  <si>
    <t xml:space="preserve">CENTAHELADA DAMA</t>
  </si>
  <si>
    <t xml:space="preserve">franelas cucuta!B36</t>
  </si>
  <si>
    <t xml:space="preserve">fx: 0.8*4.4*E2</t>
  </si>
  <si>
    <t xml:space="preserve">franelas cucuta!B37</t>
  </si>
  <si>
    <t xml:space="preserve">franelas cucuta!B38</t>
  </si>
  <si>
    <t xml:space="preserve">franelas cucuta!B39</t>
  </si>
  <si>
    <t xml:space="preserve">franelas cucuta!B40</t>
  </si>
  <si>
    <t xml:space="preserve">franelas cucuta!B41</t>
  </si>
  <si>
    <t xml:space="preserve">franelas cucuta!B42</t>
  </si>
  <si>
    <t xml:space="preserve">franelas cucuta!B43</t>
  </si>
  <si>
    <t xml:space="preserve">CENTAHELADA CAB</t>
  </si>
  <si>
    <t xml:space="preserve">franelas cucuta!I36</t>
  </si>
  <si>
    <t xml:space="preserve">fx: 1*4.4*E2</t>
  </si>
  <si>
    <t xml:space="preserve">franelas cucuta!I37</t>
  </si>
  <si>
    <t xml:space="preserve">franelas cucuta!I38</t>
  </si>
  <si>
    <t xml:space="preserve">franelas cucuta!I39</t>
  </si>
  <si>
    <t xml:space="preserve">franelas cucuta!I40</t>
  </si>
  <si>
    <t xml:space="preserve">franelas cucuta!I41</t>
  </si>
  <si>
    <t xml:space="preserve">franelas cucuta!I42</t>
  </si>
  <si>
    <t xml:space="preserve">franelas cucuta!I43</t>
  </si>
  <si>
    <t xml:space="preserve">CENTAURO EGIPCIO  DAMA</t>
  </si>
  <si>
    <t xml:space="preserve">franelas cucuta!B46</t>
  </si>
  <si>
    <t xml:space="preserve">fx: 0.8*3.9*E2</t>
  </si>
  <si>
    <t xml:space="preserve">franelas cucuta!B47</t>
  </si>
  <si>
    <t xml:space="preserve">franelas cucuta!B48</t>
  </si>
  <si>
    <t xml:space="preserve">franelas cucuta!B49</t>
  </si>
  <si>
    <t xml:space="preserve">franelas cucuta!B50</t>
  </si>
  <si>
    <t xml:space="preserve">franelas cucuta!B51</t>
  </si>
  <si>
    <t xml:space="preserve">franelas cucuta!B52</t>
  </si>
  <si>
    <t xml:space="preserve">franelas cucuta!B53</t>
  </si>
  <si>
    <t xml:space="preserve">CENTAURO EGIPCIO  CAB</t>
  </si>
  <si>
    <t xml:space="preserve">franelas cucuta!I46</t>
  </si>
  <si>
    <t xml:space="preserve">fx: 1*3.9*E2</t>
  </si>
  <si>
    <t xml:space="preserve">franelas cucuta!I47</t>
  </si>
  <si>
    <t xml:space="preserve">franelas cucuta!I48</t>
  </si>
  <si>
    <t xml:space="preserve">franelas cucuta!I49</t>
  </si>
  <si>
    <t xml:space="preserve">franelas cucuta!I50</t>
  </si>
  <si>
    <t xml:space="preserve">franelas cucuta!I51</t>
  </si>
  <si>
    <t xml:space="preserve">franelas cucuta!I52</t>
  </si>
  <si>
    <t xml:space="preserve">franelas cucuta!I53</t>
  </si>
  <si>
    <t xml:space="preserve">CHALECOS</t>
  </si>
  <si>
    <t xml:space="preserve">CORTA VIENTO  DAMA</t>
  </si>
  <si>
    <t xml:space="preserve">TELA DRILL SAHARA</t>
  </si>
  <si>
    <t xml:space="preserve">CHALECOS!B4</t>
  </si>
  <si>
    <t xml:space="preserve">fx: 1*2.3*F4</t>
  </si>
  <si>
    <t xml:space="preserve">CHALECOS!B5</t>
  </si>
  <si>
    <t xml:space="preserve">CHALECOS!B6</t>
  </si>
  <si>
    <t xml:space="preserve">CIERRE</t>
  </si>
  <si>
    <t xml:space="preserve">CHALECOS!B7</t>
  </si>
  <si>
    <t xml:space="preserve">CHALECOS!B8</t>
  </si>
  <si>
    <t xml:space="preserve">CHALECOS!B9</t>
  </si>
  <si>
    <t xml:space="preserve">fx: 1*11000</t>
  </si>
  <si>
    <t xml:space="preserve">CHALECOS!B10</t>
  </si>
  <si>
    <t xml:space="preserve">CHALECOS!B11</t>
  </si>
  <si>
    <t xml:space="preserve">CHALECOS!B12</t>
  </si>
  <si>
    <t xml:space="preserve">CHALECOS!B13</t>
  </si>
  <si>
    <t xml:space="preserve">CHALECOS!B14</t>
  </si>
  <si>
    <t xml:space="preserve">CHALECOS!B15</t>
  </si>
  <si>
    <t xml:space="preserve">CHALECOS!B16</t>
  </si>
  <si>
    <t xml:space="preserve">CHALECOS!B17</t>
  </si>
  <si>
    <t xml:space="preserve">CHALECO TODO SUBLIMADO</t>
  </si>
  <si>
    <t xml:space="preserve">CHALECOS!B22</t>
  </si>
  <si>
    <t xml:space="preserve">fx: 1*4*F22</t>
  </si>
  <si>
    <t xml:space="preserve">CHALECOS!B23</t>
  </si>
  <si>
    <t xml:space="preserve">CHALECOS!B24</t>
  </si>
  <si>
    <t xml:space="preserve">CHALECOS!B25</t>
  </si>
  <si>
    <t xml:space="preserve">CHALECOS!B26</t>
  </si>
  <si>
    <t xml:space="preserve">CHALECOS!B27</t>
  </si>
  <si>
    <t xml:space="preserve">CHALECOS!B28</t>
  </si>
  <si>
    <t xml:space="preserve">CHALECOS!B29</t>
  </si>
  <si>
    <t xml:space="preserve">CHALECOS!B30</t>
  </si>
  <si>
    <t xml:space="preserve">CHALECOS!B31</t>
  </si>
  <si>
    <t xml:space="preserve">CHALECOS!B32</t>
  </si>
  <si>
    <t xml:space="preserve">CHALECOS!B33</t>
  </si>
  <si>
    <t xml:space="preserve">CHALECOS!B34</t>
  </si>
  <si>
    <t xml:space="preserve">CHALECOS!B35</t>
  </si>
  <si>
    <t xml:space="preserve">FRA ALGODON</t>
  </si>
  <si>
    <t xml:space="preserve">ALGODÓN EN BLANCO</t>
  </si>
  <si>
    <t xml:space="preserve">FRA ALGODON!B3</t>
  </si>
  <si>
    <t xml:space="preserve">fx: 0.8*5.31*F2</t>
  </si>
  <si>
    <t xml:space="preserve">FRA ALGODON!B4</t>
  </si>
  <si>
    <t xml:space="preserve">FRA ALGODON!B5</t>
  </si>
  <si>
    <t xml:space="preserve">FRA ALGODON!B6</t>
  </si>
  <si>
    <t xml:space="preserve">FRA ALGODON!B7</t>
  </si>
  <si>
    <t xml:space="preserve">FRA ALGODON!B8</t>
  </si>
  <si>
    <t xml:space="preserve">FRA ALGODON!B9</t>
  </si>
  <si>
    <t xml:space="preserve">FRA ALGODON!B10</t>
  </si>
  <si>
    <t xml:space="preserve">FRA ALGODON!B11</t>
  </si>
  <si>
    <t xml:space="preserve">FRA ALGODON!B12</t>
  </si>
  <si>
    <t xml:space="preserve">FRA ALGODON!B13</t>
  </si>
  <si>
    <t xml:space="preserve">FRA ALGODON!B14</t>
  </si>
  <si>
    <t xml:space="preserve">FRA ALGODON!B20</t>
  </si>
  <si>
    <t xml:space="preserve">fx: 1.1*1.9*F2</t>
  </si>
  <si>
    <t xml:space="preserve">FRA ALGODON!B21</t>
  </si>
  <si>
    <t xml:space="preserve">FRA ALGODON!B22</t>
  </si>
  <si>
    <t xml:space="preserve">FRA ALGODON!B23</t>
  </si>
  <si>
    <t xml:space="preserve">FRA ALGODON!B24</t>
  </si>
  <si>
    <t xml:space="preserve">FRA ALGODON!B25</t>
  </si>
  <si>
    <t xml:space="preserve">FRA ALGODON!B26</t>
  </si>
  <si>
    <t xml:space="preserve">FRA ALGODON!B27</t>
  </si>
  <si>
    <t xml:space="preserve">FRA ALGODON!B28</t>
  </si>
  <si>
    <t xml:space="preserve">FRA ALGODON!B29</t>
  </si>
  <si>
    <t xml:space="preserve">FRA ALGODON!B30</t>
  </si>
  <si>
    <t xml:space="preserve">FRA ALGODON!B31</t>
  </si>
  <si>
    <t xml:space="preserve">FRA ALGODON!B32</t>
  </si>
  <si>
    <t xml:space="preserve">ALGODÓN CON DISEÑO VINIL</t>
  </si>
  <si>
    <t xml:space="preserve">FRA ALGODON!B39</t>
  </si>
  <si>
    <t xml:space="preserve">FRA ALGODON!B40</t>
  </si>
  <si>
    <t xml:space="preserve">FRA ALGODON!B41</t>
  </si>
  <si>
    <t xml:space="preserve">FRA ALGODON!B42</t>
  </si>
  <si>
    <t xml:space="preserve">FRA ALGODON!B43</t>
  </si>
  <si>
    <t xml:space="preserve">FRA ALGODON!B44</t>
  </si>
  <si>
    <t xml:space="preserve">FRA ALGODON!B45</t>
  </si>
  <si>
    <t xml:space="preserve">FRA ALGODON!B46</t>
  </si>
  <si>
    <t xml:space="preserve">FRA ALGODON!B47</t>
  </si>
  <si>
    <t xml:space="preserve">FRA ALGODON!B48</t>
  </si>
  <si>
    <t xml:space="preserve">FRA ALGODON!B49</t>
  </si>
  <si>
    <t xml:space="preserve">FRA ALGODON!B50</t>
  </si>
  <si>
    <t xml:space="preserve">FRA ALGODON!B51</t>
  </si>
  <si>
    <t xml:space="preserve">FRA ALGODON!B57</t>
  </si>
  <si>
    <t xml:space="preserve">fx: 2*5.31*F2</t>
  </si>
  <si>
    <t xml:space="preserve">FRA ALGODON!B58</t>
  </si>
  <si>
    <t xml:space="preserve">FRA ALGODON!B59</t>
  </si>
  <si>
    <t xml:space="preserve">FRA ALGODON!B60</t>
  </si>
  <si>
    <t xml:space="preserve">FRA ALGODON!B61</t>
  </si>
  <si>
    <t xml:space="preserve">FRA ALGODON!B62</t>
  </si>
  <si>
    <t xml:space="preserve">FRA ALGODON!B63</t>
  </si>
  <si>
    <t xml:space="preserve">FRA ALGODON!B64</t>
  </si>
  <si>
    <t xml:space="preserve">FRA ALGODON!B65</t>
  </si>
  <si>
    <t xml:space="preserve">FRA ALGODON!B66</t>
  </si>
  <si>
    <t xml:space="preserve">FRA ALGODON!B67</t>
  </si>
  <si>
    <t xml:space="preserve">FRA ALGODON!B68</t>
  </si>
  <si>
    <t xml:space="preserve">FRA ALGODON!B69</t>
  </si>
  <si>
    <t xml:space="preserve">HODDI  MONO</t>
  </si>
  <si>
    <t xml:space="preserve">HODDI CON GORRO EN BLANCO TELA DE MONO</t>
  </si>
  <si>
    <t xml:space="preserve">TELA MONO</t>
  </si>
  <si>
    <t xml:space="preserve">HODDI  MONO!B3</t>
  </si>
  <si>
    <t xml:space="preserve">fx: 1.7*4*F2</t>
  </si>
  <si>
    <t xml:space="preserve">HODDI  MONO!B4</t>
  </si>
  <si>
    <t xml:space="preserve">HODDI  MONO!B5</t>
  </si>
  <si>
    <t xml:space="preserve">HODDI  MONO!B6</t>
  </si>
  <si>
    <t xml:space="preserve">HODDI  MONO!B7</t>
  </si>
  <si>
    <t xml:space="preserve">HODDI  MONO!B8</t>
  </si>
  <si>
    <t xml:space="preserve">HODDI  MONO!B9</t>
  </si>
  <si>
    <t xml:space="preserve">HODDI  MONO!B10</t>
  </si>
  <si>
    <t xml:space="preserve">HODDI  MONO!B11</t>
  </si>
  <si>
    <t xml:space="preserve">HODDI  MONO!B12</t>
  </si>
  <si>
    <t xml:space="preserve">HODDI  MONO!B13</t>
  </si>
  <si>
    <t xml:space="preserve">HODDI  MONO!B14</t>
  </si>
  <si>
    <t xml:space="preserve">HODDI  MONO!I6</t>
  </si>
  <si>
    <t xml:space="preserve">fx: 1.8*2.9*F2</t>
  </si>
  <si>
    <t xml:space="preserve">HODDI  MONO!I7</t>
  </si>
  <si>
    <t xml:space="preserve">HODDI  MONO!I8</t>
  </si>
  <si>
    <t xml:space="preserve">HODDI  MONO!I9</t>
  </si>
  <si>
    <t xml:space="preserve">sublimacion</t>
  </si>
  <si>
    <t xml:space="preserve">HODDI  MONO!I10</t>
  </si>
  <si>
    <t xml:space="preserve">fx: 1.8*13000</t>
  </si>
  <si>
    <t xml:space="preserve">CORDON</t>
  </si>
  <si>
    <t xml:space="preserve">HODDI  MONO!I11</t>
  </si>
  <si>
    <t xml:space="preserve">HODDI  MONO!I12</t>
  </si>
  <si>
    <t xml:space="preserve">HODDI  MONO!I13</t>
  </si>
  <si>
    <t xml:space="preserve">HODDI  MONO!I14</t>
  </si>
  <si>
    <t xml:space="preserve">HODDI  MONO!I15</t>
  </si>
  <si>
    <t xml:space="preserve">HODDI  MONO!I16</t>
  </si>
  <si>
    <t xml:space="preserve">HODDI  MONO!I17</t>
  </si>
  <si>
    <t xml:space="preserve">HODDI  MONO!B19</t>
  </si>
  <si>
    <t xml:space="preserve">fx: 1.5*4*F2</t>
  </si>
  <si>
    <t xml:space="preserve">HODDI  MONO!B20</t>
  </si>
  <si>
    <t xml:space="preserve">HODDI  MONO!B21</t>
  </si>
  <si>
    <t xml:space="preserve">HODDI  MONO!B22</t>
  </si>
  <si>
    <t xml:space="preserve">HODDI  MONO!B23</t>
  </si>
  <si>
    <t xml:space="preserve">fx: B7</t>
  </si>
  <si>
    <t xml:space="preserve">HODDI  MONO!B24</t>
  </si>
  <si>
    <t xml:space="preserve">fx: B8</t>
  </si>
  <si>
    <t xml:space="preserve">HODDI  MONO!B25</t>
  </si>
  <si>
    <t xml:space="preserve">fx: B9</t>
  </si>
  <si>
    <t xml:space="preserve">HODDI  MONO!B26</t>
  </si>
  <si>
    <t xml:space="preserve">HODDI  MONO!B27</t>
  </si>
  <si>
    <t xml:space="preserve">HODDI  MONO!B28</t>
  </si>
  <si>
    <t xml:space="preserve">fx: B12</t>
  </si>
  <si>
    <t xml:space="preserve">HODDI  MONO!B29</t>
  </si>
  <si>
    <t xml:space="preserve">fx: B13</t>
  </si>
  <si>
    <t xml:space="preserve">HODDI  MONO!B30</t>
  </si>
  <si>
    <t xml:space="preserve">fx: B14</t>
  </si>
  <si>
    <t xml:space="preserve">HODDI  MONO!I24</t>
  </si>
  <si>
    <t xml:space="preserve">fx: 1.5*2.9*F2</t>
  </si>
  <si>
    <t xml:space="preserve">HODDI  MONO!I25</t>
  </si>
  <si>
    <t xml:space="preserve">HODDI  MONO!I26</t>
  </si>
  <si>
    <t xml:space="preserve">HODDI  MONO!I27</t>
  </si>
  <si>
    <t xml:space="preserve">HODDI  MONO!I28</t>
  </si>
  <si>
    <t xml:space="preserve">fx: 1.5*13000</t>
  </si>
  <si>
    <t xml:space="preserve">HODDI  MONO!I29</t>
  </si>
  <si>
    <t xml:space="preserve">HODDI  MONO!I30</t>
  </si>
  <si>
    <t xml:space="preserve">fx: I12</t>
  </si>
  <si>
    <t xml:space="preserve">HODDI  MONO!I31</t>
  </si>
  <si>
    <t xml:space="preserve">HODDI  MONO!I32</t>
  </si>
  <si>
    <t xml:space="preserve">HODDI  MONO!I33</t>
  </si>
  <si>
    <t xml:space="preserve">fx: I15</t>
  </si>
  <si>
    <t xml:space="preserve">HODDI  MONO!I34</t>
  </si>
  <si>
    <t xml:space="preserve">fx: I16</t>
  </si>
  <si>
    <t xml:space="preserve">HODDI  MONO!I35</t>
  </si>
  <si>
    <t xml:space="preserve">fx: I17</t>
  </si>
  <si>
    <t xml:space="preserve">HODDI  MONO!B34</t>
  </si>
  <si>
    <t xml:space="preserve">fx: 2*4*F2</t>
  </si>
  <si>
    <t xml:space="preserve">HODDI  MONO!B35</t>
  </si>
  <si>
    <t xml:space="preserve">HODDI  MONO!B36</t>
  </si>
  <si>
    <t xml:space="preserve">HODDI  MONO!B37</t>
  </si>
  <si>
    <t xml:space="preserve">HODDI  MONO!B38</t>
  </si>
  <si>
    <t xml:space="preserve">HODDI  MONO!B39</t>
  </si>
  <si>
    <t xml:space="preserve">HODDI  MONO!B40</t>
  </si>
  <si>
    <t xml:space="preserve">HODDI  MONO!B41</t>
  </si>
  <si>
    <t xml:space="preserve">HODDI  MONO!B42</t>
  </si>
  <si>
    <t xml:space="preserve">HODDI  MONO!B43</t>
  </si>
  <si>
    <t xml:space="preserve">HODDI  MONO!B44</t>
  </si>
  <si>
    <t xml:space="preserve">HODDI  MONO!B45</t>
  </si>
  <si>
    <t xml:space="preserve">HODDI  MONO!B46</t>
  </si>
  <si>
    <t xml:space="preserve">HODDI  MONO!I41</t>
  </si>
  <si>
    <t xml:space="preserve">fx: 1*2*F2</t>
  </si>
  <si>
    <t xml:space="preserve">HODDI  MONO!I42</t>
  </si>
  <si>
    <t xml:space="preserve">HODDI  MONO!I43</t>
  </si>
  <si>
    <t xml:space="preserve">HODDI  MONO!I44</t>
  </si>
  <si>
    <t xml:space="preserve">HODDI  MONO!I45</t>
  </si>
  <si>
    <t xml:space="preserve">HODDI  MONO!I46</t>
  </si>
  <si>
    <t xml:space="preserve">HODDI  MONO!I47</t>
  </si>
  <si>
    <t xml:space="preserve">HODDI  MONO!I48</t>
  </si>
  <si>
    <t xml:space="preserve">HODDI  MONO!I49</t>
  </si>
  <si>
    <t xml:space="preserve">HODDI  MONO!I50</t>
  </si>
  <si>
    <t xml:space="preserve">HODDI  MONO!I51</t>
  </si>
  <si>
    <t xml:space="preserve">HODDI CON DISEÑO EN VINIL</t>
  </si>
  <si>
    <t xml:space="preserve">HODDI  MONO!B51</t>
  </si>
  <si>
    <t xml:space="preserve">fx: 1.8*4*F2</t>
  </si>
  <si>
    <t xml:space="preserve">HODDI  MONO!B52</t>
  </si>
  <si>
    <t xml:space="preserve">HODDI  MONO!B53</t>
  </si>
  <si>
    <t xml:space="preserve">HODDI  MONO!B54</t>
  </si>
  <si>
    <t xml:space="preserve">HODDI  MONO!B55</t>
  </si>
  <si>
    <t xml:space="preserve">HODDI  MONO!B56</t>
  </si>
  <si>
    <t xml:space="preserve">HODDI  MONO!B57</t>
  </si>
  <si>
    <t xml:space="preserve">HODDI  MONO!B58</t>
  </si>
  <si>
    <t xml:space="preserve">HODDI  MONO!B59</t>
  </si>
  <si>
    <t xml:space="preserve">HODDI  MONO!B60</t>
  </si>
  <si>
    <t xml:space="preserve">HODDI  MONO!B61</t>
  </si>
  <si>
    <t xml:space="preserve">HODDI  MONO!B62</t>
  </si>
  <si>
    <t xml:space="preserve">HODDI  MONO!B63</t>
  </si>
  <si>
    <t xml:space="preserve">HODDI  MONO!B64</t>
  </si>
  <si>
    <t xml:space="preserve">HODDI  MONO!B69</t>
  </si>
  <si>
    <t xml:space="preserve">HODDI  MONO!B70</t>
  </si>
  <si>
    <t xml:space="preserve">HODDI  MONO!B71</t>
  </si>
  <si>
    <t xml:space="preserve">HODDI  MONO!B72</t>
  </si>
  <si>
    <t xml:space="preserve">HODDI  MONO!B73</t>
  </si>
  <si>
    <t xml:space="preserve">HODDI  MONO!B74</t>
  </si>
  <si>
    <t xml:space="preserve">HODDI  MONO!B75</t>
  </si>
  <si>
    <t xml:space="preserve">fx: B57</t>
  </si>
  <si>
    <t xml:space="preserve">HODDI  MONO!B76</t>
  </si>
  <si>
    <t xml:space="preserve">fx: B58</t>
  </si>
  <si>
    <t xml:space="preserve">HODDI  MONO!B77</t>
  </si>
  <si>
    <t xml:space="preserve">fx: B59</t>
  </si>
  <si>
    <t xml:space="preserve">HODDI  MONO!B78</t>
  </si>
  <si>
    <t xml:space="preserve">HODDI  MONO!B79</t>
  </si>
  <si>
    <t xml:space="preserve">HODDI  MONO!B80</t>
  </si>
  <si>
    <t xml:space="preserve">fx: B62</t>
  </si>
  <si>
    <t xml:space="preserve">HODDI  MONO!B81</t>
  </si>
  <si>
    <t xml:space="preserve">fx: B63</t>
  </si>
  <si>
    <t xml:space="preserve">HODDI  MONO!B82</t>
  </si>
  <si>
    <t xml:space="preserve">fx: B64</t>
  </si>
  <si>
    <t xml:space="preserve">HODDI  MONO!B86</t>
  </si>
  <si>
    <t xml:space="preserve">HODDI  MONO!B87</t>
  </si>
  <si>
    <t xml:space="preserve">HODDI  MONO!B88</t>
  </si>
  <si>
    <t xml:space="preserve">HODDI  MONO!B89</t>
  </si>
  <si>
    <t xml:space="preserve">HODDI  MONO!B90</t>
  </si>
  <si>
    <t xml:space="preserve">HODDI  MONO!B91</t>
  </si>
  <si>
    <t xml:space="preserve">HODDI  MONO!B92</t>
  </si>
  <si>
    <t xml:space="preserve">HODDI  MONO!B93</t>
  </si>
  <si>
    <t xml:space="preserve">HODDI  MONO!B94</t>
  </si>
  <si>
    <t xml:space="preserve">HODDI  MONO!B95</t>
  </si>
  <si>
    <t xml:space="preserve">HODDI  MONO!B96</t>
  </si>
  <si>
    <t xml:space="preserve">HODDI  MONO!B97</t>
  </si>
  <si>
    <t xml:space="preserve">HODDI  MONO!B98</t>
  </si>
  <si>
    <t xml:space="preserve">CHAQUETA NORF</t>
  </si>
  <si>
    <t xml:space="preserve">CHAQUETA NORT</t>
  </si>
  <si>
    <t xml:space="preserve">CAB</t>
  </si>
  <si>
    <t xml:space="preserve">TELA norface 5,5$</t>
  </si>
  <si>
    <t xml:space="preserve">CHAQUETA NORF!B5</t>
  </si>
  <si>
    <t xml:space="preserve">fx: 2*5.5*3800</t>
  </si>
  <si>
    <t xml:space="preserve">CHAQUETA NORF!B6</t>
  </si>
  <si>
    <t xml:space="preserve">CHAQUETA NORF!B7</t>
  </si>
  <si>
    <t xml:space="preserve">CIERRE BOLSILLOS</t>
  </si>
  <si>
    <t xml:space="preserve">CHAQUETA NORF!B8</t>
  </si>
  <si>
    <t xml:space="preserve">CHAQUETA NORF!B9</t>
  </si>
  <si>
    <t xml:space="preserve">CHAQUETA NORF!B10</t>
  </si>
  <si>
    <t xml:space="preserve">CHAQUETA NORF!B11</t>
  </si>
  <si>
    <t xml:space="preserve">CHAQUETA NORF!B12</t>
  </si>
  <si>
    <t xml:space="preserve">CHAQUETA NORF!B13</t>
  </si>
  <si>
    <t xml:space="preserve">CHAQUETA NORF!B14</t>
  </si>
  <si>
    <t xml:space="preserve">CHAQUETA NORF!B15</t>
  </si>
  <si>
    <t xml:space="preserve">CHAQUETA NORF!B16</t>
  </si>
  <si>
    <t xml:space="preserve">CHAQUETA NORF!B17</t>
  </si>
  <si>
    <t xml:space="preserve">CHAQUETA NORF!B18</t>
  </si>
  <si>
    <t xml:space="preserve">PANTALON MONO</t>
  </si>
  <si>
    <t xml:space="preserve">PANTALON DE MONO</t>
  </si>
  <si>
    <t xml:space="preserve">PANTALON MONO!B4</t>
  </si>
  <si>
    <t xml:space="preserve">fx: 1.1*3*F3</t>
  </si>
  <si>
    <t xml:space="preserve">PANTALON MONO!B5</t>
  </si>
  <si>
    <t xml:space="preserve">PANTALON MONO!B6</t>
  </si>
  <si>
    <t xml:space="preserve">PANTALON MONO!B7</t>
  </si>
  <si>
    <t xml:space="preserve">PANTALON MONO!B8</t>
  </si>
  <si>
    <t xml:space="preserve">PANTALON MONO!B9</t>
  </si>
  <si>
    <t xml:space="preserve">PANTALON MONO!B10</t>
  </si>
  <si>
    <t xml:space="preserve">PANTALON MONO!B11</t>
  </si>
  <si>
    <t xml:space="preserve">PANTALON MONO!B12</t>
  </si>
  <si>
    <t xml:space="preserve">PANTALON MONO!B13</t>
  </si>
  <si>
    <t xml:space="preserve">PANTALON MONO!B14</t>
  </si>
  <si>
    <t xml:space="preserve">PANTALON MONO!B15</t>
  </si>
  <si>
    <t xml:space="preserve">HODDI NIÑO</t>
  </si>
  <si>
    <t xml:space="preserve">PANTALON MONO!B20</t>
  </si>
  <si>
    <t xml:space="preserve">fx: 0.6*3*F3</t>
  </si>
  <si>
    <t xml:space="preserve">PANTALON MONO!B21</t>
  </si>
  <si>
    <t xml:space="preserve">PANTALON MONO!B22</t>
  </si>
  <si>
    <t xml:space="preserve">PANTALON MONO!B23</t>
  </si>
  <si>
    <t xml:space="preserve">PANTALON MONO!B24</t>
  </si>
  <si>
    <t xml:space="preserve">PANTALON MONO!B25</t>
  </si>
  <si>
    <t xml:space="preserve">PANTALON MONO!B26</t>
  </si>
  <si>
    <t xml:space="preserve">PANTALON MONO!B27</t>
  </si>
  <si>
    <t xml:space="preserve">PANTALON MONO!B28</t>
  </si>
  <si>
    <t xml:space="preserve">PANTALON MONO!B29</t>
  </si>
  <si>
    <t xml:space="preserve">PANTALON MONO!B30</t>
  </si>
  <si>
    <t xml:space="preserve">PANTALON MONO!B31</t>
  </si>
  <si>
    <t xml:space="preserve">HODDI CABALLERO</t>
  </si>
  <si>
    <t xml:space="preserve">PANTALON MONO!B36</t>
  </si>
  <si>
    <t xml:space="preserve">fx: 1.25*3*F3</t>
  </si>
  <si>
    <t xml:space="preserve">PANTALON MONO!B37</t>
  </si>
  <si>
    <t xml:space="preserve">PANTALON MONO!B38</t>
  </si>
  <si>
    <t xml:space="preserve">PANTALON MONO!B39</t>
  </si>
  <si>
    <t xml:space="preserve">PANTALON MONO!B40</t>
  </si>
  <si>
    <t xml:space="preserve">PANTALON MONO!B41</t>
  </si>
  <si>
    <t xml:space="preserve">PANTALON MONO!B42</t>
  </si>
  <si>
    <t xml:space="preserve">PANTALON MONO!B43</t>
  </si>
  <si>
    <t xml:space="preserve">PANTALON MONO!B44</t>
  </si>
  <si>
    <t xml:space="preserve">PANTALON MONO!B45</t>
  </si>
  <si>
    <t xml:space="preserve">PANTALON MONO!B46</t>
  </si>
  <si>
    <t xml:space="preserve">PANTALON MONO!B47</t>
  </si>
  <si>
    <t xml:space="preserve">SUETER</t>
  </si>
  <si>
    <t xml:space="preserve">SUETER DAMA</t>
  </si>
  <si>
    <t xml:space="preserve">TELA DE MONO</t>
  </si>
  <si>
    <t xml:space="preserve">SUETER!B41</t>
  </si>
  <si>
    <t xml:space="preserve">fx: B2</t>
  </si>
  <si>
    <t xml:space="preserve">SUETER!B42</t>
  </si>
  <si>
    <t xml:space="preserve">SUETER!B43</t>
  </si>
  <si>
    <t xml:space="preserve">SUETER!B44</t>
  </si>
  <si>
    <t xml:space="preserve">SUETER!B45</t>
  </si>
  <si>
    <t xml:space="preserve">SUETER!B46</t>
  </si>
  <si>
    <t xml:space="preserve">SUETER!B47</t>
  </si>
  <si>
    <t xml:space="preserve">SUETER!B48</t>
  </si>
  <si>
    <t xml:space="preserve">SUETER!B49</t>
  </si>
  <si>
    <t xml:space="preserve">SUETER!B50</t>
  </si>
  <si>
    <t xml:space="preserve">SUETER!B51</t>
  </si>
  <si>
    <t xml:space="preserve">SUETER!B52</t>
  </si>
  <si>
    <t xml:space="preserve">SUETER!B53</t>
  </si>
  <si>
    <t xml:space="preserve">SUETER!I41</t>
  </si>
  <si>
    <t xml:space="preserve">fx: I2</t>
  </si>
  <si>
    <t xml:space="preserve">SUETER!I42</t>
  </si>
  <si>
    <t xml:space="preserve">SUETER!I43</t>
  </si>
  <si>
    <t xml:space="preserve">SUETER!I44</t>
  </si>
  <si>
    <t xml:space="preserve">SUETER!I45</t>
  </si>
  <si>
    <t xml:space="preserve">SUETER!I46</t>
  </si>
  <si>
    <t xml:space="preserve">SUETER!I47</t>
  </si>
  <si>
    <t xml:space="preserve">SUETER!I48</t>
  </si>
  <si>
    <t xml:space="preserve">SUETER!I49</t>
  </si>
  <si>
    <t xml:space="preserve">SUETER!I50</t>
  </si>
  <si>
    <t xml:space="preserve">SUETER!I51</t>
  </si>
  <si>
    <t xml:space="preserve">fx: I11</t>
  </si>
  <si>
    <t xml:space="preserve">SUETER!I52</t>
  </si>
  <si>
    <t xml:space="preserve">SUETER!I53</t>
  </si>
  <si>
    <t xml:space="preserve">fx: I13</t>
  </si>
  <si>
    <t xml:space="preserve">SUETER CABALLERO</t>
  </si>
  <si>
    <t xml:space="preserve">SUETER!B59</t>
  </si>
  <si>
    <t xml:space="preserve">SUETER!B60</t>
  </si>
  <si>
    <t xml:space="preserve">SUETER!B61</t>
  </si>
  <si>
    <t xml:space="preserve">SUETER!B62</t>
  </si>
  <si>
    <t xml:space="preserve">SUETER!B63</t>
  </si>
  <si>
    <t xml:space="preserve">SUETER!B64</t>
  </si>
  <si>
    <t xml:space="preserve">SUETER!B65</t>
  </si>
  <si>
    <t xml:space="preserve">SUETER!B66</t>
  </si>
  <si>
    <t xml:space="preserve">SUETER!B67</t>
  </si>
  <si>
    <t xml:space="preserve">SUETER!B68</t>
  </si>
  <si>
    <t xml:space="preserve">SUETER!B69</t>
  </si>
  <si>
    <t xml:space="preserve">SUETER!B70</t>
  </si>
  <si>
    <t xml:space="preserve">SUETER!B71</t>
  </si>
  <si>
    <t xml:space="preserve">fx: B32</t>
  </si>
  <si>
    <t xml:space="preserve">BUZO</t>
  </si>
  <si>
    <t xml:space="preserve">BUZO     DAMA</t>
  </si>
  <si>
    <t xml:space="preserve">BUZO!C3</t>
  </si>
  <si>
    <t xml:space="preserve">fx: 0.9*1.8*F3</t>
  </si>
  <si>
    <t xml:space="preserve">BUZO!C4</t>
  </si>
  <si>
    <t xml:space="preserve">BUZO!C5</t>
  </si>
  <si>
    <t xml:space="preserve">BUZO!C6</t>
  </si>
  <si>
    <t xml:space="preserve">BUZO!C7</t>
  </si>
  <si>
    <t xml:space="preserve">BUZO!C8</t>
  </si>
  <si>
    <t xml:space="preserve">BUZO!C9</t>
  </si>
  <si>
    <t xml:space="preserve">BUZO!C10</t>
  </si>
  <si>
    <t xml:space="preserve">BUZO!C11</t>
  </si>
  <si>
    <t xml:space="preserve">BUZO!C12</t>
  </si>
  <si>
    <t xml:space="preserve">BUZO!C13</t>
  </si>
  <si>
    <t xml:space="preserve">BUZO!C14</t>
  </si>
  <si>
    <t xml:space="preserve">BUZO!C15</t>
  </si>
  <si>
    <t xml:space="preserve">BUZO!J3</t>
  </si>
  <si>
    <t xml:space="preserve">fx: 1.1*1.6*F3</t>
  </si>
  <si>
    <t xml:space="preserve">BUZO!J4</t>
  </si>
  <si>
    <t xml:space="preserve">BUZO!J5</t>
  </si>
  <si>
    <t xml:space="preserve">BUZO!J6</t>
  </si>
  <si>
    <t xml:space="preserve">BUZO!J7</t>
  </si>
  <si>
    <t xml:space="preserve">BUZO!J8</t>
  </si>
  <si>
    <t xml:space="preserve">BUZO!J9</t>
  </si>
  <si>
    <t xml:space="preserve">BUZO!J10</t>
  </si>
  <si>
    <t xml:space="preserve">BUZO!J11</t>
  </si>
  <si>
    <t xml:space="preserve">BUZO!J12</t>
  </si>
  <si>
    <t xml:space="preserve">BUZO!J13</t>
  </si>
  <si>
    <t xml:space="preserve">BUZO!J14</t>
  </si>
  <si>
    <t xml:space="preserve">BUZO!J15</t>
  </si>
  <si>
    <t xml:space="preserve">BUZO DAMA</t>
  </si>
  <si>
    <t xml:space="preserve">BUZO!Q3</t>
  </si>
  <si>
    <t xml:space="preserve">fx: 0.9*4*F3</t>
  </si>
  <si>
    <t xml:space="preserve">BUZO!Q4</t>
  </si>
  <si>
    <t xml:space="preserve">BUZO!Q5</t>
  </si>
  <si>
    <t xml:space="preserve">BUZO!Q6</t>
  </si>
  <si>
    <t xml:space="preserve">BUZO!Q7</t>
  </si>
  <si>
    <t xml:space="preserve">BUZO!Q8</t>
  </si>
  <si>
    <t xml:space="preserve">BUZO!Q9</t>
  </si>
  <si>
    <t xml:space="preserve">BUZO!Q10</t>
  </si>
  <si>
    <t xml:space="preserve">BUZO!Q11</t>
  </si>
  <si>
    <t xml:space="preserve">BUZO!Q12</t>
  </si>
  <si>
    <t xml:space="preserve">BUZO!Q13</t>
  </si>
  <si>
    <t xml:space="preserve">BUZO!Q14</t>
  </si>
  <si>
    <t xml:space="preserve">BUZO!Q15</t>
  </si>
  <si>
    <t xml:space="preserve">BUZO!X3</t>
  </si>
  <si>
    <t xml:space="preserve">fx: 1.2*4*F3</t>
  </si>
  <si>
    <t xml:space="preserve">BUZO!X4</t>
  </si>
  <si>
    <t xml:space="preserve">BUZO!X5</t>
  </si>
  <si>
    <t xml:space="preserve">BUZO!X6</t>
  </si>
  <si>
    <t xml:space="preserve">BUZO!X7</t>
  </si>
  <si>
    <t xml:space="preserve">fx: 15000/1.1</t>
  </si>
  <si>
    <t xml:space="preserve">BUZO!X8</t>
  </si>
  <si>
    <t xml:space="preserve">BUZO!X9</t>
  </si>
  <si>
    <t xml:space="preserve">BUZO!X10</t>
  </si>
  <si>
    <t xml:space="preserve">BUZO!X11</t>
  </si>
  <si>
    <t xml:space="preserve">BUZO!X12</t>
  </si>
  <si>
    <t xml:space="preserve">BUZO!X13</t>
  </si>
  <si>
    <t xml:space="preserve">fx: J13</t>
  </si>
  <si>
    <t xml:space="preserve">BUZO!X14</t>
  </si>
  <si>
    <t xml:space="preserve">fx: J14</t>
  </si>
  <si>
    <t xml:space="preserve">BUZO!X15</t>
  </si>
  <si>
    <t xml:space="preserve">fx: J15</t>
  </si>
  <si>
    <t xml:space="preserve">BUZO!AE3</t>
  </si>
  <si>
    <t xml:space="preserve">fx: 1*2.3*F3</t>
  </si>
  <si>
    <t xml:space="preserve">BUZO!AE4</t>
  </si>
  <si>
    <t xml:space="preserve">BUZO!AE5</t>
  </si>
  <si>
    <t xml:space="preserve">BUZO!AE6</t>
  </si>
  <si>
    <t xml:space="preserve">BUZO!AE7</t>
  </si>
  <si>
    <t xml:space="preserve">BUZO!AE8</t>
  </si>
  <si>
    <t xml:space="preserve">BUZO!AE9</t>
  </si>
  <si>
    <t xml:space="preserve">BUZO!AE10</t>
  </si>
  <si>
    <t xml:space="preserve">BUZO!AE11</t>
  </si>
  <si>
    <t xml:space="preserve">BUZO!AE12</t>
  </si>
  <si>
    <t xml:space="preserve">BUZO!AE13</t>
  </si>
  <si>
    <t xml:space="preserve">fx: C13</t>
  </si>
  <si>
    <t xml:space="preserve">BUZO!AE14</t>
  </si>
  <si>
    <t xml:space="preserve">BUZO!AE15</t>
  </si>
  <si>
    <t xml:space="preserve">fx: C15</t>
  </si>
  <si>
    <t xml:space="preserve">BUZO!AS3</t>
  </si>
  <si>
    <t xml:space="preserve">fx: 1*5.31*F3</t>
  </si>
  <si>
    <t xml:space="preserve">BUZO!AS4</t>
  </si>
  <si>
    <t xml:space="preserve">BUZO!AS5</t>
  </si>
  <si>
    <t xml:space="preserve">BUZO!AS6</t>
  </si>
  <si>
    <t xml:space="preserve">BUZO!AS7</t>
  </si>
  <si>
    <t xml:space="preserve">BUZO!AS8</t>
  </si>
  <si>
    <t xml:space="preserve">fx: X8</t>
  </si>
  <si>
    <t xml:space="preserve">BUZO!AS9</t>
  </si>
  <si>
    <t xml:space="preserve">fx: X9</t>
  </si>
  <si>
    <t xml:space="preserve">BUZO!AS10</t>
  </si>
  <si>
    <t xml:space="preserve">fx: X10</t>
  </si>
  <si>
    <t xml:space="preserve">BUZO!AS11</t>
  </si>
  <si>
    <t xml:space="preserve">BUZO!AS12</t>
  </si>
  <si>
    <t xml:space="preserve">BUZO!AS13</t>
  </si>
  <si>
    <t xml:space="preserve">fx: X13</t>
  </si>
  <si>
    <t xml:space="preserve">BUZO!AS14</t>
  </si>
  <si>
    <t xml:space="preserve">fx: X14</t>
  </si>
  <si>
    <t xml:space="preserve">BUZO!AS15</t>
  </si>
  <si>
    <t xml:space="preserve">fx: X15</t>
  </si>
  <si>
    <t xml:space="preserve">BUZO!AL3</t>
  </si>
  <si>
    <t xml:space="preserve">fx: 1*3*F3</t>
  </si>
  <si>
    <t xml:space="preserve">BUZO!AL4</t>
  </si>
  <si>
    <t xml:space="preserve">BUZO!AL5</t>
  </si>
  <si>
    <t xml:space="preserve">SUBIMACION</t>
  </si>
  <si>
    <t xml:space="preserve">BUZO!AL6</t>
  </si>
  <si>
    <t xml:space="preserve">fx: 15000/1.3</t>
  </si>
  <si>
    <t xml:space="preserve">BUZO!AL7</t>
  </si>
  <si>
    <t xml:space="preserve">BUZO!AL8</t>
  </si>
  <si>
    <t xml:space="preserve">BUZO!AL9</t>
  </si>
  <si>
    <t xml:space="preserve">BUZO!AL10</t>
  </si>
  <si>
    <t xml:space="preserve">BUZO!AL11</t>
  </si>
  <si>
    <t xml:space="preserve">BUZO!AL12</t>
  </si>
  <si>
    <t xml:space="preserve">BUZO!AL13</t>
  </si>
  <si>
    <t xml:space="preserve">BUZO!AL14</t>
  </si>
  <si>
    <t xml:space="preserve">BUZO!AL15</t>
  </si>
  <si>
    <t xml:space="preserve">BUZO!AL16</t>
  </si>
  <si>
    <t xml:space="preserve">BUZO     NIÑO</t>
  </si>
  <si>
    <t xml:space="preserve">BUZO!C22</t>
  </si>
  <si>
    <t xml:space="preserve">fx: 0.7*1.6*F22</t>
  </si>
  <si>
    <t xml:space="preserve">BUZO!C23</t>
  </si>
  <si>
    <t xml:space="preserve">BUZO!C24</t>
  </si>
  <si>
    <t xml:space="preserve">BUZO!C25</t>
  </si>
  <si>
    <t xml:space="preserve">BUZO!C26</t>
  </si>
  <si>
    <t xml:space="preserve">BUZO!C27</t>
  </si>
  <si>
    <t xml:space="preserve">BUZO!C28</t>
  </si>
  <si>
    <t xml:space="preserve">BUZO!C29</t>
  </si>
  <si>
    <t xml:space="preserve">BUZO!C30</t>
  </si>
  <si>
    <t xml:space="preserve">BUZO!C31</t>
  </si>
  <si>
    <t xml:space="preserve">BUZO!C32</t>
  </si>
  <si>
    <t xml:space="preserve">BUZO!C33</t>
  </si>
  <si>
    <t xml:space="preserve">BUZO!C34</t>
  </si>
  <si>
    <t xml:space="preserve">BUZO!J22</t>
  </si>
  <si>
    <t xml:space="preserve">fx: 0.8*1.2*F3</t>
  </si>
  <si>
    <t xml:space="preserve">BUZO!J23</t>
  </si>
  <si>
    <t xml:space="preserve">BUZO!J24</t>
  </si>
  <si>
    <t xml:space="preserve">BUZO!J25</t>
  </si>
  <si>
    <t xml:space="preserve">fx: 0.8*13000</t>
  </si>
  <si>
    <t xml:space="preserve">BUZO!J26</t>
  </si>
  <si>
    <t xml:space="preserve">BUZO!J27</t>
  </si>
  <si>
    <t xml:space="preserve">BUZO!J28</t>
  </si>
  <si>
    <t xml:space="preserve">BUZO!J29</t>
  </si>
  <si>
    <t xml:space="preserve">BUZO!J30</t>
  </si>
  <si>
    <t xml:space="preserve">BUZO!J31</t>
  </si>
  <si>
    <t xml:space="preserve">BUZO!J32</t>
  </si>
  <si>
    <t xml:space="preserve">BUZO!J33</t>
  </si>
  <si>
    <t xml:space="preserve">BUZO!J34</t>
  </si>
  <si>
    <t xml:space="preserve">BUZO NIÑO</t>
  </si>
  <si>
    <t xml:space="preserve">BUZO!Q22</t>
  </si>
  <si>
    <t xml:space="preserve">BUZO!Q23</t>
  </si>
  <si>
    <t xml:space="preserve">BUZO!Q24</t>
  </si>
  <si>
    <t xml:space="preserve">BUZO!Q25</t>
  </si>
  <si>
    <t xml:space="preserve">BUZO!Q26</t>
  </si>
  <si>
    <t xml:space="preserve">BUZO!Q27</t>
  </si>
  <si>
    <t xml:space="preserve">BUZO!Q28</t>
  </si>
  <si>
    <t xml:space="preserve">BUZO!Q29</t>
  </si>
  <si>
    <t xml:space="preserve">BUZO!Q30</t>
  </si>
  <si>
    <t xml:space="preserve">BUZO!Q31</t>
  </si>
  <si>
    <t xml:space="preserve">BUZO!Q32</t>
  </si>
  <si>
    <t xml:space="preserve">BUZO!Q33</t>
  </si>
  <si>
    <t xml:space="preserve">BUZO!Q34</t>
  </si>
  <si>
    <t xml:space="preserve">BUZO!AE22</t>
  </si>
  <si>
    <t xml:space="preserve">fx: 0.85*3*F22</t>
  </si>
  <si>
    <t xml:space="preserve">BUZO!AE23</t>
  </si>
  <si>
    <t xml:space="preserve">BUZO!AE24</t>
  </si>
  <si>
    <t xml:space="preserve">BUZO!AE25</t>
  </si>
  <si>
    <t xml:space="preserve">BUZO!AE26</t>
  </si>
  <si>
    <t xml:space="preserve">BUZO!AE27</t>
  </si>
  <si>
    <t xml:space="preserve">BUZO!AE28</t>
  </si>
  <si>
    <t xml:space="preserve">fx: C28</t>
  </si>
  <si>
    <t xml:space="preserve">BUZO!AE29</t>
  </si>
  <si>
    <t xml:space="preserve">fx: C29</t>
  </si>
  <si>
    <t xml:space="preserve">BUZO!AE30</t>
  </si>
  <si>
    <t xml:space="preserve">BUZO!AE31</t>
  </si>
  <si>
    <t xml:space="preserve">BUZO!AE32</t>
  </si>
  <si>
    <t xml:space="preserve">fx: C32</t>
  </si>
  <si>
    <t xml:space="preserve">BUZO!AE33</t>
  </si>
  <si>
    <t xml:space="preserve">BUZO!AE34</t>
  </si>
  <si>
    <t xml:space="preserve">fx: C34</t>
  </si>
  <si>
    <t xml:space="preserve">BUZO!AL22</t>
  </si>
  <si>
    <t xml:space="preserve">fx: 0.7*2*F22</t>
  </si>
  <si>
    <t xml:space="preserve">BUZO!AL23</t>
  </si>
  <si>
    <t xml:space="preserve">BUZO!AL24</t>
  </si>
  <si>
    <t xml:space="preserve">SUBLIMACION TOTAL</t>
  </si>
  <si>
    <t xml:space="preserve">BUZO!AL25</t>
  </si>
  <si>
    <t xml:space="preserve">fx: 0.7*10000</t>
  </si>
  <si>
    <t xml:space="preserve">BUZO!AL26</t>
  </si>
  <si>
    <t xml:space="preserve">BUZO!AL27</t>
  </si>
  <si>
    <t xml:space="preserve">BUZO!AL28</t>
  </si>
  <si>
    <t xml:space="preserve">BUZO!AL29</t>
  </si>
  <si>
    <t xml:space="preserve">BUZO!AL30</t>
  </si>
  <si>
    <t xml:space="preserve">BUZO!AL31</t>
  </si>
  <si>
    <t xml:space="preserve">BUZO!AL32</t>
  </si>
  <si>
    <t xml:space="preserve">BUZO!AL33</t>
  </si>
  <si>
    <t xml:space="preserve">BUZO!AL34</t>
  </si>
  <si>
    <t xml:space="preserve">BUZO!X22</t>
  </si>
  <si>
    <t xml:space="preserve">fx: 0.5*4*F3/1.5</t>
  </si>
  <si>
    <t xml:space="preserve">BUZO!X23</t>
  </si>
  <si>
    <t xml:space="preserve">BUZO!X24</t>
  </si>
  <si>
    <t xml:space="preserve">BUZO!X25</t>
  </si>
  <si>
    <t xml:space="preserve">fx: 0.5*10000</t>
  </si>
  <si>
    <t xml:space="preserve">BUZO!X26</t>
  </si>
  <si>
    <t xml:space="preserve">BUZO!X27</t>
  </si>
  <si>
    <t xml:space="preserve">BUZO!X28</t>
  </si>
  <si>
    <t xml:space="preserve">BUZO!X29</t>
  </si>
  <si>
    <t xml:space="preserve">BUZO!X30</t>
  </si>
  <si>
    <t xml:space="preserve">BUZO!X31</t>
  </si>
  <si>
    <t xml:space="preserve">BUZO!X32</t>
  </si>
  <si>
    <t xml:space="preserve">BUZO!X33</t>
  </si>
  <si>
    <t xml:space="preserve">BUZO!X34</t>
  </si>
  <si>
    <t xml:space="preserve">BUZO!X35</t>
  </si>
  <si>
    <t xml:space="preserve">BUZO  CABALLERO</t>
  </si>
  <si>
    <t xml:space="preserve">BUZO!AS41</t>
  </si>
  <si>
    <t xml:space="preserve">fx: 1.5*5.31*F3</t>
  </si>
  <si>
    <t xml:space="preserve">BUZO!AS42</t>
  </si>
  <si>
    <t xml:space="preserve">BUZO!AS43</t>
  </si>
  <si>
    <t xml:space="preserve">BUZO!AS44</t>
  </si>
  <si>
    <t xml:space="preserve">BUZO!AS45</t>
  </si>
  <si>
    <t xml:space="preserve">BUZO!AS46</t>
  </si>
  <si>
    <t xml:space="preserve">BUZO!AS47</t>
  </si>
  <si>
    <t xml:space="preserve">BUZO!AS48</t>
  </si>
  <si>
    <t xml:space="preserve">BUZO!AS49</t>
  </si>
  <si>
    <t xml:space="preserve">BUZO!AS50</t>
  </si>
  <si>
    <t xml:space="preserve">BUZO!AS51</t>
  </si>
  <si>
    <t xml:space="preserve">BUZO!AS52</t>
  </si>
  <si>
    <t xml:space="preserve">BUZO!C41</t>
  </si>
  <si>
    <t xml:space="preserve">fx: 2*1.3*F3</t>
  </si>
  <si>
    <t xml:space="preserve">BUZO!C42</t>
  </si>
  <si>
    <t xml:space="preserve">BUZO!C43</t>
  </si>
  <si>
    <t xml:space="preserve">BUZO!C44</t>
  </si>
  <si>
    <t xml:space="preserve">BUZO!C45</t>
  </si>
  <si>
    <t xml:space="preserve">BUZO!C46</t>
  </si>
  <si>
    <t xml:space="preserve">BUZO!C47</t>
  </si>
  <si>
    <t xml:space="preserve">BUZO!C48</t>
  </si>
  <si>
    <t xml:space="preserve">BUZO!C49</t>
  </si>
  <si>
    <t xml:space="preserve">BUZO!C50</t>
  </si>
  <si>
    <t xml:space="preserve">BUZO!C51</t>
  </si>
  <si>
    <t xml:space="preserve">BUZO!C52</t>
  </si>
  <si>
    <t xml:space="preserve">BUZO!C53</t>
  </si>
  <si>
    <t xml:space="preserve">BUZO!J41</t>
  </si>
  <si>
    <t xml:space="preserve">fx: 1.5*1.2*4000</t>
  </si>
  <si>
    <t xml:space="preserve">BUZO!J42</t>
  </si>
  <si>
    <t xml:space="preserve">BUZO!J43</t>
  </si>
  <si>
    <t xml:space="preserve">BUZO!J44</t>
  </si>
  <si>
    <t xml:space="preserve">BUZO!J45</t>
  </si>
  <si>
    <t xml:space="preserve">fx: 1.5*9500</t>
  </si>
  <si>
    <t xml:space="preserve">BUZO!J46</t>
  </si>
  <si>
    <t xml:space="preserve">BUZO!J47</t>
  </si>
  <si>
    <t xml:space="preserve">CIERRES</t>
  </si>
  <si>
    <t xml:space="preserve">BUZO!J48</t>
  </si>
  <si>
    <t xml:space="preserve">BUZO!J49</t>
  </si>
  <si>
    <t xml:space="preserve">BUZO!J50</t>
  </si>
  <si>
    <t xml:space="preserve">BUZO!J51</t>
  </si>
  <si>
    <t xml:space="preserve">BUZO!J52</t>
  </si>
  <si>
    <t xml:space="preserve">BUZO!J53</t>
  </si>
  <si>
    <t xml:space="preserve">BUZO!Q41</t>
  </si>
  <si>
    <t xml:space="preserve">fx: 1.5*1*F3</t>
  </si>
  <si>
    <t xml:space="preserve">BUZO!Q42</t>
  </si>
  <si>
    <t xml:space="preserve">BUZO!Q43</t>
  </si>
  <si>
    <t xml:space="preserve">BUZO!Q44</t>
  </si>
  <si>
    <t xml:space="preserve">BUZO!Q45</t>
  </si>
  <si>
    <t xml:space="preserve">BUZO!Q46</t>
  </si>
  <si>
    <t xml:space="preserve">BUZO!Q47</t>
  </si>
  <si>
    <t xml:space="preserve">BUZO!Q48</t>
  </si>
  <si>
    <t xml:space="preserve">BUZO!Q49</t>
  </si>
  <si>
    <t xml:space="preserve">BUZO!Q50</t>
  </si>
  <si>
    <t xml:space="preserve">BUZO!Q51</t>
  </si>
  <si>
    <t xml:space="preserve">BUZO!Q52</t>
  </si>
  <si>
    <t xml:space="preserve">BUZO!Q53</t>
  </si>
  <si>
    <t xml:space="preserve">BUZO!X41</t>
  </si>
  <si>
    <t xml:space="preserve">fx: 2*6*F3</t>
  </si>
  <si>
    <t xml:space="preserve">BUZO!X42</t>
  </si>
  <si>
    <t xml:space="preserve">BUZO!X43</t>
  </si>
  <si>
    <t xml:space="preserve">BUZO!X44</t>
  </si>
  <si>
    <t xml:space="preserve">BUZO!X45</t>
  </si>
  <si>
    <t xml:space="preserve">BUZO!X46</t>
  </si>
  <si>
    <t xml:space="preserve">BUZO!X47</t>
  </si>
  <si>
    <t xml:space="preserve">BUZO!X48</t>
  </si>
  <si>
    <t xml:space="preserve">BUZO!X49</t>
  </si>
  <si>
    <t xml:space="preserve">BUZO!X50</t>
  </si>
  <si>
    <t xml:space="preserve">BUZO!X51</t>
  </si>
  <si>
    <t xml:space="preserve">BUZO!X52</t>
  </si>
  <si>
    <t xml:space="preserve">BUZO!X53</t>
  </si>
  <si>
    <t xml:space="preserve">BUZO!AE41</t>
  </si>
  <si>
    <t xml:space="preserve">fx: 1.5*2*F3</t>
  </si>
  <si>
    <t xml:space="preserve">BUZO!AE42</t>
  </si>
  <si>
    <t xml:space="preserve">BUZO!AE43</t>
  </si>
  <si>
    <t xml:space="preserve">BUZO!AE44</t>
  </si>
  <si>
    <t xml:space="preserve">BUZO!AE45</t>
  </si>
  <si>
    <t xml:space="preserve">BUZO!AE46</t>
  </si>
  <si>
    <t xml:space="preserve">BUZO!AE47</t>
  </si>
  <si>
    <t xml:space="preserve">BUZO!AE48</t>
  </si>
  <si>
    <t xml:space="preserve">BUZO!AE49</t>
  </si>
  <si>
    <t xml:space="preserve">BUZO!AE50</t>
  </si>
  <si>
    <t xml:space="preserve">BUZO!AE51</t>
  </si>
  <si>
    <t xml:space="preserve">fx: C51</t>
  </si>
  <si>
    <t xml:space="preserve">BUZO!AE52</t>
  </si>
  <si>
    <t xml:space="preserve">BUZO!AE53</t>
  </si>
  <si>
    <t xml:space="preserve">BUZO!AZ41</t>
  </si>
  <si>
    <t xml:space="preserve">BUZO!AZ42</t>
  </si>
  <si>
    <t xml:space="preserve">BUZO!AZ43</t>
  </si>
  <si>
    <t xml:space="preserve">BUZO!AZ44</t>
  </si>
  <si>
    <t xml:space="preserve">BUZO!AZ45</t>
  </si>
  <si>
    <t xml:space="preserve">BUZO!AZ46</t>
  </si>
  <si>
    <t xml:space="preserve">BUZO!AZ47</t>
  </si>
  <si>
    <t xml:space="preserve">BUZO!AZ48</t>
  </si>
  <si>
    <t xml:space="preserve">BUZO!AZ49</t>
  </si>
  <si>
    <t xml:space="preserve">BUZO!AZ50</t>
  </si>
  <si>
    <t xml:space="preserve">BUZO!AZ51</t>
  </si>
  <si>
    <t xml:space="preserve">BUZO!AZ52</t>
  </si>
  <si>
    <t xml:space="preserve">BUZO!AZ53</t>
  </si>
  <si>
    <t xml:space="preserve">BUZO!AL41</t>
  </si>
  <si>
    <t xml:space="preserve">BUZO!AL42</t>
  </si>
  <si>
    <t xml:space="preserve">BUZO!AL43</t>
  </si>
  <si>
    <t xml:space="preserve">BUZO!AL44</t>
  </si>
  <si>
    <t xml:space="preserve">fx: 1.5*11000</t>
  </si>
  <si>
    <t xml:space="preserve">BUZO!AL45</t>
  </si>
  <si>
    <t xml:space="preserve">BUZO!AL46</t>
  </si>
  <si>
    <t xml:space="preserve">BUZO!AL47</t>
  </si>
  <si>
    <t xml:space="preserve">BUZO!AL48</t>
  </si>
  <si>
    <t xml:space="preserve">BUZO!AL49</t>
  </si>
  <si>
    <t xml:space="preserve">BUZO!AL50</t>
  </si>
  <si>
    <t xml:space="preserve">BUZO!AL51</t>
  </si>
  <si>
    <t xml:space="preserve">BUZO!AL52</t>
  </si>
  <si>
    <t xml:space="preserve">BUZO!AL53</t>
  </si>
  <si>
    <t xml:space="preserve">BUZO!AL54</t>
  </si>
  <si>
    <t xml:space="preserve">ESTANDARTE </t>
  </si>
  <si>
    <t xml:space="preserve">SHORT NIÑO</t>
  </si>
  <si>
    <t xml:space="preserve">ESTANDARTE !B4</t>
  </si>
  <si>
    <t xml:space="preserve">fx: 1.4*2*F3</t>
  </si>
  <si>
    <t xml:space="preserve">ESTANDARTE !B5</t>
  </si>
  <si>
    <t xml:space="preserve">ESTANDARTE !B6</t>
  </si>
  <si>
    <t xml:space="preserve">ESTANDARTE !B7</t>
  </si>
  <si>
    <t xml:space="preserve">fx: 15000*1.4</t>
  </si>
  <si>
    <t xml:space="preserve">TUBO</t>
  </si>
  <si>
    <t xml:space="preserve">ESTANDARTE !B8</t>
  </si>
  <si>
    <t xml:space="preserve">ESTANDARTE !B13</t>
  </si>
  <si>
    <t xml:space="preserve">ESTANDARTE !B14</t>
  </si>
  <si>
    <t xml:space="preserve">ESTANDARTE !B15</t>
  </si>
  <si>
    <t xml:space="preserve">ESTANDARTE !B16</t>
  </si>
  <si>
    <t xml:space="preserve">ESTANDARTE !B17</t>
  </si>
  <si>
    <t xml:space="preserve">SHORT</t>
  </si>
  <si>
    <t xml:space="preserve">SHORT!B3</t>
  </si>
  <si>
    <t xml:space="preserve">fx: 0.55*1.8*F2</t>
  </si>
  <si>
    <t xml:space="preserve">SHORT!B4</t>
  </si>
  <si>
    <t xml:space="preserve">SHORT!B5</t>
  </si>
  <si>
    <t xml:space="preserve">MALLA</t>
  </si>
  <si>
    <t xml:space="preserve">SHORT!B6</t>
  </si>
  <si>
    <t xml:space="preserve">CAUCHO</t>
  </si>
  <si>
    <t xml:space="preserve">SHORT!B7</t>
  </si>
  <si>
    <t xml:space="preserve">SHORT!B8</t>
  </si>
  <si>
    <t xml:space="preserve">SHORT!B9</t>
  </si>
  <si>
    <t xml:space="preserve">SHORT!B10</t>
  </si>
  <si>
    <t xml:space="preserve">SHORT!B11</t>
  </si>
  <si>
    <t xml:space="preserve">SHORT!B12</t>
  </si>
  <si>
    <t xml:space="preserve">SHORT!B13</t>
  </si>
  <si>
    <t xml:space="preserve">SHORT!B14</t>
  </si>
  <si>
    <t xml:space="preserve">SHORT!B15</t>
  </si>
  <si>
    <t xml:space="preserve">SHORT!B16</t>
  </si>
  <si>
    <t xml:space="preserve">SHORT DAMA</t>
  </si>
  <si>
    <t xml:space="preserve">SHORT!B22</t>
  </si>
  <si>
    <t xml:space="preserve">fx: 0.6*6/2*F2</t>
  </si>
  <si>
    <t xml:space="preserve">SHORT!B23</t>
  </si>
  <si>
    <t xml:space="preserve">SHORT!B24</t>
  </si>
  <si>
    <t xml:space="preserve">SHORT!B25</t>
  </si>
  <si>
    <t xml:space="preserve">SHORT!B26</t>
  </si>
  <si>
    <t xml:space="preserve">SHORT!B27</t>
  </si>
  <si>
    <t xml:space="preserve">SHORT!B28</t>
  </si>
  <si>
    <t xml:space="preserve">SHORT!B29</t>
  </si>
  <si>
    <t xml:space="preserve">SHORT!B30</t>
  </si>
  <si>
    <t xml:space="preserve">SHORT!B31</t>
  </si>
  <si>
    <t xml:space="preserve">SHORT!B32</t>
  </si>
  <si>
    <t xml:space="preserve">SHORT!B33</t>
  </si>
  <si>
    <t xml:space="preserve">SHORT!B34</t>
  </si>
  <si>
    <t xml:space="preserve">SHORT!B35</t>
  </si>
  <si>
    <t xml:space="preserve">SHORT CABALLERO</t>
  </si>
  <si>
    <t xml:space="preserve">SHORT!B45</t>
  </si>
  <si>
    <t xml:space="preserve">fx: 0.8*1.8*F2</t>
  </si>
  <si>
    <t xml:space="preserve">SHORT!B46</t>
  </si>
  <si>
    <t xml:space="preserve">SHORT!B47</t>
  </si>
  <si>
    <t xml:space="preserve">SHORT!B48</t>
  </si>
  <si>
    <t xml:space="preserve">SHORT!B49</t>
  </si>
  <si>
    <t xml:space="preserve">SHORT!B50</t>
  </si>
  <si>
    <t xml:space="preserve">SHORT!B51</t>
  </si>
  <si>
    <t xml:space="preserve">SHORT!B52</t>
  </si>
  <si>
    <t xml:space="preserve">SHORT!B53</t>
  </si>
  <si>
    <t xml:space="preserve">SHORT!B54</t>
  </si>
  <si>
    <t xml:space="preserve">SHORT!B55</t>
  </si>
  <si>
    <t xml:space="preserve">SHORT!B56</t>
  </si>
  <si>
    <t xml:space="preserve">SHORT!B57</t>
  </si>
  <si>
    <t xml:space="preserve">SHORT!B58</t>
  </si>
  <si>
    <t xml:space="preserve">SHORT!B65</t>
  </si>
  <si>
    <t xml:space="preserve">SHORT!B66</t>
  </si>
  <si>
    <t xml:space="preserve">SHORT!B67</t>
  </si>
  <si>
    <t xml:space="preserve">SHORT!B68</t>
  </si>
  <si>
    <t xml:space="preserve">SHORT!B69</t>
  </si>
  <si>
    <t xml:space="preserve">SHORT!B70</t>
  </si>
  <si>
    <t xml:space="preserve">SHORT!B71</t>
  </si>
  <si>
    <t xml:space="preserve">SHORT!B72</t>
  </si>
  <si>
    <t xml:space="preserve">SHORT!B73</t>
  </si>
  <si>
    <t xml:space="preserve">SHORT!B74</t>
  </si>
  <si>
    <t xml:space="preserve">SHORT!B75</t>
  </si>
  <si>
    <t xml:space="preserve">SHORT!B76</t>
  </si>
  <si>
    <t xml:space="preserve">SHORT!B77</t>
  </si>
  <si>
    <t xml:space="preserve">SHORT!B78</t>
  </si>
  <si>
    <t xml:space="preserve">SHORT!B79</t>
  </si>
  <si>
    <t xml:space="preserve">SHORT!B85</t>
  </si>
  <si>
    <t xml:space="preserve">fx: 0.6*1.8*F2</t>
  </si>
  <si>
    <t xml:space="preserve">SHORT!B86</t>
  </si>
  <si>
    <t xml:space="preserve">SHORT!B87</t>
  </si>
  <si>
    <t xml:space="preserve">SHORT!B88</t>
  </si>
  <si>
    <t xml:space="preserve">SHORT!B89</t>
  </si>
  <si>
    <t xml:space="preserve">SHORT!B90</t>
  </si>
  <si>
    <t xml:space="preserve">SHORT!B91</t>
  </si>
  <si>
    <t xml:space="preserve">SHORT!B92</t>
  </si>
  <si>
    <t xml:space="preserve">SHORT!B93</t>
  </si>
  <si>
    <t xml:space="preserve">SHORT!B94</t>
  </si>
  <si>
    <t xml:space="preserve">SHORT!B95</t>
  </si>
  <si>
    <t xml:space="preserve">SHORT!B96</t>
  </si>
  <si>
    <t xml:space="preserve">SHORT!B97</t>
  </si>
  <si>
    <t xml:space="preserve">SHORT!B98</t>
  </si>
  <si>
    <t xml:space="preserve">SHORT!B99</t>
  </si>
  <si>
    <t xml:space="preserve">SHORT!B107</t>
  </si>
  <si>
    <t xml:space="preserve">SHORT!B108</t>
  </si>
  <si>
    <t xml:space="preserve">SHORT!B109</t>
  </si>
  <si>
    <t xml:space="preserve">SHORT!B110</t>
  </si>
  <si>
    <t xml:space="preserve">SHORT!B111</t>
  </si>
  <si>
    <t xml:space="preserve">SHORT!B112</t>
  </si>
  <si>
    <t xml:space="preserve">SHORT!B113</t>
  </si>
  <si>
    <t xml:space="preserve">SHORT!B114</t>
  </si>
  <si>
    <t xml:space="preserve">SHORT!B115</t>
  </si>
  <si>
    <t xml:space="preserve">SHORT!B116</t>
  </si>
  <si>
    <t xml:space="preserve">SHORT!B117</t>
  </si>
  <si>
    <t xml:space="preserve">SHORT!B118</t>
  </si>
  <si>
    <t xml:space="preserve">SHORT!B119</t>
  </si>
  <si>
    <t xml:space="preserve">SHORT!B120</t>
  </si>
  <si>
    <t xml:space="preserve">SHORT!B121</t>
  </si>
  <si>
    <t xml:space="preserve">SHORT!B128</t>
  </si>
  <si>
    <t xml:space="preserve">fx: 0.55*1.2*F2</t>
  </si>
  <si>
    <t xml:space="preserve">SHORT!B129</t>
  </si>
  <si>
    <t xml:space="preserve">SHORT!B130</t>
  </si>
  <si>
    <t xml:space="preserve">SHORT!B131</t>
  </si>
  <si>
    <t xml:space="preserve">SHORT!B132</t>
  </si>
  <si>
    <t xml:space="preserve">SHORT!B133</t>
  </si>
  <si>
    <t xml:space="preserve">SHORT!B134</t>
  </si>
  <si>
    <t xml:space="preserve">SHORT!B135</t>
  </si>
  <si>
    <t xml:space="preserve">SHORT!B136</t>
  </si>
  <si>
    <t xml:space="preserve">SHORT!B137</t>
  </si>
  <si>
    <t xml:space="preserve">SHORT!B138</t>
  </si>
  <si>
    <t xml:space="preserve">SHORT!B139</t>
  </si>
  <si>
    <t xml:space="preserve">SHORT!B140</t>
  </si>
  <si>
    <t xml:space="preserve">SHORT!B141</t>
  </si>
  <si>
    <t xml:space="preserve">SHORT!B142</t>
  </si>
  <si>
    <t xml:space="preserve">SHORT!B143</t>
  </si>
  <si>
    <t xml:space="preserve">SHORT!B149</t>
  </si>
  <si>
    <t xml:space="preserve">SHORT!B150</t>
  </si>
  <si>
    <t xml:space="preserve">SHORT!B151</t>
  </si>
  <si>
    <t xml:space="preserve">SHORT!B152</t>
  </si>
  <si>
    <t xml:space="preserve">SHORT!B153</t>
  </si>
  <si>
    <t xml:space="preserve">SHORT!B154</t>
  </si>
  <si>
    <t xml:space="preserve">SHORT!B155</t>
  </si>
  <si>
    <t xml:space="preserve">SHORT!B156</t>
  </si>
  <si>
    <t xml:space="preserve">SHORT!B157</t>
  </si>
  <si>
    <t xml:space="preserve">SHORT!B158</t>
  </si>
  <si>
    <t xml:space="preserve">SHORT!B159</t>
  </si>
  <si>
    <t xml:space="preserve">SHORT!B160</t>
  </si>
  <si>
    <t xml:space="preserve">SHORT!B161</t>
  </si>
  <si>
    <t xml:space="preserve">SHORT!B162</t>
  </si>
  <si>
    <t xml:space="preserve">SHORT!B163</t>
  </si>
  <si>
    <t xml:space="preserve">SHORT!B164</t>
  </si>
  <si>
    <t xml:space="preserve">SHORT!B172</t>
  </si>
  <si>
    <t xml:space="preserve">SHORT!B173</t>
  </si>
  <si>
    <t xml:space="preserve">SHORT!B174</t>
  </si>
  <si>
    <t xml:space="preserve">SHORT!B175</t>
  </si>
  <si>
    <t xml:space="preserve">SHORT!B176</t>
  </si>
  <si>
    <t xml:space="preserve">SHORT!B177</t>
  </si>
  <si>
    <t xml:space="preserve">SHORT!B178</t>
  </si>
  <si>
    <t xml:space="preserve">SHORT!B179</t>
  </si>
  <si>
    <t xml:space="preserve">SHORT!B180</t>
  </si>
  <si>
    <t xml:space="preserve">SHORT!B181</t>
  </si>
  <si>
    <t xml:space="preserve">SHORT!B182</t>
  </si>
  <si>
    <t xml:space="preserve">SHORT!B183</t>
  </si>
  <si>
    <t xml:space="preserve">SHORT!B184</t>
  </si>
  <si>
    <t xml:space="preserve">SHORT!B185</t>
  </si>
  <si>
    <t xml:space="preserve">SHORT!B186</t>
  </si>
  <si>
    <t xml:space="preserve">SHORT!B187</t>
  </si>
  <si>
    <t xml:space="preserve">CV TASLAN</t>
  </si>
  <si>
    <t xml:space="preserve">TELA TASLAN</t>
  </si>
  <si>
    <t xml:space="preserve">CV TASLAN!Y4</t>
  </si>
  <si>
    <t xml:space="preserve">fx: 1.5*3*AC4</t>
  </si>
  <si>
    <t xml:space="preserve">CV TASLAN!Y5</t>
  </si>
  <si>
    <t xml:space="preserve">CV TASLAN!Y6</t>
  </si>
  <si>
    <t xml:space="preserve">CV TASLAN!Y7</t>
  </si>
  <si>
    <t xml:space="preserve">CV TASLAN!Y8</t>
  </si>
  <si>
    <t xml:space="preserve">CV TASLAN!Y9</t>
  </si>
  <si>
    <t xml:space="preserve">CV TASLAN!Y10</t>
  </si>
  <si>
    <t xml:space="preserve">CV TASLAN!Y11</t>
  </si>
  <si>
    <t xml:space="preserve">CV TASLAN!Y12</t>
  </si>
  <si>
    <t xml:space="preserve">CV TASLAN!Y13</t>
  </si>
  <si>
    <t xml:space="preserve">CV TASLAN!Y14</t>
  </si>
  <si>
    <t xml:space="preserve">CV TASLAN!Y15</t>
  </si>
  <si>
    <t xml:space="preserve">CV TASLAN!B4</t>
  </si>
  <si>
    <t xml:space="preserve">fx: 1.5*5*F4</t>
  </si>
  <si>
    <t xml:space="preserve">CV TASLAN!B5</t>
  </si>
  <si>
    <t xml:space="preserve">CV TASLAN!B6</t>
  </si>
  <si>
    <t xml:space="preserve">CV TASLAN!B7</t>
  </si>
  <si>
    <t xml:space="preserve">CV TASLAN!B8</t>
  </si>
  <si>
    <t xml:space="preserve">CV TASLAN!B9</t>
  </si>
  <si>
    <t xml:space="preserve">CV TASLAN!B10</t>
  </si>
  <si>
    <t xml:space="preserve">CV TASLAN!B11</t>
  </si>
  <si>
    <t xml:space="preserve">CV TASLAN!B12</t>
  </si>
  <si>
    <t xml:space="preserve">CV TASLAN!B13</t>
  </si>
  <si>
    <t xml:space="preserve">CV TASLAN!B14</t>
  </si>
  <si>
    <t xml:space="preserve">CV TASLAN!B15</t>
  </si>
  <si>
    <t xml:space="preserve">CV TASLAN!B16</t>
  </si>
  <si>
    <t xml:space="preserve">CV TASLAN!B17</t>
  </si>
  <si>
    <t xml:space="preserve">CORTA VIENTO  CABALLERO</t>
  </si>
  <si>
    <t xml:space="preserve">CV TASLAN!Y25</t>
  </si>
  <si>
    <t xml:space="preserve">fx: 2.5*3*AC4</t>
  </si>
  <si>
    <t xml:space="preserve">CV TASLAN!Y26</t>
  </si>
  <si>
    <t xml:space="preserve">CV TASLAN!Y27</t>
  </si>
  <si>
    <t xml:space="preserve">FORRO</t>
  </si>
  <si>
    <t xml:space="preserve">CV TASLAN!Y28</t>
  </si>
  <si>
    <t xml:space="preserve">fx: 2.5*1.3*3700</t>
  </si>
  <si>
    <t xml:space="preserve">CV TASLAN!Y29</t>
  </si>
  <si>
    <t xml:space="preserve">CV TASLAN!Y30</t>
  </si>
  <si>
    <t xml:space="preserve">kalandra</t>
  </si>
  <si>
    <t xml:space="preserve">CV TASLAN!Y31</t>
  </si>
  <si>
    <t xml:space="preserve">CV TASLAN!Y32</t>
  </si>
  <si>
    <t xml:space="preserve">CV TASLAN!Y33</t>
  </si>
  <si>
    <t xml:space="preserve">CV TASLAN!Y34</t>
  </si>
  <si>
    <t xml:space="preserve">CV TASLAN!Y35</t>
  </si>
  <si>
    <t xml:space="preserve">fx: Y13</t>
  </si>
  <si>
    <t xml:space="preserve">CV TASLAN!Y36</t>
  </si>
  <si>
    <t xml:space="preserve">CV TASLAN!Y37</t>
  </si>
  <si>
    <t xml:space="preserve">CV TASLAN!B25</t>
  </si>
  <si>
    <t xml:space="preserve">fx: 2.2*2.5*F4</t>
  </si>
  <si>
    <t xml:space="preserve">CV TASLAN!B26</t>
  </si>
  <si>
    <t xml:space="preserve">CV TASLAN!B27</t>
  </si>
  <si>
    <t xml:space="preserve">CV TASLAN!B28</t>
  </si>
  <si>
    <t xml:space="preserve">CV TASLAN!B29</t>
  </si>
  <si>
    <t xml:space="preserve">CV TASLAN!B30</t>
  </si>
  <si>
    <t xml:space="preserve">CV TASLAN!B31</t>
  </si>
  <si>
    <t xml:space="preserve">CV TASLAN!B32</t>
  </si>
  <si>
    <t xml:space="preserve">CV TASLAN!B33</t>
  </si>
  <si>
    <t xml:space="preserve">CV TASLAN!B34</t>
  </si>
  <si>
    <t xml:space="preserve">CV TASLAN!B35</t>
  </si>
  <si>
    <t xml:space="preserve">CV TASLAN!B36</t>
  </si>
  <si>
    <t xml:space="preserve">fx: B15</t>
  </si>
  <si>
    <t xml:space="preserve">CV TASLAN!B37</t>
  </si>
  <si>
    <t xml:space="preserve">CV TASLAN!B38</t>
  </si>
  <si>
    <t xml:space="preserve">CV TASLAN!J25</t>
  </si>
  <si>
    <t xml:space="preserve">fx: 1.8*3*F4</t>
  </si>
  <si>
    <t xml:space="preserve">CV TASLAN!J26</t>
  </si>
  <si>
    <t xml:space="preserve">CV TASLAN!J27</t>
  </si>
  <si>
    <t xml:space="preserve">CV TASLAN!J28</t>
  </si>
  <si>
    <t xml:space="preserve">CV TASLAN!J29</t>
  </si>
  <si>
    <t xml:space="preserve">CV TASLAN!J30</t>
  </si>
  <si>
    <t xml:space="preserve">CV TASLAN!J31</t>
  </si>
  <si>
    <t xml:space="preserve">CV TASLAN!J32</t>
  </si>
  <si>
    <t xml:space="preserve">CV TASLAN!J33</t>
  </si>
  <si>
    <t xml:space="preserve">CV TASLAN!J34</t>
  </si>
  <si>
    <t xml:space="preserve">CV TASLAN!J35</t>
  </si>
  <si>
    <t xml:space="preserve">CV TASLAN!J36</t>
  </si>
  <si>
    <t xml:space="preserve">CV TASLAN!J37</t>
  </si>
  <si>
    <t xml:space="preserve">CV TASLAN!J38</t>
  </si>
  <si>
    <t xml:space="preserve">CV TASLAN!Q25</t>
  </si>
  <si>
    <t xml:space="preserve">fx: 1.1*3*F4</t>
  </si>
  <si>
    <t xml:space="preserve">CV TASLAN!Q26</t>
  </si>
  <si>
    <t xml:space="preserve">fx: J26</t>
  </si>
  <si>
    <t xml:space="preserve">CV TASLAN!Q27</t>
  </si>
  <si>
    <t xml:space="preserve">CV TASLAN!Q28</t>
  </si>
  <si>
    <t xml:space="preserve">CV TASLAN!Q29</t>
  </si>
  <si>
    <t xml:space="preserve">CV TASLAN!Q30</t>
  </si>
  <si>
    <t xml:space="preserve">CV TASLAN!Q31</t>
  </si>
  <si>
    <t xml:space="preserve">CV TASLAN!Q32</t>
  </si>
  <si>
    <t xml:space="preserve">CV TASLAN!Q33</t>
  </si>
  <si>
    <t xml:space="preserve">CV TASLAN!Q34</t>
  </si>
  <si>
    <t xml:space="preserve">CV TASLAN!Q35</t>
  </si>
  <si>
    <t xml:space="preserve">CV TASLAN!Q36</t>
  </si>
  <si>
    <t xml:space="preserve">CV TASLAN!Q37</t>
  </si>
  <si>
    <t xml:space="preserve">CV TASLAN!Q38</t>
  </si>
  <si>
    <t xml:space="preserve">MOUSE</t>
  </si>
  <si>
    <t xml:space="preserve">MOUSE!B4</t>
  </si>
  <si>
    <t xml:space="preserve">MOUSE!B5</t>
  </si>
  <si>
    <t xml:space="preserve">fx: 1000</t>
  </si>
  <si>
    <t xml:space="preserve">MOUSE!B6</t>
  </si>
  <si>
    <t xml:space="preserve">MOUSE!B7</t>
  </si>
  <si>
    <t xml:space="preserve">MOUSE!B8</t>
  </si>
  <si>
    <t xml:space="preserve">CV MEMORY</t>
  </si>
  <si>
    <t xml:space="preserve">CORTA VIENTO
 DAMA</t>
  </si>
  <si>
    <t xml:space="preserve">TELA MEMORY</t>
  </si>
  <si>
    <t xml:space="preserve">CV MEMORY!B3</t>
  </si>
  <si>
    <t xml:space="preserve">fx: 1.8*2*F3</t>
  </si>
  <si>
    <t xml:space="preserve">CV MEMORY!B4</t>
  </si>
  <si>
    <t xml:space="preserve">CV MEMORY!B5</t>
  </si>
  <si>
    <t xml:space="preserve">CV MEMORY!B6</t>
  </si>
  <si>
    <t xml:space="preserve">CV MEMORY!B7</t>
  </si>
  <si>
    <t xml:space="preserve">CV MEMORY!B8</t>
  </si>
  <si>
    <t xml:space="preserve">CV MEMORY!B9</t>
  </si>
  <si>
    <t xml:space="preserve">CV MEMORY!B10</t>
  </si>
  <si>
    <t xml:space="preserve">CV MEMORY!B11</t>
  </si>
  <si>
    <t xml:space="preserve">CV MEMORY!B12</t>
  </si>
  <si>
    <t xml:space="preserve">CV MEMORY!B13</t>
  </si>
  <si>
    <t xml:space="preserve">CV MEMORY!B14</t>
  </si>
  <si>
    <t xml:space="preserve">CV MEMORY!B15</t>
  </si>
  <si>
    <t xml:space="preserve">CV MEMORY!B16</t>
  </si>
  <si>
    <t xml:space="preserve">CV MEMORY!J3</t>
  </si>
  <si>
    <t xml:space="preserve">fx: 1.5*2*N3</t>
  </si>
  <si>
    <t xml:space="preserve">CV MEMORY!J4</t>
  </si>
  <si>
    <t xml:space="preserve">CV MEMORY!J5</t>
  </si>
  <si>
    <t xml:space="preserve">CV MEMORY!J6</t>
  </si>
  <si>
    <t xml:space="preserve">CV MEMORY!J7</t>
  </si>
  <si>
    <t xml:space="preserve">CV MEMORY!J8</t>
  </si>
  <si>
    <t xml:space="preserve">CV MEMORY!J9</t>
  </si>
  <si>
    <t xml:space="preserve">CV MEMORY!J10</t>
  </si>
  <si>
    <t xml:space="preserve">CV MEMORY!J11</t>
  </si>
  <si>
    <t xml:space="preserve">CV MEMORY!J12</t>
  </si>
  <si>
    <t xml:space="preserve">CV MEMORY!J13</t>
  </si>
  <si>
    <t xml:space="preserve">CV MEMORY!J14</t>
  </si>
  <si>
    <t xml:space="preserve">CV MEMORY!J15</t>
  </si>
  <si>
    <t xml:space="preserve">CV MEMORY!J16</t>
  </si>
  <si>
    <t xml:space="preserve">CORTA VIENTO
 NIÑO</t>
  </si>
  <si>
    <t xml:space="preserve">CV MEMORY!B20</t>
  </si>
  <si>
    <t xml:space="preserve">fx: 1.8*1.2*F20</t>
  </si>
  <si>
    <t xml:space="preserve">CV MEMORY!B21</t>
  </si>
  <si>
    <t xml:space="preserve">CV MEMORY!B22</t>
  </si>
  <si>
    <t xml:space="preserve">CV MEMORY!B23</t>
  </si>
  <si>
    <t xml:space="preserve">CV MEMORY!B24</t>
  </si>
  <si>
    <t xml:space="preserve">fx: 1.6*3500</t>
  </si>
  <si>
    <t xml:space="preserve">CV MEMORY!B25</t>
  </si>
  <si>
    <t xml:space="preserve">fx: 1.8*6000</t>
  </si>
  <si>
    <t xml:space="preserve">CV MEMORY!B26</t>
  </si>
  <si>
    <t xml:space="preserve">CV MEMORY!B27</t>
  </si>
  <si>
    <t xml:space="preserve">CV MEMORY!B28</t>
  </si>
  <si>
    <t xml:space="preserve">CV MEMORY!B29</t>
  </si>
  <si>
    <t xml:space="preserve">CV MEMORY!B30</t>
  </si>
  <si>
    <t xml:space="preserve">CV MEMORY!B31</t>
  </si>
  <si>
    <t xml:space="preserve">CV MEMORY!B32</t>
  </si>
  <si>
    <t xml:space="preserve">CV MEMORY!B33</t>
  </si>
  <si>
    <t xml:space="preserve">CV MEMORY!J20</t>
  </si>
  <si>
    <t xml:space="preserve">fx: 1*4*N20</t>
  </si>
  <si>
    <t xml:space="preserve">CV MEMORY!J21</t>
  </si>
  <si>
    <t xml:space="preserve">CV MEMORY!J22</t>
  </si>
  <si>
    <t xml:space="preserve">CV MEMORY!J23</t>
  </si>
  <si>
    <t xml:space="preserve">CV MEMORY!J24</t>
  </si>
  <si>
    <t xml:space="preserve">CV MEMORY!J25</t>
  </si>
  <si>
    <t xml:space="preserve">CV MEMORY!J26</t>
  </si>
  <si>
    <t xml:space="preserve">CV MEMORY!J27</t>
  </si>
  <si>
    <t xml:space="preserve">CV MEMORY!J28</t>
  </si>
  <si>
    <t xml:space="preserve">CV MEMORY!J29</t>
  </si>
  <si>
    <t xml:space="preserve">CV MEMORY!J30</t>
  </si>
  <si>
    <t xml:space="preserve">CV MEMORY!J31</t>
  </si>
  <si>
    <t xml:space="preserve">CV MEMORY!J32</t>
  </si>
  <si>
    <t xml:space="preserve">CV MEMORY!J33</t>
  </si>
  <si>
    <t xml:space="preserve">CORTA VIENTO con Gorro 
CABALLERO</t>
  </si>
  <si>
    <t xml:space="preserve">CV MEMORY!B37</t>
  </si>
  <si>
    <t xml:space="preserve">fx: 2*1.7*F3</t>
  </si>
  <si>
    <t xml:space="preserve">CV MEMORY!B38</t>
  </si>
  <si>
    <t xml:space="preserve">fx: 2*11000</t>
  </si>
  <si>
    <t xml:space="preserve">CV MEMORY!B39</t>
  </si>
  <si>
    <t xml:space="preserve">CV MEMORY!B40</t>
  </si>
  <si>
    <t xml:space="preserve">CV MEMORY!B41</t>
  </si>
  <si>
    <t xml:space="preserve">CV MEMORY!B42</t>
  </si>
  <si>
    <t xml:space="preserve">fx: 2*500</t>
  </si>
  <si>
    <t xml:space="preserve">CV MEMORY!B43</t>
  </si>
  <si>
    <t xml:space="preserve">CV MEMORY!B44</t>
  </si>
  <si>
    <t xml:space="preserve">CV MEMORY!B45</t>
  </si>
  <si>
    <t xml:space="preserve">PISA CORDON</t>
  </si>
  <si>
    <t xml:space="preserve">CV MEMORY!B46</t>
  </si>
  <si>
    <t xml:space="preserve">OJALETES</t>
  </si>
  <si>
    <t xml:space="preserve">CV MEMORY!B47</t>
  </si>
  <si>
    <t xml:space="preserve">fx: 6*20</t>
  </si>
  <si>
    <t xml:space="preserve">CV MEMORY!B48</t>
  </si>
  <si>
    <t xml:space="preserve">CV MEMORY!B49</t>
  </si>
  <si>
    <t xml:space="preserve">CV MEMORY!B50</t>
  </si>
  <si>
    <t xml:space="preserve">CV MEMORY!B51</t>
  </si>
  <si>
    <t xml:space="preserve">CORTA VIENTO 
CABALLERO</t>
  </si>
  <si>
    <t xml:space="preserve">CV MEMORY!J37</t>
  </si>
  <si>
    <t xml:space="preserve">fx: 2*2*N3</t>
  </si>
  <si>
    <t xml:space="preserve">CV MEMORY!J38</t>
  </si>
  <si>
    <t xml:space="preserve">CV MEMORY!J39</t>
  </si>
  <si>
    <t xml:space="preserve">CV MEMORY!J40</t>
  </si>
  <si>
    <t xml:space="preserve">CV MEMORY!J41</t>
  </si>
  <si>
    <t xml:space="preserve">CV MEMORY!J42</t>
  </si>
  <si>
    <t xml:space="preserve">CV MEMORY!J43</t>
  </si>
  <si>
    <t xml:space="preserve">CV MEMORY!J44</t>
  </si>
  <si>
    <t xml:space="preserve">TELA FORRO</t>
  </si>
  <si>
    <t xml:space="preserve">CV MEMORY!J45</t>
  </si>
  <si>
    <t xml:space="preserve">CV MEMORY!J46</t>
  </si>
  <si>
    <t xml:space="preserve">fx: 100*2</t>
  </si>
  <si>
    <t xml:space="preserve">CV MEMORY!J47</t>
  </si>
  <si>
    <t xml:space="preserve">fx: J12</t>
  </si>
  <si>
    <t xml:space="preserve">CV MEMORY!J48</t>
  </si>
  <si>
    <t xml:space="preserve">CV MEMORY!J49</t>
  </si>
  <si>
    <t xml:space="preserve">CV MEMORY!J50</t>
  </si>
  <si>
    <t xml:space="preserve">CV MEMORY!J51</t>
  </si>
  <si>
    <t xml:space="preserve">CV MEMORY!B55</t>
  </si>
  <si>
    <t xml:space="preserve">fx: 2*2*F3</t>
  </si>
  <si>
    <t xml:space="preserve">CV MEMORY!B56</t>
  </si>
  <si>
    <t xml:space="preserve">CV MEMORY!B57</t>
  </si>
  <si>
    <t xml:space="preserve">fx: B23</t>
  </si>
  <si>
    <t xml:space="preserve">CV MEMORY!B58</t>
  </si>
  <si>
    <t xml:space="preserve">CV MEMORY!B59</t>
  </si>
  <si>
    <t xml:space="preserve">CV MEMORY!B60</t>
  </si>
  <si>
    <t xml:space="preserve">fx: B26</t>
  </si>
  <si>
    <t xml:space="preserve">CV MEMORY!B61</t>
  </si>
  <si>
    <t xml:space="preserve">fx: B27</t>
  </si>
  <si>
    <t xml:space="preserve">CV MEMORY!B62</t>
  </si>
  <si>
    <t xml:space="preserve">fx: B28</t>
  </si>
  <si>
    <t xml:space="preserve">CV MEMORY!B63</t>
  </si>
  <si>
    <t xml:space="preserve">fx: B29</t>
  </si>
  <si>
    <t xml:space="preserve">CV MEMORY!B64</t>
  </si>
  <si>
    <t xml:space="preserve">CV MEMORY!B65</t>
  </si>
  <si>
    <t xml:space="preserve">fx: B31</t>
  </si>
  <si>
    <t xml:space="preserve">CV MEMORY!B66</t>
  </si>
  <si>
    <t xml:space="preserve">CV MEMORY!B67</t>
  </si>
  <si>
    <t xml:space="preserve">CV MEMORY!B68</t>
  </si>
  <si>
    <t xml:space="preserve">CV MEMORY!J55</t>
  </si>
  <si>
    <t xml:space="preserve">CV MEMORY!J56</t>
  </si>
  <si>
    <t xml:space="preserve">CV MEMORY!J57</t>
  </si>
  <si>
    <t xml:space="preserve">CV MEMORY!J58</t>
  </si>
  <si>
    <t xml:space="preserve">CV MEMORY!J59</t>
  </si>
  <si>
    <t xml:space="preserve">fx: 500*4</t>
  </si>
  <si>
    <t xml:space="preserve">CV MEMORY!J60</t>
  </si>
  <si>
    <t xml:space="preserve">CV MEMORY!J61</t>
  </si>
  <si>
    <t xml:space="preserve">CV MEMORY!J62</t>
  </si>
  <si>
    <t xml:space="preserve">CV MEMORY!J63</t>
  </si>
  <si>
    <t xml:space="preserve">CV MEMORY!J64</t>
  </si>
  <si>
    <t xml:space="preserve">fx: J30</t>
  </si>
  <si>
    <t xml:space="preserve">CV MEMORY!J65</t>
  </si>
  <si>
    <t xml:space="preserve">CV MEMORY!J66</t>
  </si>
  <si>
    <t xml:space="preserve">CV MEMORY!J67</t>
  </si>
  <si>
    <t xml:space="preserve">CV MEMORY!J68</t>
  </si>
  <si>
    <t xml:space="preserve">KSAKAS</t>
  </si>
  <si>
    <t xml:space="preserve">KASAKAS SOLO LOGO</t>
  </si>
  <si>
    <t xml:space="preserve">TELA Malla</t>
  </si>
  <si>
    <t xml:space="preserve">KSAKAS!B3</t>
  </si>
  <si>
    <t xml:space="preserve">fx: 0.5*1.2*F2</t>
  </si>
  <si>
    <t xml:space="preserve">KSAKAS!B4</t>
  </si>
  <si>
    <t xml:space="preserve">KSAKAS!B5</t>
  </si>
  <si>
    <t xml:space="preserve">KSAKAS!B6</t>
  </si>
  <si>
    <t xml:space="preserve">KSAKAS!B7</t>
  </si>
  <si>
    <t xml:space="preserve">SESGO</t>
  </si>
  <si>
    <t xml:space="preserve">KSAKAS!B8</t>
  </si>
  <si>
    <t xml:space="preserve">KSAKAS!B9</t>
  </si>
  <si>
    <t xml:space="preserve">KSAKAS!B10</t>
  </si>
  <si>
    <t xml:space="preserve">KSAKAS!B11</t>
  </si>
  <si>
    <t xml:space="preserve">KSAKAS!B12</t>
  </si>
  <si>
    <t xml:space="preserve">KSAKAS!B13</t>
  </si>
  <si>
    <t xml:space="preserve">KSAKAS!B14</t>
  </si>
  <si>
    <t xml:space="preserve">KSAKAS!B15</t>
  </si>
  <si>
    <t xml:space="preserve">KSAKAS!B16</t>
  </si>
  <si>
    <t xml:space="preserve">KASAKAS SUBLIMACION TOTAL</t>
  </si>
  <si>
    <t xml:space="preserve">KSAKAS!B20</t>
  </si>
  <si>
    <t xml:space="preserve">fx: 0.6*1.2*F19</t>
  </si>
  <si>
    <t xml:space="preserve">KSAKAS!B21</t>
  </si>
  <si>
    <t xml:space="preserve">KSAKAS!B22</t>
  </si>
  <si>
    <t xml:space="preserve">KSAKAS!B23</t>
  </si>
  <si>
    <t xml:space="preserve">fx: 0.5*8500</t>
  </si>
  <si>
    <t xml:space="preserve">KSAKAS!B24</t>
  </si>
  <si>
    <t xml:space="preserve">KSAKAS!B25</t>
  </si>
  <si>
    <t xml:space="preserve">KSAKAS!B26</t>
  </si>
  <si>
    <t xml:space="preserve">KSAKAS!B27</t>
  </si>
  <si>
    <t xml:space="preserve">KSAKAS!B28</t>
  </si>
  <si>
    <t xml:space="preserve">KSAKAS!B29</t>
  </si>
  <si>
    <t xml:space="preserve">KSAKAS!B30</t>
  </si>
  <si>
    <t xml:space="preserve">KSAKAS!B31</t>
  </si>
  <si>
    <t xml:space="preserve">KSAKAS!B32</t>
  </si>
  <si>
    <t xml:space="preserve">KSAKAS!B33</t>
  </si>
  <si>
    <t xml:space="preserve">F. SUBLIM 1,3</t>
  </si>
  <si>
    <t xml:space="preserve">F. SUBLIM 1,3!B4</t>
  </si>
  <si>
    <t xml:space="preserve">fx: 1*3*F4</t>
  </si>
  <si>
    <t xml:space="preserve">F. SUBLIM 1,3!B5</t>
  </si>
  <si>
    <t xml:space="preserve">F. SUBLIM 1,3!B6</t>
  </si>
  <si>
    <t xml:space="preserve">SUBLIMACION 1/3</t>
  </si>
  <si>
    <t xml:space="preserve">F. SUBLIM 1,3!B7</t>
  </si>
  <si>
    <t xml:space="preserve">fx: 15000/3</t>
  </si>
  <si>
    <t xml:space="preserve">F. SUBLIM 1,3!B8</t>
  </si>
  <si>
    <t xml:space="preserve">F. SUBLIM 1,3!B9</t>
  </si>
  <si>
    <t xml:space="preserve">F. SUBLIM 1,3!B10</t>
  </si>
  <si>
    <t xml:space="preserve">F. SUBLIM 1,3!B11</t>
  </si>
  <si>
    <t xml:space="preserve">fx: 'FRA MUSE MICR'!G73</t>
  </si>
  <si>
    <t xml:space="preserve">F. SUBLIM 1,3!B12</t>
  </si>
  <si>
    <t xml:space="preserve">F. SUBLIM 1,3!B13</t>
  </si>
  <si>
    <t xml:space="preserve">F. SUBLIM 1,3!B14</t>
  </si>
  <si>
    <t xml:space="preserve">F. SUBLIM 1,3!B15</t>
  </si>
  <si>
    <t xml:space="preserve">F. SUBLIM 1,3!B16</t>
  </si>
  <si>
    <t xml:space="preserve">fx: 'FRA MUSE MICR'!G78</t>
  </si>
  <si>
    <t xml:space="preserve">F. SUBLIM 1,3!B17</t>
  </si>
  <si>
    <t xml:space="preserve">fx: 'FRA MUSE MICR'!G79</t>
  </si>
  <si>
    <t xml:space="preserve">F. SUBLIM 1,3!J4</t>
  </si>
  <si>
    <t xml:space="preserve">fx: 1*1.8*N4</t>
  </si>
  <si>
    <t xml:space="preserve">F. SUBLIM 1,3!J5</t>
  </si>
  <si>
    <t xml:space="preserve">F. SUBLIM 1,3!J6</t>
  </si>
  <si>
    <t xml:space="preserve">F. SUBLIM 1,3!J7</t>
  </si>
  <si>
    <t xml:space="preserve">F. SUBLIM 1,3!J8</t>
  </si>
  <si>
    <t xml:space="preserve">F. SUBLIM 1,3!J9</t>
  </si>
  <si>
    <t xml:space="preserve">F. SUBLIM 1,3!J10</t>
  </si>
  <si>
    <t xml:space="preserve">F. SUBLIM 1,3!J11</t>
  </si>
  <si>
    <t xml:space="preserve">F. SUBLIM 1,3!J12</t>
  </si>
  <si>
    <t xml:space="preserve">F. SUBLIM 1,3!J13</t>
  </si>
  <si>
    <t xml:space="preserve">F. SUBLIM 1,3!J14</t>
  </si>
  <si>
    <t xml:space="preserve">F. SUBLIM 1,3!J15</t>
  </si>
  <si>
    <t xml:space="preserve">F. SUBLIM 1,3!J16</t>
  </si>
  <si>
    <t xml:space="preserve">F. SUBLIM 1,3!J17</t>
  </si>
  <si>
    <t xml:space="preserve">F. SUBLIM 1,3!B25</t>
  </si>
  <si>
    <t xml:space="preserve">fx: 0.7*3*F4</t>
  </si>
  <si>
    <t xml:space="preserve">F. SUBLIM 1,3!B26</t>
  </si>
  <si>
    <t xml:space="preserve">F. SUBLIM 1,3!B27</t>
  </si>
  <si>
    <t xml:space="preserve">F. SUBLIM 1,3!B28</t>
  </si>
  <si>
    <t xml:space="preserve">F. SUBLIM 1,3!B29</t>
  </si>
  <si>
    <t xml:space="preserve">F. SUBLIM 1,3!B30</t>
  </si>
  <si>
    <t xml:space="preserve">F. SUBLIM 1,3!B31</t>
  </si>
  <si>
    <t xml:space="preserve">F. SUBLIM 1,3!B32</t>
  </si>
  <si>
    <t xml:space="preserve">F. SUBLIM 1,3!B33</t>
  </si>
  <si>
    <t xml:space="preserve">F. SUBLIM 1,3!B34</t>
  </si>
  <si>
    <t xml:space="preserve">F. SUBLIM 1,3!B35</t>
  </si>
  <si>
    <t xml:space="preserve">F. SUBLIM 1,3!B36</t>
  </si>
  <si>
    <t xml:space="preserve">F. SUBLIM 1,3!B37</t>
  </si>
  <si>
    <t xml:space="preserve">F. SUBLIM 1,3!B38</t>
  </si>
  <si>
    <t xml:space="preserve">F. SUBLIM 1,3!J25</t>
  </si>
  <si>
    <t xml:space="preserve">fx: 0.7*1.8*N4</t>
  </si>
  <si>
    <t xml:space="preserve">F. SUBLIM 1,3!J26</t>
  </si>
  <si>
    <t xml:space="preserve">F. SUBLIM 1,3!J27</t>
  </si>
  <si>
    <t xml:space="preserve">F. SUBLIM 1,3!J28</t>
  </si>
  <si>
    <t xml:space="preserve">F. SUBLIM 1,3!J29</t>
  </si>
  <si>
    <t xml:space="preserve">F. SUBLIM 1,3!J30</t>
  </si>
  <si>
    <t xml:space="preserve">F. SUBLIM 1,3!J31</t>
  </si>
  <si>
    <t xml:space="preserve">F. SUBLIM 1,3!J32</t>
  </si>
  <si>
    <t xml:space="preserve">F. SUBLIM 1,3!J33</t>
  </si>
  <si>
    <t xml:space="preserve">F. SUBLIM 1,3!J34</t>
  </si>
  <si>
    <t xml:space="preserve">F. SUBLIM 1,3!J35</t>
  </si>
  <si>
    <t xml:space="preserve">F. SUBLIM 1,3!J36</t>
  </si>
  <si>
    <t xml:space="preserve">F. SUBLIM 1,3!J37</t>
  </si>
  <si>
    <t xml:space="preserve">fx: J16</t>
  </si>
  <si>
    <t xml:space="preserve">F. SUBLIM 1,3!J38</t>
  </si>
  <si>
    <t xml:space="preserve">fx: J17</t>
  </si>
  <si>
    <t xml:space="preserve">UNI FUTBOL</t>
  </si>
  <si>
    <t xml:space="preserve">TALLAS 6-8-10-12</t>
  </si>
  <si>
    <t xml:space="preserve">MUSELINA</t>
  </si>
  <si>
    <t xml:space="preserve">UNI FUTBOL!B4</t>
  </si>
  <si>
    <t xml:space="preserve">fx: 0.7*1.7*G4</t>
  </si>
  <si>
    <t xml:space="preserve">UNI FUTBOL!B5</t>
  </si>
  <si>
    <t xml:space="preserve">UNI FUTBOL!B6</t>
  </si>
  <si>
    <t xml:space="preserve">UNI FUTBOL!B7</t>
  </si>
  <si>
    <t xml:space="preserve">fx: 1*8500</t>
  </si>
  <si>
    <t xml:space="preserve">UNI FUTBOL!B8</t>
  </si>
  <si>
    <t xml:space="preserve">UNI FUTBOL!B9</t>
  </si>
  <si>
    <t xml:space="preserve">UNI FUTBOL!B10</t>
  </si>
  <si>
    <t xml:space="preserve">UNI FUTBOL!B11</t>
  </si>
  <si>
    <t xml:space="preserve">UNI FUTBOL!B12</t>
  </si>
  <si>
    <t xml:space="preserve">UNI FUTBOL!B13</t>
  </si>
  <si>
    <t xml:space="preserve">UNI FUTBOL!B14</t>
  </si>
  <si>
    <t xml:space="preserve">UNI FUTBOL!B15</t>
  </si>
  <si>
    <t xml:space="preserve">UNI FUTBOL!B16</t>
  </si>
  <si>
    <t xml:space="preserve">UNI FUTBOL!B17</t>
  </si>
  <si>
    <t xml:space="preserve">UNI FUTBOL!J4</t>
  </si>
  <si>
    <t xml:space="preserve">fx: 0.8*1.5*O4</t>
  </si>
  <si>
    <t xml:space="preserve">UNI FUTBOL!J5</t>
  </si>
  <si>
    <t xml:space="preserve">UNI FUTBOL!J6</t>
  </si>
  <si>
    <t xml:space="preserve">UNI FUTBOL!J7</t>
  </si>
  <si>
    <t xml:space="preserve">UNI FUTBOL!J8</t>
  </si>
  <si>
    <t xml:space="preserve">UNI FUTBOL!J9</t>
  </si>
  <si>
    <t xml:space="preserve">UNI FUTBOL!J10</t>
  </si>
  <si>
    <t xml:space="preserve">UNI FUTBOL!J11</t>
  </si>
  <si>
    <t xml:space="preserve">UNI FUTBOL!J12</t>
  </si>
  <si>
    <t xml:space="preserve">UNI FUTBOL!J13</t>
  </si>
  <si>
    <t xml:space="preserve">UNI FUTBOL!J14</t>
  </si>
  <si>
    <t xml:space="preserve">UNI FUTBOL!J15</t>
  </si>
  <si>
    <t xml:space="preserve">UNI FUTBOL!J16</t>
  </si>
  <si>
    <t xml:space="preserve">UNI FUTBOL!J17</t>
  </si>
  <si>
    <t xml:space="preserve">UNI FUTBOL!B26</t>
  </si>
  <si>
    <t xml:space="preserve">fx: 0.55*1.6*G26</t>
  </si>
  <si>
    <t xml:space="preserve">UNI FUTBOL!B27</t>
  </si>
  <si>
    <t xml:space="preserve">UNI FUTBOL!B28</t>
  </si>
  <si>
    <t xml:space="preserve">UNI FUTBOL!B29</t>
  </si>
  <si>
    <t xml:space="preserve">fx: 15000*1.4/6</t>
  </si>
  <si>
    <t xml:space="preserve">UNI FUTBOL!B30</t>
  </si>
  <si>
    <t xml:space="preserve">UNI FUTBOL!B31</t>
  </si>
  <si>
    <t xml:space="preserve">UNI FUTBOL!B32</t>
  </si>
  <si>
    <t xml:space="preserve">UNI FUTBOL!B33</t>
  </si>
  <si>
    <t xml:space="preserve">UNI FUTBOL!B34</t>
  </si>
  <si>
    <t xml:space="preserve">UNI FUTBOL!B35</t>
  </si>
  <si>
    <t xml:space="preserve">UNI FUTBOL!B36</t>
  </si>
  <si>
    <t xml:space="preserve">UNI FUTBOL!B37</t>
  </si>
  <si>
    <t xml:space="preserve">UNI FUTBOL!B38</t>
  </si>
  <si>
    <t xml:space="preserve">UNI FUTBOL!B39</t>
  </si>
  <si>
    <t xml:space="preserve">UNI FUTBOL!J26</t>
  </si>
  <si>
    <t xml:space="preserve">fx: 0.5*1*O26/2</t>
  </si>
  <si>
    <t xml:space="preserve">UNI FUTBOL!J27</t>
  </si>
  <si>
    <t xml:space="preserve">UNI FUTBOL!J28</t>
  </si>
  <si>
    <t xml:space="preserve">UNI FUTBOL!J29</t>
  </si>
  <si>
    <t xml:space="preserve">UNI FUTBOL!J30</t>
  </si>
  <si>
    <t xml:space="preserve">UNI FUTBOL!J31</t>
  </si>
  <si>
    <t xml:space="preserve">UNI FUTBOL!J32</t>
  </si>
  <si>
    <t xml:space="preserve">UNI FUTBOL!J33</t>
  </si>
  <si>
    <t xml:space="preserve">UNI FUTBOL!J34</t>
  </si>
  <si>
    <t xml:space="preserve">UNI FUTBOL!J35</t>
  </si>
  <si>
    <t xml:space="preserve">UNI FUTBOL!J36</t>
  </si>
  <si>
    <t xml:space="preserve">UNI FUTBOL!J37</t>
  </si>
  <si>
    <t xml:space="preserve">UNI FUTBOL!J38</t>
  </si>
  <si>
    <t xml:space="preserve">UNI FUTBOL!J39</t>
  </si>
  <si>
    <t xml:space="preserve">TALLAS 16-S-M</t>
  </si>
  <si>
    <t xml:space="preserve">UNI FUTBOL!B47</t>
  </si>
  <si>
    <t xml:space="preserve">fx: 0.9*1.3*G47</t>
  </si>
  <si>
    <t xml:space="preserve">UNI FUTBOL!B48</t>
  </si>
  <si>
    <t xml:space="preserve">UNI FUTBOL!B49</t>
  </si>
  <si>
    <t xml:space="preserve">UNI FUTBOL!B50</t>
  </si>
  <si>
    <t xml:space="preserve">fx: 0.9*9500</t>
  </si>
  <si>
    <t xml:space="preserve">UNI FUTBOL!B51</t>
  </si>
  <si>
    <t xml:space="preserve">UNI FUTBOL!B52</t>
  </si>
  <si>
    <t xml:space="preserve">UNI FUTBOL!B53</t>
  </si>
  <si>
    <t xml:space="preserve">UNI FUTBOL!B54</t>
  </si>
  <si>
    <t xml:space="preserve">UNI FUTBOL!B55</t>
  </si>
  <si>
    <t xml:space="preserve">UNI FUTBOL!B56</t>
  </si>
  <si>
    <t xml:space="preserve">UNI FUTBOL!B57</t>
  </si>
  <si>
    <t xml:space="preserve">UNI FUTBOL!B58</t>
  </si>
  <si>
    <t xml:space="preserve">UNI FUTBOL!B59</t>
  </si>
  <si>
    <t xml:space="preserve">UNI FUTBOL!B60</t>
  </si>
  <si>
    <t xml:space="preserve">UNI FUTBOL!B66</t>
  </si>
  <si>
    <t xml:space="preserve">fx: 0.8*1.8*G66</t>
  </si>
  <si>
    <t xml:space="preserve">UNI FUTBOL!B67</t>
  </si>
  <si>
    <t xml:space="preserve">UNI FUTBOL!B68</t>
  </si>
  <si>
    <t xml:space="preserve">UNI FUTBOL!B69</t>
  </si>
  <si>
    <t xml:space="preserve">UNI FUTBOL!B70</t>
  </si>
  <si>
    <t xml:space="preserve">UNI FUTBOL!B71</t>
  </si>
  <si>
    <t xml:space="preserve">UNI FUTBOL!B72</t>
  </si>
  <si>
    <t xml:space="preserve">UNI FUTBOL!B73</t>
  </si>
  <si>
    <t xml:space="preserve">UNI FUTBOL!B74</t>
  </si>
  <si>
    <t xml:space="preserve">UNI FUTBOL!B75</t>
  </si>
  <si>
    <t xml:space="preserve">UNI FUTBOL!B76</t>
  </si>
  <si>
    <t xml:space="preserve">UNI FUTBOL!B77</t>
  </si>
  <si>
    <t xml:space="preserve">UNI FUTBOL!B78</t>
  </si>
  <si>
    <t xml:space="preserve">UNI FUTBOL!B79</t>
  </si>
  <si>
    <t xml:space="preserve">UNI FUTBOL!B80</t>
  </si>
  <si>
    <t xml:space="preserve">UNI FUTBOL!B87</t>
  </si>
  <si>
    <t xml:space="preserve">fx: 0.6*1.8/2*G4</t>
  </si>
  <si>
    <t xml:space="preserve">UNI FUTBOL!B88</t>
  </si>
  <si>
    <t xml:space="preserve">UNI FUTBOL!B89</t>
  </si>
  <si>
    <t xml:space="preserve">UNI FUTBOL!B90</t>
  </si>
  <si>
    <t xml:space="preserve">UNI FUTBOL!B91</t>
  </si>
  <si>
    <t xml:space="preserve">UNI FUTBOL!B92</t>
  </si>
  <si>
    <t xml:space="preserve">UNI FUTBOL!B93</t>
  </si>
  <si>
    <t xml:space="preserve">UNI FUTBOL!B94</t>
  </si>
  <si>
    <t xml:space="preserve">UNI FUTBOL!B95</t>
  </si>
  <si>
    <t xml:space="preserve">UNI FUTBOL!B96</t>
  </si>
  <si>
    <t xml:space="preserve">UNI FUTBOL!B97</t>
  </si>
  <si>
    <t xml:space="preserve">UNI FUTBOL!B98</t>
  </si>
  <si>
    <t xml:space="preserve">UNI FUTBOL!B99</t>
  </si>
  <si>
    <t xml:space="preserve">UNI FUTBOL!B100</t>
  </si>
  <si>
    <t xml:space="preserve">UNI FUTBOL!J87</t>
  </si>
  <si>
    <t xml:space="preserve">fx: 0.5*1.7*4000</t>
  </si>
  <si>
    <t xml:space="preserve">UNI FUTBOL!J88</t>
  </si>
  <si>
    <t xml:space="preserve">UNI FUTBOL!J89</t>
  </si>
  <si>
    <t xml:space="preserve">UNI FUTBOL!J90</t>
  </si>
  <si>
    <t xml:space="preserve">UNI FUTBOL!J91</t>
  </si>
  <si>
    <t xml:space="preserve">vinil</t>
  </si>
  <si>
    <t xml:space="preserve">UNI FUTBOL!J92</t>
  </si>
  <si>
    <t xml:space="preserve">UNI FUTBOL!J93</t>
  </si>
  <si>
    <t xml:space="preserve">UNI FUTBOL!J94</t>
  </si>
  <si>
    <t xml:space="preserve">UNI FUTBOL!J95</t>
  </si>
  <si>
    <t xml:space="preserve">UNI FUTBOL!J96</t>
  </si>
  <si>
    <t xml:space="preserve">UNI FUTBOL!J97</t>
  </si>
  <si>
    <t xml:space="preserve">UNI FUTBOL!J98</t>
  </si>
  <si>
    <t xml:space="preserve">UNI FUTBOL!J99</t>
  </si>
  <si>
    <t xml:space="preserve">UNI FUTBOL!J100</t>
  </si>
  <si>
    <t xml:space="preserve">Caballero</t>
  </si>
  <si>
    <t xml:space="preserve">UNI FUTBOL!B106</t>
  </si>
  <si>
    <t xml:space="preserve">fx: 0.5*1.2*G4</t>
  </si>
  <si>
    <t xml:space="preserve">UNI FUTBOL!B107</t>
  </si>
  <si>
    <t xml:space="preserve">UNI FUTBOL!B108</t>
  </si>
  <si>
    <t xml:space="preserve">UNI FUTBOL!B109</t>
  </si>
  <si>
    <t xml:space="preserve">UNI FUTBOL!B110</t>
  </si>
  <si>
    <t xml:space="preserve">UNI FUTBOL!B111</t>
  </si>
  <si>
    <t xml:space="preserve">UNI FUTBOL!B112</t>
  </si>
  <si>
    <t xml:space="preserve">UNI FUTBOL!B113</t>
  </si>
  <si>
    <t xml:space="preserve">UNI FUTBOL!B114</t>
  </si>
  <si>
    <t xml:space="preserve">UNI FUTBOL!B115</t>
  </si>
  <si>
    <t xml:space="preserve">UNI FUTBOL!B116</t>
  </si>
  <si>
    <t xml:space="preserve">UNI FUTBOL!B117</t>
  </si>
  <si>
    <t xml:space="preserve">UNI FUTBOL!B118</t>
  </si>
  <si>
    <t xml:space="preserve">UNI FUTBOL!B119</t>
  </si>
  <si>
    <t xml:space="preserve">NIÑO/DAMA</t>
  </si>
  <si>
    <t xml:space="preserve">UNI FUTBOL!J106</t>
  </si>
  <si>
    <t xml:space="preserve">fx: 0.8*1.8*O4</t>
  </si>
  <si>
    <t xml:space="preserve">UNI FUTBOL!J107</t>
  </si>
  <si>
    <t xml:space="preserve">UNI FUTBOL!J108</t>
  </si>
  <si>
    <t xml:space="preserve">UNI FUTBOL!J109</t>
  </si>
  <si>
    <t xml:space="preserve">UNI FUTBOL!J110</t>
  </si>
  <si>
    <t xml:space="preserve">UNI FUTBOL!J111</t>
  </si>
  <si>
    <t xml:space="preserve">UNI FUTBOL!J112</t>
  </si>
  <si>
    <t xml:space="preserve">UNI FUTBOL!J113</t>
  </si>
  <si>
    <t xml:space="preserve">UNI FUTBOL!J114</t>
  </si>
  <si>
    <t xml:space="preserve">UNI FUTBOL!J115</t>
  </si>
  <si>
    <t xml:space="preserve">UNI FUTBOL!J116</t>
  </si>
  <si>
    <t xml:space="preserve">UNI FUTBOL!J117</t>
  </si>
  <si>
    <t xml:space="preserve">UNI FUTBOL!J118</t>
  </si>
  <si>
    <t xml:space="preserve">UNI FUTBOL!J119</t>
  </si>
  <si>
    <t xml:space="preserve">UNI FUTBOL!J125</t>
  </si>
  <si>
    <t xml:space="preserve">fx: 0.6*1.5*3800</t>
  </si>
  <si>
    <t xml:space="preserve">UNI FUTBOL!J126</t>
  </si>
  <si>
    <t xml:space="preserve">UNI FUTBOL!J127</t>
  </si>
  <si>
    <t xml:space="preserve">UNI FUTBOL!J128</t>
  </si>
  <si>
    <t xml:space="preserve">UNI FUTBOL!J129</t>
  </si>
  <si>
    <t xml:space="preserve">UNI FUTBOL!J130</t>
  </si>
  <si>
    <t xml:space="preserve">UNI FUTBOL!J131</t>
  </si>
  <si>
    <t xml:space="preserve">UNI FUTBOL!J132</t>
  </si>
  <si>
    <t xml:space="preserve">UNI FUTBOL!J133</t>
  </si>
  <si>
    <t xml:space="preserve">UNI FUTBOL!J134</t>
  </si>
  <si>
    <t xml:space="preserve">UNI FUTBOL!J135</t>
  </si>
  <si>
    <t xml:space="preserve">UNI FUTBOL!J136</t>
  </si>
  <si>
    <t xml:space="preserve">UNI FUTBOL!J137</t>
  </si>
  <si>
    <t xml:space="preserve">UNI FUTBOL!J138</t>
  </si>
  <si>
    <t xml:space="preserve">UNI FUTBOL!B125</t>
  </si>
  <si>
    <t xml:space="preserve">fx: 0.6*1.14*4000</t>
  </si>
  <si>
    <t xml:space="preserve">UNI FUTBOL!B126</t>
  </si>
  <si>
    <t xml:space="preserve">UNI FUTBOL!B127</t>
  </si>
  <si>
    <t xml:space="preserve">UNI FUTBOL!B128</t>
  </si>
  <si>
    <t xml:space="preserve">UNI FUTBOL!B129</t>
  </si>
  <si>
    <t xml:space="preserve">UNI FUTBOL!B130</t>
  </si>
  <si>
    <t xml:space="preserve">UNI FUTBOL!B131</t>
  </si>
  <si>
    <t xml:space="preserve">UNI FUTBOL!B132</t>
  </si>
  <si>
    <t xml:space="preserve">UNI FUTBOL!B133</t>
  </si>
  <si>
    <t xml:space="preserve">UNI FUTBOL!B134</t>
  </si>
  <si>
    <t xml:space="preserve">UNI FUTBOL!B135</t>
  </si>
  <si>
    <t xml:space="preserve">UNI FUTBOL!B136</t>
  </si>
  <si>
    <t xml:space="preserve">UNI FUTBOL!B137</t>
  </si>
  <si>
    <t xml:space="preserve">UNI FUTBOL!B138</t>
  </si>
  <si>
    <t xml:space="preserve">UNI FUTBOL!B139</t>
  </si>
  <si>
    <t xml:space="preserve">MUSE/ATLE</t>
  </si>
  <si>
    <t xml:space="preserve">UNI FUTBOL!B145</t>
  </si>
  <si>
    <t xml:space="preserve">fx: 0.7*1.8*G4</t>
  </si>
  <si>
    <t xml:space="preserve">UNI FUTBOL!B146</t>
  </si>
  <si>
    <t xml:space="preserve">UNI FUTBOL!B147</t>
  </si>
  <si>
    <t xml:space="preserve">UNI FUTBOL!B148</t>
  </si>
  <si>
    <t xml:space="preserve">fx: 0.8*11000</t>
  </si>
  <si>
    <t xml:space="preserve">UNI FUTBOL!B149</t>
  </si>
  <si>
    <t xml:space="preserve">UNI FUTBOL!B150</t>
  </si>
  <si>
    <t xml:space="preserve">UNI FUTBOL!B151</t>
  </si>
  <si>
    <t xml:space="preserve">UNI FUTBOL!B152</t>
  </si>
  <si>
    <t xml:space="preserve">UNI FUTBOL!B153</t>
  </si>
  <si>
    <t xml:space="preserve">UNI FUTBOL!B154</t>
  </si>
  <si>
    <t xml:space="preserve">UNI FUTBOL!B155</t>
  </si>
  <si>
    <t xml:space="preserve">UNI FUTBOL!B156</t>
  </si>
  <si>
    <t xml:space="preserve">UNI FUTBOL!B157</t>
  </si>
  <si>
    <t xml:space="preserve">UNI FUTBOL!B158</t>
  </si>
  <si>
    <t xml:space="preserve">UNI FUTBOL!B159</t>
  </si>
  <si>
    <t xml:space="preserve">FULL SUBLI</t>
  </si>
  <si>
    <t xml:space="preserve">MICRO DAMA</t>
  </si>
  <si>
    <t xml:space="preserve">FULL SUBLI!B4</t>
  </si>
  <si>
    <t xml:space="preserve">fx: 0.8*3*F4</t>
  </si>
  <si>
    <t xml:space="preserve">FULL SUBLI!B5</t>
  </si>
  <si>
    <t xml:space="preserve">FULL SUBLI!B6</t>
  </si>
  <si>
    <t xml:space="preserve">FULL SUBLI!B7</t>
  </si>
  <si>
    <t xml:space="preserve">SUBLIMACION COMPLETA</t>
  </si>
  <si>
    <t xml:space="preserve">FULL SUBLI!B8</t>
  </si>
  <si>
    <t xml:space="preserve">FULL SUBLI!B9</t>
  </si>
  <si>
    <t xml:space="preserve">FULL SUBLI!B10</t>
  </si>
  <si>
    <t xml:space="preserve">FULL SUBLI!B11</t>
  </si>
  <si>
    <t xml:space="preserve">FULL SUBLI!B12</t>
  </si>
  <si>
    <t xml:space="preserve">FULL SUBLI!B13</t>
  </si>
  <si>
    <t xml:space="preserve">FULL SUBLI!B14</t>
  </si>
  <si>
    <t xml:space="preserve">FULL SUBLI!B15</t>
  </si>
  <si>
    <t xml:space="preserve">FULL SUBLI!B16</t>
  </si>
  <si>
    <t xml:space="preserve">FULL SUBLI!J4</t>
  </si>
  <si>
    <t xml:space="preserve">fx: 0.6*3*N4</t>
  </si>
  <si>
    <t xml:space="preserve">FULL SUBLI!J5</t>
  </si>
  <si>
    <t xml:space="preserve">FULL SUBLI!J6</t>
  </si>
  <si>
    <t xml:space="preserve">FULL SUBLI!J7</t>
  </si>
  <si>
    <t xml:space="preserve">FULL SUBLI!J8</t>
  </si>
  <si>
    <t xml:space="preserve">fx: 15000/2</t>
  </si>
  <si>
    <t xml:space="preserve">FULL SUBLI!J9</t>
  </si>
  <si>
    <t xml:space="preserve">FULL SUBLI!J10</t>
  </si>
  <si>
    <t xml:space="preserve">FULL SUBLI!J11</t>
  </si>
  <si>
    <t xml:space="preserve">FULL SUBLI!J12</t>
  </si>
  <si>
    <t xml:space="preserve">FULL SUBLI!J13</t>
  </si>
  <si>
    <t xml:space="preserve">FULL SUBLI!J14</t>
  </si>
  <si>
    <t xml:space="preserve">FULL SUBLI!J15</t>
  </si>
  <si>
    <t xml:space="preserve">FULL SUBLI!J16</t>
  </si>
  <si>
    <t xml:space="preserve">MICRO CABALLERO</t>
  </si>
  <si>
    <t xml:space="preserve">FULL SUBLI!B25</t>
  </si>
  <si>
    <t xml:space="preserve">FULL SUBLI!B26</t>
  </si>
  <si>
    <t xml:space="preserve">FULL SUBLI!B27</t>
  </si>
  <si>
    <t xml:space="preserve">SUBLIMACION FULL</t>
  </si>
  <si>
    <t xml:space="preserve">FULL SUBLI!B28</t>
  </si>
  <si>
    <t xml:space="preserve">fx: 15000/1</t>
  </si>
  <si>
    <t xml:space="preserve">FULL SUBLI!B29</t>
  </si>
  <si>
    <t xml:space="preserve">FULL SUBLI!B30</t>
  </si>
  <si>
    <t xml:space="preserve">FULL SUBLI!B31</t>
  </si>
  <si>
    <t xml:space="preserve">FULL SUBLI!B32</t>
  </si>
  <si>
    <t xml:space="preserve">FULL SUBLI!B33</t>
  </si>
  <si>
    <t xml:space="preserve">FULL SUBLI!B34</t>
  </si>
  <si>
    <t xml:space="preserve">FULL SUBLI!B35</t>
  </si>
  <si>
    <t xml:space="preserve">FULL SUBLI!B36</t>
  </si>
  <si>
    <t xml:space="preserve">FULL SUBLI!B37</t>
  </si>
  <si>
    <t xml:space="preserve">MUSELINA NIÑO</t>
  </si>
  <si>
    <t xml:space="preserve">FULL SUBLI!J43</t>
  </si>
  <si>
    <t xml:space="preserve">fx: 0.6*1.7*N43</t>
  </si>
  <si>
    <t xml:space="preserve">FULL SUBLI!J44</t>
  </si>
  <si>
    <t xml:space="preserve">FULL SUBLI!J45</t>
  </si>
  <si>
    <t xml:space="preserve">FULL SUBLI!J46</t>
  </si>
  <si>
    <t xml:space="preserve">FULL SUBLI!J47</t>
  </si>
  <si>
    <t xml:space="preserve">FULL SUBLI!J48</t>
  </si>
  <si>
    <t xml:space="preserve">FULL SUBLI!J49</t>
  </si>
  <si>
    <t xml:space="preserve">FULL SUBLI!J50</t>
  </si>
  <si>
    <t xml:space="preserve">FULL SUBLI!J51</t>
  </si>
  <si>
    <t xml:space="preserve">FULL SUBLI!J52</t>
  </si>
  <si>
    <t xml:space="preserve">FULL SUBLI!J53</t>
  </si>
  <si>
    <t xml:space="preserve">FULL SUBLI!J54</t>
  </si>
  <si>
    <t xml:space="preserve">FULL SUBLI!J55</t>
  </si>
  <si>
    <t xml:space="preserve">FULL SUBLI!B44</t>
  </si>
  <si>
    <t xml:space="preserve">fx: 0.8*1.7*F44</t>
  </si>
  <si>
    <t xml:space="preserve">FULL SUBLI!B45</t>
  </si>
  <si>
    <t xml:space="preserve">FULL SUBLI!B46</t>
  </si>
  <si>
    <t xml:space="preserve">FULL SUBLI!B47</t>
  </si>
  <si>
    <t xml:space="preserve">FULL SUBLI!B48</t>
  </si>
  <si>
    <t xml:space="preserve">fx: 15000/1.5</t>
  </si>
  <si>
    <t xml:space="preserve">FULL SUBLI!B49</t>
  </si>
  <si>
    <t xml:space="preserve">FULL SUBLI!B50</t>
  </si>
  <si>
    <t xml:space="preserve">FULL SUBLI!B51</t>
  </si>
  <si>
    <t xml:space="preserve">FULL SUBLI!B52</t>
  </si>
  <si>
    <t xml:space="preserve">FULL SUBLI!B53</t>
  </si>
  <si>
    <t xml:space="preserve">FULL SUBLI!B54</t>
  </si>
  <si>
    <t xml:space="preserve">FULL SUBLI!B55</t>
  </si>
  <si>
    <t xml:space="preserve">FULL SUBLI!B56</t>
  </si>
  <si>
    <t xml:space="preserve">FULL SUBLI!B61</t>
  </si>
  <si>
    <t xml:space="preserve">fx: 1.1*1.7*F44</t>
  </si>
  <si>
    <t xml:space="preserve">FULL SUBLI!B62</t>
  </si>
  <si>
    <t xml:space="preserve">FULL SUBLI!B63</t>
  </si>
  <si>
    <t xml:space="preserve">FULL SUBLI!B64</t>
  </si>
  <si>
    <t xml:space="preserve">FULL SUBLI!B65</t>
  </si>
  <si>
    <t xml:space="preserve">FULL SUBLI!B66</t>
  </si>
  <si>
    <t xml:space="preserve">FULL SUBLI!B67</t>
  </si>
  <si>
    <t xml:space="preserve">FULL SUBLI!B68</t>
  </si>
  <si>
    <t xml:space="preserve">FULL SUBLI!B69</t>
  </si>
  <si>
    <t xml:space="preserve">FULL SUBLI!B70</t>
  </si>
  <si>
    <t xml:space="preserve">FULL SUBLI!B71</t>
  </si>
  <si>
    <t xml:space="preserve">FULL SUBLI!B72</t>
  </si>
  <si>
    <t xml:space="preserve">FULL SUBLI!B73</t>
  </si>
  <si>
    <t xml:space="preserve">LICRAS </t>
  </si>
  <si>
    <t xml:space="preserve">PANTALON LICRA</t>
  </si>
  <si>
    <t xml:space="preserve">LICRAS !B8</t>
  </si>
  <si>
    <t xml:space="preserve">fx: 1*2.2*4000/2</t>
  </si>
  <si>
    <t xml:space="preserve">LICRAS !B9</t>
  </si>
  <si>
    <t xml:space="preserve">fx: 2000*0.55</t>
  </si>
  <si>
    <t xml:space="preserve">LICRAS !B10</t>
  </si>
  <si>
    <t xml:space="preserve">LICRAS !B11</t>
  </si>
  <si>
    <t xml:space="preserve">LICRAS !B12</t>
  </si>
  <si>
    <t xml:space="preserve">LICRAS !B13</t>
  </si>
  <si>
    <t xml:space="preserve">LICRAS !B14</t>
  </si>
  <si>
    <t xml:space="preserve">LICRAS !B15</t>
  </si>
  <si>
    <t xml:space="preserve">LICRAS !B16</t>
  </si>
  <si>
    <t xml:space="preserve">LICRAS !B17</t>
  </si>
  <si>
    <t xml:space="preserve">LICRAS !B18</t>
  </si>
  <si>
    <t xml:space="preserve">LICRAS !B19</t>
  </si>
  <si>
    <t xml:space="preserve">LICRAS !B20</t>
  </si>
  <si>
    <t xml:space="preserve">LICRAS !K8</t>
  </si>
  <si>
    <t xml:space="preserve">fx: 0.7*4*F3/2</t>
  </si>
  <si>
    <t xml:space="preserve">LICRAS !K9</t>
  </si>
  <si>
    <t xml:space="preserve">LICRAS !K10</t>
  </si>
  <si>
    <t xml:space="preserve">LICRAS !K11</t>
  </si>
  <si>
    <t xml:space="preserve">LICRAS !K12</t>
  </si>
  <si>
    <t xml:space="preserve">LICRAS !K13</t>
  </si>
  <si>
    <t xml:space="preserve">LICRAS !K14</t>
  </si>
  <si>
    <t xml:space="preserve">LICRAS !K15</t>
  </si>
  <si>
    <t xml:space="preserve">LICRAS !K16</t>
  </si>
  <si>
    <t xml:space="preserve">LICRAS !K17</t>
  </si>
  <si>
    <t xml:space="preserve">LICRAS !K18</t>
  </si>
  <si>
    <t xml:space="preserve">LICRAS !K19</t>
  </si>
  <si>
    <t xml:space="preserve">LICRAS !K20</t>
  </si>
  <si>
    <t xml:space="preserve">LICRAS !T8</t>
  </si>
  <si>
    <t xml:space="preserve">fx: 45000</t>
  </si>
  <si>
    <t xml:space="preserve">LICRAS !T9</t>
  </si>
  <si>
    <t xml:space="preserve">fx: 2000*0.65</t>
  </si>
  <si>
    <t xml:space="preserve">LICRAS !T10</t>
  </si>
  <si>
    <t xml:space="preserve">LICRAS !T11</t>
  </si>
  <si>
    <t xml:space="preserve">LICRAS !T12</t>
  </si>
  <si>
    <t xml:space="preserve">LICRAS !T13</t>
  </si>
  <si>
    <t xml:space="preserve">LICRAS !T14</t>
  </si>
  <si>
    <t xml:space="preserve">LICRAS !T15</t>
  </si>
  <si>
    <t xml:space="preserve">LICRAS !T16</t>
  </si>
  <si>
    <t xml:space="preserve">LICRAS !T17</t>
  </si>
  <si>
    <t xml:space="preserve">LICRAS !T18</t>
  </si>
  <si>
    <t xml:space="preserve">LICRAS !T19</t>
  </si>
  <si>
    <t xml:space="preserve">LICRAS !T20</t>
  </si>
  <si>
    <t xml:space="preserve">LICRAS !K27</t>
  </si>
  <si>
    <t xml:space="preserve">fx: 0.9*4*4200/3*2</t>
  </si>
  <si>
    <t xml:space="preserve">LICRAS !K28</t>
  </si>
  <si>
    <t xml:space="preserve">LICRAS !K29</t>
  </si>
  <si>
    <t xml:space="preserve">LICRAS !K30</t>
  </si>
  <si>
    <t xml:space="preserve">LICRAS !K31</t>
  </si>
  <si>
    <t xml:space="preserve">LICRAS !K32</t>
  </si>
  <si>
    <t xml:space="preserve">LICRAS !K33</t>
  </si>
  <si>
    <t xml:space="preserve">LICRAS !K34</t>
  </si>
  <si>
    <t xml:space="preserve">LICRAS !K35</t>
  </si>
  <si>
    <t xml:space="preserve">LICRAS !K36</t>
  </si>
  <si>
    <t xml:space="preserve">LICRAS !K37</t>
  </si>
  <si>
    <t xml:space="preserve">LICRAS !K38</t>
  </si>
  <si>
    <t xml:space="preserve">LICRAS !K39</t>
  </si>
  <si>
    <t xml:space="preserve">LICRAS !B30</t>
  </si>
  <si>
    <t xml:space="preserve">fx: 1.1*2.5*4000/1.5</t>
  </si>
  <si>
    <t xml:space="preserve">LICRAS !B31</t>
  </si>
  <si>
    <t xml:space="preserve">LICRAS !B32</t>
  </si>
  <si>
    <t xml:space="preserve">LICRAS !B33</t>
  </si>
  <si>
    <t xml:space="preserve">LICRAS !B34</t>
  </si>
  <si>
    <t xml:space="preserve">LICRAS !B35</t>
  </si>
  <si>
    <t xml:space="preserve">LICRAS !B36</t>
  </si>
  <si>
    <t xml:space="preserve">LICRAS !B37</t>
  </si>
  <si>
    <t xml:space="preserve">LICRAS !B38</t>
  </si>
  <si>
    <t xml:space="preserve">LICRAS !B39</t>
  </si>
  <si>
    <t xml:space="preserve">LICRAS !B40</t>
  </si>
  <si>
    <t xml:space="preserve">LICRAS !B41</t>
  </si>
  <si>
    <t xml:space="preserve">LICRAS !B42</t>
  </si>
  <si>
    <t xml:space="preserve">LICRAS !K51</t>
  </si>
  <si>
    <t xml:space="preserve">fx: 0.8*4*3800/2</t>
  </si>
  <si>
    <t xml:space="preserve">LICRAS !K52</t>
  </si>
  <si>
    <t xml:space="preserve">LICRAS !K53</t>
  </si>
  <si>
    <t xml:space="preserve">LICRAS !K54</t>
  </si>
  <si>
    <t xml:space="preserve">LICRAS !K55</t>
  </si>
  <si>
    <t xml:space="preserve">LICRAS !K56</t>
  </si>
  <si>
    <t xml:space="preserve">LICRAS !K57</t>
  </si>
  <si>
    <t xml:space="preserve">LICRAS !K58</t>
  </si>
  <si>
    <t xml:space="preserve">LICRAS !K59</t>
  </si>
  <si>
    <t xml:space="preserve">LICRAS !K60</t>
  </si>
  <si>
    <t xml:space="preserve">LICRAS !K61</t>
  </si>
  <si>
    <t xml:space="preserve">LICRAS !K62</t>
  </si>
  <si>
    <t xml:space="preserve">LICRAS !K63</t>
  </si>
  <si>
    <t xml:space="preserve">LICRAS !B54</t>
  </si>
  <si>
    <t xml:space="preserve">LICRAS !B55</t>
  </si>
  <si>
    <t xml:space="preserve">fx: 0.5*4.2*F3/2</t>
  </si>
  <si>
    <t xml:space="preserve">LICRAS !B56</t>
  </si>
  <si>
    <t xml:space="preserve">LICRAS !B57</t>
  </si>
  <si>
    <t xml:space="preserve">LICRAS !B58</t>
  </si>
  <si>
    <t xml:space="preserve">LICRAS !B59</t>
  </si>
  <si>
    <t xml:space="preserve">LICRAS !B60</t>
  </si>
  <si>
    <t xml:space="preserve">LICRAS !B61</t>
  </si>
  <si>
    <t xml:space="preserve">LICRAS !B62</t>
  </si>
  <si>
    <t xml:space="preserve">LICRAS !B63</t>
  </si>
  <si>
    <t xml:space="preserve">LICRAS !B64</t>
  </si>
  <si>
    <t xml:space="preserve">LICRAS !B65</t>
  </si>
  <si>
    <t xml:space="preserve">LICRAS !B66</t>
  </si>
  <si>
    <t xml:space="preserve">T8 A T16</t>
  </si>
  <si>
    <t xml:space="preserve">LICRAS !K74</t>
  </si>
  <si>
    <t xml:space="preserve">fx: 0.7*3*4000/1.5</t>
  </si>
  <si>
    <t xml:space="preserve">LICRAS !K75</t>
  </si>
  <si>
    <t xml:space="preserve">fx: 14000*0.7/1.5</t>
  </si>
  <si>
    <t xml:space="preserve">LICRAS !K76</t>
  </si>
  <si>
    <t xml:space="preserve">fx: 3000</t>
  </si>
  <si>
    <t xml:space="preserve">LICRAS !K77</t>
  </si>
  <si>
    <t xml:space="preserve">LICRAS !K78</t>
  </si>
  <si>
    <t xml:space="preserve">LICRAS !K79</t>
  </si>
  <si>
    <t xml:space="preserve">LICRAS !K80</t>
  </si>
  <si>
    <t xml:space="preserve">LICRAS !K81</t>
  </si>
  <si>
    <t xml:space="preserve">ETIQUETA CARTON</t>
  </si>
  <si>
    <t xml:space="preserve">LICRAS !K82</t>
  </si>
  <si>
    <t xml:space="preserve">LICRAS !K83</t>
  </si>
  <si>
    <t xml:space="preserve">LICRAS !K84</t>
  </si>
  <si>
    <t xml:space="preserve">LICRAS !K85</t>
  </si>
  <si>
    <t xml:space="preserve">LICRAS !K86</t>
  </si>
  <si>
    <t xml:space="preserve">TALLAS DAMA</t>
  </si>
  <si>
    <t xml:space="preserve">LICRAS !B74</t>
  </si>
  <si>
    <t xml:space="preserve">fx: 0.65*7/1.5*F49</t>
  </si>
  <si>
    <t xml:space="preserve">LICRAS !B75</t>
  </si>
  <si>
    <t xml:space="preserve">fx: 14000*0.65/1.5</t>
  </si>
  <si>
    <t xml:space="preserve">LICRAS !B76</t>
  </si>
  <si>
    <t xml:space="preserve">LICRAS !B77</t>
  </si>
  <si>
    <t xml:space="preserve">LICRAS !B78</t>
  </si>
  <si>
    <t xml:space="preserve">LICRAS !B79</t>
  </si>
  <si>
    <t xml:space="preserve">LICRAS !B80</t>
  </si>
  <si>
    <t xml:space="preserve">LICRAS !B81</t>
  </si>
  <si>
    <t xml:space="preserve">LICRAS !B82</t>
  </si>
  <si>
    <t xml:space="preserve">LICRAS !B83</t>
  </si>
  <si>
    <t xml:space="preserve">LICRAS !B84</t>
  </si>
  <si>
    <t xml:space="preserve">LICRAS !B85</t>
  </si>
  <si>
    <t xml:space="preserve">LICRAS !B86</t>
  </si>
  <si>
    <t xml:space="preserve">LICRAS !B87</t>
  </si>
  <si>
    <t xml:space="preserve">CORTA VIENTO</t>
  </si>
  <si>
    <t xml:space="preserve">LICRAS !K94</t>
  </si>
  <si>
    <t xml:space="preserve">fx: 1.5*3*4000</t>
  </si>
  <si>
    <t xml:space="preserve">LICRAS !K95</t>
  </si>
  <si>
    <t xml:space="preserve">LICRAS !K96</t>
  </si>
  <si>
    <t xml:space="preserve">LICRAS !K97</t>
  </si>
  <si>
    <t xml:space="preserve">LICRAS !K98</t>
  </si>
  <si>
    <t xml:space="preserve">fx: K81</t>
  </si>
  <si>
    <t xml:space="preserve">LICRAS !K99</t>
  </si>
  <si>
    <t xml:space="preserve">LICRAS !K100</t>
  </si>
  <si>
    <t xml:space="preserve">LICRAS !K101</t>
  </si>
  <si>
    <t xml:space="preserve">LICRAS !K102</t>
  </si>
  <si>
    <t xml:space="preserve">LICRAS !K103</t>
  </si>
  <si>
    <t xml:space="preserve">LICRAS !K104</t>
  </si>
  <si>
    <t xml:space="preserve">LICRAS !K105</t>
  </si>
  <si>
    <t xml:space="preserve">LICRAS !K106</t>
  </si>
  <si>
    <t xml:space="preserve">LICRAS !K107</t>
  </si>
  <si>
    <t xml:space="preserve">LICRAS !B95</t>
  </si>
  <si>
    <t xml:space="preserve">fx: 0.5*7/2*F49</t>
  </si>
  <si>
    <t xml:space="preserve">LICRAS !B96</t>
  </si>
  <si>
    <t xml:space="preserve">fx: 14000*0.5/2</t>
  </si>
  <si>
    <t xml:space="preserve">LICRAS !B97</t>
  </si>
  <si>
    <t xml:space="preserve">LICRAS !B98</t>
  </si>
  <si>
    <t xml:space="preserve">LICRAS !B99</t>
  </si>
  <si>
    <t xml:space="preserve">LICRAS !B100</t>
  </si>
  <si>
    <t xml:space="preserve">LICRAS !B101</t>
  </si>
  <si>
    <t xml:space="preserve">LICRAS !B102</t>
  </si>
  <si>
    <t xml:space="preserve">LICRAS !B103</t>
  </si>
  <si>
    <t xml:space="preserve">DTF</t>
  </si>
  <si>
    <t xml:space="preserve">LICRAS !B104</t>
  </si>
  <si>
    <t xml:space="preserve">LICRAS !B105</t>
  </si>
  <si>
    <t xml:space="preserve">LICRAS !B106</t>
  </si>
  <si>
    <t xml:space="preserve">LICRAS !B107</t>
  </si>
  <si>
    <t xml:space="preserve">LICRAS !B108</t>
  </si>
  <si>
    <t xml:space="preserve">TALLAS 8-16</t>
  </si>
  <si>
    <t xml:space="preserve">LICRAS !B116</t>
  </si>
  <si>
    <t xml:space="preserve">fx: 0.65*3*4000/1.5</t>
  </si>
  <si>
    <t xml:space="preserve">LICRAS !B117</t>
  </si>
  <si>
    <t xml:space="preserve">LICRAS !B118</t>
  </si>
  <si>
    <t xml:space="preserve">fx: 2000*0.7</t>
  </si>
  <si>
    <t xml:space="preserve">LICRAS !B119</t>
  </si>
  <si>
    <t xml:space="preserve">LICRAS !B120</t>
  </si>
  <si>
    <t xml:space="preserve">LICRAS !B121</t>
  </si>
  <si>
    <t xml:space="preserve">LICRAS !B122</t>
  </si>
  <si>
    <t xml:space="preserve">LICRAS !B123</t>
  </si>
  <si>
    <t xml:space="preserve">LICRAS !B124</t>
  </si>
  <si>
    <t xml:space="preserve">LICRAS !B125</t>
  </si>
  <si>
    <t xml:space="preserve">LICRAS !B126</t>
  </si>
  <si>
    <t xml:space="preserve">LICRAS !B127</t>
  </si>
  <si>
    <t xml:space="preserve">LICRAS !B128</t>
  </si>
  <si>
    <t xml:space="preserve">LICRAS !B129</t>
  </si>
  <si>
    <t xml:space="preserve">LICRAS !K116</t>
  </si>
  <si>
    <t xml:space="preserve">fx: 0.7*2*4000/1.5</t>
  </si>
  <si>
    <t xml:space="preserve">LICRAS !K117</t>
  </si>
  <si>
    <t xml:space="preserve">SUBLIMACION LOGO</t>
  </si>
  <si>
    <t xml:space="preserve">LICRAS !K118</t>
  </si>
  <si>
    <t xml:space="preserve">LICRAS !K119</t>
  </si>
  <si>
    <t xml:space="preserve">LICRAS !K121</t>
  </si>
  <si>
    <t xml:space="preserve">LICRAS !K122</t>
  </si>
  <si>
    <t xml:space="preserve">LICRAS !K123</t>
  </si>
  <si>
    <t xml:space="preserve">LICRAS !K124</t>
  </si>
  <si>
    <t xml:space="preserve">LICRAS !K125</t>
  </si>
  <si>
    <t xml:space="preserve">LICRAS !K126</t>
  </si>
  <si>
    <t xml:space="preserve">LICRAS !K127</t>
  </si>
  <si>
    <t xml:space="preserve">LICRAS !K128</t>
  </si>
  <si>
    <t xml:space="preserve">LICRAS !K129</t>
  </si>
  <si>
    <t xml:space="preserve">MONO</t>
  </si>
  <si>
    <t xml:space="preserve">LICRAS !K141</t>
  </si>
  <si>
    <t xml:space="preserve">fx: 1*3.7*3750</t>
  </si>
  <si>
    <t xml:space="preserve">LICRAS !K142</t>
  </si>
  <si>
    <t xml:space="preserve">LICRAS !K143</t>
  </si>
  <si>
    <t xml:space="preserve">LICRAS !K144</t>
  </si>
  <si>
    <t xml:space="preserve">LICRAS !K145</t>
  </si>
  <si>
    <t xml:space="preserve">LICRAS !K146</t>
  </si>
  <si>
    <t xml:space="preserve">LICRAS !K147</t>
  </si>
  <si>
    <t xml:space="preserve">LICRAS !K148</t>
  </si>
  <si>
    <t xml:space="preserve">LICRAS !K149</t>
  </si>
  <si>
    <t xml:space="preserve">LICRAS !K150</t>
  </si>
  <si>
    <t xml:space="preserve">LICRAS !K151</t>
  </si>
  <si>
    <t xml:space="preserve">LICRAS !K152</t>
  </si>
  <si>
    <t xml:space="preserve">LICRAS !B142</t>
  </si>
  <si>
    <t xml:space="preserve">fx: 0.8*3*4000/3</t>
  </si>
  <si>
    <t xml:space="preserve">LICRAS !B143</t>
  </si>
  <si>
    <t xml:space="preserve">LICRAS !B144</t>
  </si>
  <si>
    <t xml:space="preserve">LICRAS !B145</t>
  </si>
  <si>
    <t xml:space="preserve">LICRAS !B146</t>
  </si>
  <si>
    <t xml:space="preserve">LICRAS !B147</t>
  </si>
  <si>
    <t xml:space="preserve">LICRAS !B148</t>
  </si>
  <si>
    <t xml:space="preserve">LICRAS !B149</t>
  </si>
  <si>
    <t xml:space="preserve">LICRAS !B150</t>
  </si>
  <si>
    <t xml:space="preserve">LICRAS !B151</t>
  </si>
  <si>
    <t xml:space="preserve">LICRAS !B152</t>
  </si>
  <si>
    <t xml:space="preserve">LICRAS !B153</t>
  </si>
  <si>
    <t xml:space="preserve">LICRAS !B154</t>
  </si>
  <si>
    <t xml:space="preserve">LICRAS !B155</t>
  </si>
  <si>
    <t xml:space="preserve">PIJAMAS </t>
  </si>
  <si>
    <t xml:space="preserve">niños pijama buzo</t>
  </si>
  <si>
    <t xml:space="preserve">PIJAMAS !B3</t>
  </si>
  <si>
    <t xml:space="preserve">fx: 0.9*1.7*F2</t>
  </si>
  <si>
    <t xml:space="preserve">PIJAMAS !B4</t>
  </si>
  <si>
    <t xml:space="preserve">PIJAMAS !B5</t>
  </si>
  <si>
    <t xml:space="preserve">PIJAMAS !B6</t>
  </si>
  <si>
    <t xml:space="preserve">PIJAMAS !B7</t>
  </si>
  <si>
    <t xml:space="preserve">PIJAMAS !B8</t>
  </si>
  <si>
    <t xml:space="preserve">PIJAMAS !B9</t>
  </si>
  <si>
    <t xml:space="preserve">PIJAMAS !B10</t>
  </si>
  <si>
    <t xml:space="preserve">MARQUILLA 1 TALLA DTF</t>
  </si>
  <si>
    <t xml:space="preserve">PIJAMAS !B11</t>
  </si>
  <si>
    <t xml:space="preserve">MARQUILLA 2 DTF</t>
  </si>
  <si>
    <t xml:space="preserve">PIJAMAS !B12</t>
  </si>
  <si>
    <t xml:space="preserve">fx: 41000/256</t>
  </si>
  <si>
    <t xml:space="preserve">DTF ESCUDO</t>
  </si>
  <si>
    <t xml:space="preserve">PIJAMAS !B13</t>
  </si>
  <si>
    <t xml:space="preserve">LOGO EN VINIL</t>
  </si>
  <si>
    <t xml:space="preserve">PIJAMAS !B14</t>
  </si>
  <si>
    <t xml:space="preserve">fx: 14000/210</t>
  </si>
  <si>
    <t xml:space="preserve">PIJAMAS !B15</t>
  </si>
  <si>
    <t xml:space="preserve">PIJAMAS !B16</t>
  </si>
  <si>
    <t xml:space="preserve">PIJAMAS !B17</t>
  </si>
  <si>
    <t xml:space="preserve">niños pijama pantalon</t>
  </si>
  <si>
    <t xml:space="preserve">PIJAMAS !B23</t>
  </si>
  <si>
    <t xml:space="preserve">fx: 1.2*1.7*F22</t>
  </si>
  <si>
    <t xml:space="preserve">PIJAMAS !B24</t>
  </si>
  <si>
    <t xml:space="preserve">PIJAMAS !B25</t>
  </si>
  <si>
    <t xml:space="preserve">PIJAMAS !B26</t>
  </si>
  <si>
    <t xml:space="preserve">PIJAMAS !B27</t>
  </si>
  <si>
    <t xml:space="preserve">PIJAMAS !B28</t>
  </si>
  <si>
    <t xml:space="preserve">PIJAMAS !B29</t>
  </si>
  <si>
    <t xml:space="preserve">PIJAMAS !B30</t>
  </si>
  <si>
    <t xml:space="preserve">fx: 43000/220</t>
  </si>
  <si>
    <t xml:space="preserve">PIJAMAS !B31</t>
  </si>
  <si>
    <t xml:space="preserve">fx: 43000/256</t>
  </si>
  <si>
    <t xml:space="preserve">PIJAMAS !B32</t>
  </si>
  <si>
    <t xml:space="preserve">fx: 43000/90</t>
  </si>
  <si>
    <t xml:space="preserve">PIJAMAS !B33</t>
  </si>
  <si>
    <t xml:space="preserve">PIJAMAS !B34</t>
  </si>
  <si>
    <t xml:space="preserve">PIJAMAS !B35</t>
  </si>
  <si>
    <t xml:space="preserve">PIJAMAS !B36</t>
  </si>
  <si>
    <t xml:space="preserve">CHEMIS </t>
  </si>
  <si>
    <t xml:space="preserve">CHEMIS !B5</t>
  </si>
  <si>
    <t xml:space="preserve">fx: 0.8*3.5*F3</t>
  </si>
  <si>
    <t xml:space="preserve">CUELLO Y PUÑOS</t>
  </si>
  <si>
    <t xml:space="preserve">CHEMIS !B6</t>
  </si>
  <si>
    <t xml:space="preserve">CHEMIS !B7</t>
  </si>
  <si>
    <t xml:space="preserve">CHEMIS !B8</t>
  </si>
  <si>
    <t xml:space="preserve">CHEMIS !B9</t>
  </si>
  <si>
    <t xml:space="preserve">CHEMIS !B10</t>
  </si>
  <si>
    <t xml:space="preserve">CHEMIS !B11</t>
  </si>
  <si>
    <t xml:space="preserve">CHEMIS !B12</t>
  </si>
  <si>
    <t xml:space="preserve">CHEMIS !B13</t>
  </si>
  <si>
    <t xml:space="preserve">CHEMIS !B14</t>
  </si>
  <si>
    <t xml:space="preserve">CHEMIS !B15</t>
  </si>
  <si>
    <t xml:space="preserve">CHEMIS !B16</t>
  </si>
  <si>
    <t xml:space="preserve">CHEMIS !J5</t>
  </si>
  <si>
    <t xml:space="preserve">fx: 0.9*5*N3</t>
  </si>
  <si>
    <t xml:space="preserve">CHEMIS !J6</t>
  </si>
  <si>
    <t xml:space="preserve">CHEMIS !J7</t>
  </si>
  <si>
    <t xml:space="preserve">CHEMIS !J8</t>
  </si>
  <si>
    <t xml:space="preserve">CHEMIS !J9</t>
  </si>
  <si>
    <t xml:space="preserve">CHEMIS !J10</t>
  </si>
  <si>
    <t xml:space="preserve">CHEMIS !J11</t>
  </si>
  <si>
    <t xml:space="preserve">CHEMIS !J12</t>
  </si>
  <si>
    <t xml:space="preserve">CHEMIS !J13</t>
  </si>
  <si>
    <t xml:space="preserve">CHEMIS !J14</t>
  </si>
  <si>
    <t xml:space="preserve">CHEMIS !J15</t>
  </si>
  <si>
    <t xml:space="preserve">CHEMIS !J16</t>
  </si>
  <si>
    <t xml:space="preserve">CHEMIS !B22</t>
  </si>
  <si>
    <t xml:space="preserve">fx: 0.9*4*F20</t>
  </si>
  <si>
    <t xml:space="preserve">CHEMIS !B23</t>
  </si>
  <si>
    <t xml:space="preserve">CHEMIS !B24</t>
  </si>
  <si>
    <t xml:space="preserve">CHEMIS !B25</t>
  </si>
  <si>
    <t xml:space="preserve">CHEMIS !B26</t>
  </si>
  <si>
    <t xml:space="preserve">CHEMIS !B27</t>
  </si>
  <si>
    <t xml:space="preserve">CHEMIS !B28</t>
  </si>
  <si>
    <t xml:space="preserve">CHEMIS !B29</t>
  </si>
  <si>
    <t xml:space="preserve">CHEMIS !B30</t>
  </si>
  <si>
    <t xml:space="preserve">CHEMIS !B31</t>
  </si>
  <si>
    <t xml:space="preserve">CHEMIS !B32</t>
  </si>
  <si>
    <t xml:space="preserve">CHEMIS !B33</t>
  </si>
  <si>
    <t xml:space="preserve">CHEMIS !J22</t>
  </si>
  <si>
    <t xml:space="preserve">fx: 0.6*4.5*N20</t>
  </si>
  <si>
    <t xml:space="preserve">CHEMIS !J23</t>
  </si>
  <si>
    <t xml:space="preserve">CHEMIS !J24</t>
  </si>
  <si>
    <t xml:space="preserve">CHEMIS !J25</t>
  </si>
  <si>
    <t xml:space="preserve">CHEMIS !J26</t>
  </si>
  <si>
    <t xml:space="preserve">CHEMIS !J27</t>
  </si>
  <si>
    <t xml:space="preserve">CHEMIS !J28</t>
  </si>
  <si>
    <t xml:space="preserve">CHEMIS !J29</t>
  </si>
  <si>
    <t xml:space="preserve">CHEMIS !J30</t>
  </si>
  <si>
    <t xml:space="preserve">CHEMIS !J31</t>
  </si>
  <si>
    <t xml:space="preserve">CHEMIS !J32</t>
  </si>
  <si>
    <t xml:space="preserve">CHEMIS !J33</t>
  </si>
  <si>
    <t xml:space="preserve">CHEMIS !B38</t>
  </si>
  <si>
    <t xml:space="preserve">CHEMIS !B39</t>
  </si>
  <si>
    <t xml:space="preserve">CHEMIS !B40</t>
  </si>
  <si>
    <t xml:space="preserve">CHEMIS !B41</t>
  </si>
  <si>
    <t xml:space="preserve">CHEMIS !B42</t>
  </si>
  <si>
    <t xml:space="preserve">PLANCHADA</t>
  </si>
  <si>
    <t xml:space="preserve">CHEMIS !B43</t>
  </si>
  <si>
    <t xml:space="preserve">CHEMIS !B44</t>
  </si>
  <si>
    <t xml:space="preserve">CHEMIS !B45</t>
  </si>
  <si>
    <t xml:space="preserve">CHEMIS !B46</t>
  </si>
  <si>
    <t xml:space="preserve">CHEMIS !B47</t>
  </si>
  <si>
    <t xml:space="preserve">CHEMIS !B48</t>
  </si>
  <si>
    <t xml:space="preserve">CHEMIS !B49</t>
  </si>
  <si>
    <t xml:space="preserve">CHEMIS !J38</t>
  </si>
  <si>
    <t xml:space="preserve">fx: 0.9*3*F3</t>
  </si>
  <si>
    <t xml:space="preserve">CHEMIS !J39</t>
  </si>
  <si>
    <t xml:space="preserve">CHEMIS !J40</t>
  </si>
  <si>
    <t xml:space="preserve">CHEMIS !J41</t>
  </si>
  <si>
    <t xml:space="preserve">CHEMIS !J42</t>
  </si>
  <si>
    <t xml:space="preserve">CHEMIS !J43</t>
  </si>
  <si>
    <t xml:space="preserve">CHEMIS !J44</t>
  </si>
  <si>
    <t xml:space="preserve">CHEMIS !J45</t>
  </si>
  <si>
    <t xml:space="preserve">CHEMIS !J46</t>
  </si>
  <si>
    <t xml:space="preserve">BROCHES</t>
  </si>
  <si>
    <t xml:space="preserve">CHEMIS !J47</t>
  </si>
  <si>
    <t xml:space="preserve">CHEMIS !J48</t>
  </si>
  <si>
    <t xml:space="preserve">CHEMIS !J49</t>
  </si>
  <si>
    <t xml:space="preserve">CHEMIS !B54</t>
  </si>
  <si>
    <t xml:space="preserve">CHEMIS !B55</t>
  </si>
  <si>
    <t xml:space="preserve">CHEMIS !B56</t>
  </si>
  <si>
    <t xml:space="preserve">CHEMIS !B57</t>
  </si>
  <si>
    <t xml:space="preserve">CHEMIS !B58</t>
  </si>
  <si>
    <t xml:space="preserve">CHEMIS !B59</t>
  </si>
  <si>
    <t xml:space="preserve">CHEMIS !B60</t>
  </si>
  <si>
    <t xml:space="preserve">CHEMIS !B61</t>
  </si>
  <si>
    <t xml:space="preserve">CHEMIS !B62</t>
  </si>
  <si>
    <t xml:space="preserve">CHEMIS !B63</t>
  </si>
  <si>
    <t xml:space="preserve">CHEMIS !B64</t>
  </si>
  <si>
    <t xml:space="preserve">CHEMIS !B65</t>
  </si>
  <si>
    <t xml:space="preserve">BEISBOL</t>
  </si>
  <si>
    <t xml:space="preserve">TELA ATLETICA</t>
  </si>
  <si>
    <t xml:space="preserve">BEISBOL!B5</t>
  </si>
  <si>
    <t xml:space="preserve">fx: 1.2*1.6*F3</t>
  </si>
  <si>
    <t xml:space="preserve">BOTONES</t>
  </si>
  <si>
    <t xml:space="preserve">BEISBOL!B6</t>
  </si>
  <si>
    <t xml:space="preserve">fx: 0.5*F3</t>
  </si>
  <si>
    <t xml:space="preserve">BEISBOL!B7</t>
  </si>
  <si>
    <t xml:space="preserve">PLOTTER</t>
  </si>
  <si>
    <t xml:space="preserve">BEISBOL!B8</t>
  </si>
  <si>
    <t xml:space="preserve">BEISBOL!B9</t>
  </si>
  <si>
    <t xml:space="preserve">BEISBOL!B10</t>
  </si>
  <si>
    <t xml:space="preserve">BEISBOL!B11</t>
  </si>
  <si>
    <t xml:space="preserve">BEISBOL!B12</t>
  </si>
  <si>
    <t xml:space="preserve">BEISBOL!B13</t>
  </si>
  <si>
    <t xml:space="preserve">BEISBOL!B14</t>
  </si>
  <si>
    <t xml:space="preserve">BEISBOL!B15</t>
  </si>
  <si>
    <t xml:space="preserve">BEISBOL!B16</t>
  </si>
  <si>
    <t xml:space="preserve">BEISBOL!B17</t>
  </si>
  <si>
    <t xml:space="preserve">BEISBOL!B18</t>
  </si>
  <si>
    <t xml:space="preserve">VELAS </t>
  </si>
  <si>
    <t xml:space="preserve">VELAS</t>
  </si>
  <si>
    <t xml:space="preserve">VELAS !B19</t>
  </si>
  <si>
    <t xml:space="preserve">fx: 3*1.5*D2</t>
  </si>
  <si>
    <t xml:space="preserve">TELA ORILLO</t>
  </si>
  <si>
    <t xml:space="preserve">VELAS !B20</t>
  </si>
  <si>
    <t xml:space="preserve">fx: 3*1.7/12*D2</t>
  </si>
  <si>
    <t xml:space="preserve">VELAS !B21</t>
  </si>
  <si>
    <t xml:space="preserve">IMPRESIÓN</t>
  </si>
  <si>
    <t xml:space="preserve">VELAS !B22</t>
  </si>
  <si>
    <t xml:space="preserve">fx: 17000*3/2</t>
  </si>
  <si>
    <t xml:space="preserve">VELAS !B23</t>
  </si>
  <si>
    <t xml:space="preserve">VELAS !B24</t>
  </si>
  <si>
    <t xml:space="preserve">VELAS !B25</t>
  </si>
  <si>
    <t xml:space="preserve">VELAS !B26</t>
  </si>
  <si>
    <t xml:space="preserve">VELAS !B27</t>
  </si>
  <si>
    <t xml:space="preserve">VELAS !B28</t>
  </si>
  <si>
    <t xml:space="preserve">VELAS !B29</t>
  </si>
  <si>
    <t xml:space="preserve">BOLSAS POP</t>
  </si>
  <si>
    <t xml:space="preserve">TELA POP</t>
  </si>
  <si>
    <t xml:space="preserve">BOLSAS POP!B4</t>
  </si>
  <si>
    <t xml:space="preserve">fx: 1*1*D2/3</t>
  </si>
  <si>
    <t xml:space="preserve">BOLSAS POP!B5</t>
  </si>
  <si>
    <t xml:space="preserve">fx: 1*1.8/18*D2</t>
  </si>
  <si>
    <t xml:space="preserve">BOLSAS POP!B6</t>
  </si>
  <si>
    <t xml:space="preserve">BOLSAS POP!B7</t>
  </si>
  <si>
    <t xml:space="preserve">BOLSAS POP!B8</t>
  </si>
  <si>
    <t xml:space="preserve">BOLSAS POP!B9</t>
  </si>
  <si>
    <t xml:space="preserve">BOLSAS POP!B10</t>
  </si>
  <si>
    <t xml:space="preserve">BOLSAS POP!B11</t>
  </si>
  <si>
    <t xml:space="preserve">BOLSAS POP!B12</t>
  </si>
  <si>
    <t xml:space="preserve">BOLSAS POP!B13</t>
  </si>
  <si>
    <t xml:space="preserve">CAMISAS </t>
  </si>
  <si>
    <t xml:space="preserve">CAMISA TIPO COLUMBIA MANGA CORTA</t>
  </si>
  <si>
    <t xml:space="preserve">TELA OXFORD</t>
  </si>
  <si>
    <t xml:space="preserve">CAMISAS !B4</t>
  </si>
  <si>
    <t xml:space="preserve">fx: 1.4*4*F3</t>
  </si>
  <si>
    <t xml:space="preserve">CAMISAS !B5</t>
  </si>
  <si>
    <t xml:space="preserve">CAMISAS !B6</t>
  </si>
  <si>
    <t xml:space="preserve">fx: 150*7</t>
  </si>
  <si>
    <t xml:space="preserve">CAMISAS !B7</t>
  </si>
  <si>
    <t xml:space="preserve">LOGO VINIL</t>
  </si>
  <si>
    <t xml:space="preserve">CAMISAS !B8</t>
  </si>
  <si>
    <t xml:space="preserve">CAMISAS !B9</t>
  </si>
  <si>
    <t xml:space="preserve">CAMISAS !B10</t>
  </si>
  <si>
    <t xml:space="preserve">PELON</t>
  </si>
  <si>
    <t xml:space="preserve">CAMISAS !B11</t>
  </si>
  <si>
    <t xml:space="preserve">CAMISAS !B12</t>
  </si>
  <si>
    <t xml:space="preserve">CAMISAS !B13</t>
  </si>
  <si>
    <t xml:space="preserve">CAMISAS !B14</t>
  </si>
  <si>
    <t xml:space="preserve">CAMISAS !B15</t>
  </si>
  <si>
    <t xml:space="preserve">CAMISAS !B16</t>
  </si>
  <si>
    <t xml:space="preserve">TELA ALGODÓN EGIPCIO</t>
  </si>
  <si>
    <t xml:space="preserve">CAMISAS !J4</t>
  </si>
  <si>
    <t xml:space="preserve">fx: 1.1*3.95*N3</t>
  </si>
  <si>
    <t xml:space="preserve">CAMISAS !J5</t>
  </si>
  <si>
    <t xml:space="preserve">CAMISAS !J6</t>
  </si>
  <si>
    <t xml:space="preserve">CAMISAS !J7</t>
  </si>
  <si>
    <t xml:space="preserve">CAMISAS !J8</t>
  </si>
  <si>
    <t xml:space="preserve">CAMISAS !J9</t>
  </si>
  <si>
    <t xml:space="preserve">fx: 0.3*2.5*N3/2</t>
  </si>
  <si>
    <t xml:space="preserve">CAMISAS !J10</t>
  </si>
  <si>
    <t xml:space="preserve">CAMISAS !J11</t>
  </si>
  <si>
    <t xml:space="preserve">CAMISAS !J12</t>
  </si>
  <si>
    <t xml:space="preserve">CAMISAS !J13</t>
  </si>
  <si>
    <t xml:space="preserve">CAMISAS !J14</t>
  </si>
  <si>
    <t xml:space="preserve">CAMISAS !J15</t>
  </si>
  <si>
    <t xml:space="preserve">CAMISAS !J16</t>
  </si>
  <si>
    <t xml:space="preserve">CAMISAS !J17</t>
  </si>
  <si>
    <t xml:space="preserve">CAMISAS !J18</t>
  </si>
  <si>
    <t xml:space="preserve">TELA oxford</t>
  </si>
  <si>
    <t xml:space="preserve">CAMISAS !R4</t>
  </si>
  <si>
    <t xml:space="preserve">fx: 1.8*4.5*V3</t>
  </si>
  <si>
    <t xml:space="preserve">CAMISAS !R5</t>
  </si>
  <si>
    <t xml:space="preserve">CAMISAS !R6</t>
  </si>
  <si>
    <t xml:space="preserve">fx: 500*8</t>
  </si>
  <si>
    <t xml:space="preserve">CAMISAS !R7</t>
  </si>
  <si>
    <t xml:space="preserve">CAMISAS !R8</t>
  </si>
  <si>
    <t xml:space="preserve">CAMISAS !R9</t>
  </si>
  <si>
    <t xml:space="preserve">fx: 0.3*2.5*V3/2</t>
  </si>
  <si>
    <t xml:space="preserve">CAMISAS !R10</t>
  </si>
  <si>
    <t xml:space="preserve">DIGITALIZACION</t>
  </si>
  <si>
    <t xml:space="preserve">CAMISAS !R11</t>
  </si>
  <si>
    <t xml:space="preserve">CAMISAS !R12</t>
  </si>
  <si>
    <t xml:space="preserve">CAMISAS !R13</t>
  </si>
  <si>
    <t xml:space="preserve">CAMISAS !R14</t>
  </si>
  <si>
    <t xml:space="preserve">CAMISAS !R15</t>
  </si>
  <si>
    <t xml:space="preserve">CAMISAS !R16</t>
  </si>
  <si>
    <t xml:space="preserve">CAMISAS !R17</t>
  </si>
  <si>
    <t xml:space="preserve">CAMISAS !R18</t>
  </si>
  <si>
    <t xml:space="preserve">TELA MICRO FIBRA</t>
  </si>
  <si>
    <t xml:space="preserve">CAMISAS !Z4</t>
  </si>
  <si>
    <t xml:space="preserve">fx: 1.8*1.95*AD3</t>
  </si>
  <si>
    <t xml:space="preserve">CAMISAS !Z5</t>
  </si>
  <si>
    <t xml:space="preserve">CAMISAS !Z6</t>
  </si>
  <si>
    <t xml:space="preserve">CAMISAS !Z7</t>
  </si>
  <si>
    <t xml:space="preserve">CAMISAS !Z8</t>
  </si>
  <si>
    <t xml:space="preserve">CAMISAS !Z9</t>
  </si>
  <si>
    <t xml:space="preserve">fx: 0.3*2.5*AD3/2</t>
  </si>
  <si>
    <t xml:space="preserve">CAMISAS !Z10</t>
  </si>
  <si>
    <t xml:space="preserve">CAMISAS !Z11</t>
  </si>
  <si>
    <t xml:space="preserve">CAMISAS !Z12</t>
  </si>
  <si>
    <t xml:space="preserve">CAMISAS !Z13</t>
  </si>
  <si>
    <t xml:space="preserve">CAMISAS !Z14</t>
  </si>
  <si>
    <t xml:space="preserve">CAMISAS !Z15</t>
  </si>
  <si>
    <t xml:space="preserve">CAMISAS !Z16</t>
  </si>
  <si>
    <t xml:space="preserve">CAMISAS !Z17</t>
  </si>
  <si>
    <t xml:space="preserve">CAMISAS !Z18</t>
  </si>
  <si>
    <t xml:space="preserve">CAMISA BASICA</t>
  </si>
  <si>
    <t xml:space="preserve">CAMISAS !R23</t>
  </si>
  <si>
    <t xml:space="preserve">fx: 1.3*2*V22</t>
  </si>
  <si>
    <t xml:space="preserve">CAMISAS !R24</t>
  </si>
  <si>
    <t xml:space="preserve">CAMISAS !R25</t>
  </si>
  <si>
    <t xml:space="preserve">CAMISAS !R26</t>
  </si>
  <si>
    <t xml:space="preserve">CAMISAS !R27</t>
  </si>
  <si>
    <t xml:space="preserve">CAMISAS !R28</t>
  </si>
  <si>
    <t xml:space="preserve">CAMISAS !R29</t>
  </si>
  <si>
    <t xml:space="preserve">BOLSA y doblado</t>
  </si>
  <si>
    <t xml:space="preserve">CAMISAS !R30</t>
  </si>
  <si>
    <t xml:space="preserve">CAMISAS !R31</t>
  </si>
  <si>
    <t xml:space="preserve">CAMISAS !R32</t>
  </si>
  <si>
    <t xml:space="preserve">CAMISAS !R33</t>
  </si>
  <si>
    <t xml:space="preserve">CAMISAS !B23</t>
  </si>
  <si>
    <t xml:space="preserve">fx: 1.6*1.3*F22</t>
  </si>
  <si>
    <t xml:space="preserve">CAMISAS !B24</t>
  </si>
  <si>
    <t xml:space="preserve">CAMISAS !B25</t>
  </si>
  <si>
    <t xml:space="preserve">fx: 6*400</t>
  </si>
  <si>
    <t xml:space="preserve">CAMISAS !B26</t>
  </si>
  <si>
    <t xml:space="preserve">CAMISAS !B27</t>
  </si>
  <si>
    <t xml:space="preserve">CAMISAS !B28</t>
  </si>
  <si>
    <t xml:space="preserve">CAMISAS !B29</t>
  </si>
  <si>
    <t xml:space="preserve">CAMISAS !B30</t>
  </si>
  <si>
    <t xml:space="preserve">CAMISAS !B31</t>
  </si>
  <si>
    <t xml:space="preserve">CAMISAS !B32</t>
  </si>
  <si>
    <t xml:space="preserve">CAMISAS !B33</t>
  </si>
  <si>
    <t xml:space="preserve">CAMISAS !B34</t>
  </si>
  <si>
    <t xml:space="preserve">CAMISAS !B35</t>
  </si>
  <si>
    <t xml:space="preserve">CAMISAS !B36</t>
  </si>
  <si>
    <t xml:space="preserve">CAMISAS !J23</t>
  </si>
  <si>
    <t xml:space="preserve">fx: 2*1.95*N22</t>
  </si>
  <si>
    <t xml:space="preserve">CAMISAS !J24</t>
  </si>
  <si>
    <t xml:space="preserve">CAMISAS !J25</t>
  </si>
  <si>
    <t xml:space="preserve">CAMISAS !J26</t>
  </si>
  <si>
    <t xml:space="preserve">CAMISAS !J27</t>
  </si>
  <si>
    <t xml:space="preserve">CAMISAS !J28</t>
  </si>
  <si>
    <t xml:space="preserve">CAMISAS !J29</t>
  </si>
  <si>
    <t xml:space="preserve">CAMISAS !J30</t>
  </si>
  <si>
    <t xml:space="preserve">CAMISAS !J31</t>
  </si>
  <si>
    <t xml:space="preserve">CAMISAS !J32</t>
  </si>
  <si>
    <t xml:space="preserve">CAMISAS !J33</t>
  </si>
  <si>
    <t xml:space="preserve">CAMISAS !J34</t>
  </si>
  <si>
    <t xml:space="preserve">CAMISAS !J35</t>
  </si>
  <si>
    <t xml:space="preserve">CAMISAS !J36</t>
  </si>
  <si>
    <t xml:space="preserve">CAMISA BASICA SUBLIMADA TODA</t>
  </si>
  <si>
    <t xml:space="preserve">CAMISAS !B41</t>
  </si>
  <si>
    <t xml:space="preserve">fx: 1.3*2*F40</t>
  </si>
  <si>
    <t xml:space="preserve">CAMISAS !B42</t>
  </si>
  <si>
    <t xml:space="preserve">CAMISAS !B43</t>
  </si>
  <si>
    <t xml:space="preserve">CAMISAS !B44</t>
  </si>
  <si>
    <t xml:space="preserve">CAMISAS !B45</t>
  </si>
  <si>
    <t xml:space="preserve">CAMISAS !B46</t>
  </si>
  <si>
    <t xml:space="preserve">CAMISAS !B47</t>
  </si>
  <si>
    <t xml:space="preserve">CAMISAS !B49</t>
  </si>
  <si>
    <t xml:space="preserve">CAMISAS !B50</t>
  </si>
  <si>
    <t xml:space="preserve">CAMISAS !B51</t>
  </si>
  <si>
    <t xml:space="preserve">CAMISAS !B52</t>
  </si>
  <si>
    <t xml:space="preserve">FILIPINA</t>
  </si>
  <si>
    <t xml:space="preserve">FILIPINA!B4</t>
  </si>
  <si>
    <t xml:space="preserve">fx: 1.5*3.5*F3</t>
  </si>
  <si>
    <t xml:space="preserve">FILIPINA!B5</t>
  </si>
  <si>
    <t xml:space="preserve">FILIPINA!B6</t>
  </si>
  <si>
    <t xml:space="preserve">FILIPINA!B7</t>
  </si>
  <si>
    <t xml:space="preserve">FILIPINA!B8</t>
  </si>
  <si>
    <t xml:space="preserve">fx: 1.7*10000</t>
  </si>
  <si>
    <t xml:space="preserve">FILIPINA!B9</t>
  </si>
  <si>
    <t xml:space="preserve">FILIPINA!B10</t>
  </si>
  <si>
    <t xml:space="preserve">FILIPINA!B11</t>
  </si>
  <si>
    <t xml:space="preserve">FILIPINA!B12</t>
  </si>
  <si>
    <t xml:space="preserve">FILIPINA!B13</t>
  </si>
  <si>
    <t xml:space="preserve">FILIPINA!B14</t>
  </si>
  <si>
    <t xml:space="preserve">FILIPINA!B15</t>
  </si>
  <si>
    <t xml:space="preserve">MONO QUIRURGICO</t>
  </si>
  <si>
    <t xml:space="preserve">MONO QUIRURGICO!B4</t>
  </si>
  <si>
    <t xml:space="preserve">fx: 2*1.95*F3</t>
  </si>
  <si>
    <t xml:space="preserve">MONO QUIRURGICO!B5</t>
  </si>
  <si>
    <t xml:space="preserve">MONO QUIRURGICO!B6</t>
  </si>
  <si>
    <t xml:space="preserve">MONO QUIRURGICO!B7</t>
  </si>
  <si>
    <t xml:space="preserve">MONO QUIRURGICO!B8</t>
  </si>
  <si>
    <t xml:space="preserve">MONO QUIRURGICO!B9</t>
  </si>
  <si>
    <t xml:space="preserve">TUTU </t>
  </si>
  <si>
    <t xml:space="preserve">TELA  TULL</t>
  </si>
  <si>
    <t xml:space="preserve">TUTU !I8</t>
  </si>
  <si>
    <t xml:space="preserve">fx: 0.7*3/3*F3</t>
  </si>
  <si>
    <t xml:space="preserve">TUTU !I9</t>
  </si>
  <si>
    <t xml:space="preserve">TUTU !I10</t>
  </si>
  <si>
    <t xml:space="preserve">TUTU !I11</t>
  </si>
  <si>
    <t xml:space="preserve">TUTU !I12</t>
  </si>
  <si>
    <t xml:space="preserve">TUTU !B8</t>
  </si>
  <si>
    <t xml:space="preserve">fx: 4.5*1.8/3*F3</t>
  </si>
  <si>
    <t xml:space="preserve">LICRA PRETINA</t>
  </si>
  <si>
    <t xml:space="preserve">TUTU !B9</t>
  </si>
  <si>
    <t xml:space="preserve">fx: 0.2*2.5/3*F3</t>
  </si>
  <si>
    <t xml:space="preserve">TUTU !B10</t>
  </si>
  <si>
    <t xml:space="preserve">TUTU !B11</t>
  </si>
  <si>
    <t xml:space="preserve">TUTU !B12</t>
  </si>
  <si>
    <t xml:space="preserve">TUTU !B13</t>
  </si>
  <si>
    <t xml:space="preserve">JUVENIL</t>
  </si>
  <si>
    <t xml:space="preserve">TUTU !B20</t>
  </si>
  <si>
    <t xml:space="preserve">fx: 0.35*1.8*4000/3</t>
  </si>
  <si>
    <t xml:space="preserve">TUTU !B21</t>
  </si>
  <si>
    <t xml:space="preserve">TUTU !B22</t>
  </si>
  <si>
    <t xml:space="preserve">TUTU !B23</t>
  </si>
  <si>
    <t xml:space="preserve">TUTU !B24</t>
  </si>
  <si>
    <t xml:space="preserve">TUTU !B25</t>
  </si>
  <si>
    <t xml:space="preserve">FRANELILLAS </t>
  </si>
  <si>
    <t xml:space="preserve">FRANELiLLAS EN BLANCO</t>
  </si>
  <si>
    <t xml:space="preserve">FRANELILLAS !B5</t>
  </si>
  <si>
    <t xml:space="preserve">fx: 0.7*1.8/3*2*E3</t>
  </si>
  <si>
    <t xml:space="preserve">FRANELILLAS !B6</t>
  </si>
  <si>
    <t xml:space="preserve">FRANELILLAS !B7</t>
  </si>
  <si>
    <t xml:space="preserve">FRANELILLAS !B8</t>
  </si>
  <si>
    <t xml:space="preserve">FRANELILLAS !B9</t>
  </si>
  <si>
    <t xml:space="preserve">FRANELILLAS !B10</t>
  </si>
  <si>
    <t xml:space="preserve">FRANELILLAS !B11</t>
  </si>
  <si>
    <t xml:space="preserve">FRANELILLAS !B12</t>
  </si>
  <si>
    <t xml:space="preserve">FRANELILLAS !G6</t>
  </si>
  <si>
    <t xml:space="preserve">fx: 0.7*3/3*2*E3</t>
  </si>
  <si>
    <t xml:space="preserve">FRANELILLAS !G7</t>
  </si>
  <si>
    <t xml:space="preserve">FRANELILLAS !G8</t>
  </si>
  <si>
    <t xml:space="preserve">FRANELILLAS !G9</t>
  </si>
  <si>
    <t xml:space="preserve">FRANELILLAS !G10</t>
  </si>
  <si>
    <t xml:space="preserve">FRANELILLAS !G11</t>
  </si>
  <si>
    <t xml:space="preserve">FRANELILLAS !G12</t>
  </si>
  <si>
    <t xml:space="preserve">FRANELILLAS !G13</t>
  </si>
  <si>
    <t xml:space="preserve">FRANELILLAS !B20</t>
  </si>
  <si>
    <t xml:space="preserve">fx: 0.6*1.5*E18</t>
  </si>
  <si>
    <t xml:space="preserve">FRANELILLAS !B21</t>
  </si>
  <si>
    <t xml:space="preserve">FRANELILLAS !B22</t>
  </si>
  <si>
    <t xml:space="preserve">FRANELILLAS !B23</t>
  </si>
  <si>
    <t xml:space="preserve">FRANELILLAS !B24</t>
  </si>
  <si>
    <t xml:space="preserve">FRANELILLAS !B25</t>
  </si>
  <si>
    <t xml:space="preserve">FRANELILLAS !B26</t>
  </si>
  <si>
    <t xml:space="preserve">FRANELILLAS !B27</t>
  </si>
  <si>
    <t xml:space="preserve">FRANELILLAS !G20</t>
  </si>
  <si>
    <t xml:space="preserve">fx: 0.5*3/4*2*E3</t>
  </si>
  <si>
    <t xml:space="preserve">FRANELILLAS !G21</t>
  </si>
  <si>
    <t xml:space="preserve">FRANELILLAS !G22</t>
  </si>
  <si>
    <t xml:space="preserve">FRANELILLAS !G23</t>
  </si>
  <si>
    <t xml:space="preserve">FRANELILLAS !G24</t>
  </si>
  <si>
    <t xml:space="preserve">FRANELILLAS !G25</t>
  </si>
  <si>
    <t xml:space="preserve">FRANELILLAS !G26</t>
  </si>
  <si>
    <t xml:space="preserve">FRANELILLAS !G27</t>
  </si>
  <si>
    <t xml:space="preserve">FRANELILLAS !B33</t>
  </si>
  <si>
    <t xml:space="preserve">fx: 0.8*1.8/3*2*E3</t>
  </si>
  <si>
    <t xml:space="preserve">FRANELILLAS !B34</t>
  </si>
  <si>
    <t xml:space="preserve">FRANELILLAS !B35</t>
  </si>
  <si>
    <t xml:space="preserve">FRANELILLAS !B36</t>
  </si>
  <si>
    <t xml:space="preserve">FRANELILLAS !B37</t>
  </si>
  <si>
    <t xml:space="preserve">FRANELILLAS !B38</t>
  </si>
  <si>
    <t xml:space="preserve">FRANELILLAS !B39</t>
  </si>
  <si>
    <t xml:space="preserve">FRANELILLAS !B40</t>
  </si>
  <si>
    <t xml:space="preserve">FRANELILLAS !G33</t>
  </si>
  <si>
    <t xml:space="preserve">fx: 0.8*3/3*2*E3</t>
  </si>
  <si>
    <t xml:space="preserve">FRANELILLAS !G34</t>
  </si>
  <si>
    <t xml:space="preserve">FRANELILLAS !G35</t>
  </si>
  <si>
    <t xml:space="preserve">FRANELILLAS !G36</t>
  </si>
  <si>
    <t xml:space="preserve">FRANELILLAS !G37</t>
  </si>
  <si>
    <t xml:space="preserve">FRANELILLAS !G38</t>
  </si>
  <si>
    <t xml:space="preserve">FRANELILLAS !G39</t>
  </si>
  <si>
    <t xml:space="preserve">fx: B39</t>
  </si>
  <si>
    <t xml:space="preserve">FRANELILLAS !G40</t>
  </si>
  <si>
    <t xml:space="preserve">fx: B40</t>
  </si>
  <si>
    <t xml:space="preserve">CON DISEÑO EN VINIL PÑO</t>
  </si>
  <si>
    <t xml:space="preserve">FRANELILLAS !B47</t>
  </si>
  <si>
    <t xml:space="preserve">FRANELILLAS !B48</t>
  </si>
  <si>
    <t xml:space="preserve">FRANELILLAS !B49</t>
  </si>
  <si>
    <t xml:space="preserve">FRANELILLAS !B50</t>
  </si>
  <si>
    <t xml:space="preserve">FRANELILLAS !B51</t>
  </si>
  <si>
    <t xml:space="preserve">FRANELILLAS !B52</t>
  </si>
  <si>
    <t xml:space="preserve">FRANELILLAS !B53</t>
  </si>
  <si>
    <t xml:space="preserve">FRANELILLAS !B54</t>
  </si>
  <si>
    <t xml:space="preserve">FRANELILLAS !B55</t>
  </si>
  <si>
    <t xml:space="preserve">FRANELILLAS !B56</t>
  </si>
  <si>
    <t xml:space="preserve">FRANELILLAS !B57</t>
  </si>
  <si>
    <t xml:space="preserve">FRANELILLAS !B58</t>
  </si>
  <si>
    <t xml:space="preserve">FRANELILLAS !B59</t>
  </si>
  <si>
    <t xml:space="preserve">FRANELILLAS !G48</t>
  </si>
  <si>
    <t xml:space="preserve">fx: 0.5*1.8/4*2*E19</t>
  </si>
  <si>
    <t xml:space="preserve">FRANELILLAS !G49</t>
  </si>
  <si>
    <t xml:space="preserve">FRANELILLAS !G50</t>
  </si>
  <si>
    <t xml:space="preserve">FRANELILLAS !G51</t>
  </si>
  <si>
    <t xml:space="preserve">FRANELILLAS !G52</t>
  </si>
  <si>
    <t xml:space="preserve">FRANELILLAS !G53</t>
  </si>
  <si>
    <t xml:space="preserve">FRANELILLAS !G54</t>
  </si>
  <si>
    <t xml:space="preserve">FRANELILLAS !G55</t>
  </si>
  <si>
    <t xml:space="preserve">FRANELILLAS !G56</t>
  </si>
  <si>
    <t xml:space="preserve">FRANELILLAS !G57</t>
  </si>
  <si>
    <t xml:space="preserve">FRANELILLAS !G58</t>
  </si>
  <si>
    <t xml:space="preserve">FRANELILLAS !G59</t>
  </si>
  <si>
    <t xml:space="preserve">FRANELILLAS !G60</t>
  </si>
  <si>
    <t xml:space="preserve">FRANELILLAS !B65</t>
  </si>
  <si>
    <t xml:space="preserve">fx: 0.7*1.8*E3</t>
  </si>
  <si>
    <t xml:space="preserve">FRANELILLAS !B66</t>
  </si>
  <si>
    <t xml:space="preserve">FRANELILLAS !B67</t>
  </si>
  <si>
    <t xml:space="preserve">FRANELILLAS !B68</t>
  </si>
  <si>
    <t xml:space="preserve">FRANELILLAS !B69</t>
  </si>
  <si>
    <t xml:space="preserve">FRANELILLAS !B70</t>
  </si>
  <si>
    <t xml:space="preserve">fx: B52</t>
  </si>
  <si>
    <t xml:space="preserve">FRANELILLAS !B71</t>
  </si>
  <si>
    <t xml:space="preserve">fx: B53</t>
  </si>
  <si>
    <t xml:space="preserve">FRANELILLAS !B72</t>
  </si>
  <si>
    <t xml:space="preserve">FRANELILLAS !B73</t>
  </si>
  <si>
    <t xml:space="preserve">FRANELILLAS !B74</t>
  </si>
  <si>
    <t xml:space="preserve">FRANELILLAS !B75</t>
  </si>
  <si>
    <t xml:space="preserve">FRANELILLAS !B76</t>
  </si>
  <si>
    <t xml:space="preserve">FRANELILLAS !B77</t>
  </si>
  <si>
    <t xml:space="preserve">FRANELILLAS !G66</t>
  </si>
  <si>
    <t xml:space="preserve">fx: 0.5*3/4*2*E19</t>
  </si>
  <si>
    <t xml:space="preserve">FRANELILLAS !G67</t>
  </si>
  <si>
    <t xml:space="preserve">FRANELILLAS !G68</t>
  </si>
  <si>
    <t xml:space="preserve">FRANELILLAS !G69</t>
  </si>
  <si>
    <t xml:space="preserve">FRANELILLAS !G70</t>
  </si>
  <si>
    <t xml:space="preserve">fx: G52</t>
  </si>
  <si>
    <t xml:space="preserve">FRANELILLAS !G71</t>
  </si>
  <si>
    <t xml:space="preserve">fx: G53</t>
  </si>
  <si>
    <t xml:space="preserve">FRANELILLAS !G72</t>
  </si>
  <si>
    <t xml:space="preserve">fx: G54</t>
  </si>
  <si>
    <t xml:space="preserve">FRANELILLAS !G73</t>
  </si>
  <si>
    <t xml:space="preserve">fx: G55</t>
  </si>
  <si>
    <t xml:space="preserve">FRANELILLAS !G74</t>
  </si>
  <si>
    <t xml:space="preserve">FRANELILLAS !G75</t>
  </si>
  <si>
    <t xml:space="preserve">FRANELILLAS !G76</t>
  </si>
  <si>
    <t xml:space="preserve">fx: G58</t>
  </si>
  <si>
    <t xml:space="preserve">FRANELILLAS !G77</t>
  </si>
  <si>
    <t xml:space="preserve">fx: G59</t>
  </si>
  <si>
    <t xml:space="preserve">FRANELILLAS !G78</t>
  </si>
  <si>
    <t xml:space="preserve">fx: G60</t>
  </si>
  <si>
    <t xml:space="preserve">MUSE</t>
  </si>
  <si>
    <t xml:space="preserve">FRANELILLAS !B83</t>
  </si>
  <si>
    <t xml:space="preserve">fx: 0.8*1.8*3800</t>
  </si>
  <si>
    <t xml:space="preserve">FRANELILLAS !B84</t>
  </si>
  <si>
    <t xml:space="preserve">FRANELILLAS !B85</t>
  </si>
  <si>
    <t xml:space="preserve">FRANELILLAS !B86</t>
  </si>
  <si>
    <t xml:space="preserve">FRANELILLAS !B87</t>
  </si>
  <si>
    <t xml:space="preserve">FRANELILLAS !B88</t>
  </si>
  <si>
    <t xml:space="preserve">FRANELILLAS !B89</t>
  </si>
  <si>
    <t xml:space="preserve">FRANELILLAS !B90</t>
  </si>
  <si>
    <t xml:space="preserve">FRANELILLAS !B91</t>
  </si>
  <si>
    <t xml:space="preserve">FRANELILLAS !B92</t>
  </si>
  <si>
    <t xml:space="preserve">FRANELILLAS !B93</t>
  </si>
  <si>
    <t xml:space="preserve">FRANELILLAS !B94</t>
  </si>
  <si>
    <t xml:space="preserve">FRANELILLAS !B95</t>
  </si>
  <si>
    <t xml:space="preserve">FRANELILLAS !G84</t>
  </si>
  <si>
    <t xml:space="preserve">FRANELILLAS !G85</t>
  </si>
  <si>
    <t xml:space="preserve">FRANELILLAS !G86</t>
  </si>
  <si>
    <t xml:space="preserve">FRANELILLAS !G87</t>
  </si>
  <si>
    <t xml:space="preserve">FRANELILLAS !G88</t>
  </si>
  <si>
    <t xml:space="preserve">FRANELILLAS !G89</t>
  </si>
  <si>
    <t xml:space="preserve">FRANELILLAS !G90</t>
  </si>
  <si>
    <t xml:space="preserve">FRANELILLAS !G91</t>
  </si>
  <si>
    <t xml:space="preserve">FRANELILLAS !G92</t>
  </si>
  <si>
    <t xml:space="preserve">FRANELILLAS !G93</t>
  </si>
  <si>
    <t xml:space="preserve">FRANELILLAS !G94</t>
  </si>
  <si>
    <t xml:space="preserve">FRANELILLAS !G95</t>
  </si>
  <si>
    <t xml:space="preserve">FRANELILLAS !G96</t>
  </si>
  <si>
    <t xml:space="preserve">FRANELILLAS !B103</t>
  </si>
  <si>
    <t xml:space="preserve">FRANELILLAS !B104</t>
  </si>
  <si>
    <t xml:space="preserve">FRANELILLAS !B105</t>
  </si>
  <si>
    <t xml:space="preserve">FRANELILLAS !B106</t>
  </si>
  <si>
    <t xml:space="preserve">fx: 15000/20</t>
  </si>
  <si>
    <t xml:space="preserve">FRANELILLAS !B107</t>
  </si>
  <si>
    <t xml:space="preserve">FRANELILLAS !B108</t>
  </si>
  <si>
    <t xml:space="preserve">FRANELILLAS !B109</t>
  </si>
  <si>
    <t xml:space="preserve">FRANELILLAS !B110</t>
  </si>
  <si>
    <t xml:space="preserve">FRANELILLAS !B111</t>
  </si>
  <si>
    <t xml:space="preserve">FRANELILLAS !B112</t>
  </si>
  <si>
    <t xml:space="preserve">FRANELILLAS !B113</t>
  </si>
  <si>
    <t xml:space="preserve">FRANELILLAS !G103</t>
  </si>
  <si>
    <t xml:space="preserve">fx: 0.5*1.8/3*2*E18</t>
  </si>
  <si>
    <t xml:space="preserve">FRANELILLAS !G104</t>
  </si>
  <si>
    <t xml:space="preserve">FRANELILLAS !G105</t>
  </si>
  <si>
    <t xml:space="preserve">FRANELILLAS !G106</t>
  </si>
  <si>
    <t xml:space="preserve">FRANELILLAS !G107</t>
  </si>
  <si>
    <t xml:space="preserve">FRANELILLAS !G108</t>
  </si>
  <si>
    <t xml:space="preserve">FRANELILLAS !G109</t>
  </si>
  <si>
    <t xml:space="preserve">FRANELILLAS !G110</t>
  </si>
  <si>
    <t xml:space="preserve">FRANELILLAS !G111</t>
  </si>
  <si>
    <t xml:space="preserve">FRANELILLAS !G112</t>
  </si>
  <si>
    <t xml:space="preserve">FRANELILLAS !G113</t>
  </si>
  <si>
    <t xml:space="preserve">FRANELILLAS !B118</t>
  </si>
  <si>
    <t xml:space="preserve">FRANELILLAS !B119</t>
  </si>
  <si>
    <t xml:space="preserve">FRANELILLAS !B120</t>
  </si>
  <si>
    <t xml:space="preserve">FRANELILLAS !B121</t>
  </si>
  <si>
    <t xml:space="preserve">FRANELILLAS !B122</t>
  </si>
  <si>
    <t xml:space="preserve">FRANELILLAS !B123</t>
  </si>
  <si>
    <t xml:space="preserve">FRANELILLAS !B124</t>
  </si>
  <si>
    <t xml:space="preserve">FRANELILLAS !B125</t>
  </si>
  <si>
    <t xml:space="preserve">FRANELILLAS !B126</t>
  </si>
  <si>
    <t xml:space="preserve">FRANELILLAS !B127</t>
  </si>
  <si>
    <t xml:space="preserve">FRANELILLAS !B128</t>
  </si>
  <si>
    <t xml:space="preserve">FRANELILLAS !G118</t>
  </si>
  <si>
    <t xml:space="preserve">fx: 0.5*3/3*2*E18</t>
  </si>
  <si>
    <t xml:space="preserve">FRANELILLAS !G119</t>
  </si>
  <si>
    <t xml:space="preserve">FRANELILLAS !G120</t>
  </si>
  <si>
    <t xml:space="preserve">FRANELILLAS !G121</t>
  </si>
  <si>
    <t xml:space="preserve">FRANELILLAS !G122</t>
  </si>
  <si>
    <t xml:space="preserve">FRANELILLAS !G123</t>
  </si>
  <si>
    <t xml:space="preserve">FRANELILLAS !G124</t>
  </si>
  <si>
    <t xml:space="preserve">FRANELILLAS !G125</t>
  </si>
  <si>
    <t xml:space="preserve">FRANELILLAS !G126</t>
  </si>
  <si>
    <t xml:space="preserve">FRANELILLAS !G127</t>
  </si>
  <si>
    <t xml:space="preserve">FRANELILLAS !G128</t>
  </si>
  <si>
    <t xml:space="preserve">FRANELILLAS !B133</t>
  </si>
  <si>
    <t xml:space="preserve">fx: 0.8*1.8/3*2*E18</t>
  </si>
  <si>
    <t xml:space="preserve">FRANELILLAS !B134</t>
  </si>
  <si>
    <t xml:space="preserve">FRANELILLAS !B135</t>
  </si>
  <si>
    <t xml:space="preserve">FRANELILLAS !B136</t>
  </si>
  <si>
    <t xml:space="preserve">FRANELILLAS !B137</t>
  </si>
  <si>
    <t xml:space="preserve">FRANELILLAS !B138</t>
  </si>
  <si>
    <t xml:space="preserve">FRANELILLAS !B139</t>
  </si>
  <si>
    <t xml:space="preserve">FRANELILLAS !B140</t>
  </si>
  <si>
    <t xml:space="preserve">FRANELILLAS !B141</t>
  </si>
  <si>
    <t xml:space="preserve">FRANELILLAS !B142</t>
  </si>
  <si>
    <t xml:space="preserve">FRANELILLAS !B143</t>
  </si>
  <si>
    <t xml:space="preserve">FRANELILLAS !G133</t>
  </si>
  <si>
    <t xml:space="preserve">FRANELILLAS !G134</t>
  </si>
  <si>
    <t xml:space="preserve">FRANELILLAS !G135</t>
  </si>
  <si>
    <t xml:space="preserve">FRANELILLAS !G136</t>
  </si>
  <si>
    <t xml:space="preserve">FRANELILLAS !G137</t>
  </si>
  <si>
    <t xml:space="preserve">FRANELILLAS !G138</t>
  </si>
  <si>
    <t xml:space="preserve">FRANELILLAS !G139</t>
  </si>
  <si>
    <t xml:space="preserve">FRANELILLAS !G140</t>
  </si>
  <si>
    <t xml:space="preserve">FRANELILLAS !G141</t>
  </si>
  <si>
    <t xml:space="preserve">FRANELILLAS !G142</t>
  </si>
  <si>
    <t xml:space="preserve">FRANELILLAS !G143</t>
  </si>
  <si>
    <t xml:space="preserve">FRANELILLAS !B149</t>
  </si>
  <si>
    <t xml:space="preserve">FRANELILLAS !B150</t>
  </si>
  <si>
    <t xml:space="preserve">FRANELILLAS !B151</t>
  </si>
  <si>
    <t xml:space="preserve">FRANELILLAS !B152</t>
  </si>
  <si>
    <t xml:space="preserve">FRANELILLAS !B153</t>
  </si>
  <si>
    <t xml:space="preserve">FRANELILLAS !B154</t>
  </si>
  <si>
    <t xml:space="preserve">FRANELILLAS !B155</t>
  </si>
  <si>
    <t xml:space="preserve">FRANELILLAS !B156</t>
  </si>
  <si>
    <t xml:space="preserve">FRANELILLAS !B157</t>
  </si>
  <si>
    <t xml:space="preserve">FRANELILLAS !B158</t>
  </si>
  <si>
    <t xml:space="preserve">FRANELILLAS !B159</t>
  </si>
  <si>
    <t xml:space="preserve">FRANELILLAS !G149</t>
  </si>
  <si>
    <t xml:space="preserve">fx: 0.5*1.8/4*2*E18</t>
  </si>
  <si>
    <t xml:space="preserve">FRANELILLAS !G150</t>
  </si>
  <si>
    <t xml:space="preserve">FRANELILLAS !G151</t>
  </si>
  <si>
    <t xml:space="preserve">FRANELILLAS !G152</t>
  </si>
  <si>
    <t xml:space="preserve">FRANELILLAS !G153</t>
  </si>
  <si>
    <t xml:space="preserve">FRANELILLAS !G154</t>
  </si>
  <si>
    <t xml:space="preserve">FRANELILLAS !G155</t>
  </si>
  <si>
    <t xml:space="preserve">FRANELILLAS !G156</t>
  </si>
  <si>
    <t xml:space="preserve">FRANELILLAS !G157</t>
  </si>
  <si>
    <t xml:space="preserve">FRANELILLAS !G158</t>
  </si>
  <si>
    <t xml:space="preserve">FRANELILLAS !G159</t>
  </si>
  <si>
    <t xml:space="preserve">FRANELILLAS !B164</t>
  </si>
  <si>
    <t xml:space="preserve">FRANELILLAS !B165</t>
  </si>
  <si>
    <t xml:space="preserve">FRANELILLAS !B166</t>
  </si>
  <si>
    <t xml:space="preserve">FRANELILLAS !B167</t>
  </si>
  <si>
    <t xml:space="preserve">FRANELILLAS !B168</t>
  </si>
  <si>
    <t xml:space="preserve">FRANELILLAS !B169</t>
  </si>
  <si>
    <t xml:space="preserve">FRANELILLAS !B170</t>
  </si>
  <si>
    <t xml:space="preserve">FRANELILLAS !B171</t>
  </si>
  <si>
    <t xml:space="preserve">FRANELILLAS !B172</t>
  </si>
  <si>
    <t xml:space="preserve">FRANELILLAS !B173</t>
  </si>
  <si>
    <t xml:space="preserve">FRANELILLAS !B174</t>
  </si>
  <si>
    <t xml:space="preserve">FRANELILLAS !G164</t>
  </si>
  <si>
    <t xml:space="preserve">fx: 0.5*3/4*2*E18</t>
  </si>
  <si>
    <t xml:space="preserve">FRANELILLAS !G165</t>
  </si>
  <si>
    <t xml:space="preserve">FRANELILLAS !G166</t>
  </si>
  <si>
    <t xml:space="preserve">FRANELILLAS !G167</t>
  </si>
  <si>
    <t xml:space="preserve">FRANELILLAS !G168</t>
  </si>
  <si>
    <t xml:space="preserve">FRANELILLAS !G169</t>
  </si>
  <si>
    <t xml:space="preserve">FRANELILLAS !G170</t>
  </si>
  <si>
    <t xml:space="preserve">FRANELILLAS !G171</t>
  </si>
  <si>
    <t xml:space="preserve">FRANELILLAS !G172</t>
  </si>
  <si>
    <t xml:space="preserve">FRANELILLAS !G173</t>
  </si>
  <si>
    <t xml:space="preserve">FRANELILLAS !G174</t>
  </si>
  <si>
    <t xml:space="preserve">FRANELILLAS !B179</t>
  </si>
  <si>
    <t xml:space="preserve">FRANELILLAS !B180</t>
  </si>
  <si>
    <t xml:space="preserve">FRANELILLAS !B181</t>
  </si>
  <si>
    <t xml:space="preserve">FRANELILLAS !B182</t>
  </si>
  <si>
    <t xml:space="preserve">FRANELILLAS !B183</t>
  </si>
  <si>
    <t xml:space="preserve">FRANELILLAS !B184</t>
  </si>
  <si>
    <t xml:space="preserve">FRANELILLAS !B185</t>
  </si>
  <si>
    <t xml:space="preserve">FRANELILLAS !B186</t>
  </si>
  <si>
    <t xml:space="preserve">FRANELILLAS !B187</t>
  </si>
  <si>
    <t xml:space="preserve">FRANELILLAS !B188</t>
  </si>
  <si>
    <t xml:space="preserve">FRANELILLAS !B189</t>
  </si>
  <si>
    <t xml:space="preserve">FRANELILLAS !G179</t>
  </si>
  <si>
    <t xml:space="preserve">FRANELILLAS !G180</t>
  </si>
  <si>
    <t xml:space="preserve">FRANELILLAS !G181</t>
  </si>
  <si>
    <t xml:space="preserve">FRANELILLAS !G182</t>
  </si>
  <si>
    <t xml:space="preserve">FRANELILLAS !G183</t>
  </si>
  <si>
    <t xml:space="preserve">FRANELILLAS !G184</t>
  </si>
  <si>
    <t xml:space="preserve">FRANELILLAS !G185</t>
  </si>
  <si>
    <t xml:space="preserve">FRANELILLAS !G186</t>
  </si>
  <si>
    <t xml:space="preserve">FRANELILLAS !G187</t>
  </si>
  <si>
    <t xml:space="preserve">FRANELILLAS !G188</t>
  </si>
  <si>
    <t xml:space="preserve">FRANELILLAS !G189</t>
  </si>
  <si>
    <t xml:space="preserve">FRANELILLAS !B195</t>
  </si>
  <si>
    <t xml:space="preserve">fx: 0.7*1.8/3*2*E18</t>
  </si>
  <si>
    <t xml:space="preserve">FRANELILLAS !B196</t>
  </si>
  <si>
    <t xml:space="preserve">FRANELILLAS !B197</t>
  </si>
  <si>
    <t xml:space="preserve">FRANELILLAS !B198</t>
  </si>
  <si>
    <t xml:space="preserve">FRANELILLAS !B199</t>
  </si>
  <si>
    <t xml:space="preserve">FRANELILLAS !B200</t>
  </si>
  <si>
    <t xml:space="preserve">FRANELILLAS !B201</t>
  </si>
  <si>
    <t xml:space="preserve">FRANELILLAS !B202</t>
  </si>
  <si>
    <t xml:space="preserve">FRANELILLAS !B203</t>
  </si>
  <si>
    <t xml:space="preserve">FRANELILLAS !B204</t>
  </si>
  <si>
    <t xml:space="preserve">FRANELILLAS !B205</t>
  </si>
  <si>
    <t xml:space="preserve">FRANELILLAS !G195</t>
  </si>
  <si>
    <t xml:space="preserve">FRANELILLAS !G196</t>
  </si>
  <si>
    <t xml:space="preserve">FRANELILLAS !G197</t>
  </si>
  <si>
    <t xml:space="preserve">FRANELILLAS !G198</t>
  </si>
  <si>
    <t xml:space="preserve">fx: 15000/6</t>
  </si>
  <si>
    <t xml:space="preserve">FRANELILLAS !G199</t>
  </si>
  <si>
    <t xml:space="preserve">FRANELILLAS !G200</t>
  </si>
  <si>
    <t xml:space="preserve">FRANELILLAS !G201</t>
  </si>
  <si>
    <t xml:space="preserve">FRANELILLAS !G202</t>
  </si>
  <si>
    <t xml:space="preserve">FRANELILLAS !G203</t>
  </si>
  <si>
    <t xml:space="preserve">FRANELILLAS !G204</t>
  </si>
  <si>
    <t xml:space="preserve">FRANELILLAS !G205</t>
  </si>
  <si>
    <t xml:space="preserve">FRANELILLAS !B210</t>
  </si>
  <si>
    <t xml:space="preserve">FRANELILLAS !B211</t>
  </si>
  <si>
    <t xml:space="preserve">FRANELILLAS !B212</t>
  </si>
  <si>
    <t xml:space="preserve">FRANELILLAS !B213</t>
  </si>
  <si>
    <t xml:space="preserve">FRANELILLAS !B214</t>
  </si>
  <si>
    <t xml:space="preserve">FRANELILLAS !B215</t>
  </si>
  <si>
    <t xml:space="preserve">FRANELILLAS !B216</t>
  </si>
  <si>
    <t xml:space="preserve">FRANELILLAS !B217</t>
  </si>
  <si>
    <t xml:space="preserve">FRANELILLAS !B218</t>
  </si>
  <si>
    <t xml:space="preserve">FRANELILLAS !B219</t>
  </si>
  <si>
    <t xml:space="preserve">FRANELILLAS !B220</t>
  </si>
  <si>
    <t xml:space="preserve">FRANELILLAS !G210</t>
  </si>
  <si>
    <t xml:space="preserve">FRANELILLAS !G211</t>
  </si>
  <si>
    <t xml:space="preserve">FRANELILLAS !G212</t>
  </si>
  <si>
    <t xml:space="preserve">FRANELILLAS !G213</t>
  </si>
  <si>
    <t xml:space="preserve">FRANELILLAS !G214</t>
  </si>
  <si>
    <t xml:space="preserve">FRANELILLAS !G215</t>
  </si>
  <si>
    <t xml:space="preserve">FRANELILLAS !G216</t>
  </si>
  <si>
    <t xml:space="preserve">FRANELILLAS !G217</t>
  </si>
  <si>
    <t xml:space="preserve">FRANELILLAS !G218</t>
  </si>
  <si>
    <t xml:space="preserve">FRANELILLAS !G219</t>
  </si>
  <si>
    <t xml:space="preserve">FRANELILLAS !G220</t>
  </si>
  <si>
    <t xml:space="preserve">FRANELILLAS !B225</t>
  </si>
  <si>
    <t xml:space="preserve">FRANELILLAS !B226</t>
  </si>
  <si>
    <t xml:space="preserve">FRANELILLAS !B227</t>
  </si>
  <si>
    <t xml:space="preserve">FRANELILLAS !B228</t>
  </si>
  <si>
    <t xml:space="preserve">FRANELILLAS !B229</t>
  </si>
  <si>
    <t xml:space="preserve">FRANELILLAS !B230</t>
  </si>
  <si>
    <t xml:space="preserve">FRANELILLAS !B231</t>
  </si>
  <si>
    <t xml:space="preserve">FRANELILLAS !B232</t>
  </si>
  <si>
    <t xml:space="preserve">FRANELILLAS !B233</t>
  </si>
  <si>
    <t xml:space="preserve">FRANELILLAS !B234</t>
  </si>
  <si>
    <t xml:space="preserve">FRANELILLAS !B235</t>
  </si>
  <si>
    <t xml:space="preserve">FRANELILLAS !G225</t>
  </si>
  <si>
    <t xml:space="preserve">FRANELILLAS !G226</t>
  </si>
  <si>
    <t xml:space="preserve">FRANELILLAS !G227</t>
  </si>
  <si>
    <t xml:space="preserve">FRANELILLAS !G228</t>
  </si>
  <si>
    <t xml:space="preserve">FRANELILLAS !G229</t>
  </si>
  <si>
    <t xml:space="preserve">FRANELILLAS !G230</t>
  </si>
  <si>
    <t xml:space="preserve">FRANELILLAS !G231</t>
  </si>
  <si>
    <t xml:space="preserve">FRANELILLAS !G232</t>
  </si>
  <si>
    <t xml:space="preserve">FRANELILLAS !G233</t>
  </si>
  <si>
    <t xml:space="preserve">FRANELILLAS !G234</t>
  </si>
  <si>
    <t xml:space="preserve">FRANELILLAS !G235</t>
  </si>
  <si>
    <t xml:space="preserve">FRANELILLAS !B242</t>
  </si>
  <si>
    <t xml:space="preserve">FRANELILLAS !B243</t>
  </si>
  <si>
    <t xml:space="preserve">FRANELILLAS !B244</t>
  </si>
  <si>
    <t xml:space="preserve">FRANELILLAS !B245</t>
  </si>
  <si>
    <t xml:space="preserve">fx: 15000/1.7</t>
  </si>
  <si>
    <t xml:space="preserve">FRANELILLAS !B246</t>
  </si>
  <si>
    <t xml:space="preserve">FRANELILLAS !B247</t>
  </si>
  <si>
    <t xml:space="preserve">FRANELILLAS !B248</t>
  </si>
  <si>
    <t xml:space="preserve">FRANELILLAS !B249</t>
  </si>
  <si>
    <t xml:space="preserve">FRANELILLAS !B250</t>
  </si>
  <si>
    <t xml:space="preserve">FRANELILLAS !B251</t>
  </si>
  <si>
    <t xml:space="preserve">FRANELILLAS !B252</t>
  </si>
  <si>
    <t xml:space="preserve">FRANELILLAS !G242</t>
  </si>
  <si>
    <t xml:space="preserve">fx: 0.5*1.8/4*2*E3</t>
  </si>
  <si>
    <t xml:space="preserve">FRANELILLAS !G243</t>
  </si>
  <si>
    <t xml:space="preserve">FRANELILLAS !G244</t>
  </si>
  <si>
    <t xml:space="preserve">FRANELILLAS !G245</t>
  </si>
  <si>
    <t xml:space="preserve">fx: 13000/2</t>
  </si>
  <si>
    <t xml:space="preserve">FRANELILLAS !G246</t>
  </si>
  <si>
    <t xml:space="preserve">FRANELILLAS !G247</t>
  </si>
  <si>
    <t xml:space="preserve">FRANELILLAS !G248</t>
  </si>
  <si>
    <t xml:space="preserve">FRANELILLAS !G249</t>
  </si>
  <si>
    <t xml:space="preserve">FRANELILLAS !G250</t>
  </si>
  <si>
    <t xml:space="preserve">FRANELILLAS !G251</t>
  </si>
  <si>
    <t xml:space="preserve">FRANELILLAS !G252</t>
  </si>
  <si>
    <t xml:space="preserve">FRANELILLAS !B257</t>
  </si>
  <si>
    <t xml:space="preserve">FRANELILLAS !B258</t>
  </si>
  <si>
    <t xml:space="preserve">FRANELILLAS !B259</t>
  </si>
  <si>
    <t xml:space="preserve">FRANELILLAS !B260</t>
  </si>
  <si>
    <t xml:space="preserve">FRANELILLAS !B261</t>
  </si>
  <si>
    <t xml:space="preserve">FRANELILLAS !B262</t>
  </si>
  <si>
    <t xml:space="preserve">FRANELILLAS !B263</t>
  </si>
  <si>
    <t xml:space="preserve">FRANELILLAS !B264</t>
  </si>
  <si>
    <t xml:space="preserve">FRANELILLAS !B265</t>
  </si>
  <si>
    <t xml:space="preserve">FRANELILLAS !B266</t>
  </si>
  <si>
    <t xml:space="preserve">FRANELILLAS !B267</t>
  </si>
  <si>
    <t xml:space="preserve">FRANELILLAS !G257</t>
  </si>
  <si>
    <t xml:space="preserve">FRANELILLAS !G258</t>
  </si>
  <si>
    <t xml:space="preserve">FRANELILLAS !G259</t>
  </si>
  <si>
    <t xml:space="preserve">FRANELILLAS !G260</t>
  </si>
  <si>
    <t xml:space="preserve">fx: 13000/1.5</t>
  </si>
  <si>
    <t xml:space="preserve">FRANELILLAS !G261</t>
  </si>
  <si>
    <t xml:space="preserve">FRANELILLAS !G262</t>
  </si>
  <si>
    <t xml:space="preserve">FRANELILLAS !G263</t>
  </si>
  <si>
    <t xml:space="preserve">FRANELILLAS !G264</t>
  </si>
  <si>
    <t xml:space="preserve">FRANELILLAS !G265</t>
  </si>
  <si>
    <t xml:space="preserve">FRANELILLAS !G266</t>
  </si>
  <si>
    <t xml:space="preserve">FRANELILLAS !G267</t>
  </si>
  <si>
    <t xml:space="preserve">FRANELILLAS !B272</t>
  </si>
  <si>
    <t xml:space="preserve">FRANELILLAS !B273</t>
  </si>
  <si>
    <t xml:space="preserve">FRANELILLAS !B274</t>
  </si>
  <si>
    <t xml:space="preserve">FRANELILLAS !B275</t>
  </si>
  <si>
    <t xml:space="preserve">FRANELILLAS !B276</t>
  </si>
  <si>
    <t xml:space="preserve">FRANELILLAS !B277</t>
  </si>
  <si>
    <t xml:space="preserve">FRANELILLAS !B278</t>
  </si>
  <si>
    <t xml:space="preserve">FRANELILLAS !B279</t>
  </si>
  <si>
    <t xml:space="preserve">FRANELILLAS !B280</t>
  </si>
  <si>
    <t xml:space="preserve">FRANELILLAS !B281</t>
  </si>
  <si>
    <t xml:space="preserve">FRANELILLAS !B282</t>
  </si>
  <si>
    <t xml:space="preserve">FRANELILLAS !G272</t>
  </si>
  <si>
    <t xml:space="preserve">FRANELILLAS !G273</t>
  </si>
  <si>
    <t xml:space="preserve">FRANELILLAS !G274</t>
  </si>
  <si>
    <t xml:space="preserve">FRANELILLAS !G275</t>
  </si>
  <si>
    <t xml:space="preserve">FRANELILLAS !G276</t>
  </si>
  <si>
    <t xml:space="preserve">FRANELILLAS !G277</t>
  </si>
  <si>
    <t xml:space="preserve">FRANELILLAS !G278</t>
  </si>
  <si>
    <t xml:space="preserve">FRANELILLAS !G279</t>
  </si>
  <si>
    <t xml:space="preserve">FRANELILLAS !G280</t>
  </si>
  <si>
    <t xml:space="preserve">FRANELILLAS !G281</t>
  </si>
  <si>
    <t xml:space="preserve">FRANELILLAS !G282</t>
  </si>
  <si>
    <t xml:space="preserve">FRANELILLAS !B288</t>
  </si>
  <si>
    <t xml:space="preserve">fx: 0.7*1.8/3*2*E162</t>
  </si>
  <si>
    <t xml:space="preserve">FRANELILLAS !B289</t>
  </si>
  <si>
    <t xml:space="preserve">FRANELILLAS !B290</t>
  </si>
  <si>
    <t xml:space="preserve">FRANELILLAS !B291</t>
  </si>
  <si>
    <t xml:space="preserve">FRANELILLAS !B292</t>
  </si>
  <si>
    <t xml:space="preserve">FRANELILLAS !B293</t>
  </si>
  <si>
    <t xml:space="preserve">FRANELILLAS !B294</t>
  </si>
  <si>
    <t xml:space="preserve">FRANELILLAS !B295</t>
  </si>
  <si>
    <t xml:space="preserve">FRANELILLAS !B296</t>
  </si>
  <si>
    <t xml:space="preserve">FRANELILLAS !B297</t>
  </si>
  <si>
    <t xml:space="preserve">FRANELILLAS !B298</t>
  </si>
  <si>
    <t xml:space="preserve">FRANELILLAS !B299</t>
  </si>
  <si>
    <t xml:space="preserve">FRANELILLAS !B300</t>
  </si>
  <si>
    <t xml:space="preserve">FRANELILLAS !G289</t>
  </si>
  <si>
    <t xml:space="preserve">FRANELILLAS !G290</t>
  </si>
  <si>
    <t xml:space="preserve">FRANELILLAS !G291</t>
  </si>
  <si>
    <t xml:space="preserve">FRANELILLAS !G292</t>
  </si>
  <si>
    <t xml:space="preserve">FRANELILLAS !G293</t>
  </si>
  <si>
    <t xml:space="preserve">FRANELILLAS !G294</t>
  </si>
  <si>
    <t xml:space="preserve">FRANELILLAS !G295</t>
  </si>
  <si>
    <t xml:space="preserve">FRANELILLAS !G296</t>
  </si>
  <si>
    <t xml:space="preserve">FRANELILLAS !G297</t>
  </si>
  <si>
    <t xml:space="preserve">FRANELILLAS !G298</t>
  </si>
  <si>
    <t xml:space="preserve">FRANELILLAS !G299</t>
  </si>
  <si>
    <t xml:space="preserve">FRANELILLAS !G300</t>
  </si>
  <si>
    <t xml:space="preserve">FRANELILLAS !G301</t>
  </si>
  <si>
    <t xml:space="preserve">FRANELILLAS !B306</t>
  </si>
  <si>
    <t xml:space="preserve">fx: 0.7*3/3*2*E162</t>
  </si>
  <si>
    <t xml:space="preserve">FRANELILLAS !B307</t>
  </si>
  <si>
    <t xml:space="preserve">FRANELILLAS !B308</t>
  </si>
  <si>
    <t xml:space="preserve">FRANELILLAS !B309</t>
  </si>
  <si>
    <t xml:space="preserve">FRANELILLAS !B310</t>
  </si>
  <si>
    <t xml:space="preserve">fx: B292</t>
  </si>
  <si>
    <t xml:space="preserve">FRANELILLAS !B311</t>
  </si>
  <si>
    <t xml:space="preserve">fx: B293</t>
  </si>
  <si>
    <t xml:space="preserve">FRANELILLAS !B312</t>
  </si>
  <si>
    <t xml:space="preserve">fx: B294</t>
  </si>
  <si>
    <t xml:space="preserve">FRANELILLAS !B313</t>
  </si>
  <si>
    <t xml:space="preserve">fx: B295</t>
  </si>
  <si>
    <t xml:space="preserve">FRANELILLAS !B314</t>
  </si>
  <si>
    <t xml:space="preserve">FRANELILLAS !B315</t>
  </si>
  <si>
    <t xml:space="preserve">FRANELILLAS !B316</t>
  </si>
  <si>
    <t xml:space="preserve">fx: B298</t>
  </si>
  <si>
    <t xml:space="preserve">FRANELILLAS !B317</t>
  </si>
  <si>
    <t xml:space="preserve">fx: B299</t>
  </si>
  <si>
    <t xml:space="preserve">FRANELILLAS !B318</t>
  </si>
  <si>
    <t xml:space="preserve">fx: B300</t>
  </si>
  <si>
    <t xml:space="preserve">FRANELILLAS !G307</t>
  </si>
  <si>
    <t xml:space="preserve">FRANELILLAS !G308</t>
  </si>
  <si>
    <t xml:space="preserve">FRANELILLAS !G309</t>
  </si>
  <si>
    <t xml:space="preserve">FRANELILLAS !G310</t>
  </si>
  <si>
    <t xml:space="preserve">FRANELILLAS !G311</t>
  </si>
  <si>
    <t xml:space="preserve">fx: G293</t>
  </si>
  <si>
    <t xml:space="preserve">FRANELILLAS !G312</t>
  </si>
  <si>
    <t xml:space="preserve">fx: G294</t>
  </si>
  <si>
    <t xml:space="preserve">FRANELILLAS !G313</t>
  </si>
  <si>
    <t xml:space="preserve">fx: G295</t>
  </si>
  <si>
    <t xml:space="preserve">FRANELILLAS !G314</t>
  </si>
  <si>
    <t xml:space="preserve">fx: G296</t>
  </si>
  <si>
    <t xml:space="preserve">FRANELILLAS !G315</t>
  </si>
  <si>
    <t xml:space="preserve">FRANELILLAS !G316</t>
  </si>
  <si>
    <t xml:space="preserve">FRANELILLAS !G317</t>
  </si>
  <si>
    <t xml:space="preserve">fx: G299</t>
  </si>
  <si>
    <t xml:space="preserve">FRANELILLAS !G318</t>
  </si>
  <si>
    <t xml:space="preserve">fx: G300</t>
  </si>
  <si>
    <t xml:space="preserve">FRANELILLAS !G319</t>
  </si>
  <si>
    <t xml:space="preserve">fx: G301</t>
  </si>
  <si>
    <t xml:space="preserve">FRANELILLAS !B324</t>
  </si>
  <si>
    <t xml:space="preserve">fx: 0.8*1.8/3*2*E162</t>
  </si>
  <si>
    <t xml:space="preserve">FRANELILLAS !B325</t>
  </si>
  <si>
    <t xml:space="preserve">FRANELILLAS !B326</t>
  </si>
  <si>
    <t xml:space="preserve">FRANELILLAS !B327</t>
  </si>
  <si>
    <t xml:space="preserve">FRANELILLAS !B328</t>
  </si>
  <si>
    <t xml:space="preserve">FRANELILLAS !B329</t>
  </si>
  <si>
    <t xml:space="preserve">FRANELILLAS !B330</t>
  </si>
  <si>
    <t xml:space="preserve">FRANELILLAS !B331</t>
  </si>
  <si>
    <t xml:space="preserve">FRANELILLAS !B332</t>
  </si>
  <si>
    <t xml:space="preserve">FRANELILLAS !B333</t>
  </si>
  <si>
    <t xml:space="preserve">FRANELILLAS !B334</t>
  </si>
  <si>
    <t xml:space="preserve">FRANELILLAS !B335</t>
  </si>
  <si>
    <t xml:space="preserve">FRANELILLAS !B336</t>
  </si>
  <si>
    <t xml:space="preserve">FRANELILLAS !G324</t>
  </si>
  <si>
    <t xml:space="preserve">fx: 0.8*3/3*2*E162</t>
  </si>
  <si>
    <t xml:space="preserve">FRANELILLAS !G325</t>
  </si>
  <si>
    <t xml:space="preserve">FRANELILLAS !G326</t>
  </si>
  <si>
    <t xml:space="preserve">FRANELILLAS !G327</t>
  </si>
  <si>
    <t xml:space="preserve">FRANELILLAS !G328</t>
  </si>
  <si>
    <t xml:space="preserve">FRANELILLAS !G329</t>
  </si>
  <si>
    <t xml:space="preserve">FRANELILLAS !G330</t>
  </si>
  <si>
    <t xml:space="preserve">FRANELILLAS !G331</t>
  </si>
  <si>
    <t xml:space="preserve">fx: B330</t>
  </si>
  <si>
    <t xml:space="preserve">FRANELILLAS !G332</t>
  </si>
  <si>
    <t xml:space="preserve">FRANELILLAS !G333</t>
  </si>
  <si>
    <t xml:space="preserve">FRANELILLAS !G334</t>
  </si>
  <si>
    <t xml:space="preserve">FRANELILLAS !G335</t>
  </si>
  <si>
    <t xml:space="preserve">FRANELILLAS !G336</t>
  </si>
  <si>
    <t xml:space="preserve">MANGAS </t>
  </si>
  <si>
    <t xml:space="preserve">PAR DE MANGAS</t>
  </si>
  <si>
    <t xml:space="preserve">MANGAS !B4</t>
  </si>
  <si>
    <t xml:space="preserve">fx: 0.6*6*3700/5</t>
  </si>
  <si>
    <t xml:space="preserve">MANGAS !B5</t>
  </si>
  <si>
    <t xml:space="preserve">fx: 0.6*13000/5</t>
  </si>
  <si>
    <t xml:space="preserve">MANGAS !B6</t>
  </si>
  <si>
    <t xml:space="preserve">MANGAS !B7</t>
  </si>
  <si>
    <t xml:space="preserve">MANGAS !B8</t>
  </si>
  <si>
    <t xml:space="preserve">MANGAS !B9</t>
  </si>
  <si>
    <t xml:space="preserve">MANGAS !B10</t>
  </si>
  <si>
    <t xml:space="preserve">MANGAS !B11</t>
  </si>
  <si>
    <t xml:space="preserve">MANGAS !B12</t>
  </si>
  <si>
    <t xml:space="preserve">MANGAS !B13</t>
  </si>
  <si>
    <t xml:space="preserve">MANGAS !B14</t>
  </si>
  <si>
    <t xml:space="preserve">MANGAS !B20</t>
  </si>
  <si>
    <t xml:space="preserve">fx: 1.8/6*F18</t>
  </si>
  <si>
    <t xml:space="preserve">MANGAS !B21</t>
  </si>
  <si>
    <t xml:space="preserve">MANGAS !B22</t>
  </si>
  <si>
    <t xml:space="preserve">MANGAS !B23</t>
  </si>
  <si>
    <t xml:space="preserve">MANGAS !B24</t>
  </si>
  <si>
    <t xml:space="preserve">MANGAS !B25</t>
  </si>
  <si>
    <t xml:space="preserve">MANGAS !B26</t>
  </si>
  <si>
    <t xml:space="preserve">MANGAS !B27</t>
  </si>
  <si>
    <t xml:space="preserve">MANGAS !B28</t>
  </si>
  <si>
    <t xml:space="preserve">MANGAS !B29</t>
  </si>
  <si>
    <t xml:space="preserve">GORRA </t>
  </si>
  <si>
    <t xml:space="preserve">GORRA DE MALLA</t>
  </si>
  <si>
    <t xml:space="preserve">GORRA</t>
  </si>
  <si>
    <t xml:space="preserve">GORRA !B4</t>
  </si>
  <si>
    <t xml:space="preserve">GORRA !B5</t>
  </si>
  <si>
    <t xml:space="preserve">GORRA !B6</t>
  </si>
  <si>
    <t xml:space="preserve">GORRA !B7</t>
  </si>
  <si>
    <t xml:space="preserve">GORRA !B8</t>
  </si>
  <si>
    <t xml:space="preserve">GORRA !B9</t>
  </si>
  <si>
    <t xml:space="preserve">GORRA !B10</t>
  </si>
  <si>
    <t xml:space="preserve">GORRA !B11</t>
  </si>
  <si>
    <t xml:space="preserve">GORRA !B12</t>
  </si>
  <si>
    <t xml:space="preserve">TOP DAMA</t>
  </si>
  <si>
    <t xml:space="preserve">TOP DAMA!B4</t>
  </si>
  <si>
    <t xml:space="preserve">fx: 0.7*1.8/3*2*F2</t>
  </si>
  <si>
    <t xml:space="preserve">TOP DAMA!B5</t>
  </si>
  <si>
    <t xml:space="preserve">TOP DAMA!B6</t>
  </si>
  <si>
    <t xml:space="preserve">TOP DAMA!B7</t>
  </si>
  <si>
    <t xml:space="preserve">TOP DAMA!B8</t>
  </si>
  <si>
    <t xml:space="preserve">TOP DAMA!B9</t>
  </si>
  <si>
    <t xml:space="preserve">TOP DAMA!B10</t>
  </si>
  <si>
    <t xml:space="preserve">TOP DAMA!B11</t>
  </si>
  <si>
    <t xml:space="preserve">TOP DAMA!I5</t>
  </si>
  <si>
    <t xml:space="preserve">fx: 0.7*3/3*2*F2</t>
  </si>
  <si>
    <t xml:space="preserve">TOP DAMA!I6</t>
  </si>
  <si>
    <t xml:space="preserve">TOP DAMA!I7</t>
  </si>
  <si>
    <t xml:space="preserve">TOP DAMA!I8</t>
  </si>
  <si>
    <t xml:space="preserve">TOP DAMA!I9</t>
  </si>
  <si>
    <t xml:space="preserve">TOP DAMA!I10</t>
  </si>
  <si>
    <t xml:space="preserve">TOP DAMA!I11</t>
  </si>
  <si>
    <t xml:space="preserve">TOP DAMA!I12</t>
  </si>
  <si>
    <t xml:space="preserve">TOP DAMA!B19</t>
  </si>
  <si>
    <t xml:space="preserve">fx: 0.5*1.8/4*2*F17</t>
  </si>
  <si>
    <t xml:space="preserve">TOP DAMA!B20</t>
  </si>
  <si>
    <t xml:space="preserve">TOP DAMA!B21</t>
  </si>
  <si>
    <t xml:space="preserve">TOP DAMA!B22</t>
  </si>
  <si>
    <t xml:space="preserve">TOP DAMA!B23</t>
  </si>
  <si>
    <t xml:space="preserve">TOP DAMA!B24</t>
  </si>
  <si>
    <t xml:space="preserve">TOP DAMA!B25</t>
  </si>
  <si>
    <t xml:space="preserve">TOP DAMA!B26</t>
  </si>
  <si>
    <t xml:space="preserve">TOP DAMA!I19</t>
  </si>
  <si>
    <t xml:space="preserve">fx: 0.5*3/4*2*F2</t>
  </si>
  <si>
    <t xml:space="preserve">TOP DAMA!I20</t>
  </si>
  <si>
    <t xml:space="preserve">TOP DAMA!I21</t>
  </si>
  <si>
    <t xml:space="preserve">TOP DAMA!I22</t>
  </si>
  <si>
    <t xml:space="preserve">TOP DAMA!I23</t>
  </si>
  <si>
    <t xml:space="preserve">TOP DAMA!I24</t>
  </si>
  <si>
    <t xml:space="preserve">TOP DAMA!I25</t>
  </si>
  <si>
    <t xml:space="preserve">TOP DAMA!I26</t>
  </si>
  <si>
    <t xml:space="preserve">TOP DAMA!B32</t>
  </si>
  <si>
    <t xml:space="preserve">fx: 0.8*1.8/3*2*F2</t>
  </si>
  <si>
    <t xml:space="preserve">TOP DAMA!B33</t>
  </si>
  <si>
    <t xml:space="preserve">TOP DAMA!B34</t>
  </si>
  <si>
    <t xml:space="preserve">TOP DAMA!B35</t>
  </si>
  <si>
    <t xml:space="preserve">TOP DAMA!B36</t>
  </si>
  <si>
    <t xml:space="preserve">TOP DAMA!B37</t>
  </si>
  <si>
    <t xml:space="preserve">TOP DAMA!B38</t>
  </si>
  <si>
    <t xml:space="preserve">TOP DAMA!B39</t>
  </si>
  <si>
    <t xml:space="preserve">TOP DAMA!I32</t>
  </si>
  <si>
    <t xml:space="preserve">fx: 0.8*3/3*2*F2</t>
  </si>
  <si>
    <t xml:space="preserve">TOP DAMA!I33</t>
  </si>
  <si>
    <t xml:space="preserve">TOP DAMA!I34</t>
  </si>
  <si>
    <t xml:space="preserve">TOP DAMA!I35</t>
  </si>
  <si>
    <t xml:space="preserve">TOP DAMA!I36</t>
  </si>
  <si>
    <t xml:space="preserve">TOP DAMA!I37</t>
  </si>
  <si>
    <t xml:space="preserve">TOP DAMA!I38</t>
  </si>
  <si>
    <t xml:space="preserve">fx: B38</t>
  </si>
  <si>
    <t xml:space="preserve">TOP DAMA!I39</t>
  </si>
  <si>
    <t xml:space="preserve">bloque</t>
  </si>
  <si>
    <t xml:space="preserve">escala</t>
  </si>
  <si>
    <t xml:space="preserve">factor</t>
  </si>
  <si>
    <t xml:space="preserve">precio_usd</t>
  </si>
  <si>
    <t xml:space="preserve">celda</t>
  </si>
  <si>
    <t xml:space="preserve">clave</t>
  </si>
  <si>
    <t xml:space="preserve">+5 DOC</t>
  </si>
  <si>
    <t xml:space="preserve">C8</t>
  </si>
  <si>
    <t xml:space="preserve">D8</t>
  </si>
  <si>
    <t xml:space="preserve">DETAL</t>
  </si>
  <si>
    <t xml:space="preserve">E8</t>
  </si>
  <si>
    <t xml:space="preserve">H8</t>
  </si>
  <si>
    <t xml:space="preserve">I8</t>
  </si>
  <si>
    <t xml:space="preserve">J8</t>
  </si>
  <si>
    <t xml:space="preserve">C17</t>
  </si>
  <si>
    <t xml:space="preserve">D17</t>
  </si>
  <si>
    <t xml:space="preserve">E17</t>
  </si>
  <si>
    <t xml:space="preserve">H17</t>
  </si>
  <si>
    <t xml:space="preserve">I17</t>
  </si>
  <si>
    <t xml:space="preserve">J17</t>
  </si>
  <si>
    <t xml:space="preserve">C27</t>
  </si>
  <si>
    <t xml:space="preserve">D27</t>
  </si>
  <si>
    <t xml:space="preserve">E27</t>
  </si>
  <si>
    <t xml:space="preserve">H27</t>
  </si>
  <si>
    <t xml:space="preserve">I27</t>
  </si>
  <si>
    <t xml:space="preserve">J27</t>
  </si>
  <si>
    <t xml:space="preserve">C44</t>
  </si>
  <si>
    <t xml:space="preserve">D44</t>
  </si>
  <si>
    <t xml:space="preserve">E44</t>
  </si>
  <si>
    <t xml:space="preserve">H44</t>
  </si>
  <si>
    <t xml:space="preserve">I44</t>
  </si>
  <si>
    <t xml:space="preserve">J44</t>
  </si>
  <si>
    <t xml:space="preserve">C60</t>
  </si>
  <si>
    <t xml:space="preserve">D60</t>
  </si>
  <si>
    <t xml:space="preserve">E60</t>
  </si>
  <si>
    <t xml:space="preserve">H60</t>
  </si>
  <si>
    <t xml:space="preserve">I60</t>
  </si>
  <si>
    <t xml:space="preserve">J60</t>
  </si>
  <si>
    <t xml:space="preserve">C75</t>
  </si>
  <si>
    <t xml:space="preserve">D75</t>
  </si>
  <si>
    <t xml:space="preserve">E75</t>
  </si>
  <si>
    <t xml:space="preserve">H75</t>
  </si>
  <si>
    <t xml:space="preserve">I75</t>
  </si>
  <si>
    <t xml:space="preserve">J75</t>
  </si>
  <si>
    <t xml:space="preserve">C92</t>
  </si>
  <si>
    <t xml:space="preserve">D92</t>
  </si>
  <si>
    <t xml:space="preserve">E92</t>
  </si>
  <si>
    <t xml:space="preserve">H92</t>
  </si>
  <si>
    <t xml:space="preserve">I92</t>
  </si>
  <si>
    <t xml:space="preserve">J92</t>
  </si>
  <si>
    <t xml:space="preserve">C104</t>
  </si>
  <si>
    <t xml:space="preserve">D104</t>
  </si>
  <si>
    <t xml:space="preserve">E104</t>
  </si>
  <si>
    <t xml:space="preserve">H104</t>
  </si>
  <si>
    <t xml:space="preserve">I104</t>
  </si>
  <si>
    <t xml:space="preserve">J104</t>
  </si>
  <si>
    <t xml:space="preserve">C116</t>
  </si>
  <si>
    <t xml:space="preserve">D116</t>
  </si>
  <si>
    <t xml:space="preserve">E116</t>
  </si>
  <si>
    <t xml:space="preserve">H116</t>
  </si>
  <si>
    <t xml:space="preserve">I116</t>
  </si>
  <si>
    <t xml:space="preserve">J116</t>
  </si>
  <si>
    <t xml:space="preserve">C133</t>
  </si>
  <si>
    <t xml:space="preserve">D133</t>
  </si>
  <si>
    <t xml:space="preserve">E133</t>
  </si>
  <si>
    <t xml:space="preserve">H135</t>
  </si>
  <si>
    <t xml:space="preserve">I135</t>
  </si>
  <si>
    <t xml:space="preserve">J135</t>
  </si>
  <si>
    <t xml:space="preserve">C149</t>
  </si>
  <si>
    <t xml:space="preserve">D149</t>
  </si>
  <si>
    <t xml:space="preserve">E149</t>
  </si>
  <si>
    <t xml:space="preserve">H151</t>
  </si>
  <si>
    <t xml:space="preserve">I151</t>
  </si>
  <si>
    <t xml:space="preserve">J151</t>
  </si>
  <si>
    <t xml:space="preserve">C164</t>
  </si>
  <si>
    <t xml:space="preserve">D164</t>
  </si>
  <si>
    <t xml:space="preserve">E164</t>
  </si>
  <si>
    <t xml:space="preserve">H164</t>
  </si>
  <si>
    <t xml:space="preserve">I164</t>
  </si>
  <si>
    <t xml:space="preserve">J164</t>
  </si>
  <si>
    <t xml:space="preserve">C181</t>
  </si>
  <si>
    <t xml:space="preserve">D181</t>
  </si>
  <si>
    <t xml:space="preserve">E181</t>
  </si>
  <si>
    <t xml:space="preserve">H180</t>
  </si>
  <si>
    <t xml:space="preserve">I180</t>
  </si>
  <si>
    <t xml:space="preserve">J180</t>
  </si>
  <si>
    <t xml:space="preserve">C196</t>
  </si>
  <si>
    <t xml:space="preserve">D196</t>
  </si>
  <si>
    <t xml:space="preserve">E196</t>
  </si>
  <si>
    <t xml:space="preserve">H194</t>
  </si>
  <si>
    <t xml:space="preserve">I194</t>
  </si>
  <si>
    <t xml:space="preserve">J194</t>
  </si>
  <si>
    <t xml:space="preserve">C211</t>
  </si>
  <si>
    <t xml:space="preserve">D211</t>
  </si>
  <si>
    <t xml:space="preserve">E211</t>
  </si>
  <si>
    <t xml:space="preserve">H212</t>
  </si>
  <si>
    <t xml:space="preserve">I212</t>
  </si>
  <si>
    <t xml:space="preserve">J212</t>
  </si>
  <si>
    <t xml:space="preserve">C226</t>
  </si>
  <si>
    <t xml:space="preserve">D226</t>
  </si>
  <si>
    <t xml:space="preserve">E226</t>
  </si>
  <si>
    <t xml:space="preserve">H228</t>
  </si>
  <si>
    <t xml:space="preserve">I228</t>
  </si>
  <si>
    <t xml:space="preserve">J228</t>
  </si>
  <si>
    <t xml:space="preserve">C243</t>
  </si>
  <si>
    <t xml:space="preserve">D243</t>
  </si>
  <si>
    <t xml:space="preserve">E243</t>
  </si>
  <si>
    <t xml:space="preserve">H244</t>
  </si>
  <si>
    <t xml:space="preserve">I244</t>
  </si>
  <si>
    <t xml:space="preserve">J244</t>
  </si>
  <si>
    <t xml:space="preserve">C258</t>
  </si>
  <si>
    <t xml:space="preserve">D258</t>
  </si>
  <si>
    <t xml:space="preserve">E258</t>
  </si>
  <si>
    <t xml:space="preserve">H258</t>
  </si>
  <si>
    <t xml:space="preserve">I258</t>
  </si>
  <si>
    <t xml:space="preserve">J258</t>
  </si>
  <si>
    <t xml:space="preserve">C275</t>
  </si>
  <si>
    <t xml:space="preserve">D275</t>
  </si>
  <si>
    <t xml:space="preserve">E275</t>
  </si>
  <si>
    <t xml:space="preserve">H274</t>
  </si>
  <si>
    <t xml:space="preserve">I274</t>
  </si>
  <si>
    <t xml:space="preserve">J274</t>
  </si>
  <si>
    <t xml:space="preserve">C291</t>
  </si>
  <si>
    <t xml:space="preserve">D291</t>
  </si>
  <si>
    <t xml:space="preserve">E291</t>
  </si>
  <si>
    <t xml:space="preserve">H292</t>
  </si>
  <si>
    <t xml:space="preserve">I292</t>
  </si>
  <si>
    <t xml:space="preserve">J292</t>
  </si>
  <si>
    <t xml:space="preserve">C309</t>
  </si>
  <si>
    <t xml:space="preserve">D309</t>
  </si>
  <si>
    <t xml:space="preserve">E309</t>
  </si>
  <si>
    <t xml:space="preserve">H308</t>
  </si>
  <si>
    <t xml:space="preserve">I308</t>
  </si>
  <si>
    <t xml:space="preserve">J308</t>
  </si>
  <si>
    <t xml:space="preserve">D9</t>
  </si>
  <si>
    <t xml:space="preserve">E9</t>
  </si>
  <si>
    <t xml:space="preserve">F9</t>
  </si>
  <si>
    <t xml:space="preserve">K9</t>
  </si>
  <si>
    <t xml:space="preserve">L9</t>
  </si>
  <si>
    <t xml:space="preserve">M9</t>
  </si>
  <si>
    <t xml:space="preserve">D20</t>
  </si>
  <si>
    <t xml:space="preserve">E20</t>
  </si>
  <si>
    <t xml:space="preserve">F20</t>
  </si>
  <si>
    <t xml:space="preserve">K20</t>
  </si>
  <si>
    <t xml:space="preserve">L20</t>
  </si>
  <si>
    <t xml:space="preserve">M20</t>
  </si>
  <si>
    <t xml:space="preserve">D31</t>
  </si>
  <si>
    <t xml:space="preserve">E31</t>
  </si>
  <si>
    <t xml:space="preserve">F31</t>
  </si>
  <si>
    <t xml:space="preserve">K30</t>
  </si>
  <si>
    <t xml:space="preserve">L30</t>
  </si>
  <si>
    <t xml:space="preserve">M30</t>
  </si>
  <si>
    <t xml:space="preserve">D41</t>
  </si>
  <si>
    <t xml:space="preserve">2 A 5 DOC</t>
  </si>
  <si>
    <t xml:space="preserve">E41</t>
  </si>
  <si>
    <t xml:space="preserve">F41</t>
  </si>
  <si>
    <t xml:space="preserve">K41</t>
  </si>
  <si>
    <t xml:space="preserve">L41</t>
  </si>
  <si>
    <t xml:space="preserve">M41</t>
  </si>
  <si>
    <t xml:space="preserve">D51</t>
  </si>
  <si>
    <t xml:space="preserve">3 A 5 DOC</t>
  </si>
  <si>
    <t xml:space="preserve">E51</t>
  </si>
  <si>
    <t xml:space="preserve">F51</t>
  </si>
  <si>
    <t xml:space="preserve">K51</t>
  </si>
  <si>
    <t xml:space="preserve">L51</t>
  </si>
  <si>
    <t xml:space="preserve">M51</t>
  </si>
  <si>
    <t xml:space="preserve">D15</t>
  </si>
  <si>
    <t xml:space="preserve">E15</t>
  </si>
  <si>
    <t xml:space="preserve">F15</t>
  </si>
  <si>
    <t xml:space="preserve">D33</t>
  </si>
  <si>
    <t xml:space="preserve">E33</t>
  </si>
  <si>
    <t xml:space="preserve">F33</t>
  </si>
  <si>
    <t xml:space="preserve">D12</t>
  </si>
  <si>
    <t xml:space="preserve">E12</t>
  </si>
  <si>
    <t xml:space="preserve">F12</t>
  </si>
  <si>
    <t xml:space="preserve">D30</t>
  </si>
  <si>
    <t xml:space="preserve">E30</t>
  </si>
  <si>
    <t xml:space="preserve">F30</t>
  </si>
  <si>
    <t xml:space="preserve">D49</t>
  </si>
  <si>
    <t xml:space="preserve">E49</t>
  </si>
  <si>
    <t xml:space="preserve">F49</t>
  </si>
  <si>
    <t xml:space="preserve">D68</t>
  </si>
  <si>
    <t xml:space="preserve">E68</t>
  </si>
  <si>
    <t xml:space="preserve">F68</t>
  </si>
  <si>
    <t xml:space="preserve">K17</t>
  </si>
  <si>
    <t xml:space="preserve">L17</t>
  </si>
  <si>
    <t xml:space="preserve">M17</t>
  </si>
  <si>
    <t xml:space="preserve">F27</t>
  </si>
  <si>
    <t xml:space="preserve">K33</t>
  </si>
  <si>
    <t xml:space="preserve">L33</t>
  </si>
  <si>
    <t xml:space="preserve">M33</t>
  </si>
  <si>
    <t xml:space="preserve">D45</t>
  </si>
  <si>
    <t xml:space="preserve">E45</t>
  </si>
  <si>
    <t xml:space="preserve">F45</t>
  </si>
  <si>
    <t xml:space="preserve">K49</t>
  </si>
  <si>
    <t xml:space="preserve">L49</t>
  </si>
  <si>
    <t xml:space="preserve">M49</t>
  </si>
  <si>
    <t xml:space="preserve">D62</t>
  </si>
  <si>
    <t xml:space="preserve">E62</t>
  </si>
  <si>
    <t xml:space="preserve">F62</t>
  </si>
  <si>
    <t xml:space="preserve">D78</t>
  </si>
  <si>
    <t xml:space="preserve">E78</t>
  </si>
  <si>
    <t xml:space="preserve">F78</t>
  </si>
  <si>
    <t xml:space="preserve">D94</t>
  </si>
  <si>
    <t xml:space="preserve">E94</t>
  </si>
  <si>
    <t xml:space="preserve">F94</t>
  </si>
  <si>
    <t xml:space="preserve">D16</t>
  </si>
  <si>
    <t xml:space="preserve">E16</t>
  </si>
  <si>
    <t xml:space="preserve">F16</t>
  </si>
  <si>
    <t xml:space="preserve">D13</t>
  </si>
  <si>
    <t xml:space="preserve">E13</t>
  </si>
  <si>
    <t xml:space="preserve">F13</t>
  </si>
  <si>
    <t xml:space="preserve">D28</t>
  </si>
  <si>
    <t xml:space="preserve">E28</t>
  </si>
  <si>
    <t xml:space="preserve">F28</t>
  </si>
  <si>
    <t xml:space="preserve">D46</t>
  </si>
  <si>
    <t xml:space="preserve">E46</t>
  </si>
  <si>
    <t xml:space="preserve">F46</t>
  </si>
  <si>
    <t xml:space="preserve">D52</t>
  </si>
  <si>
    <t xml:space="preserve">E52</t>
  </si>
  <si>
    <t xml:space="preserve">F52</t>
  </si>
  <si>
    <t xml:space="preserve">K52</t>
  </si>
  <si>
    <t xml:space="preserve">L52</t>
  </si>
  <si>
    <t xml:space="preserve">M52</t>
  </si>
  <si>
    <t xml:space="preserve">D11</t>
  </si>
  <si>
    <t xml:space="preserve">E11</t>
  </si>
  <si>
    <t xml:space="preserve">F11</t>
  </si>
  <si>
    <t xml:space="preserve">K12</t>
  </si>
  <si>
    <t xml:space="preserve">L12</t>
  </si>
  <si>
    <t xml:space="preserve">M12</t>
  </si>
  <si>
    <t xml:space="preserve">R12</t>
  </si>
  <si>
    <t xml:space="preserve">S12</t>
  </si>
  <si>
    <t xml:space="preserve">T12</t>
  </si>
  <si>
    <t xml:space="preserve">Y13</t>
  </si>
  <si>
    <t xml:space="preserve">Z13</t>
  </si>
  <si>
    <t xml:space="preserve">AA13</t>
  </si>
  <si>
    <t xml:space="preserve">AF13</t>
  </si>
  <si>
    <t xml:space="preserve">AG13</t>
  </si>
  <si>
    <t xml:space="preserve">AH13</t>
  </si>
  <si>
    <t xml:space="preserve">AT13</t>
  </si>
  <si>
    <t xml:space="preserve">AU13</t>
  </si>
  <si>
    <t xml:space="preserve">AV13</t>
  </si>
  <si>
    <t xml:space="preserve">AM12</t>
  </si>
  <si>
    <t xml:space="preserve">AN12</t>
  </si>
  <si>
    <t xml:space="preserve">AO12</t>
  </si>
  <si>
    <t xml:space="preserve">R31</t>
  </si>
  <si>
    <t xml:space="preserve">S31</t>
  </si>
  <si>
    <t xml:space="preserve">T31</t>
  </si>
  <si>
    <t xml:space="preserve">AF32</t>
  </si>
  <si>
    <t xml:space="preserve">AG32</t>
  </si>
  <si>
    <t xml:space="preserve">AH32</t>
  </si>
  <si>
    <t xml:space="preserve">AM31</t>
  </si>
  <si>
    <t xml:space="preserve">AN31</t>
  </si>
  <si>
    <t xml:space="preserve">AO31</t>
  </si>
  <si>
    <t xml:space="preserve">Y32</t>
  </si>
  <si>
    <t xml:space="preserve">Z32</t>
  </si>
  <si>
    <t xml:space="preserve">AA32</t>
  </si>
  <si>
    <t xml:space="preserve">AT50</t>
  </si>
  <si>
    <t xml:space="preserve">AU50</t>
  </si>
  <si>
    <t xml:space="preserve">AV50</t>
  </si>
  <si>
    <t xml:space="preserve">D50</t>
  </si>
  <si>
    <t xml:space="preserve">E50</t>
  </si>
  <si>
    <t xml:space="preserve">F50</t>
  </si>
  <si>
    <t xml:space="preserve">K48</t>
  </si>
  <si>
    <t xml:space="preserve">L48</t>
  </si>
  <si>
    <t xml:space="preserve">M48</t>
  </si>
  <si>
    <t xml:space="preserve">R51</t>
  </si>
  <si>
    <t xml:space="preserve">S51</t>
  </si>
  <si>
    <t xml:space="preserve">T51</t>
  </si>
  <si>
    <t xml:space="preserve">Y52</t>
  </si>
  <si>
    <t xml:space="preserve">Z52</t>
  </si>
  <si>
    <t xml:space="preserve">AA52</t>
  </si>
  <si>
    <t xml:space="preserve">AF52</t>
  </si>
  <si>
    <t xml:space="preserve">AG52</t>
  </si>
  <si>
    <t xml:space="preserve">AH52</t>
  </si>
  <si>
    <t xml:space="preserve">BA49</t>
  </si>
  <si>
    <t xml:space="preserve">BB49</t>
  </si>
  <si>
    <t xml:space="preserve">BC49</t>
  </si>
  <si>
    <t xml:space="preserve">AM51</t>
  </si>
  <si>
    <t xml:space="preserve">AN51</t>
  </si>
  <si>
    <t xml:space="preserve">AO51</t>
  </si>
  <si>
    <t xml:space="preserve">?</t>
  </si>
  <si>
    <t xml:space="preserve">D32</t>
  </si>
  <si>
    <t xml:space="preserve">E32</t>
  </si>
  <si>
    <t xml:space="preserve">F32</t>
  </si>
  <si>
    <t xml:space="preserve">D54</t>
  </si>
  <si>
    <t xml:space="preserve">E54</t>
  </si>
  <si>
    <t xml:space="preserve">F54</t>
  </si>
  <si>
    <t xml:space="preserve">D73</t>
  </si>
  <si>
    <t xml:space="preserve">E73</t>
  </si>
  <si>
    <t xml:space="preserve">F73</t>
  </si>
  <si>
    <t xml:space="preserve">D96</t>
  </si>
  <si>
    <t xml:space="preserve">E96</t>
  </si>
  <si>
    <t xml:space="preserve">F96</t>
  </si>
  <si>
    <t xml:space="preserve">D115</t>
  </si>
  <si>
    <t xml:space="preserve">E115</t>
  </si>
  <si>
    <t xml:space="preserve">F115</t>
  </si>
  <si>
    <t xml:space="preserve">D137</t>
  </si>
  <si>
    <t xml:space="preserve">E137</t>
  </si>
  <si>
    <t xml:space="preserve">F137</t>
  </si>
  <si>
    <t xml:space="preserve">D157</t>
  </si>
  <si>
    <t xml:space="preserve">E157</t>
  </si>
  <si>
    <t xml:space="preserve">F157</t>
  </si>
  <si>
    <t xml:space="preserve">F181</t>
  </si>
  <si>
    <t xml:space="preserve">AA15</t>
  </si>
  <si>
    <t xml:space="preserve">AB15</t>
  </si>
  <si>
    <t xml:space="preserve">AC15</t>
  </si>
  <si>
    <t xml:space="preserve">AA34</t>
  </si>
  <si>
    <t xml:space="preserve">AB34</t>
  </si>
  <si>
    <t xml:space="preserve">AC34</t>
  </si>
  <si>
    <t xml:space="preserve">D36</t>
  </si>
  <si>
    <t xml:space="preserve">E36</t>
  </si>
  <si>
    <t xml:space="preserve">F36</t>
  </si>
  <si>
    <t xml:space="preserve">L36</t>
  </si>
  <si>
    <t xml:space="preserve">M36</t>
  </si>
  <si>
    <t xml:space="preserve">N36</t>
  </si>
  <si>
    <t xml:space="preserve">S36</t>
  </si>
  <si>
    <t xml:space="preserve">T36</t>
  </si>
  <si>
    <t xml:space="preserve">U36</t>
  </si>
  <si>
    <t xml:space="preserve">D6</t>
  </si>
  <si>
    <t xml:space="preserve">E6</t>
  </si>
  <si>
    <t xml:space="preserve">F6</t>
  </si>
  <si>
    <t xml:space="preserve">D14</t>
  </si>
  <si>
    <t xml:space="preserve">E14</t>
  </si>
  <si>
    <t xml:space="preserve">F14</t>
  </si>
  <si>
    <t xml:space="preserve">L14</t>
  </si>
  <si>
    <t xml:space="preserve">M14</t>
  </si>
  <si>
    <t xml:space="preserve">N14</t>
  </si>
  <si>
    <t xml:space="preserve">L31</t>
  </si>
  <si>
    <t xml:space="preserve">M31</t>
  </si>
  <si>
    <t xml:space="preserve">N31</t>
  </si>
  <si>
    <t xml:space="preserve">N49</t>
  </si>
  <si>
    <t xml:space="preserve">D66</t>
  </si>
  <si>
    <t xml:space="preserve">E66</t>
  </si>
  <si>
    <t xml:space="preserve">F66</t>
  </si>
  <si>
    <t xml:space="preserve">L66</t>
  </si>
  <si>
    <t xml:space="preserve">M66</t>
  </si>
  <si>
    <t xml:space="preserve">N66</t>
  </si>
  <si>
    <t xml:space="preserve">L13</t>
  </si>
  <si>
    <t xml:space="preserve">M13</t>
  </si>
  <si>
    <t xml:space="preserve">N13</t>
  </si>
  <si>
    <t xml:space="preserve">L32</t>
  </si>
  <si>
    <t xml:space="preserve">M32</t>
  </si>
  <si>
    <t xml:space="preserve">N32</t>
  </si>
  <si>
    <t xml:space="preserve">G15</t>
  </si>
  <si>
    <t xml:space="preserve">L15</t>
  </si>
  <si>
    <t xml:space="preserve">M15</t>
  </si>
  <si>
    <t xml:space="preserve">N15</t>
  </si>
  <si>
    <t xml:space="preserve">G36</t>
  </si>
  <si>
    <t xml:space="preserve">E57</t>
  </si>
  <si>
    <t xml:space="preserve">F57</t>
  </si>
  <si>
    <t xml:space="preserve">G57</t>
  </si>
  <si>
    <t xml:space="preserve">E74</t>
  </si>
  <si>
    <t xml:space="preserve">F74</t>
  </si>
  <si>
    <t xml:space="preserve">G74</t>
  </si>
  <si>
    <t xml:space="preserve">G94</t>
  </si>
  <si>
    <t xml:space="preserve">M94</t>
  </si>
  <si>
    <t xml:space="preserve">N94</t>
  </si>
  <si>
    <t xml:space="preserve">O94</t>
  </si>
  <si>
    <t xml:space="preserve">E114</t>
  </si>
  <si>
    <t xml:space="preserve">F114</t>
  </si>
  <si>
    <t xml:space="preserve">G114</t>
  </si>
  <si>
    <t xml:space="preserve">M114</t>
  </si>
  <si>
    <t xml:space="preserve">N114</t>
  </si>
  <si>
    <t xml:space="preserve">O114</t>
  </si>
  <si>
    <t xml:space="preserve">M133</t>
  </si>
  <si>
    <t xml:space="preserve">N133</t>
  </si>
  <si>
    <t xml:space="preserve">O133</t>
  </si>
  <si>
    <t xml:space="preserve">E134</t>
  </si>
  <si>
    <t xml:space="preserve">F134</t>
  </si>
  <si>
    <t xml:space="preserve">G134</t>
  </si>
  <si>
    <t xml:space="preserve">E154</t>
  </si>
  <si>
    <t xml:space="preserve">F154</t>
  </si>
  <si>
    <t xml:space="preserve">G154</t>
  </si>
  <si>
    <t xml:space="preserve">D34</t>
  </si>
  <si>
    <t xml:space="preserve">E34</t>
  </si>
  <si>
    <t xml:space="preserve">F34</t>
  </si>
  <si>
    <t xml:space="preserve">N51</t>
  </si>
  <si>
    <t xml:space="preserve">D19</t>
  </si>
  <si>
    <t xml:space="preserve">E19</t>
  </si>
  <si>
    <t xml:space="preserve">F19</t>
  </si>
  <si>
    <t xml:space="preserve">M18</t>
  </si>
  <si>
    <t xml:space="preserve">N18</t>
  </si>
  <si>
    <t xml:space="preserve">O18</t>
  </si>
  <si>
    <t xml:space="preserve">V18</t>
  </si>
  <si>
    <t xml:space="preserve">W18</t>
  </si>
  <si>
    <t xml:space="preserve">X18</t>
  </si>
  <si>
    <t xml:space="preserve">M38</t>
  </si>
  <si>
    <t xml:space="preserve">N38</t>
  </si>
  <si>
    <t xml:space="preserve">O38</t>
  </si>
  <si>
    <t xml:space="preserve">D40</t>
  </si>
  <si>
    <t xml:space="preserve">E40</t>
  </si>
  <si>
    <t xml:space="preserve">F40</t>
  </si>
  <si>
    <t xml:space="preserve">M62</t>
  </si>
  <si>
    <t xml:space="preserve">N62</t>
  </si>
  <si>
    <t xml:space="preserve">O62</t>
  </si>
  <si>
    <t xml:space="preserve">D65</t>
  </si>
  <si>
    <t xml:space="preserve">E65</t>
  </si>
  <si>
    <t xml:space="preserve">F65</t>
  </si>
  <si>
    <t xml:space="preserve">M84</t>
  </si>
  <si>
    <t xml:space="preserve">N84</t>
  </si>
  <si>
    <t xml:space="preserve">O84</t>
  </si>
  <si>
    <t xml:space="preserve">D86</t>
  </si>
  <si>
    <t xml:space="preserve">E86</t>
  </si>
  <si>
    <t xml:space="preserve">F86</t>
  </si>
  <si>
    <t xml:space="preserve">M104</t>
  </si>
  <si>
    <t xml:space="preserve">N104</t>
  </si>
  <si>
    <t xml:space="preserve">O104</t>
  </si>
  <si>
    <t xml:space="preserve">D107</t>
  </si>
  <si>
    <t xml:space="preserve">E107</t>
  </si>
  <si>
    <t xml:space="preserve">F107</t>
  </si>
  <si>
    <t xml:space="preserve">D128</t>
  </si>
  <si>
    <t xml:space="preserve">E128</t>
  </si>
  <si>
    <t xml:space="preserve">F128</t>
  </si>
  <si>
    <t xml:space="preserve">M127</t>
  </si>
  <si>
    <t xml:space="preserve">N127</t>
  </si>
  <si>
    <t xml:space="preserve">O127</t>
  </si>
  <si>
    <t xml:space="preserve">M150</t>
  </si>
  <si>
    <t xml:space="preserve">N150</t>
  </si>
  <si>
    <t xml:space="preserve">O150</t>
  </si>
  <si>
    <t xml:space="preserve">D153</t>
  </si>
  <si>
    <t xml:space="preserve">E153</t>
  </si>
  <si>
    <t xml:space="preserve">F153</t>
  </si>
  <si>
    <t xml:space="preserve">D47</t>
  </si>
  <si>
    <t xml:space="preserve">E47</t>
  </si>
  <si>
    <t xml:space="preserve">F47</t>
  </si>
  <si>
    <t xml:space="preserve">L47</t>
  </si>
  <si>
    <t xml:space="preserve">M47</t>
  </si>
  <si>
    <t xml:space="preserve">N47</t>
  </si>
  <si>
    <t xml:space="preserve">D63</t>
  </si>
  <si>
    <t xml:space="preserve">E63</t>
  </si>
  <si>
    <t xml:space="preserve">F63</t>
  </si>
  <si>
    <t xml:space="preserve">F17</t>
  </si>
  <si>
    <t xml:space="preserve">F8</t>
  </si>
  <si>
    <t xml:space="preserve">T13</t>
  </si>
  <si>
    <t xml:space="preserve">U13</t>
  </si>
  <si>
    <t xml:space="preserve">V13</t>
  </si>
  <si>
    <t xml:space="preserve">AB13</t>
  </si>
  <si>
    <t xml:space="preserve">AC13</t>
  </si>
  <si>
    <t xml:space="preserve">AD13</t>
  </si>
  <si>
    <t xml:space="preserve">T32</t>
  </si>
  <si>
    <t xml:space="preserve">U32</t>
  </si>
  <si>
    <t xml:space="preserve">V32</t>
  </si>
  <si>
    <t xml:space="preserve">D7</t>
  </si>
  <si>
    <t xml:space="preserve">E7</t>
  </si>
  <si>
    <t xml:space="preserve">F7</t>
  </si>
  <si>
    <t xml:space="preserve">K14</t>
  </si>
  <si>
    <t xml:space="preserve">D29</t>
  </si>
  <si>
    <t xml:space="preserve">E29</t>
  </si>
  <si>
    <t xml:space="preserve">F29</t>
  </si>
  <si>
    <t xml:space="preserve">C13</t>
  </si>
  <si>
    <t xml:space="preserve">H12</t>
  </si>
  <si>
    <t xml:space="preserve">I12</t>
  </si>
  <si>
    <t xml:space="preserve">J12</t>
  </si>
  <si>
    <t xml:space="preserve">C28</t>
  </si>
  <si>
    <t xml:space="preserve">C40</t>
  </si>
  <si>
    <t xml:space="preserve">H40</t>
  </si>
  <si>
    <t xml:space="preserve">I40</t>
  </si>
  <si>
    <t xml:space="preserve">J40</t>
  </si>
  <si>
    <t xml:space="preserve">C58</t>
  </si>
  <si>
    <t xml:space="preserve">D58</t>
  </si>
  <si>
    <t xml:space="preserve">E58</t>
  </si>
  <si>
    <t xml:space="preserve">H76</t>
  </si>
  <si>
    <t xml:space="preserve">I76</t>
  </si>
  <si>
    <t xml:space="preserve">J76</t>
  </si>
  <si>
    <t xml:space="preserve">H94</t>
  </si>
  <si>
    <t xml:space="preserve">I94</t>
  </si>
  <si>
    <t xml:space="preserve">J94</t>
  </si>
  <si>
    <t xml:space="preserve">C109</t>
  </si>
  <si>
    <t xml:space="preserve">D109</t>
  </si>
  <si>
    <t xml:space="preserve">E109</t>
  </si>
  <si>
    <t xml:space="preserve">H111</t>
  </si>
  <si>
    <t xml:space="preserve">I111</t>
  </si>
  <si>
    <t xml:space="preserve">J111</t>
  </si>
  <si>
    <t xml:space="preserve">C126</t>
  </si>
  <si>
    <t xml:space="preserve">D126</t>
  </si>
  <si>
    <t xml:space="preserve">E126</t>
  </si>
  <si>
    <t xml:space="preserve">H127</t>
  </si>
  <si>
    <t xml:space="preserve">I127</t>
  </si>
  <si>
    <t xml:space="preserve">J127</t>
  </si>
  <si>
    <t xml:space="preserve">C142</t>
  </si>
  <si>
    <t xml:space="preserve">D142</t>
  </si>
  <si>
    <t xml:space="preserve">E142</t>
  </si>
  <si>
    <t xml:space="preserve">H141</t>
  </si>
  <si>
    <t xml:space="preserve">I141</t>
  </si>
  <si>
    <t xml:space="preserve">J141</t>
  </si>
  <si>
    <t xml:space="preserve">C155</t>
  </si>
  <si>
    <t xml:space="preserve">D155</t>
  </si>
  <si>
    <t xml:space="preserve">E155</t>
  </si>
  <si>
    <t xml:space="preserve">H157</t>
  </si>
  <si>
    <t xml:space="preserve">I157</t>
  </si>
  <si>
    <t xml:space="preserve">J157</t>
  </si>
  <si>
    <t xml:space="preserve">C171</t>
  </si>
  <si>
    <t xml:space="preserve">D171</t>
  </si>
  <si>
    <t xml:space="preserve">E171</t>
  </si>
  <si>
    <t xml:space="preserve">H173</t>
  </si>
  <si>
    <t xml:space="preserve">I173</t>
  </si>
  <si>
    <t xml:space="preserve">J173</t>
  </si>
  <si>
    <t xml:space="preserve">C186</t>
  </si>
  <si>
    <t xml:space="preserve">D186</t>
  </si>
  <si>
    <t xml:space="preserve">E186</t>
  </si>
  <si>
    <t xml:space="preserve">H186</t>
  </si>
  <si>
    <t xml:space="preserve">I186</t>
  </si>
  <si>
    <t xml:space="preserve">J186</t>
  </si>
  <si>
    <t xml:space="preserve">C203</t>
  </si>
  <si>
    <t xml:space="preserve">D203</t>
  </si>
  <si>
    <t xml:space="preserve">E203</t>
  </si>
  <si>
    <t xml:space="preserve">H202</t>
  </si>
  <si>
    <t xml:space="preserve">I202</t>
  </si>
  <si>
    <t xml:space="preserve">J202</t>
  </si>
  <si>
    <t xml:space="preserve">C218</t>
  </si>
  <si>
    <t xml:space="preserve">D218</t>
  </si>
  <si>
    <t xml:space="preserve">E218</t>
  </si>
  <si>
    <t xml:space="preserve">H216</t>
  </si>
  <si>
    <t xml:space="preserve">I216</t>
  </si>
  <si>
    <t xml:space="preserve">J216</t>
  </si>
  <si>
    <t xml:space="preserve">C233</t>
  </si>
  <si>
    <t xml:space="preserve">D233</t>
  </si>
  <si>
    <t xml:space="preserve">E233</t>
  </si>
  <si>
    <t xml:space="preserve">H234</t>
  </si>
  <si>
    <t xml:space="preserve">I234</t>
  </si>
  <si>
    <t xml:space="preserve">J234</t>
  </si>
  <si>
    <t xml:space="preserve">C248</t>
  </si>
  <si>
    <t xml:space="preserve">D248</t>
  </si>
  <si>
    <t xml:space="preserve">E248</t>
  </si>
  <si>
    <t xml:space="preserve">H250</t>
  </si>
  <si>
    <t xml:space="preserve">I250</t>
  </si>
  <si>
    <t xml:space="preserve">J250</t>
  </si>
  <si>
    <t xml:space="preserve">C265</t>
  </si>
  <si>
    <t xml:space="preserve">D265</t>
  </si>
  <si>
    <t xml:space="preserve">E265</t>
  </si>
  <si>
    <t xml:space="preserve">H266</t>
  </si>
  <si>
    <t xml:space="preserve">I266</t>
  </si>
  <si>
    <t xml:space="preserve">J266</t>
  </si>
  <si>
    <t xml:space="preserve">C280</t>
  </si>
  <si>
    <t xml:space="preserve">D280</t>
  </si>
  <si>
    <t xml:space="preserve">E280</t>
  </si>
  <si>
    <t xml:space="preserve">H280</t>
  </si>
  <si>
    <t xml:space="preserve">I280</t>
  </si>
  <si>
    <t xml:space="preserve">J280</t>
  </si>
  <si>
    <t xml:space="preserve">C297</t>
  </si>
  <si>
    <t xml:space="preserve">D297</t>
  </si>
  <si>
    <t xml:space="preserve">E297</t>
  </si>
  <si>
    <t xml:space="preserve">H297</t>
  </si>
  <si>
    <t xml:space="preserve">I297</t>
  </si>
  <si>
    <t xml:space="preserve">J297</t>
  </si>
  <si>
    <t xml:space="preserve">C313</t>
  </si>
  <si>
    <t xml:space="preserve">D313</t>
  </si>
  <si>
    <t xml:space="preserve">E313</t>
  </si>
  <si>
    <t xml:space="preserve">H315</t>
  </si>
  <si>
    <t xml:space="preserve">I315</t>
  </si>
  <si>
    <t xml:space="preserve">J315</t>
  </si>
  <si>
    <t xml:space="preserve">C332</t>
  </si>
  <si>
    <t xml:space="preserve">D332</t>
  </si>
  <si>
    <t xml:space="preserve">E332</t>
  </si>
  <si>
    <t xml:space="preserve">H331</t>
  </si>
  <si>
    <t xml:space="preserve">I331</t>
  </si>
  <si>
    <t xml:space="preserve">J331</t>
  </si>
  <si>
    <t xml:space="preserve">D26</t>
  </si>
  <si>
    <t xml:space="preserve">E26</t>
  </si>
  <si>
    <t xml:space="preserve">F26</t>
  </si>
  <si>
    <t xml:space="preserve">K11</t>
  </si>
  <si>
    <t xml:space="preserve">L11</t>
  </si>
  <si>
    <t xml:space="preserve">M11</t>
  </si>
  <si>
    <t xml:space="preserve">K26</t>
  </si>
  <si>
    <t xml:space="preserve">L26</t>
  </si>
  <si>
    <t xml:space="preserve">M26</t>
  </si>
  <si>
    <t xml:space="preserve">D39</t>
  </si>
  <si>
    <t xml:space="preserve">E39</t>
  </si>
  <si>
    <t xml:space="preserve">F39</t>
  </si>
  <si>
    <t xml:space="preserve">K39</t>
  </si>
  <si>
    <t xml:space="preserve">L39</t>
  </si>
  <si>
    <t xml:space="preserve">M39</t>
  </si>
  <si>
    <t xml:space="preserve">insumo</t>
  </si>
  <si>
    <t xml:space="preserve">tasa</t>
  </si>
  <si>
    <t xml:space="preserve">TELA NORFACE 5,5$</t>
  </si>
  <si>
    <t xml:space="preserve">TELA MALLA</t>
  </si>
  <si>
    <t xml:space="preserve">BOLSA Y DOBLADO</t>
  </si>
  <si>
    <t xml:space="preserve">proceso</t>
  </si>
  <si>
    <t xml:space="preserve">tarifa_local</t>
  </si>
  <si>
    <t xml:space="preserve">tarifa_usd</t>
  </si>
  <si>
    <t xml:space="preserve">tipo</t>
  </si>
  <si>
    <t xml:space="preserve">detalle</t>
  </si>
  <si>
    <t xml:space="preserve">gravedad</t>
  </si>
  <si>
    <t xml:space="preserve">a) Tasa incrustada distinta</t>
  </si>
  <si>
    <t xml:space="preserve">G111</t>
  </si>
  <si>
    <t xml:space="preserve">3800 vs tasa 4000</t>
  </si>
  <si>
    <t xml:space="preserve">ALTA</t>
  </si>
  <si>
    <t xml:space="preserve">G253</t>
  </si>
  <si>
    <t xml:space="preserve">8500 vs tasa 4000</t>
  </si>
  <si>
    <t xml:space="preserve">J45</t>
  </si>
  <si>
    <t xml:space="preserve">9500 vs tasa 4000</t>
  </si>
  <si>
    <t xml:space="preserve">Y28</t>
  </si>
  <si>
    <t xml:space="preserve">3700 vs tasa 3900</t>
  </si>
  <si>
    <t xml:space="preserve">B24</t>
  </si>
  <si>
    <t xml:space="preserve">3500 vs tasa 4000</t>
  </si>
  <si>
    <t xml:space="preserve">B25</t>
  </si>
  <si>
    <t xml:space="preserve">6000 vs tasa 4000</t>
  </si>
  <si>
    <t xml:space="preserve">B23</t>
  </si>
  <si>
    <t xml:space="preserve">B7</t>
  </si>
  <si>
    <t xml:space="preserve">B50</t>
  </si>
  <si>
    <t xml:space="preserve">J87</t>
  </si>
  <si>
    <t xml:space="preserve">4000 vs tasa 3800</t>
  </si>
  <si>
    <t xml:space="preserve">J125</t>
  </si>
  <si>
    <t xml:space="preserve">B8</t>
  </si>
  <si>
    <t xml:space="preserve">K27</t>
  </si>
  <si>
    <t xml:space="preserve">4200 vs tasa 3800</t>
  </si>
  <si>
    <t xml:space="preserve">B30</t>
  </si>
  <si>
    <t xml:space="preserve">K74</t>
  </si>
  <si>
    <t xml:space="preserve">K76</t>
  </si>
  <si>
    <t xml:space="preserve">3000 vs tasa 3800</t>
  </si>
  <si>
    <t xml:space="preserve">K94</t>
  </si>
  <si>
    <t xml:space="preserve">B116</t>
  </si>
  <si>
    <t xml:space="preserve">K116</t>
  </si>
  <si>
    <t xml:space="preserve">K141</t>
  </si>
  <si>
    <t xml:space="preserve">3750 vs tasa 3800</t>
  </si>
  <si>
    <t xml:space="preserve">B142</t>
  </si>
  <si>
    <t xml:space="preserve">B20</t>
  </si>
  <si>
    <t xml:space="preserve">4000 vs tasa 4500</t>
  </si>
  <si>
    <t xml:space="preserve">B83</t>
  </si>
  <si>
    <t xml:space="preserve">g) Insumo con precios distintos</t>
  </si>
  <si>
    <t xml:space="preserve">104 valores: [840, 950, 1170, 1560, 1800, 2025]</t>
  </si>
  <si>
    <t xml:space="preserve">MEDIA</t>
  </si>
  <si>
    <t xml:space="preserve">12 valores: [50, 65, 80, 100, 132, 200]</t>
  </si>
  <si>
    <t xml:space="preserve">8 valores: [50, 60, 100, 150, 500, 530]</t>
  </si>
  <si>
    <t xml:space="preserve">14 valores: [50, 60, 70, 100, 200, 250]</t>
  </si>
  <si>
    <t xml:space="preserve">7 valores: [100, 200, 250, 300, 350, 500]</t>
  </si>
  <si>
    <t xml:space="preserve">9 valores: [1200, 1300, 1500, 1800, 2000, 2500]</t>
  </si>
  <si>
    <t xml:space="preserve">11 valores: [7200.0, 7600, 13200.0, 13875, 15000, 16530]</t>
  </si>
  <si>
    <t xml:space="preserve">3 valores: [13680, 16720, 18240]</t>
  </si>
  <si>
    <t xml:space="preserve">10 valores: [200, 500, 600, 800, 1000, 1100]</t>
  </si>
  <si>
    <t xml:space="preserve">7 valores: [12540.0, 17550, 18000, 20520, 20900, 28500]</t>
  </si>
  <si>
    <t xml:space="preserve">5 valores: [8640, 11400, 12920, 13680, 15200]</t>
  </si>
  <si>
    <t xml:space="preserve">2 valores: [2400, 2880]</t>
  </si>
  <si>
    <t xml:space="preserve">8 valores: [1050, 1900, 2000, 2400, 2500, 2800]</t>
  </si>
  <si>
    <t xml:space="preserve">2 valores: [380, 1615]</t>
  </si>
  <si>
    <t xml:space="preserve">3 valores: [9880, 21280, 32400]</t>
  </si>
  <si>
    <t xml:space="preserve">3 valores: [300, 500, 1000]</t>
  </si>
  <si>
    <t xml:space="preserve">5 valores: [7904, 10400, 14820, 15795.0, 21000]</t>
  </si>
  <si>
    <t xml:space="preserve">2 valores: [3150.0, 12150.0]</t>
  </si>
  <si>
    <t xml:space="preserve">g) Proceso con precios distintos</t>
  </si>
  <si>
    <t xml:space="preserve">8 valores: [300, 500, 700, 1000, 1400, 1500]</t>
  </si>
  <si>
    <t xml:space="preserve">21 valores: [1000, 1200, 1300, 1500, 1600, 1800]</t>
  </si>
  <si>
    <t xml:space="preserve">4 valores: [2500, 6000, 10000, 14000]</t>
  </si>
  <si>
    <t xml:space="preserve">13 valores: [200, 300, 500, 750, 1000, 1400]</t>
  </si>
  <si>
    <t xml:space="preserve">15 valores: [300, 500, 700, 1000, 1500, 2000]</t>
  </si>
  <si>
    <t xml:space="preserve">5 valores: [100, 200, 300, 400, 500]</t>
  </si>
  <si>
    <t xml:space="preserve">6 valores: [50, 100, 200, 250, 500, 1000]</t>
  </si>
  <si>
    <t xml:space="preserve">10 valores: [200, 300, 700, 1000, 1500, 2000]</t>
  </si>
  <si>
    <t xml:space="preserve">13 valores: [500, 769.23, 1000, 1500, 2000, 2500]</t>
  </si>
  <si>
    <t xml:space="preserve">4 valores: [750, 866.67, 3000, 4000]</t>
  </si>
  <si>
    <t xml:space="preserve">6 valores: [1125, 1500, 4500, 6000, 6600, 14300]</t>
  </si>
  <si>
    <t xml:space="preserve">32 valores: [1000, 2500, 3500, 3750, 4250, 5500]</t>
  </si>
  <si>
    <t xml:space="preserve">2 valores: [3000, 4000]</t>
  </si>
  <si>
    <t xml:space="preserve">2 valores: [2500, 4000]</t>
  </si>
  <si>
    <t xml:space="preserve">4 valores: [7000, 13000, 15000, 22000]</t>
  </si>
  <si>
    <t xml:space="preserve">6 valores: [3500, 6066.67, 6533.33, 7500, 10000, 11538.46]</t>
  </si>
  <si>
    <t xml:space="preserve">2 valores: [160.16, 167.97]</t>
  </si>
  <si>
    <t xml:space="preserve">2 valores: [50, 477.78]</t>
  </si>
  <si>
    <t xml:space="preserve">4 valores: [500, 1000, 1500, 2000]</t>
  </si>
  <si>
    <t xml:space="preserve">2 valores: [800, 1500]</t>
  </si>
  <si>
    <t xml:space="preserve">Etiqueta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</si>
</sst>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\$#,##0.00"/>
    <numFmt numFmtId="168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.5"/>
      <color rgb="FF000000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sz val="8.5"/>
      <color rgb="FF9C9C9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9C9C9C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0.5"/>
      <color rgb="FFB8504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7BEAE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85042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7BEA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C9C9C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N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8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7" min="7" style="0" width="2"/>
    <col collapsed="false" customWidth="true" hidden="false" outlineLevel="0" max="8" min="8" style="0" width="26"/>
    <col collapsed="false" customWidth="true" hidden="false" outlineLevel="0" max="9" min="9" style="0" width="12"/>
    <col collapsed="false" customWidth="true" hidden="false" outlineLevel="0" max="10" min="10" style="0" width="3"/>
    <col collapsed="false" customWidth="true" hidden="false" outlineLevel="0" max="12" min="11" style="0" width="26"/>
    <col collapsed="false" customWidth="true" hidden="false" outlineLevel="0" max="14" min="13" style="0" width="10"/>
  </cols>
  <sheetData>
    <row r="2" customFormat="false" ht="24" hidden="false" customHeight="true" outlineLevel="0" collapsed="false">
      <c r="B2" s="1" t="s">
        <v>0</v>
      </c>
      <c r="C2" s="1"/>
      <c r="D2" s="1"/>
      <c r="E2" s="1"/>
      <c r="F2" s="1"/>
      <c r="K2" s="1" t="s">
        <v>1</v>
      </c>
      <c r="L2" s="1"/>
      <c r="M2" s="1"/>
      <c r="N2" s="1"/>
    </row>
    <row r="4" customFormat="false" ht="15" hidden="false" customHeight="false" outlineLevel="0" collapsed="false">
      <c r="B4" s="2" t="s">
        <v>2</v>
      </c>
      <c r="C4" s="3" t="s">
        <v>3</v>
      </c>
      <c r="D4" s="2" t="s">
        <v>4</v>
      </c>
      <c r="E4" s="4"/>
      <c r="K4" s="2" t="s">
        <v>5</v>
      </c>
      <c r="L4" s="5" t="s">
        <v>6</v>
      </c>
      <c r="M4" s="5"/>
      <c r="N4" s="5"/>
    </row>
    <row r="5" customFormat="false" ht="15" hidden="false" customHeight="false" outlineLevel="0" collapsed="false">
      <c r="B5" s="2" t="s">
        <v>7</v>
      </c>
      <c r="C5" s="3"/>
      <c r="D5" s="3"/>
      <c r="E5" s="3"/>
      <c r="F5" s="3"/>
      <c r="K5" s="2" t="s">
        <v>8</v>
      </c>
      <c r="L5" s="5" t="s">
        <v>9</v>
      </c>
      <c r="M5" s="5"/>
      <c r="N5" s="5"/>
    </row>
    <row r="6" customFormat="false" ht="15" hidden="false" customHeight="false" outlineLevel="0" collapsed="false">
      <c r="B6" s="2" t="s">
        <v>10</v>
      </c>
      <c r="C6" s="3"/>
      <c r="D6" s="3"/>
      <c r="E6" s="3"/>
      <c r="F6" s="3"/>
      <c r="K6" s="2" t="s">
        <v>11</v>
      </c>
      <c r="L6" s="5" t="n">
        <v>12</v>
      </c>
      <c r="M6" s="5"/>
      <c r="N6" s="5"/>
    </row>
    <row r="7" customFormat="false" ht="15" hidden="false" customHeight="false" outlineLevel="0" collapsed="false">
      <c r="B7" s="2" t="s">
        <v>12</v>
      </c>
      <c r="C7" s="3"/>
      <c r="D7" s="3"/>
      <c r="E7" s="3"/>
      <c r="F7" s="3"/>
    </row>
    <row r="8" customFormat="false" ht="15" hidden="false" customHeight="false" outlineLevel="0" collapsed="false">
      <c r="K8" s="6" t="s">
        <v>13</v>
      </c>
      <c r="L8" s="7" t="n">
        <f aca="false">IFERROR(INDEX(Indice!$A$2:$A$237,MATCH($L$4,Indice!$E$2:$E$237,0)),"")</f>
        <v>1</v>
      </c>
      <c r="M8" s="7"/>
      <c r="N8" s="7"/>
    </row>
    <row r="9" customFormat="false" ht="15" hidden="false" customHeight="false" outlineLevel="0" collapsed="false">
      <c r="B9" s="8" t="s">
        <v>14</v>
      </c>
      <c r="C9" s="8" t="s">
        <v>15</v>
      </c>
      <c r="D9" s="8" t="s">
        <v>16</v>
      </c>
      <c r="E9" s="8" t="s">
        <v>17</v>
      </c>
      <c r="F9" s="8" t="s">
        <v>18</v>
      </c>
      <c r="H9" s="9" t="s">
        <v>19</v>
      </c>
      <c r="I9" s="9" t="s">
        <v>20</v>
      </c>
      <c r="K9" s="2" t="s">
        <v>21</v>
      </c>
      <c r="L9" s="3" t="str">
        <f aca="false">IFERROR(INDEX(Indice!$B$2:$B$237,MATCH($L$8,Indice!$A$2:$A$237,0))&amp;" — "&amp;INDEX(Indice!$D$2:$D$237,MATCH($L$8,Indice!$A$2:$A$237,0)),"—")</f>
        <v>FRA MUSE MICR — MUSELINA    DAMA</v>
      </c>
      <c r="M9" s="3"/>
      <c r="N9" s="3"/>
    </row>
    <row r="10" customFormat="false" ht="15" hidden="false" customHeight="false" outlineLevel="0" collapsed="false">
      <c r="B10" s="10"/>
      <c r="C10" s="10"/>
      <c r="D10" s="10"/>
      <c r="E10" s="11"/>
      <c r="F10" s="11"/>
      <c r="H10" s="9"/>
      <c r="I10" s="9"/>
      <c r="K10" s="2" t="s">
        <v>22</v>
      </c>
      <c r="L10" s="3" t="n">
        <f aca="false">IFERROR(SUMIFS(M_Recetas!$J$2:$J$2828,M_Recetas!$A$2:$A$2828,$L$8),0)</f>
        <v>3.6525</v>
      </c>
    </row>
    <row r="11" customFormat="false" ht="15" hidden="false" customHeight="false" outlineLevel="0" collapsed="false">
      <c r="B11" s="10"/>
      <c r="C11" s="10"/>
      <c r="D11" s="10"/>
      <c r="E11" s="11"/>
      <c r="F11" s="11"/>
      <c r="H11" s="9"/>
      <c r="I11" s="9"/>
      <c r="K11" s="2" t="s">
        <v>23</v>
      </c>
      <c r="L11" s="12" t="n">
        <f aca="false">IFERROR(INDEX(M_Escalas!$G$2:$G$706,MATCH($L$8&amp;"|"&amp;$L$5,M_Escalas!$I$2:$I$706,0)),"Sin dato — revisar Anomalias")</f>
        <v>5.844</v>
      </c>
    </row>
    <row r="12" customFormat="false" ht="15" hidden="false" customHeight="false" outlineLevel="0" collapsed="false">
      <c r="B12" s="10"/>
      <c r="C12" s="10"/>
      <c r="D12" s="10"/>
      <c r="E12" s="11"/>
      <c r="F12" s="11"/>
      <c r="H12" s="9"/>
      <c r="I12" s="9"/>
      <c r="K12" s="2" t="s">
        <v>24</v>
      </c>
      <c r="L12" s="3" t="n">
        <f aca="false">IF(ISNUMBER($L$11),$L$11-$L$10,"—")</f>
        <v>2.1915</v>
      </c>
    </row>
    <row r="13" customFormat="false" ht="15" hidden="false" customHeight="false" outlineLevel="0" collapsed="false">
      <c r="B13" s="10"/>
      <c r="C13" s="10"/>
      <c r="D13" s="10"/>
      <c r="E13" s="11"/>
      <c r="F13" s="11"/>
      <c r="H13" s="9"/>
      <c r="I13" s="9"/>
      <c r="K13" s="2" t="s">
        <v>25</v>
      </c>
      <c r="L13" s="13" t="n">
        <f aca="false">IF(AND(ISNUMBER($L$11),$L$11&lt;&gt;0),$L$12/$L$11,"—")</f>
        <v>0.375</v>
      </c>
    </row>
    <row r="14" customFormat="false" ht="15" hidden="false" customHeight="false" outlineLevel="0" collapsed="false">
      <c r="B14" s="10"/>
      <c r="C14" s="10"/>
      <c r="D14" s="10"/>
      <c r="E14" s="11"/>
      <c r="F14" s="11"/>
      <c r="H14" s="9"/>
      <c r="I14" s="9"/>
    </row>
    <row r="15" customFormat="false" ht="15" hidden="false" customHeight="false" outlineLevel="0" collapsed="false">
      <c r="B15" s="10"/>
      <c r="C15" s="10"/>
      <c r="D15" s="10"/>
      <c r="E15" s="11"/>
      <c r="F15" s="11"/>
      <c r="H15" s="9"/>
      <c r="I15" s="9"/>
      <c r="K15" s="14" t="s">
        <v>26</v>
      </c>
      <c r="L15" s="14"/>
      <c r="M15" s="14"/>
      <c r="N15" s="14"/>
    </row>
    <row r="16" customFormat="false" ht="15" hidden="false" customHeight="false" outlineLevel="0" collapsed="false">
      <c r="B16" s="10"/>
      <c r="C16" s="10"/>
      <c r="D16" s="10"/>
      <c r="E16" s="11"/>
      <c r="F16" s="11"/>
      <c r="H16" s="9"/>
      <c r="I16" s="9"/>
      <c r="K16" s="15" t="s">
        <v>27</v>
      </c>
      <c r="L16" s="3" t="n">
        <f aca="false">IFERROR(SUMIFS(M_Recetas!$J$2:$J$2828,M_Recetas!$A$2:$A$2828,$L$8,M_Recetas!$F$2:$F$2828,"Insumo"),0)</f>
        <v>2.1025</v>
      </c>
    </row>
    <row r="17" customFormat="false" ht="15" hidden="false" customHeight="false" outlineLevel="0" collapsed="false">
      <c r="B17" s="10"/>
      <c r="C17" s="10"/>
      <c r="D17" s="10"/>
      <c r="E17" s="11"/>
      <c r="F17" s="11"/>
      <c r="H17" s="9"/>
      <c r="I17" s="9"/>
      <c r="K17" s="15" t="s">
        <v>28</v>
      </c>
      <c r="L17" s="3" t="n">
        <f aca="false">IFERROR(SUMIFS(M_Recetas!$J$2:$J$2828,M_Recetas!$A$2:$A$2828,$L$8,M_Recetas!$F$2:$F$2828,"Proceso"),0)</f>
        <v>0.8</v>
      </c>
    </row>
    <row r="18" customFormat="false" ht="15" hidden="false" customHeight="false" outlineLevel="0" collapsed="false">
      <c r="B18" s="10"/>
      <c r="C18" s="10"/>
      <c r="D18" s="10"/>
      <c r="E18" s="11"/>
      <c r="F18" s="11"/>
      <c r="H18" s="9"/>
      <c r="I18" s="9"/>
      <c r="K18" s="15" t="s">
        <v>29</v>
      </c>
      <c r="L18" s="3" t="n">
        <f aca="false">IFERROR(SUMIFS(M_Recetas!$J$2:$J$2828,M_Recetas!$A$2:$A$2828,$L$8,M_Recetas!$F$2:$F$2828,"Tecnica"),0)</f>
        <v>0</v>
      </c>
    </row>
    <row r="19" customFormat="false" ht="15" hidden="false" customHeight="false" outlineLevel="0" collapsed="false">
      <c r="B19" s="10"/>
      <c r="C19" s="10"/>
      <c r="D19" s="10"/>
      <c r="E19" s="11"/>
      <c r="F19" s="11"/>
      <c r="H19" s="9"/>
      <c r="I19" s="9"/>
      <c r="K19" s="15" t="s">
        <v>30</v>
      </c>
      <c r="L19" s="3" t="n">
        <f aca="false">IFERROR(SUMIFS(M_Recetas!$J$2:$J$2828,M_Recetas!$A$2:$A$2828,$L$8,M_Recetas!$F$2:$F$2828,"Indirecto"),0)</f>
        <v>0.75</v>
      </c>
    </row>
    <row r="20" customFormat="false" ht="15" hidden="false" customHeight="false" outlineLevel="0" collapsed="false">
      <c r="B20" s="10"/>
      <c r="C20" s="10"/>
      <c r="D20" s="10"/>
      <c r="E20" s="11"/>
      <c r="F20" s="11"/>
      <c r="H20" s="9"/>
      <c r="I20" s="9"/>
      <c r="K20" s="15" t="s">
        <v>31</v>
      </c>
      <c r="L20" s="3" t="n">
        <f aca="false">IFERROR(SUMIFS(M_Recetas!$J$2:$J$2828,M_Recetas!$A$2:$A$2828,$L$8,M_Recetas!$F$2:$F$2828,"Otro"),0)</f>
        <v>0</v>
      </c>
    </row>
    <row r="21" customFormat="false" ht="15" hidden="false" customHeight="false" outlineLevel="0" collapsed="false">
      <c r="B21" s="10"/>
      <c r="C21" s="10"/>
      <c r="D21" s="10"/>
      <c r="E21" s="11"/>
      <c r="F21" s="11"/>
      <c r="H21" s="9"/>
      <c r="I21" s="9"/>
      <c r="K21" s="2" t="s">
        <v>32</v>
      </c>
      <c r="L21" s="12" t="n">
        <f aca="false">SUM(L16:L20)</f>
        <v>3.6525</v>
      </c>
    </row>
    <row r="22" customFormat="false" ht="15" hidden="false" customHeight="false" outlineLevel="0" collapsed="false">
      <c r="B22" s="10"/>
      <c r="C22" s="10"/>
      <c r="D22" s="10"/>
      <c r="E22" s="11"/>
      <c r="F22" s="11"/>
      <c r="H22" s="9"/>
      <c r="I22" s="9"/>
    </row>
    <row r="23" customFormat="false" ht="15" hidden="false" customHeight="false" outlineLevel="0" collapsed="false">
      <c r="B23" s="10"/>
      <c r="C23" s="10"/>
      <c r="D23" s="10"/>
      <c r="E23" s="11"/>
      <c r="F23" s="11"/>
      <c r="H23" s="9"/>
      <c r="I23" s="9"/>
      <c r="K23" s="16" t="s">
        <v>33</v>
      </c>
      <c r="L23" s="5"/>
      <c r="M23" s="5"/>
      <c r="N23" s="5"/>
    </row>
    <row r="24" customFormat="false" ht="15" hidden="false" customHeight="false" outlineLevel="0" collapsed="false">
      <c r="B24" s="10"/>
      <c r="C24" s="10"/>
      <c r="D24" s="10"/>
      <c r="E24" s="11"/>
      <c r="F24" s="11"/>
      <c r="H24" s="9"/>
      <c r="I24" s="9"/>
    </row>
    <row r="25" customFormat="false" ht="15" hidden="false" customHeight="true" outlineLevel="0" collapsed="false">
      <c r="K25" s="17" t="s">
        <v>34</v>
      </c>
      <c r="L25" s="17"/>
      <c r="M25" s="17"/>
      <c r="N25" s="17"/>
    </row>
    <row r="26" customFormat="false" ht="15" hidden="false" customHeight="false" outlineLevel="0" collapsed="false">
      <c r="D26" s="18" t="s">
        <v>35</v>
      </c>
      <c r="E26" s="18"/>
      <c r="F26" s="19" t="n">
        <f aca="false">SUM(F10:F24)</f>
        <v>0</v>
      </c>
      <c r="K26" s="17"/>
      <c r="L26" s="17"/>
      <c r="M26" s="17"/>
      <c r="N26" s="17"/>
    </row>
    <row r="27" customFormat="false" ht="15" hidden="false" customHeight="false" outlineLevel="0" collapsed="false">
      <c r="E27" s="2" t="s">
        <v>36</v>
      </c>
      <c r="F27" s="20"/>
      <c r="K27" s="17"/>
      <c r="L27" s="17"/>
      <c r="M27" s="17"/>
      <c r="N27" s="17"/>
    </row>
    <row r="28" customFormat="false" ht="15" hidden="false" customHeight="false" outlineLevel="0" collapsed="false">
      <c r="E28" s="2" t="s">
        <v>37</v>
      </c>
      <c r="F28" s="21" t="n">
        <f aca="false">F26-F27</f>
        <v>0</v>
      </c>
      <c r="K28" s="17"/>
      <c r="L28" s="17"/>
      <c r="M28" s="17"/>
      <c r="N28" s="17"/>
    </row>
    <row r="30" customFormat="false" ht="15" hidden="false" customHeight="true" outlineLevel="0" collapsed="false">
      <c r="B30" s="17" t="s">
        <v>38</v>
      </c>
      <c r="C30" s="17"/>
      <c r="D30" s="17"/>
      <c r="E30" s="17"/>
      <c r="F30" s="17"/>
    </row>
    <row r="31" customFormat="false" ht="15" hidden="false" customHeight="false" outlineLevel="0" collapsed="false">
      <c r="B31" s="17"/>
      <c r="C31" s="17"/>
      <c r="D31" s="17"/>
      <c r="E31" s="17"/>
      <c r="F31" s="17"/>
    </row>
    <row r="32" customFormat="false" ht="15" hidden="false" customHeight="false" outlineLevel="0" collapsed="false">
      <c r="B32" s="17"/>
      <c r="C32" s="17"/>
      <c r="D32" s="17"/>
      <c r="E32" s="17"/>
      <c r="F32" s="17"/>
    </row>
    <row r="33" customFormat="false" ht="15" hidden="false" customHeight="false" outlineLevel="0" collapsed="false">
      <c r="B33" s="17"/>
      <c r="C33" s="17"/>
      <c r="D33" s="17"/>
      <c r="E33" s="17"/>
      <c r="F33" s="17"/>
    </row>
    <row r="34" customFormat="false" ht="15" hidden="false" customHeight="false" outlineLevel="0" collapsed="false">
      <c r="B34" s="17"/>
      <c r="C34" s="17"/>
      <c r="D34" s="17"/>
      <c r="E34" s="17"/>
      <c r="F34" s="17"/>
    </row>
  </sheetData>
  <mergeCells count="15">
    <mergeCell ref="B2:F2"/>
    <mergeCell ref="K2:N2"/>
    <mergeCell ref="L4:N4"/>
    <mergeCell ref="C5:F5"/>
    <mergeCell ref="L5:N5"/>
    <mergeCell ref="C6:F6"/>
    <mergeCell ref="L6:N6"/>
    <mergeCell ref="C7:F7"/>
    <mergeCell ref="L8:N8"/>
    <mergeCell ref="L9:N9"/>
    <mergeCell ref="K15:N15"/>
    <mergeCell ref="L23:N23"/>
    <mergeCell ref="K25:N28"/>
    <mergeCell ref="D26:E26"/>
    <mergeCell ref="B30:F34"/>
  </mergeCells>
  <dataValidations count="2">
    <dataValidation allowBlank="true" errorStyle="stop" operator="between" prompt="Elige la configuración (hoja — variante)." showDropDown="false" showErrorMessage="false" showInputMessage="false" sqref="L4" type="list">
      <formula1>Indice!$E$2:$E$237</formula1>
      <formula2>0</formula2>
    </dataValidation>
    <dataValidation allowBlank="true" errorStyle="stop" operator="between" showDropDown="false" showErrorMessage="false" showInputMessage="false" sqref="L5" type="list">
      <formula1>"+5 DOC,1 A 5 DOC,DETAL"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39</v>
      </c>
      <c r="B1" s="0" t="s">
        <v>40</v>
      </c>
      <c r="C1" s="0" t="s">
        <v>41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</row>
    <row r="2" customFormat="false" ht="15" hidden="false" customHeight="false" outlineLevel="0" collapsed="false">
      <c r="A2" s="0" t="n">
        <v>1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27</v>
      </c>
      <c r="G2" s="0" t="n">
        <v>0.8</v>
      </c>
      <c r="H2" s="0" t="n">
        <v>2.3</v>
      </c>
      <c r="I2" s="0" t="n">
        <v>7360</v>
      </c>
      <c r="J2" s="0" t="n">
        <v>1.84</v>
      </c>
      <c r="K2" s="0" t="s">
        <v>54</v>
      </c>
      <c r="L2" s="0" t="s">
        <v>55</v>
      </c>
    </row>
    <row r="3" customFormat="false" ht="15" hidden="false" customHeight="false" outlineLevel="0" collapsed="false">
      <c r="A3" s="0" t="n">
        <v>1</v>
      </c>
      <c r="B3" s="0" t="s">
        <v>51</v>
      </c>
      <c r="C3" s="0" t="s">
        <v>52</v>
      </c>
      <c r="D3" s="0" t="s">
        <v>52</v>
      </c>
      <c r="E3" s="0" t="s">
        <v>56</v>
      </c>
      <c r="F3" s="0" t="s">
        <v>28</v>
      </c>
      <c r="I3" s="0" t="n">
        <v>700</v>
      </c>
      <c r="J3" s="0" t="n">
        <v>0.175</v>
      </c>
      <c r="K3" s="0" t="s">
        <v>57</v>
      </c>
    </row>
    <row r="4" customFormat="false" ht="15" hidden="false" customHeight="false" outlineLevel="0" collapsed="false">
      <c r="A4" s="0" t="n">
        <v>1</v>
      </c>
      <c r="B4" s="0" t="s">
        <v>51</v>
      </c>
      <c r="C4" s="0" t="s">
        <v>52</v>
      </c>
      <c r="D4" s="0" t="s">
        <v>52</v>
      </c>
      <c r="E4" s="0" t="s">
        <v>58</v>
      </c>
      <c r="F4" s="0" t="s">
        <v>28</v>
      </c>
      <c r="I4" s="0" t="n">
        <v>2500</v>
      </c>
      <c r="J4" s="0" t="n">
        <v>0.625</v>
      </c>
      <c r="K4" s="0" t="s">
        <v>59</v>
      </c>
    </row>
    <row r="5" customFormat="false" ht="15" hidden="false" customHeight="false" outlineLevel="0" collapsed="false">
      <c r="A5" s="0" t="n">
        <v>1</v>
      </c>
      <c r="B5" s="0" t="s">
        <v>51</v>
      </c>
      <c r="C5" s="0" t="s">
        <v>52</v>
      </c>
      <c r="D5" s="0" t="s">
        <v>52</v>
      </c>
      <c r="E5" s="0" t="s">
        <v>60</v>
      </c>
      <c r="F5" s="0" t="s">
        <v>27</v>
      </c>
      <c r="I5" s="0" t="n">
        <v>200</v>
      </c>
      <c r="J5" s="0" t="n">
        <v>0.05</v>
      </c>
      <c r="K5" s="0" t="s">
        <v>61</v>
      </c>
    </row>
    <row r="6" customFormat="false" ht="15" hidden="false" customHeight="false" outlineLevel="0" collapsed="false">
      <c r="A6" s="0" t="n">
        <v>1</v>
      </c>
      <c r="B6" s="0" t="s">
        <v>51</v>
      </c>
      <c r="C6" s="0" t="s">
        <v>52</v>
      </c>
      <c r="D6" s="0" t="s">
        <v>52</v>
      </c>
      <c r="E6" s="0" t="s">
        <v>62</v>
      </c>
      <c r="F6" s="0" t="s">
        <v>27</v>
      </c>
      <c r="I6" s="0" t="n">
        <v>100</v>
      </c>
      <c r="J6" s="0" t="n">
        <v>0.025</v>
      </c>
      <c r="K6" s="0" t="s">
        <v>63</v>
      </c>
    </row>
    <row r="7" customFormat="false" ht="15" hidden="false" customHeight="false" outlineLevel="0" collapsed="false">
      <c r="A7" s="0" t="n">
        <v>1</v>
      </c>
      <c r="B7" s="0" t="s">
        <v>51</v>
      </c>
      <c r="C7" s="0" t="s">
        <v>52</v>
      </c>
      <c r="D7" s="0" t="s">
        <v>52</v>
      </c>
      <c r="E7" s="0" t="s">
        <v>64</v>
      </c>
      <c r="F7" s="0" t="s">
        <v>27</v>
      </c>
      <c r="I7" s="0" t="n">
        <v>500</v>
      </c>
      <c r="J7" s="0" t="n">
        <v>0.125</v>
      </c>
      <c r="K7" s="0" t="s">
        <v>65</v>
      </c>
    </row>
    <row r="8" customFormat="false" ht="15" hidden="false" customHeight="false" outlineLevel="0" collapsed="false">
      <c r="A8" s="0" t="n">
        <v>1</v>
      </c>
      <c r="B8" s="0" t="s">
        <v>51</v>
      </c>
      <c r="C8" s="0" t="s">
        <v>52</v>
      </c>
      <c r="D8" s="0" t="s">
        <v>52</v>
      </c>
      <c r="E8" s="0" t="s">
        <v>66</v>
      </c>
      <c r="F8" s="0" t="s">
        <v>27</v>
      </c>
      <c r="I8" s="0" t="n">
        <v>250</v>
      </c>
      <c r="J8" s="0" t="n">
        <v>0.0625</v>
      </c>
      <c r="K8" s="0" t="s">
        <v>67</v>
      </c>
    </row>
    <row r="9" customFormat="false" ht="15" hidden="false" customHeight="false" outlineLevel="0" collapsed="false">
      <c r="A9" s="0" t="n">
        <v>1</v>
      </c>
      <c r="B9" s="0" t="s">
        <v>51</v>
      </c>
      <c r="C9" s="0" t="s">
        <v>52</v>
      </c>
      <c r="D9" s="0" t="s">
        <v>52</v>
      </c>
      <c r="E9" s="0" t="s">
        <v>68</v>
      </c>
      <c r="F9" s="0" t="s">
        <v>30</v>
      </c>
      <c r="I9" s="0" t="n">
        <v>3000</v>
      </c>
      <c r="J9" s="0" t="n">
        <v>0.75</v>
      </c>
      <c r="K9" s="0" t="s">
        <v>69</v>
      </c>
    </row>
    <row r="10" customFormat="false" ht="15" hidden="false" customHeight="false" outlineLevel="0" collapsed="false">
      <c r="A10" s="0" t="n">
        <v>2</v>
      </c>
      <c r="B10" s="0" t="s">
        <v>51</v>
      </c>
      <c r="C10" s="0" t="s">
        <v>52</v>
      </c>
      <c r="D10" s="0" t="s">
        <v>70</v>
      </c>
      <c r="E10" s="0" t="s">
        <v>53</v>
      </c>
      <c r="F10" s="0" t="s">
        <v>27</v>
      </c>
      <c r="G10" s="0" t="n">
        <v>0.8</v>
      </c>
      <c r="H10" s="0" t="n">
        <v>2</v>
      </c>
      <c r="I10" s="0" t="n">
        <v>6400</v>
      </c>
      <c r="J10" s="0" t="n">
        <v>1.6</v>
      </c>
      <c r="K10" s="0" t="s">
        <v>71</v>
      </c>
      <c r="L10" s="0" t="s">
        <v>72</v>
      </c>
    </row>
    <row r="11" customFormat="false" ht="15" hidden="false" customHeight="false" outlineLevel="0" collapsed="false">
      <c r="A11" s="0" t="n">
        <v>2</v>
      </c>
      <c r="B11" s="0" t="s">
        <v>51</v>
      </c>
      <c r="C11" s="0" t="s">
        <v>52</v>
      </c>
      <c r="D11" s="0" t="s">
        <v>70</v>
      </c>
      <c r="E11" s="0" t="s">
        <v>56</v>
      </c>
      <c r="F11" s="0" t="s">
        <v>28</v>
      </c>
      <c r="I11" s="0" t="n">
        <v>700</v>
      </c>
      <c r="J11" s="0" t="n">
        <v>0.175</v>
      </c>
      <c r="K11" s="0" t="s">
        <v>73</v>
      </c>
    </row>
    <row r="12" customFormat="false" ht="15" hidden="false" customHeight="false" outlineLevel="0" collapsed="false">
      <c r="A12" s="0" t="n">
        <v>2</v>
      </c>
      <c r="B12" s="0" t="s">
        <v>51</v>
      </c>
      <c r="C12" s="0" t="s">
        <v>52</v>
      </c>
      <c r="D12" s="0" t="s">
        <v>70</v>
      </c>
      <c r="E12" s="0" t="s">
        <v>58</v>
      </c>
      <c r="F12" s="0" t="s">
        <v>28</v>
      </c>
      <c r="I12" s="0" t="n">
        <v>2500</v>
      </c>
      <c r="J12" s="0" t="n">
        <v>0.625</v>
      </c>
      <c r="K12" s="0" t="s">
        <v>74</v>
      </c>
    </row>
    <row r="13" customFormat="false" ht="15" hidden="false" customHeight="false" outlineLevel="0" collapsed="false">
      <c r="A13" s="0" t="n">
        <v>2</v>
      </c>
      <c r="B13" s="0" t="s">
        <v>51</v>
      </c>
      <c r="C13" s="0" t="s">
        <v>52</v>
      </c>
      <c r="D13" s="0" t="s">
        <v>70</v>
      </c>
      <c r="E13" s="0" t="s">
        <v>60</v>
      </c>
      <c r="F13" s="0" t="s">
        <v>27</v>
      </c>
      <c r="I13" s="0" t="n">
        <v>200</v>
      </c>
      <c r="J13" s="0" t="n">
        <v>0.05</v>
      </c>
      <c r="K13" s="0" t="s">
        <v>75</v>
      </c>
    </row>
    <row r="14" customFormat="false" ht="15" hidden="false" customHeight="false" outlineLevel="0" collapsed="false">
      <c r="A14" s="0" t="n">
        <v>2</v>
      </c>
      <c r="B14" s="0" t="s">
        <v>51</v>
      </c>
      <c r="C14" s="0" t="s">
        <v>52</v>
      </c>
      <c r="D14" s="0" t="s">
        <v>70</v>
      </c>
      <c r="E14" s="0" t="s">
        <v>62</v>
      </c>
      <c r="F14" s="0" t="s">
        <v>27</v>
      </c>
      <c r="I14" s="0" t="n">
        <v>3000</v>
      </c>
      <c r="J14" s="0" t="n">
        <v>0.75</v>
      </c>
      <c r="K14" s="0" t="s">
        <v>76</v>
      </c>
    </row>
    <row r="15" customFormat="false" ht="15" hidden="false" customHeight="false" outlineLevel="0" collapsed="false">
      <c r="A15" s="0" t="n">
        <v>2</v>
      </c>
      <c r="B15" s="0" t="s">
        <v>51</v>
      </c>
      <c r="C15" s="0" t="s">
        <v>52</v>
      </c>
      <c r="D15" s="0" t="s">
        <v>70</v>
      </c>
      <c r="E15" s="0" t="s">
        <v>64</v>
      </c>
      <c r="F15" s="0" t="s">
        <v>27</v>
      </c>
      <c r="I15" s="0" t="n">
        <v>500</v>
      </c>
      <c r="J15" s="0" t="n">
        <v>0.125</v>
      </c>
      <c r="K15" s="0" t="s">
        <v>77</v>
      </c>
    </row>
    <row r="16" customFormat="false" ht="15" hidden="false" customHeight="false" outlineLevel="0" collapsed="false">
      <c r="A16" s="0" t="n">
        <v>2</v>
      </c>
      <c r="B16" s="0" t="s">
        <v>51</v>
      </c>
      <c r="C16" s="0" t="s">
        <v>52</v>
      </c>
      <c r="D16" s="0" t="s">
        <v>70</v>
      </c>
      <c r="E16" s="0" t="s">
        <v>66</v>
      </c>
      <c r="F16" s="0" t="s">
        <v>27</v>
      </c>
      <c r="I16" s="0" t="n">
        <v>350</v>
      </c>
      <c r="J16" s="0" t="n">
        <v>0.0875</v>
      </c>
      <c r="K16" s="0" t="s">
        <v>78</v>
      </c>
    </row>
    <row r="17" customFormat="false" ht="15" hidden="false" customHeight="false" outlineLevel="0" collapsed="false">
      <c r="A17" s="0" t="n">
        <v>2</v>
      </c>
      <c r="B17" s="0" t="s">
        <v>51</v>
      </c>
      <c r="C17" s="0" t="s">
        <v>52</v>
      </c>
      <c r="D17" s="0" t="s">
        <v>70</v>
      </c>
      <c r="E17" s="0" t="s">
        <v>68</v>
      </c>
      <c r="F17" s="0" t="s">
        <v>30</v>
      </c>
      <c r="I17" s="0" t="n">
        <v>4000</v>
      </c>
      <c r="J17" s="0" t="n">
        <v>1</v>
      </c>
      <c r="K17" s="0" t="s">
        <v>79</v>
      </c>
    </row>
    <row r="18" customFormat="false" ht="15" hidden="false" customHeight="false" outlineLevel="0" collapsed="false">
      <c r="A18" s="0" t="n">
        <v>3</v>
      </c>
      <c r="B18" s="0" t="s">
        <v>51</v>
      </c>
      <c r="C18" s="0" t="s">
        <v>80</v>
      </c>
      <c r="D18" s="0" t="s">
        <v>80</v>
      </c>
      <c r="E18" s="0" t="s">
        <v>53</v>
      </c>
      <c r="F18" s="0" t="s">
        <v>27</v>
      </c>
      <c r="G18" s="0" t="n">
        <v>0.3</v>
      </c>
      <c r="H18" s="0" t="n">
        <v>1.3</v>
      </c>
      <c r="I18" s="0" t="n">
        <v>1560</v>
      </c>
      <c r="J18" s="0" t="n">
        <v>0.39</v>
      </c>
      <c r="K18" s="0" t="s">
        <v>81</v>
      </c>
      <c r="L18" s="0" t="s">
        <v>82</v>
      </c>
    </row>
    <row r="19" customFormat="false" ht="15" hidden="false" customHeight="false" outlineLevel="0" collapsed="false">
      <c r="A19" s="0" t="n">
        <v>3</v>
      </c>
      <c r="B19" s="0" t="s">
        <v>51</v>
      </c>
      <c r="C19" s="0" t="s">
        <v>80</v>
      </c>
      <c r="D19" s="0" t="s">
        <v>80</v>
      </c>
      <c r="E19" s="0" t="s">
        <v>56</v>
      </c>
      <c r="F19" s="0" t="s">
        <v>28</v>
      </c>
      <c r="I19" s="0" t="n">
        <v>500</v>
      </c>
      <c r="J19" s="0" t="n">
        <v>0.125</v>
      </c>
      <c r="K19" s="0" t="s">
        <v>83</v>
      </c>
    </row>
    <row r="20" customFormat="false" ht="15" hidden="false" customHeight="false" outlineLevel="0" collapsed="false">
      <c r="A20" s="0" t="n">
        <v>3</v>
      </c>
      <c r="B20" s="0" t="s">
        <v>51</v>
      </c>
      <c r="C20" s="0" t="s">
        <v>80</v>
      </c>
      <c r="D20" s="0" t="s">
        <v>80</v>
      </c>
      <c r="E20" s="0" t="s">
        <v>58</v>
      </c>
      <c r="F20" s="0" t="s">
        <v>28</v>
      </c>
      <c r="I20" s="0" t="n">
        <v>2000</v>
      </c>
      <c r="J20" s="0" t="n">
        <v>0.5</v>
      </c>
      <c r="K20" s="0" t="s">
        <v>84</v>
      </c>
    </row>
    <row r="21" customFormat="false" ht="15" hidden="false" customHeight="false" outlineLevel="0" collapsed="false">
      <c r="A21" s="0" t="n">
        <v>3</v>
      </c>
      <c r="B21" s="0" t="s">
        <v>51</v>
      </c>
      <c r="C21" s="0" t="s">
        <v>80</v>
      </c>
      <c r="D21" s="0" t="s">
        <v>80</v>
      </c>
      <c r="E21" s="0" t="s">
        <v>60</v>
      </c>
      <c r="F21" s="0" t="s">
        <v>27</v>
      </c>
      <c r="I21" s="0" t="n">
        <v>0</v>
      </c>
      <c r="J21" s="0" t="n">
        <v>0</v>
      </c>
      <c r="K21" s="0" t="s">
        <v>85</v>
      </c>
    </row>
    <row r="22" customFormat="false" ht="15" hidden="false" customHeight="false" outlineLevel="0" collapsed="false">
      <c r="A22" s="0" t="n">
        <v>3</v>
      </c>
      <c r="B22" s="0" t="s">
        <v>51</v>
      </c>
      <c r="C22" s="0" t="s">
        <v>80</v>
      </c>
      <c r="D22" s="0" t="s">
        <v>80</v>
      </c>
      <c r="E22" s="0" t="s">
        <v>62</v>
      </c>
      <c r="F22" s="0" t="s">
        <v>27</v>
      </c>
      <c r="I22" s="0" t="n">
        <v>0</v>
      </c>
      <c r="J22" s="0" t="n">
        <v>0</v>
      </c>
      <c r="K22" s="0" t="s">
        <v>86</v>
      </c>
    </row>
    <row r="23" customFormat="false" ht="15" hidden="false" customHeight="false" outlineLevel="0" collapsed="false">
      <c r="A23" s="0" t="n">
        <v>3</v>
      </c>
      <c r="B23" s="0" t="s">
        <v>51</v>
      </c>
      <c r="C23" s="0" t="s">
        <v>80</v>
      </c>
      <c r="D23" s="0" t="s">
        <v>80</v>
      </c>
      <c r="E23" s="0" t="s">
        <v>64</v>
      </c>
      <c r="F23" s="0" t="s">
        <v>27</v>
      </c>
      <c r="I23" s="0" t="n">
        <v>0</v>
      </c>
      <c r="J23" s="0" t="n">
        <v>0</v>
      </c>
      <c r="K23" s="0" t="s">
        <v>87</v>
      </c>
    </row>
    <row r="24" customFormat="false" ht="15" hidden="false" customHeight="false" outlineLevel="0" collapsed="false">
      <c r="A24" s="0" t="n">
        <v>3</v>
      </c>
      <c r="B24" s="0" t="s">
        <v>51</v>
      </c>
      <c r="C24" s="0" t="s">
        <v>80</v>
      </c>
      <c r="D24" s="0" t="s">
        <v>80</v>
      </c>
      <c r="E24" s="0" t="s">
        <v>66</v>
      </c>
      <c r="F24" s="0" t="s">
        <v>27</v>
      </c>
      <c r="I24" s="0" t="n">
        <v>250</v>
      </c>
      <c r="J24" s="0" t="n">
        <v>0.0625</v>
      </c>
      <c r="K24" s="0" t="s">
        <v>88</v>
      </c>
    </row>
    <row r="25" customFormat="false" ht="15" hidden="false" customHeight="false" outlineLevel="0" collapsed="false">
      <c r="A25" s="0" t="n">
        <v>3</v>
      </c>
      <c r="B25" s="0" t="s">
        <v>51</v>
      </c>
      <c r="C25" s="0" t="s">
        <v>80</v>
      </c>
      <c r="D25" s="0" t="s">
        <v>80</v>
      </c>
      <c r="E25" s="0" t="s">
        <v>68</v>
      </c>
      <c r="F25" s="0" t="s">
        <v>30</v>
      </c>
      <c r="I25" s="0" t="n">
        <v>2000</v>
      </c>
      <c r="J25" s="0" t="n">
        <v>0.5</v>
      </c>
      <c r="K25" s="0" t="s">
        <v>89</v>
      </c>
    </row>
    <row r="26" customFormat="false" ht="15" hidden="false" customHeight="false" outlineLevel="0" collapsed="false">
      <c r="A26" s="0" t="n">
        <v>4</v>
      </c>
      <c r="B26" s="0" t="s">
        <v>51</v>
      </c>
      <c r="C26" s="0" t="s">
        <v>80</v>
      </c>
      <c r="D26" s="0" t="s">
        <v>90</v>
      </c>
      <c r="E26" s="0" t="s">
        <v>53</v>
      </c>
      <c r="F26" s="0" t="s">
        <v>27</v>
      </c>
      <c r="G26" s="0" t="n">
        <v>0.6</v>
      </c>
      <c r="H26" s="0" t="n">
        <v>2</v>
      </c>
      <c r="I26" s="0" t="n">
        <v>4800</v>
      </c>
      <c r="J26" s="0" t="n">
        <v>1.2</v>
      </c>
      <c r="K26" s="0" t="s">
        <v>91</v>
      </c>
      <c r="L26" s="0" t="s">
        <v>92</v>
      </c>
    </row>
    <row r="27" customFormat="false" ht="15" hidden="false" customHeight="false" outlineLevel="0" collapsed="false">
      <c r="A27" s="0" t="n">
        <v>4</v>
      </c>
      <c r="B27" s="0" t="s">
        <v>51</v>
      </c>
      <c r="C27" s="0" t="s">
        <v>80</v>
      </c>
      <c r="D27" s="0" t="s">
        <v>90</v>
      </c>
      <c r="E27" s="0" t="s">
        <v>56</v>
      </c>
      <c r="F27" s="0" t="s">
        <v>28</v>
      </c>
      <c r="I27" s="0" t="n">
        <v>700</v>
      </c>
      <c r="J27" s="0" t="n">
        <v>0.175</v>
      </c>
      <c r="K27" s="0" t="s">
        <v>93</v>
      </c>
    </row>
    <row r="28" customFormat="false" ht="15" hidden="false" customHeight="false" outlineLevel="0" collapsed="false">
      <c r="A28" s="0" t="n">
        <v>4</v>
      </c>
      <c r="B28" s="0" t="s">
        <v>51</v>
      </c>
      <c r="C28" s="0" t="s">
        <v>80</v>
      </c>
      <c r="D28" s="0" t="s">
        <v>90</v>
      </c>
      <c r="E28" s="0" t="s">
        <v>58</v>
      </c>
      <c r="F28" s="0" t="s">
        <v>28</v>
      </c>
      <c r="I28" s="0" t="n">
        <v>3000</v>
      </c>
      <c r="J28" s="0" t="n">
        <v>0.75</v>
      </c>
      <c r="K28" s="0" t="s">
        <v>94</v>
      </c>
    </row>
    <row r="29" customFormat="false" ht="15" hidden="false" customHeight="false" outlineLevel="0" collapsed="false">
      <c r="A29" s="0" t="n">
        <v>4</v>
      </c>
      <c r="B29" s="0" t="s">
        <v>51</v>
      </c>
      <c r="C29" s="0" t="s">
        <v>80</v>
      </c>
      <c r="D29" s="0" t="s">
        <v>90</v>
      </c>
      <c r="E29" s="0" t="s">
        <v>60</v>
      </c>
      <c r="F29" s="0" t="s">
        <v>27</v>
      </c>
      <c r="G29" s="0" t="n">
        <v>0.6</v>
      </c>
      <c r="H29" s="0" t="n">
        <v>12000</v>
      </c>
      <c r="I29" s="0" t="n">
        <v>7200</v>
      </c>
      <c r="J29" s="0" t="n">
        <v>1.8</v>
      </c>
      <c r="K29" s="0" t="s">
        <v>95</v>
      </c>
      <c r="L29" s="0" t="s">
        <v>96</v>
      </c>
    </row>
    <row r="30" customFormat="false" ht="15" hidden="false" customHeight="false" outlineLevel="0" collapsed="false">
      <c r="A30" s="0" t="n">
        <v>4</v>
      </c>
      <c r="B30" s="0" t="s">
        <v>51</v>
      </c>
      <c r="C30" s="0" t="s">
        <v>80</v>
      </c>
      <c r="D30" s="0" t="s">
        <v>90</v>
      </c>
      <c r="E30" s="0" t="s">
        <v>62</v>
      </c>
      <c r="F30" s="0" t="s">
        <v>27</v>
      </c>
      <c r="I30" s="0" t="n">
        <v>0</v>
      </c>
      <c r="J30" s="0" t="n">
        <v>0</v>
      </c>
      <c r="K30" s="0" t="s">
        <v>97</v>
      </c>
    </row>
    <row r="31" customFormat="false" ht="15" hidden="false" customHeight="false" outlineLevel="0" collapsed="false">
      <c r="A31" s="0" t="n">
        <v>4</v>
      </c>
      <c r="B31" s="0" t="s">
        <v>51</v>
      </c>
      <c r="C31" s="0" t="s">
        <v>80</v>
      </c>
      <c r="D31" s="0" t="s">
        <v>90</v>
      </c>
      <c r="E31" s="0" t="s">
        <v>64</v>
      </c>
      <c r="F31" s="0" t="s">
        <v>27</v>
      </c>
      <c r="I31" s="0" t="n">
        <v>0</v>
      </c>
      <c r="J31" s="0" t="n">
        <v>0</v>
      </c>
      <c r="K31" s="0" t="s">
        <v>98</v>
      </c>
    </row>
    <row r="32" customFormat="false" ht="15" hidden="false" customHeight="false" outlineLevel="0" collapsed="false">
      <c r="A32" s="0" t="n">
        <v>4</v>
      </c>
      <c r="B32" s="0" t="s">
        <v>51</v>
      </c>
      <c r="C32" s="0" t="s">
        <v>80</v>
      </c>
      <c r="D32" s="0" t="s">
        <v>90</v>
      </c>
      <c r="E32" s="0" t="s">
        <v>66</v>
      </c>
      <c r="F32" s="0" t="s">
        <v>27</v>
      </c>
      <c r="I32" s="0" t="n">
        <v>250</v>
      </c>
      <c r="J32" s="0" t="n">
        <v>0.0625</v>
      </c>
      <c r="K32" s="0" t="s">
        <v>99</v>
      </c>
    </row>
    <row r="33" customFormat="false" ht="15" hidden="false" customHeight="false" outlineLevel="0" collapsed="false">
      <c r="A33" s="0" t="n">
        <v>4</v>
      </c>
      <c r="B33" s="0" t="s">
        <v>51</v>
      </c>
      <c r="C33" s="0" t="s">
        <v>80</v>
      </c>
      <c r="D33" s="0" t="s">
        <v>90</v>
      </c>
      <c r="E33" s="0" t="s">
        <v>68</v>
      </c>
      <c r="F33" s="0" t="s">
        <v>30</v>
      </c>
      <c r="I33" s="0" t="n">
        <v>0</v>
      </c>
      <c r="J33" s="0" t="n">
        <v>0</v>
      </c>
      <c r="K33" s="0" t="s">
        <v>100</v>
      </c>
    </row>
    <row r="34" customFormat="false" ht="15" hidden="false" customHeight="false" outlineLevel="0" collapsed="false">
      <c r="A34" s="0" t="n">
        <v>5</v>
      </c>
      <c r="B34" s="0" t="s">
        <v>51</v>
      </c>
      <c r="C34" s="0" t="s">
        <v>101</v>
      </c>
      <c r="D34" s="0" t="s">
        <v>101</v>
      </c>
      <c r="E34" s="0" t="s">
        <v>53</v>
      </c>
      <c r="F34" s="0" t="s">
        <v>27</v>
      </c>
      <c r="G34" s="0" t="n">
        <v>0.9</v>
      </c>
      <c r="H34" s="0" t="n">
        <v>1.5</v>
      </c>
      <c r="I34" s="0" t="n">
        <v>5400</v>
      </c>
      <c r="J34" s="0" t="n">
        <v>1.35</v>
      </c>
      <c r="K34" s="0" t="s">
        <v>102</v>
      </c>
      <c r="L34" s="0" t="s">
        <v>103</v>
      </c>
    </row>
    <row r="35" customFormat="false" ht="15" hidden="false" customHeight="false" outlineLevel="0" collapsed="false">
      <c r="A35" s="0" t="n">
        <v>5</v>
      </c>
      <c r="B35" s="0" t="s">
        <v>51</v>
      </c>
      <c r="C35" s="0" t="s">
        <v>101</v>
      </c>
      <c r="D35" s="0" t="s">
        <v>101</v>
      </c>
      <c r="E35" s="0" t="s">
        <v>56</v>
      </c>
      <c r="F35" s="0" t="s">
        <v>28</v>
      </c>
      <c r="I35" s="0" t="n">
        <v>300</v>
      </c>
      <c r="J35" s="0" t="n">
        <v>0.075</v>
      </c>
      <c r="K35" s="0" t="s">
        <v>104</v>
      </c>
    </row>
    <row r="36" customFormat="false" ht="15" hidden="false" customHeight="false" outlineLevel="0" collapsed="false">
      <c r="A36" s="0" t="n">
        <v>5</v>
      </c>
      <c r="B36" s="0" t="s">
        <v>51</v>
      </c>
      <c r="C36" s="0" t="s">
        <v>101</v>
      </c>
      <c r="D36" s="0" t="s">
        <v>101</v>
      </c>
      <c r="E36" s="0" t="s">
        <v>58</v>
      </c>
      <c r="F36" s="0" t="s">
        <v>28</v>
      </c>
      <c r="I36" s="0" t="n">
        <v>1800</v>
      </c>
      <c r="J36" s="0" t="n">
        <v>0.45</v>
      </c>
      <c r="K36" s="0" t="s">
        <v>105</v>
      </c>
    </row>
    <row r="37" customFormat="false" ht="15" hidden="false" customHeight="false" outlineLevel="0" collapsed="false">
      <c r="A37" s="0" t="n">
        <v>5</v>
      </c>
      <c r="B37" s="0" t="s">
        <v>51</v>
      </c>
      <c r="C37" s="0" t="s">
        <v>101</v>
      </c>
      <c r="D37" s="0" t="s">
        <v>101</v>
      </c>
      <c r="E37" s="0" t="s">
        <v>106</v>
      </c>
      <c r="F37" s="0" t="s">
        <v>28</v>
      </c>
      <c r="I37" s="0" t="n">
        <v>2500</v>
      </c>
      <c r="J37" s="0" t="n">
        <v>0.625</v>
      </c>
      <c r="K37" s="0" t="s">
        <v>107</v>
      </c>
    </row>
    <row r="38" customFormat="false" ht="15" hidden="false" customHeight="false" outlineLevel="0" collapsed="false">
      <c r="A38" s="0" t="n">
        <v>5</v>
      </c>
      <c r="B38" s="0" t="s">
        <v>51</v>
      </c>
      <c r="C38" s="0" t="s">
        <v>101</v>
      </c>
      <c r="D38" s="0" t="s">
        <v>101</v>
      </c>
      <c r="E38" s="0" t="s">
        <v>60</v>
      </c>
      <c r="F38" s="0" t="s">
        <v>27</v>
      </c>
      <c r="I38" s="0" t="n">
        <v>50</v>
      </c>
      <c r="J38" s="0" t="n">
        <v>0.0125</v>
      </c>
      <c r="K38" s="0" t="s">
        <v>108</v>
      </c>
    </row>
    <row r="39" customFormat="false" ht="15" hidden="false" customHeight="false" outlineLevel="0" collapsed="false">
      <c r="A39" s="0" t="n">
        <v>5</v>
      </c>
      <c r="B39" s="0" t="s">
        <v>51</v>
      </c>
      <c r="C39" s="0" t="s">
        <v>101</v>
      </c>
      <c r="D39" s="0" t="s">
        <v>101</v>
      </c>
      <c r="E39" s="0" t="s">
        <v>62</v>
      </c>
      <c r="F39" s="0" t="s">
        <v>27</v>
      </c>
      <c r="I39" s="0" t="n">
        <v>50</v>
      </c>
      <c r="J39" s="0" t="n">
        <v>0.0125</v>
      </c>
      <c r="K39" s="0" t="s">
        <v>109</v>
      </c>
    </row>
    <row r="40" customFormat="false" ht="15" hidden="false" customHeight="false" outlineLevel="0" collapsed="false">
      <c r="A40" s="0" t="n">
        <v>5</v>
      </c>
      <c r="B40" s="0" t="s">
        <v>51</v>
      </c>
      <c r="C40" s="0" t="s">
        <v>101</v>
      </c>
      <c r="D40" s="0" t="s">
        <v>101</v>
      </c>
      <c r="E40" s="0" t="s">
        <v>66</v>
      </c>
      <c r="F40" s="0" t="s">
        <v>27</v>
      </c>
      <c r="I40" s="0" t="n">
        <v>250</v>
      </c>
      <c r="J40" s="0" t="n">
        <v>0.0625</v>
      </c>
      <c r="K40" s="0" t="s">
        <v>110</v>
      </c>
      <c r="L40" s="0" t="s">
        <v>111</v>
      </c>
    </row>
    <row r="41" customFormat="false" ht="15" hidden="false" customHeight="false" outlineLevel="0" collapsed="false">
      <c r="A41" s="0" t="n">
        <v>5</v>
      </c>
      <c r="B41" s="0" t="s">
        <v>51</v>
      </c>
      <c r="C41" s="0" t="s">
        <v>101</v>
      </c>
      <c r="D41" s="0" t="s">
        <v>101</v>
      </c>
      <c r="E41" s="0" t="s">
        <v>68</v>
      </c>
      <c r="F41" s="0" t="s">
        <v>30</v>
      </c>
      <c r="I41" s="0" t="n">
        <v>1000</v>
      </c>
      <c r="J41" s="0" t="n">
        <v>0.25</v>
      </c>
      <c r="K41" s="0" t="s">
        <v>112</v>
      </c>
    </row>
    <row r="42" customFormat="false" ht="15" hidden="false" customHeight="false" outlineLevel="0" collapsed="false">
      <c r="A42" s="0" t="n">
        <v>6</v>
      </c>
      <c r="B42" s="0" t="s">
        <v>51</v>
      </c>
      <c r="C42" s="0" t="s">
        <v>101</v>
      </c>
      <c r="D42" s="0" t="s">
        <v>113</v>
      </c>
      <c r="E42" s="0" t="s">
        <v>53</v>
      </c>
      <c r="F42" s="0" t="s">
        <v>27</v>
      </c>
      <c r="G42" s="0" t="n">
        <v>1</v>
      </c>
      <c r="H42" s="0" t="n">
        <v>2.3</v>
      </c>
      <c r="I42" s="0" t="n">
        <v>9200</v>
      </c>
      <c r="J42" s="0" t="n">
        <v>2.3</v>
      </c>
      <c r="K42" s="0" t="s">
        <v>114</v>
      </c>
      <c r="L42" s="0" t="s">
        <v>115</v>
      </c>
    </row>
    <row r="43" customFormat="false" ht="15" hidden="false" customHeight="false" outlineLevel="0" collapsed="false">
      <c r="A43" s="0" t="n">
        <v>6</v>
      </c>
      <c r="B43" s="0" t="s">
        <v>51</v>
      </c>
      <c r="C43" s="0" t="s">
        <v>101</v>
      </c>
      <c r="D43" s="0" t="s">
        <v>113</v>
      </c>
      <c r="E43" s="0" t="s">
        <v>56</v>
      </c>
      <c r="F43" s="0" t="s">
        <v>28</v>
      </c>
      <c r="I43" s="0" t="n">
        <v>700</v>
      </c>
      <c r="J43" s="0" t="n">
        <v>0.175</v>
      </c>
      <c r="K43" s="0" t="s">
        <v>116</v>
      </c>
    </row>
    <row r="44" customFormat="false" ht="15" hidden="false" customHeight="false" outlineLevel="0" collapsed="false">
      <c r="A44" s="0" t="n">
        <v>6</v>
      </c>
      <c r="B44" s="0" t="s">
        <v>51</v>
      </c>
      <c r="C44" s="0" t="s">
        <v>101</v>
      </c>
      <c r="D44" s="0" t="s">
        <v>113</v>
      </c>
      <c r="E44" s="0" t="s">
        <v>58</v>
      </c>
      <c r="F44" s="0" t="s">
        <v>28</v>
      </c>
      <c r="I44" s="0" t="n">
        <v>3500</v>
      </c>
      <c r="J44" s="0" t="n">
        <v>0.875</v>
      </c>
      <c r="K44" s="0" t="s">
        <v>117</v>
      </c>
    </row>
    <row r="45" customFormat="false" ht="15" hidden="false" customHeight="false" outlineLevel="0" collapsed="false">
      <c r="A45" s="0" t="n">
        <v>6</v>
      </c>
      <c r="B45" s="0" t="s">
        <v>51</v>
      </c>
      <c r="C45" s="0" t="s">
        <v>101</v>
      </c>
      <c r="D45" s="0" t="s">
        <v>113</v>
      </c>
      <c r="E45" s="0" t="s">
        <v>64</v>
      </c>
      <c r="F45" s="0" t="s">
        <v>27</v>
      </c>
      <c r="I45" s="0" t="n">
        <v>200</v>
      </c>
      <c r="J45" s="0" t="n">
        <v>0.05</v>
      </c>
      <c r="K45" s="0" t="s">
        <v>118</v>
      </c>
    </row>
    <row r="46" customFormat="false" ht="15" hidden="false" customHeight="false" outlineLevel="0" collapsed="false">
      <c r="A46" s="0" t="n">
        <v>6</v>
      </c>
      <c r="B46" s="0" t="s">
        <v>51</v>
      </c>
      <c r="C46" s="0" t="s">
        <v>101</v>
      </c>
      <c r="D46" s="0" t="s">
        <v>113</v>
      </c>
      <c r="E46" s="0" t="s">
        <v>60</v>
      </c>
      <c r="F46" s="0" t="s">
        <v>27</v>
      </c>
      <c r="I46" s="0" t="n">
        <v>100</v>
      </c>
      <c r="J46" s="0" t="n">
        <v>0.025</v>
      </c>
      <c r="K46" s="0" t="s">
        <v>119</v>
      </c>
    </row>
    <row r="47" customFormat="false" ht="15" hidden="false" customHeight="false" outlineLevel="0" collapsed="false">
      <c r="A47" s="0" t="n">
        <v>6</v>
      </c>
      <c r="B47" s="0" t="s">
        <v>51</v>
      </c>
      <c r="C47" s="0" t="s">
        <v>101</v>
      </c>
      <c r="D47" s="0" t="s">
        <v>113</v>
      </c>
      <c r="E47" s="0" t="s">
        <v>62</v>
      </c>
      <c r="F47" s="0" t="s">
        <v>27</v>
      </c>
      <c r="I47" s="0" t="n">
        <v>11000</v>
      </c>
      <c r="J47" s="0" t="n">
        <v>2.75</v>
      </c>
      <c r="K47" s="0" t="s">
        <v>120</v>
      </c>
      <c r="L47" s="0" t="s">
        <v>121</v>
      </c>
    </row>
    <row r="48" customFormat="false" ht="15" hidden="false" customHeight="false" outlineLevel="0" collapsed="false">
      <c r="A48" s="0" t="n">
        <v>6</v>
      </c>
      <c r="B48" s="0" t="s">
        <v>51</v>
      </c>
      <c r="C48" s="0" t="s">
        <v>101</v>
      </c>
      <c r="D48" s="0" t="s">
        <v>113</v>
      </c>
      <c r="E48" s="0" t="s">
        <v>66</v>
      </c>
      <c r="F48" s="0" t="s">
        <v>27</v>
      </c>
      <c r="I48" s="0" t="n">
        <v>250</v>
      </c>
      <c r="J48" s="0" t="n">
        <v>0.0625</v>
      </c>
      <c r="K48" s="0" t="s">
        <v>122</v>
      </c>
      <c r="L48" s="0" t="s">
        <v>123</v>
      </c>
    </row>
    <row r="49" customFormat="false" ht="15" hidden="false" customHeight="false" outlineLevel="0" collapsed="false">
      <c r="A49" s="0" t="n">
        <v>6</v>
      </c>
      <c r="B49" s="0" t="s">
        <v>51</v>
      </c>
      <c r="C49" s="0" t="s">
        <v>101</v>
      </c>
      <c r="D49" s="0" t="s">
        <v>113</v>
      </c>
      <c r="E49" s="0" t="s">
        <v>68</v>
      </c>
      <c r="F49" s="0" t="s">
        <v>30</v>
      </c>
      <c r="I49" s="0" t="n">
        <v>0</v>
      </c>
      <c r="J49" s="0" t="n">
        <v>0</v>
      </c>
      <c r="K49" s="0" t="s">
        <v>124</v>
      </c>
    </row>
    <row r="50" customFormat="false" ht="15" hidden="false" customHeight="false" outlineLevel="0" collapsed="false">
      <c r="A50" s="0" t="n">
        <v>7</v>
      </c>
      <c r="B50" s="0" t="s">
        <v>51</v>
      </c>
      <c r="C50" s="0" t="s">
        <v>52</v>
      </c>
      <c r="D50" s="0" t="s">
        <v>52</v>
      </c>
      <c r="E50" s="0" t="s">
        <v>53</v>
      </c>
      <c r="F50" s="0" t="s">
        <v>27</v>
      </c>
      <c r="I50" s="0" t="n">
        <v>0</v>
      </c>
      <c r="J50" s="0" t="n">
        <v>0</v>
      </c>
      <c r="K50" s="0" t="s">
        <v>125</v>
      </c>
    </row>
    <row r="51" customFormat="false" ht="15" hidden="false" customHeight="false" outlineLevel="0" collapsed="false">
      <c r="A51" s="0" t="n">
        <v>7</v>
      </c>
      <c r="B51" s="0" t="s">
        <v>51</v>
      </c>
      <c r="C51" s="0" t="s">
        <v>52</v>
      </c>
      <c r="D51" s="0" t="s">
        <v>52</v>
      </c>
      <c r="E51" s="0" t="s">
        <v>56</v>
      </c>
      <c r="F51" s="0" t="s">
        <v>28</v>
      </c>
      <c r="I51" s="0" t="n">
        <v>700</v>
      </c>
      <c r="J51" s="0" t="n">
        <v>0.175</v>
      </c>
      <c r="K51" s="0" t="s">
        <v>126</v>
      </c>
    </row>
    <row r="52" customFormat="false" ht="15" hidden="false" customHeight="false" outlineLevel="0" collapsed="false">
      <c r="A52" s="0" t="n">
        <v>7</v>
      </c>
      <c r="B52" s="0" t="s">
        <v>51</v>
      </c>
      <c r="C52" s="0" t="s">
        <v>52</v>
      </c>
      <c r="D52" s="0" t="s">
        <v>52</v>
      </c>
      <c r="E52" s="0" t="s">
        <v>58</v>
      </c>
      <c r="F52" s="0" t="s">
        <v>28</v>
      </c>
      <c r="I52" s="0" t="n">
        <v>2500</v>
      </c>
      <c r="J52" s="0" t="n">
        <v>0.625</v>
      </c>
      <c r="K52" s="0" t="s">
        <v>127</v>
      </c>
    </row>
    <row r="53" customFormat="false" ht="15" hidden="false" customHeight="false" outlineLevel="0" collapsed="false">
      <c r="A53" s="0" t="n">
        <v>7</v>
      </c>
      <c r="B53" s="0" t="s">
        <v>51</v>
      </c>
      <c r="C53" s="0" t="s">
        <v>52</v>
      </c>
      <c r="D53" s="0" t="s">
        <v>52</v>
      </c>
      <c r="E53" s="0" t="s">
        <v>128</v>
      </c>
      <c r="F53" s="0" t="s">
        <v>28</v>
      </c>
      <c r="I53" s="0" t="n">
        <v>1000</v>
      </c>
      <c r="J53" s="0" t="n">
        <v>0.25</v>
      </c>
      <c r="K53" s="0" t="s">
        <v>129</v>
      </c>
    </row>
    <row r="54" customFormat="false" ht="15" hidden="false" customHeight="false" outlineLevel="0" collapsed="false">
      <c r="A54" s="0" t="n">
        <v>7</v>
      </c>
      <c r="B54" s="0" t="s">
        <v>51</v>
      </c>
      <c r="C54" s="0" t="s">
        <v>52</v>
      </c>
      <c r="D54" s="0" t="s">
        <v>52</v>
      </c>
      <c r="E54" s="0" t="s">
        <v>130</v>
      </c>
      <c r="F54" s="0" t="s">
        <v>29</v>
      </c>
      <c r="I54" s="0" t="n">
        <v>5000</v>
      </c>
      <c r="J54" s="0" t="n">
        <v>1.25</v>
      </c>
      <c r="K54" s="0" t="s">
        <v>131</v>
      </c>
    </row>
    <row r="55" customFormat="false" ht="15" hidden="false" customHeight="false" outlineLevel="0" collapsed="false">
      <c r="A55" s="0" t="n">
        <v>7</v>
      </c>
      <c r="B55" s="0" t="s">
        <v>51</v>
      </c>
      <c r="C55" s="0" t="s">
        <v>52</v>
      </c>
      <c r="D55" s="0" t="s">
        <v>52</v>
      </c>
      <c r="E55" s="0" t="s">
        <v>132</v>
      </c>
      <c r="F55" s="0" t="s">
        <v>29</v>
      </c>
      <c r="I55" s="0" t="n">
        <v>200</v>
      </c>
      <c r="J55" s="0" t="n">
        <v>0.05</v>
      </c>
      <c r="K55" s="0" t="s">
        <v>133</v>
      </c>
    </row>
    <row r="56" customFormat="false" ht="15" hidden="false" customHeight="false" outlineLevel="0" collapsed="false">
      <c r="A56" s="0" t="n">
        <v>7</v>
      </c>
      <c r="B56" s="0" t="s">
        <v>51</v>
      </c>
      <c r="C56" s="0" t="s">
        <v>52</v>
      </c>
      <c r="D56" s="0" t="s">
        <v>52</v>
      </c>
      <c r="E56" s="0" t="s">
        <v>134</v>
      </c>
      <c r="F56" s="0" t="s">
        <v>28</v>
      </c>
      <c r="I56" s="0" t="n">
        <v>500</v>
      </c>
      <c r="J56" s="0" t="n">
        <v>0.125</v>
      </c>
      <c r="K56" s="0" t="s">
        <v>135</v>
      </c>
    </row>
    <row r="57" customFormat="false" ht="15" hidden="false" customHeight="false" outlineLevel="0" collapsed="false">
      <c r="A57" s="0" t="n">
        <v>7</v>
      </c>
      <c r="B57" s="0" t="s">
        <v>51</v>
      </c>
      <c r="C57" s="0" t="s">
        <v>52</v>
      </c>
      <c r="D57" s="0" t="s">
        <v>52</v>
      </c>
      <c r="E57" s="0" t="s">
        <v>60</v>
      </c>
      <c r="F57" s="0" t="s">
        <v>27</v>
      </c>
      <c r="I57" s="0" t="n">
        <v>200</v>
      </c>
      <c r="J57" s="0" t="n">
        <v>0.05</v>
      </c>
      <c r="K57" s="0" t="s">
        <v>136</v>
      </c>
    </row>
    <row r="58" customFormat="false" ht="15" hidden="false" customHeight="false" outlineLevel="0" collapsed="false">
      <c r="A58" s="0" t="n">
        <v>7</v>
      </c>
      <c r="B58" s="0" t="s">
        <v>51</v>
      </c>
      <c r="C58" s="0" t="s">
        <v>52</v>
      </c>
      <c r="D58" s="0" t="s">
        <v>52</v>
      </c>
      <c r="E58" s="0" t="s">
        <v>62</v>
      </c>
      <c r="F58" s="0" t="s">
        <v>27</v>
      </c>
      <c r="I58" s="0" t="n">
        <v>100</v>
      </c>
      <c r="J58" s="0" t="n">
        <v>0.025</v>
      </c>
      <c r="K58" s="0" t="s">
        <v>137</v>
      </c>
    </row>
    <row r="59" customFormat="false" ht="15" hidden="false" customHeight="false" outlineLevel="0" collapsed="false">
      <c r="A59" s="0" t="n">
        <v>7</v>
      </c>
      <c r="B59" s="0" t="s">
        <v>51</v>
      </c>
      <c r="C59" s="0" t="s">
        <v>52</v>
      </c>
      <c r="D59" s="0" t="s">
        <v>52</v>
      </c>
      <c r="E59" s="0" t="s">
        <v>66</v>
      </c>
      <c r="F59" s="0" t="s">
        <v>27</v>
      </c>
      <c r="I59" s="0" t="n">
        <v>250</v>
      </c>
      <c r="J59" s="0" t="n">
        <v>0.0625</v>
      </c>
      <c r="K59" s="0" t="s">
        <v>138</v>
      </c>
    </row>
    <row r="60" customFormat="false" ht="15" hidden="false" customHeight="false" outlineLevel="0" collapsed="false">
      <c r="A60" s="0" t="n">
        <v>7</v>
      </c>
      <c r="B60" s="0" t="s">
        <v>51</v>
      </c>
      <c r="C60" s="0" t="s">
        <v>52</v>
      </c>
      <c r="D60" s="0" t="s">
        <v>52</v>
      </c>
      <c r="E60" s="0" t="s">
        <v>64</v>
      </c>
      <c r="F60" s="0" t="s">
        <v>27</v>
      </c>
      <c r="I60" s="0" t="n">
        <v>100</v>
      </c>
      <c r="J60" s="0" t="n">
        <v>0.025</v>
      </c>
      <c r="K60" s="0" t="s">
        <v>139</v>
      </c>
    </row>
    <row r="61" customFormat="false" ht="15" hidden="false" customHeight="false" outlineLevel="0" collapsed="false">
      <c r="A61" s="0" t="n">
        <v>7</v>
      </c>
      <c r="B61" s="0" t="s">
        <v>51</v>
      </c>
      <c r="C61" s="0" t="s">
        <v>52</v>
      </c>
      <c r="D61" s="0" t="s">
        <v>52</v>
      </c>
      <c r="E61" s="0" t="s">
        <v>68</v>
      </c>
      <c r="F61" s="0" t="s">
        <v>30</v>
      </c>
      <c r="I61" s="0" t="n">
        <v>4000</v>
      </c>
      <c r="J61" s="0" t="n">
        <v>1</v>
      </c>
      <c r="K61" s="0" t="s">
        <v>140</v>
      </c>
    </row>
    <row r="62" customFormat="false" ht="15" hidden="false" customHeight="false" outlineLevel="0" collapsed="false">
      <c r="A62" s="0" t="n">
        <v>8</v>
      </c>
      <c r="B62" s="0" t="s">
        <v>51</v>
      </c>
      <c r="C62" s="0" t="s">
        <v>52</v>
      </c>
      <c r="D62" s="0" t="s">
        <v>141</v>
      </c>
      <c r="E62" s="0" t="s">
        <v>53</v>
      </c>
      <c r="F62" s="0" t="s">
        <v>27</v>
      </c>
      <c r="G62" s="0" t="n">
        <v>0.8</v>
      </c>
      <c r="H62" s="0" t="n">
        <v>1.8</v>
      </c>
      <c r="I62" s="0" t="n">
        <v>5760</v>
      </c>
      <c r="J62" s="0" t="n">
        <v>1.44</v>
      </c>
      <c r="K62" s="0" t="s">
        <v>142</v>
      </c>
      <c r="L62" s="0" t="s">
        <v>143</v>
      </c>
    </row>
    <row r="63" customFormat="false" ht="15" hidden="false" customHeight="false" outlineLevel="0" collapsed="false">
      <c r="A63" s="0" t="n">
        <v>8</v>
      </c>
      <c r="B63" s="0" t="s">
        <v>51</v>
      </c>
      <c r="C63" s="0" t="s">
        <v>52</v>
      </c>
      <c r="D63" s="0" t="s">
        <v>141</v>
      </c>
      <c r="E63" s="0" t="s">
        <v>56</v>
      </c>
      <c r="F63" s="0" t="s">
        <v>28</v>
      </c>
      <c r="I63" s="0" t="n">
        <v>700</v>
      </c>
      <c r="J63" s="0" t="n">
        <v>0.175</v>
      </c>
      <c r="K63" s="0" t="s">
        <v>144</v>
      </c>
    </row>
    <row r="64" customFormat="false" ht="15" hidden="false" customHeight="false" outlineLevel="0" collapsed="false">
      <c r="A64" s="0" t="n">
        <v>8</v>
      </c>
      <c r="B64" s="0" t="s">
        <v>51</v>
      </c>
      <c r="C64" s="0" t="s">
        <v>52</v>
      </c>
      <c r="D64" s="0" t="s">
        <v>141</v>
      </c>
      <c r="E64" s="0" t="s">
        <v>58</v>
      </c>
      <c r="F64" s="0" t="s">
        <v>28</v>
      </c>
      <c r="I64" s="0" t="n">
        <v>3500</v>
      </c>
      <c r="J64" s="0" t="n">
        <v>0.875</v>
      </c>
      <c r="K64" s="0" t="s">
        <v>145</v>
      </c>
    </row>
    <row r="65" customFormat="false" ht="15" hidden="false" customHeight="false" outlineLevel="0" collapsed="false">
      <c r="A65" s="0" t="n">
        <v>8</v>
      </c>
      <c r="B65" s="0" t="s">
        <v>51</v>
      </c>
      <c r="C65" s="0" t="s">
        <v>52</v>
      </c>
      <c r="D65" s="0" t="s">
        <v>141</v>
      </c>
      <c r="E65" s="0" t="s">
        <v>128</v>
      </c>
      <c r="F65" s="0" t="s">
        <v>28</v>
      </c>
      <c r="I65" s="0" t="n">
        <v>1000</v>
      </c>
      <c r="J65" s="0" t="n">
        <v>0.25</v>
      </c>
      <c r="K65" s="0" t="s">
        <v>146</v>
      </c>
    </row>
    <row r="66" customFormat="false" ht="15" hidden="false" customHeight="false" outlineLevel="0" collapsed="false">
      <c r="A66" s="0" t="n">
        <v>8</v>
      </c>
      <c r="B66" s="0" t="s">
        <v>51</v>
      </c>
      <c r="C66" s="0" t="s">
        <v>52</v>
      </c>
      <c r="D66" s="0" t="s">
        <v>141</v>
      </c>
      <c r="E66" s="0" t="s">
        <v>130</v>
      </c>
      <c r="F66" s="0" t="s">
        <v>29</v>
      </c>
      <c r="I66" s="0" t="n">
        <v>700</v>
      </c>
      <c r="J66" s="0" t="n">
        <v>0.175</v>
      </c>
      <c r="K66" s="0" t="s">
        <v>147</v>
      </c>
    </row>
    <row r="67" customFormat="false" ht="15" hidden="false" customHeight="false" outlineLevel="0" collapsed="false">
      <c r="A67" s="0" t="n">
        <v>8</v>
      </c>
      <c r="B67" s="0" t="s">
        <v>51</v>
      </c>
      <c r="C67" s="0" t="s">
        <v>52</v>
      </c>
      <c r="D67" s="0" t="s">
        <v>141</v>
      </c>
      <c r="E67" s="0" t="s">
        <v>132</v>
      </c>
      <c r="F67" s="0" t="s">
        <v>29</v>
      </c>
      <c r="I67" s="0" t="n">
        <v>0</v>
      </c>
      <c r="J67" s="0" t="n">
        <v>0</v>
      </c>
      <c r="K67" s="0" t="s">
        <v>148</v>
      </c>
    </row>
    <row r="68" customFormat="false" ht="15" hidden="false" customHeight="false" outlineLevel="0" collapsed="false">
      <c r="A68" s="0" t="n">
        <v>8</v>
      </c>
      <c r="B68" s="0" t="s">
        <v>51</v>
      </c>
      <c r="C68" s="0" t="s">
        <v>52</v>
      </c>
      <c r="D68" s="0" t="s">
        <v>141</v>
      </c>
      <c r="E68" s="0" t="s">
        <v>134</v>
      </c>
      <c r="F68" s="0" t="s">
        <v>28</v>
      </c>
      <c r="I68" s="0" t="n">
        <v>0</v>
      </c>
      <c r="J68" s="0" t="n">
        <v>0</v>
      </c>
      <c r="K68" s="0" t="s">
        <v>149</v>
      </c>
    </row>
    <row r="69" customFormat="false" ht="15" hidden="false" customHeight="false" outlineLevel="0" collapsed="false">
      <c r="A69" s="0" t="n">
        <v>8</v>
      </c>
      <c r="B69" s="0" t="s">
        <v>51</v>
      </c>
      <c r="C69" s="0" t="s">
        <v>52</v>
      </c>
      <c r="D69" s="0" t="s">
        <v>141</v>
      </c>
      <c r="E69" s="0" t="s">
        <v>60</v>
      </c>
      <c r="F69" s="0" t="s">
        <v>27</v>
      </c>
      <c r="I69" s="0" t="n">
        <v>50</v>
      </c>
      <c r="J69" s="0" t="n">
        <v>0.0125</v>
      </c>
      <c r="K69" s="0" t="s">
        <v>150</v>
      </c>
    </row>
    <row r="70" customFormat="false" ht="15" hidden="false" customHeight="false" outlineLevel="0" collapsed="false">
      <c r="A70" s="0" t="n">
        <v>8</v>
      </c>
      <c r="B70" s="0" t="s">
        <v>51</v>
      </c>
      <c r="C70" s="0" t="s">
        <v>52</v>
      </c>
      <c r="D70" s="0" t="s">
        <v>141</v>
      </c>
      <c r="E70" s="0" t="s">
        <v>62</v>
      </c>
      <c r="F70" s="0" t="s">
        <v>27</v>
      </c>
      <c r="I70" s="0" t="n">
        <v>100</v>
      </c>
      <c r="J70" s="0" t="n">
        <v>0.025</v>
      </c>
      <c r="K70" s="0" t="s">
        <v>151</v>
      </c>
    </row>
    <row r="71" customFormat="false" ht="15" hidden="false" customHeight="false" outlineLevel="0" collapsed="false">
      <c r="A71" s="0" t="n">
        <v>8</v>
      </c>
      <c r="B71" s="0" t="s">
        <v>51</v>
      </c>
      <c r="C71" s="0" t="s">
        <v>52</v>
      </c>
      <c r="D71" s="0" t="s">
        <v>141</v>
      </c>
      <c r="E71" s="0" t="s">
        <v>66</v>
      </c>
      <c r="F71" s="0" t="s">
        <v>27</v>
      </c>
      <c r="I71" s="0" t="n">
        <v>250</v>
      </c>
      <c r="J71" s="0" t="n">
        <v>0.0625</v>
      </c>
      <c r="K71" s="0" t="s">
        <v>152</v>
      </c>
    </row>
    <row r="72" customFormat="false" ht="15" hidden="false" customHeight="false" outlineLevel="0" collapsed="false">
      <c r="A72" s="0" t="n">
        <v>8</v>
      </c>
      <c r="B72" s="0" t="s">
        <v>51</v>
      </c>
      <c r="C72" s="0" t="s">
        <v>52</v>
      </c>
      <c r="D72" s="0" t="s">
        <v>141</v>
      </c>
      <c r="E72" s="0" t="s">
        <v>64</v>
      </c>
      <c r="F72" s="0" t="s">
        <v>27</v>
      </c>
      <c r="I72" s="0" t="n">
        <v>50</v>
      </c>
      <c r="J72" s="0" t="n">
        <v>0.0125</v>
      </c>
      <c r="K72" s="0" t="s">
        <v>153</v>
      </c>
    </row>
    <row r="73" customFormat="false" ht="15" hidden="false" customHeight="false" outlineLevel="0" collapsed="false">
      <c r="A73" s="0" t="n">
        <v>8</v>
      </c>
      <c r="B73" s="0" t="s">
        <v>51</v>
      </c>
      <c r="C73" s="0" t="s">
        <v>52</v>
      </c>
      <c r="D73" s="0" t="s">
        <v>141</v>
      </c>
      <c r="E73" s="0" t="s">
        <v>68</v>
      </c>
      <c r="F73" s="0" t="s">
        <v>30</v>
      </c>
      <c r="I73" s="0" t="n">
        <v>4000</v>
      </c>
      <c r="J73" s="0" t="n">
        <v>1</v>
      </c>
      <c r="K73" s="0" t="s">
        <v>154</v>
      </c>
    </row>
    <row r="74" customFormat="false" ht="15" hidden="false" customHeight="false" outlineLevel="0" collapsed="false">
      <c r="A74" s="0" t="n">
        <v>9</v>
      </c>
      <c r="B74" s="0" t="s">
        <v>51</v>
      </c>
      <c r="C74" s="0" t="s">
        <v>70</v>
      </c>
      <c r="D74" s="0" t="s">
        <v>70</v>
      </c>
      <c r="E74" s="0" t="s">
        <v>53</v>
      </c>
      <c r="F74" s="0" t="s">
        <v>27</v>
      </c>
      <c r="G74" s="0" t="n">
        <v>0.8</v>
      </c>
      <c r="H74" s="0" t="n">
        <v>2.3</v>
      </c>
      <c r="I74" s="0" t="n">
        <v>7360</v>
      </c>
      <c r="J74" s="0" t="n">
        <v>1.84</v>
      </c>
      <c r="K74" s="0" t="s">
        <v>155</v>
      </c>
      <c r="L74" s="0" t="s">
        <v>55</v>
      </c>
    </row>
    <row r="75" customFormat="false" ht="15" hidden="false" customHeight="false" outlineLevel="0" collapsed="false">
      <c r="A75" s="0" t="n">
        <v>9</v>
      </c>
      <c r="B75" s="0" t="s">
        <v>51</v>
      </c>
      <c r="C75" s="0" t="s">
        <v>70</v>
      </c>
      <c r="D75" s="0" t="s">
        <v>70</v>
      </c>
      <c r="E75" s="0" t="s">
        <v>56</v>
      </c>
      <c r="F75" s="0" t="s">
        <v>28</v>
      </c>
      <c r="I75" s="0" t="n">
        <v>700</v>
      </c>
      <c r="J75" s="0" t="n">
        <v>0.175</v>
      </c>
      <c r="K75" s="0" t="s">
        <v>156</v>
      </c>
    </row>
    <row r="76" customFormat="false" ht="15" hidden="false" customHeight="false" outlineLevel="0" collapsed="false">
      <c r="A76" s="0" t="n">
        <v>9</v>
      </c>
      <c r="B76" s="0" t="s">
        <v>51</v>
      </c>
      <c r="C76" s="0" t="s">
        <v>70</v>
      </c>
      <c r="D76" s="0" t="s">
        <v>70</v>
      </c>
      <c r="E76" s="0" t="s">
        <v>58</v>
      </c>
      <c r="F76" s="0" t="s">
        <v>28</v>
      </c>
      <c r="I76" s="0" t="n">
        <v>2500</v>
      </c>
      <c r="J76" s="0" t="n">
        <v>0.625</v>
      </c>
      <c r="K76" s="0" t="s">
        <v>157</v>
      </c>
    </row>
    <row r="77" customFormat="false" ht="15" hidden="false" customHeight="false" outlineLevel="0" collapsed="false">
      <c r="A77" s="0" t="n">
        <v>9</v>
      </c>
      <c r="B77" s="0" t="s">
        <v>51</v>
      </c>
      <c r="C77" s="0" t="s">
        <v>70</v>
      </c>
      <c r="D77" s="0" t="s">
        <v>70</v>
      </c>
      <c r="E77" s="0" t="s">
        <v>158</v>
      </c>
      <c r="F77" s="0" t="s">
        <v>28</v>
      </c>
      <c r="I77" s="0" t="n">
        <v>1000</v>
      </c>
      <c r="J77" s="0" t="n">
        <v>0.25</v>
      </c>
      <c r="K77" s="0" t="s">
        <v>159</v>
      </c>
    </row>
    <row r="78" customFormat="false" ht="15" hidden="false" customHeight="false" outlineLevel="0" collapsed="false">
      <c r="A78" s="0" t="n">
        <v>9</v>
      </c>
      <c r="B78" s="0" t="s">
        <v>51</v>
      </c>
      <c r="C78" s="0" t="s">
        <v>70</v>
      </c>
      <c r="D78" s="0" t="s">
        <v>70</v>
      </c>
      <c r="E78" s="0" t="s">
        <v>128</v>
      </c>
      <c r="F78" s="0" t="s">
        <v>28</v>
      </c>
      <c r="I78" s="0" t="n">
        <v>0</v>
      </c>
      <c r="J78" s="0" t="n">
        <v>0</v>
      </c>
      <c r="K78" s="0" t="s">
        <v>160</v>
      </c>
    </row>
    <row r="79" customFormat="false" ht="15" hidden="false" customHeight="false" outlineLevel="0" collapsed="false">
      <c r="A79" s="0" t="n">
        <v>9</v>
      </c>
      <c r="B79" s="0" t="s">
        <v>51</v>
      </c>
      <c r="C79" s="0" t="s">
        <v>70</v>
      </c>
      <c r="D79" s="0" t="s">
        <v>70</v>
      </c>
      <c r="E79" s="0" t="s">
        <v>130</v>
      </c>
      <c r="F79" s="0" t="s">
        <v>29</v>
      </c>
      <c r="I79" s="0" t="n">
        <v>3000</v>
      </c>
      <c r="J79" s="0" t="n">
        <v>0.75</v>
      </c>
      <c r="K79" s="0" t="s">
        <v>161</v>
      </c>
    </row>
    <row r="80" customFormat="false" ht="15" hidden="false" customHeight="false" outlineLevel="0" collapsed="false">
      <c r="A80" s="0" t="n">
        <v>9</v>
      </c>
      <c r="B80" s="0" t="s">
        <v>51</v>
      </c>
      <c r="C80" s="0" t="s">
        <v>70</v>
      </c>
      <c r="D80" s="0" t="s">
        <v>70</v>
      </c>
      <c r="E80" s="0" t="s">
        <v>132</v>
      </c>
      <c r="F80" s="0" t="s">
        <v>29</v>
      </c>
      <c r="I80" s="0" t="n">
        <v>200</v>
      </c>
      <c r="J80" s="0" t="n">
        <v>0.05</v>
      </c>
      <c r="K80" s="0" t="s">
        <v>162</v>
      </c>
    </row>
    <row r="81" customFormat="false" ht="15" hidden="false" customHeight="false" outlineLevel="0" collapsed="false">
      <c r="A81" s="0" t="n">
        <v>9</v>
      </c>
      <c r="B81" s="0" t="s">
        <v>51</v>
      </c>
      <c r="C81" s="0" t="s">
        <v>70</v>
      </c>
      <c r="D81" s="0" t="s">
        <v>70</v>
      </c>
      <c r="E81" s="0" t="s">
        <v>134</v>
      </c>
      <c r="F81" s="0" t="s">
        <v>28</v>
      </c>
      <c r="I81" s="0" t="n">
        <v>200</v>
      </c>
      <c r="J81" s="0" t="n">
        <v>0.05</v>
      </c>
      <c r="K81" s="0" t="s">
        <v>163</v>
      </c>
    </row>
    <row r="82" customFormat="false" ht="15" hidden="false" customHeight="false" outlineLevel="0" collapsed="false">
      <c r="A82" s="0" t="n">
        <v>9</v>
      </c>
      <c r="B82" s="0" t="s">
        <v>51</v>
      </c>
      <c r="C82" s="0" t="s">
        <v>70</v>
      </c>
      <c r="D82" s="0" t="s">
        <v>70</v>
      </c>
      <c r="E82" s="0" t="s">
        <v>60</v>
      </c>
      <c r="F82" s="0" t="s">
        <v>27</v>
      </c>
      <c r="I82" s="0" t="n">
        <v>100</v>
      </c>
      <c r="J82" s="0" t="n">
        <v>0.025</v>
      </c>
      <c r="K82" s="0" t="s">
        <v>164</v>
      </c>
    </row>
    <row r="83" customFormat="false" ht="15" hidden="false" customHeight="false" outlineLevel="0" collapsed="false">
      <c r="A83" s="0" t="n">
        <v>9</v>
      </c>
      <c r="B83" s="0" t="s">
        <v>51</v>
      </c>
      <c r="C83" s="0" t="s">
        <v>70</v>
      </c>
      <c r="D83" s="0" t="s">
        <v>70</v>
      </c>
      <c r="E83" s="0" t="s">
        <v>62</v>
      </c>
      <c r="F83" s="0" t="s">
        <v>27</v>
      </c>
      <c r="I83" s="0" t="n">
        <v>100</v>
      </c>
      <c r="J83" s="0" t="n">
        <v>0.025</v>
      </c>
      <c r="K83" s="0" t="s">
        <v>165</v>
      </c>
    </row>
    <row r="84" customFormat="false" ht="15" hidden="false" customHeight="false" outlineLevel="0" collapsed="false">
      <c r="A84" s="0" t="n">
        <v>9</v>
      </c>
      <c r="B84" s="0" t="s">
        <v>51</v>
      </c>
      <c r="C84" s="0" t="s">
        <v>70</v>
      </c>
      <c r="D84" s="0" t="s">
        <v>70</v>
      </c>
      <c r="E84" s="0" t="s">
        <v>66</v>
      </c>
      <c r="F84" s="0" t="s">
        <v>27</v>
      </c>
      <c r="I84" s="0" t="n">
        <v>250</v>
      </c>
      <c r="J84" s="0" t="n">
        <v>0.0625</v>
      </c>
      <c r="K84" s="0" t="s">
        <v>166</v>
      </c>
      <c r="L84" s="0" t="s">
        <v>167</v>
      </c>
    </row>
    <row r="85" customFormat="false" ht="15" hidden="false" customHeight="false" outlineLevel="0" collapsed="false">
      <c r="A85" s="0" t="n">
        <v>9</v>
      </c>
      <c r="B85" s="0" t="s">
        <v>51</v>
      </c>
      <c r="C85" s="0" t="s">
        <v>70</v>
      </c>
      <c r="D85" s="0" t="s">
        <v>70</v>
      </c>
      <c r="E85" s="0" t="s">
        <v>64</v>
      </c>
      <c r="F85" s="0" t="s">
        <v>27</v>
      </c>
      <c r="I85" s="0" t="n">
        <v>500</v>
      </c>
      <c r="J85" s="0" t="n">
        <v>0.125</v>
      </c>
      <c r="K85" s="0" t="s">
        <v>168</v>
      </c>
    </row>
    <row r="86" customFormat="false" ht="15" hidden="false" customHeight="false" outlineLevel="0" collapsed="false">
      <c r="A86" s="0" t="n">
        <v>9</v>
      </c>
      <c r="B86" s="0" t="s">
        <v>51</v>
      </c>
      <c r="C86" s="0" t="s">
        <v>70</v>
      </c>
      <c r="D86" s="0" t="s">
        <v>70</v>
      </c>
      <c r="E86" s="0" t="s">
        <v>68</v>
      </c>
      <c r="F86" s="0" t="s">
        <v>30</v>
      </c>
      <c r="I86" s="0" t="n">
        <v>3700</v>
      </c>
      <c r="J86" s="0" t="n">
        <v>0.925</v>
      </c>
      <c r="K86" s="0" t="s">
        <v>169</v>
      </c>
    </row>
    <row r="87" customFormat="false" ht="15" hidden="false" customHeight="false" outlineLevel="0" collapsed="false">
      <c r="A87" s="0" t="n">
        <v>10</v>
      </c>
      <c r="B87" s="0" t="s">
        <v>51</v>
      </c>
      <c r="C87" s="0" t="s">
        <v>70</v>
      </c>
      <c r="D87" s="0" t="s">
        <v>90</v>
      </c>
      <c r="E87" s="0" t="s">
        <v>53</v>
      </c>
      <c r="F87" s="0" t="s">
        <v>27</v>
      </c>
      <c r="G87" s="0" t="n">
        <v>0.6</v>
      </c>
      <c r="H87" s="0" t="n">
        <v>2</v>
      </c>
      <c r="I87" s="0" t="n">
        <v>4800</v>
      </c>
      <c r="J87" s="0" t="n">
        <v>1.2</v>
      </c>
      <c r="K87" s="0" t="s">
        <v>170</v>
      </c>
      <c r="L87" s="0" t="s">
        <v>92</v>
      </c>
    </row>
    <row r="88" customFormat="false" ht="15" hidden="false" customHeight="false" outlineLevel="0" collapsed="false">
      <c r="A88" s="0" t="n">
        <v>10</v>
      </c>
      <c r="B88" s="0" t="s">
        <v>51</v>
      </c>
      <c r="C88" s="0" t="s">
        <v>70</v>
      </c>
      <c r="D88" s="0" t="s">
        <v>90</v>
      </c>
      <c r="E88" s="0" t="s">
        <v>56</v>
      </c>
      <c r="F88" s="0" t="s">
        <v>28</v>
      </c>
      <c r="I88" s="0" t="n">
        <v>700</v>
      </c>
      <c r="J88" s="0" t="n">
        <v>0.175</v>
      </c>
      <c r="K88" s="0" t="s">
        <v>171</v>
      </c>
    </row>
    <row r="89" customFormat="false" ht="15" hidden="false" customHeight="false" outlineLevel="0" collapsed="false">
      <c r="A89" s="0" t="n">
        <v>10</v>
      </c>
      <c r="B89" s="0" t="s">
        <v>51</v>
      </c>
      <c r="C89" s="0" t="s">
        <v>70</v>
      </c>
      <c r="D89" s="0" t="s">
        <v>90</v>
      </c>
      <c r="E89" s="0" t="s">
        <v>58</v>
      </c>
      <c r="F89" s="0" t="s">
        <v>28</v>
      </c>
      <c r="I89" s="0" t="n">
        <v>3500</v>
      </c>
      <c r="J89" s="0" t="n">
        <v>0.875</v>
      </c>
      <c r="K89" s="0" t="s">
        <v>172</v>
      </c>
    </row>
    <row r="90" customFormat="false" ht="15" hidden="false" customHeight="false" outlineLevel="0" collapsed="false">
      <c r="A90" s="0" t="n">
        <v>10</v>
      </c>
      <c r="B90" s="0" t="s">
        <v>51</v>
      </c>
      <c r="C90" s="0" t="s">
        <v>70</v>
      </c>
      <c r="D90" s="0" t="s">
        <v>90</v>
      </c>
      <c r="E90" s="0" t="s">
        <v>158</v>
      </c>
      <c r="F90" s="0" t="s">
        <v>28</v>
      </c>
      <c r="I90" s="0" t="n">
        <v>0</v>
      </c>
      <c r="J90" s="0" t="n">
        <v>0</v>
      </c>
      <c r="K90" s="0" t="s">
        <v>173</v>
      </c>
    </row>
    <row r="91" customFormat="false" ht="15" hidden="false" customHeight="false" outlineLevel="0" collapsed="false">
      <c r="A91" s="0" t="n">
        <v>10</v>
      </c>
      <c r="B91" s="0" t="s">
        <v>51</v>
      </c>
      <c r="C91" s="0" t="s">
        <v>70</v>
      </c>
      <c r="D91" s="0" t="s">
        <v>90</v>
      </c>
      <c r="E91" s="0" t="s">
        <v>128</v>
      </c>
      <c r="F91" s="0" t="s">
        <v>28</v>
      </c>
      <c r="I91" s="0" t="n">
        <v>1000</v>
      </c>
      <c r="J91" s="0" t="n">
        <v>0.25</v>
      </c>
      <c r="K91" s="0" t="s">
        <v>174</v>
      </c>
    </row>
    <row r="92" customFormat="false" ht="15" hidden="false" customHeight="false" outlineLevel="0" collapsed="false">
      <c r="A92" s="0" t="n">
        <v>10</v>
      </c>
      <c r="B92" s="0" t="s">
        <v>51</v>
      </c>
      <c r="C92" s="0" t="s">
        <v>70</v>
      </c>
      <c r="D92" s="0" t="s">
        <v>90</v>
      </c>
      <c r="E92" s="0" t="s">
        <v>130</v>
      </c>
      <c r="F92" s="0" t="s">
        <v>29</v>
      </c>
      <c r="I92" s="0" t="n">
        <v>8000</v>
      </c>
      <c r="J92" s="0" t="n">
        <v>2</v>
      </c>
      <c r="K92" s="0" t="s">
        <v>175</v>
      </c>
    </row>
    <row r="93" customFormat="false" ht="15" hidden="false" customHeight="false" outlineLevel="0" collapsed="false">
      <c r="A93" s="0" t="n">
        <v>10</v>
      </c>
      <c r="B93" s="0" t="s">
        <v>51</v>
      </c>
      <c r="C93" s="0" t="s">
        <v>70</v>
      </c>
      <c r="D93" s="0" t="s">
        <v>90</v>
      </c>
      <c r="E93" s="0" t="s">
        <v>132</v>
      </c>
      <c r="F93" s="0" t="s">
        <v>29</v>
      </c>
      <c r="I93" s="0" t="n">
        <v>0</v>
      </c>
      <c r="J93" s="0" t="n">
        <v>0</v>
      </c>
      <c r="K93" s="0" t="s">
        <v>176</v>
      </c>
    </row>
    <row r="94" customFormat="false" ht="15" hidden="false" customHeight="false" outlineLevel="0" collapsed="false">
      <c r="A94" s="0" t="n">
        <v>10</v>
      </c>
      <c r="B94" s="0" t="s">
        <v>51</v>
      </c>
      <c r="C94" s="0" t="s">
        <v>70</v>
      </c>
      <c r="D94" s="0" t="s">
        <v>90</v>
      </c>
      <c r="E94" s="0" t="s">
        <v>134</v>
      </c>
      <c r="F94" s="0" t="s">
        <v>28</v>
      </c>
      <c r="I94" s="0" t="n">
        <v>0</v>
      </c>
      <c r="J94" s="0" t="n">
        <v>0</v>
      </c>
      <c r="K94" s="0" t="s">
        <v>177</v>
      </c>
    </row>
    <row r="95" customFormat="false" ht="15" hidden="false" customHeight="false" outlineLevel="0" collapsed="false">
      <c r="A95" s="0" t="n">
        <v>10</v>
      </c>
      <c r="B95" s="0" t="s">
        <v>51</v>
      </c>
      <c r="C95" s="0" t="s">
        <v>70</v>
      </c>
      <c r="D95" s="0" t="s">
        <v>90</v>
      </c>
      <c r="E95" s="0" t="s">
        <v>60</v>
      </c>
      <c r="F95" s="0" t="s">
        <v>27</v>
      </c>
      <c r="I95" s="0" t="n">
        <v>200</v>
      </c>
      <c r="J95" s="0" t="n">
        <v>0.05</v>
      </c>
      <c r="K95" s="0" t="s">
        <v>178</v>
      </c>
    </row>
    <row r="96" customFormat="false" ht="15" hidden="false" customHeight="false" outlineLevel="0" collapsed="false">
      <c r="A96" s="0" t="n">
        <v>10</v>
      </c>
      <c r="B96" s="0" t="s">
        <v>51</v>
      </c>
      <c r="C96" s="0" t="s">
        <v>70</v>
      </c>
      <c r="D96" s="0" t="s">
        <v>90</v>
      </c>
      <c r="E96" s="0" t="s">
        <v>62</v>
      </c>
      <c r="F96" s="0" t="s">
        <v>27</v>
      </c>
      <c r="I96" s="0" t="n">
        <v>500</v>
      </c>
      <c r="J96" s="0" t="n">
        <v>0.125</v>
      </c>
      <c r="K96" s="0" t="s">
        <v>179</v>
      </c>
    </row>
    <row r="97" customFormat="false" ht="15" hidden="false" customHeight="false" outlineLevel="0" collapsed="false">
      <c r="A97" s="0" t="n">
        <v>10</v>
      </c>
      <c r="B97" s="0" t="s">
        <v>51</v>
      </c>
      <c r="C97" s="0" t="s">
        <v>70</v>
      </c>
      <c r="D97" s="0" t="s">
        <v>90</v>
      </c>
      <c r="E97" s="0" t="s">
        <v>66</v>
      </c>
      <c r="F97" s="0" t="s">
        <v>27</v>
      </c>
      <c r="I97" s="0" t="n">
        <v>250</v>
      </c>
      <c r="J97" s="0" t="n">
        <v>0.0625</v>
      </c>
      <c r="K97" s="0" t="s">
        <v>180</v>
      </c>
      <c r="L97" s="0" t="s">
        <v>181</v>
      </c>
    </row>
    <row r="98" customFormat="false" ht="15" hidden="false" customHeight="false" outlineLevel="0" collapsed="false">
      <c r="A98" s="0" t="n">
        <v>10</v>
      </c>
      <c r="B98" s="0" t="s">
        <v>51</v>
      </c>
      <c r="C98" s="0" t="s">
        <v>70</v>
      </c>
      <c r="D98" s="0" t="s">
        <v>90</v>
      </c>
      <c r="E98" s="0" t="s">
        <v>64</v>
      </c>
      <c r="F98" s="0" t="s">
        <v>27</v>
      </c>
      <c r="I98" s="0" t="n">
        <v>100</v>
      </c>
      <c r="J98" s="0" t="n">
        <v>0.025</v>
      </c>
      <c r="K98" s="0" t="s">
        <v>182</v>
      </c>
    </row>
    <row r="99" customFormat="false" ht="15" hidden="false" customHeight="false" outlineLevel="0" collapsed="false">
      <c r="A99" s="0" t="n">
        <v>10</v>
      </c>
      <c r="B99" s="0" t="s">
        <v>51</v>
      </c>
      <c r="C99" s="0" t="s">
        <v>70</v>
      </c>
      <c r="D99" s="0" t="s">
        <v>90</v>
      </c>
      <c r="E99" s="0" t="s">
        <v>68</v>
      </c>
      <c r="F99" s="0" t="s">
        <v>30</v>
      </c>
      <c r="I99" s="0" t="n">
        <v>3700</v>
      </c>
      <c r="J99" s="0" t="n">
        <v>0.925</v>
      </c>
      <c r="K99" s="0" t="s">
        <v>183</v>
      </c>
    </row>
    <row r="100" customFormat="false" ht="15" hidden="false" customHeight="false" outlineLevel="0" collapsed="false">
      <c r="A100" s="0" t="n">
        <v>11</v>
      </c>
      <c r="B100" s="0" t="s">
        <v>51</v>
      </c>
      <c r="C100" s="0" t="s">
        <v>184</v>
      </c>
      <c r="D100" s="0" t="s">
        <v>184</v>
      </c>
      <c r="E100" s="0" t="s">
        <v>53</v>
      </c>
      <c r="F100" s="0" t="s">
        <v>27</v>
      </c>
      <c r="G100" s="0" t="n">
        <v>0.9</v>
      </c>
      <c r="H100" s="0" t="n">
        <v>1.1</v>
      </c>
      <c r="I100" s="0" t="n">
        <v>3960</v>
      </c>
      <c r="J100" s="0" t="n">
        <v>0.99</v>
      </c>
      <c r="K100" s="0" t="s">
        <v>185</v>
      </c>
      <c r="L100" s="0" t="s">
        <v>186</v>
      </c>
    </row>
    <row r="101" customFormat="false" ht="15" hidden="false" customHeight="false" outlineLevel="0" collapsed="false">
      <c r="A101" s="0" t="n">
        <v>11</v>
      </c>
      <c r="B101" s="0" t="s">
        <v>51</v>
      </c>
      <c r="C101" s="0" t="s">
        <v>184</v>
      </c>
      <c r="D101" s="0" t="s">
        <v>184</v>
      </c>
      <c r="E101" s="0" t="s">
        <v>56</v>
      </c>
      <c r="F101" s="0" t="s">
        <v>28</v>
      </c>
      <c r="I101" s="0" t="n">
        <v>700</v>
      </c>
      <c r="J101" s="0" t="n">
        <v>0.175</v>
      </c>
      <c r="K101" s="0" t="s">
        <v>187</v>
      </c>
    </row>
    <row r="102" customFormat="false" ht="15" hidden="false" customHeight="false" outlineLevel="0" collapsed="false">
      <c r="A102" s="0" t="n">
        <v>11</v>
      </c>
      <c r="B102" s="0" t="s">
        <v>51</v>
      </c>
      <c r="C102" s="0" t="s">
        <v>184</v>
      </c>
      <c r="D102" s="0" t="s">
        <v>184</v>
      </c>
      <c r="E102" s="0" t="s">
        <v>58</v>
      </c>
      <c r="F102" s="0" t="s">
        <v>28</v>
      </c>
      <c r="I102" s="0" t="n">
        <v>2500</v>
      </c>
      <c r="J102" s="0" t="n">
        <v>0.625</v>
      </c>
      <c r="K102" s="0" t="s">
        <v>188</v>
      </c>
    </row>
    <row r="103" customFormat="false" ht="15" hidden="false" customHeight="false" outlineLevel="0" collapsed="false">
      <c r="A103" s="0" t="n">
        <v>11</v>
      </c>
      <c r="B103" s="0" t="s">
        <v>51</v>
      </c>
      <c r="C103" s="0" t="s">
        <v>184</v>
      </c>
      <c r="D103" s="0" t="s">
        <v>184</v>
      </c>
      <c r="E103" s="0" t="s">
        <v>128</v>
      </c>
      <c r="F103" s="0" t="s">
        <v>28</v>
      </c>
      <c r="I103" s="0" t="n">
        <v>1500</v>
      </c>
      <c r="J103" s="0" t="n">
        <v>0.375</v>
      </c>
      <c r="K103" s="0" t="s">
        <v>189</v>
      </c>
    </row>
    <row r="104" customFormat="false" ht="15" hidden="false" customHeight="false" outlineLevel="0" collapsed="false">
      <c r="A104" s="0" t="n">
        <v>11</v>
      </c>
      <c r="B104" s="0" t="s">
        <v>51</v>
      </c>
      <c r="C104" s="0" t="s">
        <v>184</v>
      </c>
      <c r="D104" s="0" t="s">
        <v>184</v>
      </c>
      <c r="E104" s="0" t="s">
        <v>130</v>
      </c>
      <c r="F104" s="0" t="s">
        <v>29</v>
      </c>
      <c r="I104" s="0" t="n">
        <v>1500</v>
      </c>
      <c r="J104" s="0" t="n">
        <v>0.375</v>
      </c>
      <c r="K104" s="0" t="s">
        <v>190</v>
      </c>
    </row>
    <row r="105" customFormat="false" ht="15" hidden="false" customHeight="false" outlineLevel="0" collapsed="false">
      <c r="A105" s="0" t="n">
        <v>11</v>
      </c>
      <c r="B105" s="0" t="s">
        <v>51</v>
      </c>
      <c r="C105" s="0" t="s">
        <v>184</v>
      </c>
      <c r="D105" s="0" t="s">
        <v>184</v>
      </c>
      <c r="E105" s="0" t="s">
        <v>132</v>
      </c>
      <c r="F105" s="0" t="s">
        <v>29</v>
      </c>
      <c r="I105" s="0" t="n">
        <v>200</v>
      </c>
      <c r="J105" s="0" t="n">
        <v>0.05</v>
      </c>
      <c r="K105" s="0" t="s">
        <v>191</v>
      </c>
    </row>
    <row r="106" customFormat="false" ht="15" hidden="false" customHeight="false" outlineLevel="0" collapsed="false">
      <c r="A106" s="0" t="n">
        <v>11</v>
      </c>
      <c r="B106" s="0" t="s">
        <v>51</v>
      </c>
      <c r="C106" s="0" t="s">
        <v>184</v>
      </c>
      <c r="D106" s="0" t="s">
        <v>184</v>
      </c>
      <c r="E106" s="0" t="s">
        <v>134</v>
      </c>
      <c r="F106" s="0" t="s">
        <v>28</v>
      </c>
      <c r="I106" s="0" t="n">
        <v>200</v>
      </c>
      <c r="J106" s="0" t="n">
        <v>0.05</v>
      </c>
      <c r="K106" s="0" t="s">
        <v>192</v>
      </c>
    </row>
    <row r="107" customFormat="false" ht="15" hidden="false" customHeight="false" outlineLevel="0" collapsed="false">
      <c r="A107" s="0" t="n">
        <v>11</v>
      </c>
      <c r="B107" s="0" t="s">
        <v>51</v>
      </c>
      <c r="C107" s="0" t="s">
        <v>184</v>
      </c>
      <c r="D107" s="0" t="s">
        <v>184</v>
      </c>
      <c r="E107" s="0" t="s">
        <v>60</v>
      </c>
      <c r="F107" s="0" t="s">
        <v>27</v>
      </c>
      <c r="I107" s="0" t="n">
        <v>200</v>
      </c>
      <c r="J107" s="0" t="n">
        <v>0.05</v>
      </c>
      <c r="K107" s="0" t="s">
        <v>193</v>
      </c>
    </row>
    <row r="108" customFormat="false" ht="15" hidden="false" customHeight="false" outlineLevel="0" collapsed="false">
      <c r="A108" s="0" t="n">
        <v>11</v>
      </c>
      <c r="B108" s="0" t="s">
        <v>51</v>
      </c>
      <c r="C108" s="0" t="s">
        <v>184</v>
      </c>
      <c r="D108" s="0" t="s">
        <v>184</v>
      </c>
      <c r="E108" s="0" t="s">
        <v>62</v>
      </c>
      <c r="F108" s="0" t="s">
        <v>27</v>
      </c>
      <c r="I108" s="0" t="n">
        <v>100</v>
      </c>
      <c r="J108" s="0" t="n">
        <v>0.025</v>
      </c>
      <c r="K108" s="0" t="s">
        <v>194</v>
      </c>
    </row>
    <row r="109" customFormat="false" ht="15" hidden="false" customHeight="false" outlineLevel="0" collapsed="false">
      <c r="A109" s="0" t="n">
        <v>11</v>
      </c>
      <c r="B109" s="0" t="s">
        <v>51</v>
      </c>
      <c r="C109" s="0" t="s">
        <v>184</v>
      </c>
      <c r="D109" s="0" t="s">
        <v>184</v>
      </c>
      <c r="E109" s="0" t="s">
        <v>66</v>
      </c>
      <c r="F109" s="0" t="s">
        <v>27</v>
      </c>
      <c r="I109" s="0" t="n">
        <v>250</v>
      </c>
      <c r="J109" s="0" t="n">
        <v>0.0625</v>
      </c>
      <c r="K109" s="0" t="s">
        <v>195</v>
      </c>
    </row>
    <row r="110" customFormat="false" ht="15" hidden="false" customHeight="false" outlineLevel="0" collapsed="false">
      <c r="A110" s="0" t="n">
        <v>11</v>
      </c>
      <c r="B110" s="0" t="s">
        <v>51</v>
      </c>
      <c r="C110" s="0" t="s">
        <v>184</v>
      </c>
      <c r="D110" s="0" t="s">
        <v>184</v>
      </c>
      <c r="E110" s="0" t="s">
        <v>64</v>
      </c>
      <c r="F110" s="0" t="s">
        <v>27</v>
      </c>
      <c r="I110" s="0" t="n">
        <v>50</v>
      </c>
      <c r="J110" s="0" t="n">
        <v>0.0125</v>
      </c>
      <c r="K110" s="0" t="s">
        <v>196</v>
      </c>
    </row>
    <row r="111" customFormat="false" ht="15" hidden="false" customHeight="false" outlineLevel="0" collapsed="false">
      <c r="A111" s="0" t="n">
        <v>11</v>
      </c>
      <c r="B111" s="0" t="s">
        <v>51</v>
      </c>
      <c r="C111" s="0" t="s">
        <v>184</v>
      </c>
      <c r="D111" s="0" t="s">
        <v>184</v>
      </c>
      <c r="E111" s="0" t="s">
        <v>68</v>
      </c>
      <c r="F111" s="0" t="s">
        <v>30</v>
      </c>
      <c r="I111" s="0" t="n">
        <v>3000</v>
      </c>
      <c r="J111" s="0" t="n">
        <v>0.75</v>
      </c>
      <c r="K111" s="0" t="s">
        <v>197</v>
      </c>
    </row>
    <row r="112" customFormat="false" ht="15" hidden="false" customHeight="false" outlineLevel="0" collapsed="false">
      <c r="A112" s="0" t="n">
        <v>12</v>
      </c>
      <c r="B112" s="0" t="s">
        <v>51</v>
      </c>
      <c r="C112" s="0" t="s">
        <v>184</v>
      </c>
      <c r="D112" s="0" t="s">
        <v>198</v>
      </c>
      <c r="E112" s="0" t="s">
        <v>53</v>
      </c>
      <c r="F112" s="0" t="s">
        <v>27</v>
      </c>
      <c r="G112" s="0" t="n">
        <v>0.8</v>
      </c>
      <c r="H112" s="0" t="n">
        <v>2</v>
      </c>
      <c r="I112" s="0" t="n">
        <v>6400</v>
      </c>
      <c r="J112" s="0" t="n">
        <v>1.6</v>
      </c>
      <c r="K112" s="0" t="s">
        <v>199</v>
      </c>
      <c r="L112" s="0" t="s">
        <v>200</v>
      </c>
    </row>
    <row r="113" customFormat="false" ht="15" hidden="false" customHeight="false" outlineLevel="0" collapsed="false">
      <c r="A113" s="0" t="n">
        <v>12</v>
      </c>
      <c r="B113" s="0" t="s">
        <v>51</v>
      </c>
      <c r="C113" s="0" t="s">
        <v>184</v>
      </c>
      <c r="D113" s="0" t="s">
        <v>198</v>
      </c>
      <c r="E113" s="0" t="s">
        <v>56</v>
      </c>
      <c r="F113" s="0" t="s">
        <v>28</v>
      </c>
      <c r="I113" s="0" t="n">
        <v>700</v>
      </c>
      <c r="J113" s="0" t="n">
        <v>0.175</v>
      </c>
      <c r="K113" s="0" t="s">
        <v>201</v>
      </c>
    </row>
    <row r="114" customFormat="false" ht="15" hidden="false" customHeight="false" outlineLevel="0" collapsed="false">
      <c r="A114" s="0" t="n">
        <v>12</v>
      </c>
      <c r="B114" s="0" t="s">
        <v>51</v>
      </c>
      <c r="C114" s="0" t="s">
        <v>184</v>
      </c>
      <c r="D114" s="0" t="s">
        <v>198</v>
      </c>
      <c r="E114" s="0" t="s">
        <v>58</v>
      </c>
      <c r="F114" s="0" t="s">
        <v>28</v>
      </c>
      <c r="I114" s="0" t="n">
        <v>3500</v>
      </c>
      <c r="J114" s="0" t="n">
        <v>0.875</v>
      </c>
      <c r="K114" s="0" t="s">
        <v>202</v>
      </c>
    </row>
    <row r="115" customFormat="false" ht="15" hidden="false" customHeight="false" outlineLevel="0" collapsed="false">
      <c r="A115" s="0" t="n">
        <v>12</v>
      </c>
      <c r="B115" s="0" t="s">
        <v>51</v>
      </c>
      <c r="C115" s="0" t="s">
        <v>184</v>
      </c>
      <c r="D115" s="0" t="s">
        <v>198</v>
      </c>
      <c r="E115" s="0" t="s">
        <v>203</v>
      </c>
      <c r="F115" s="0" t="s">
        <v>29</v>
      </c>
      <c r="I115" s="0" t="n">
        <v>10000</v>
      </c>
      <c r="J115" s="0" t="n">
        <v>2.5</v>
      </c>
      <c r="K115" s="0" t="s">
        <v>204</v>
      </c>
    </row>
    <row r="116" customFormat="false" ht="15" hidden="false" customHeight="false" outlineLevel="0" collapsed="false">
      <c r="A116" s="0" t="n">
        <v>12</v>
      </c>
      <c r="B116" s="0" t="s">
        <v>51</v>
      </c>
      <c r="C116" s="0" t="s">
        <v>184</v>
      </c>
      <c r="D116" s="0" t="s">
        <v>198</v>
      </c>
      <c r="E116" s="0" t="s">
        <v>128</v>
      </c>
      <c r="F116" s="0" t="s">
        <v>28</v>
      </c>
      <c r="I116" s="0" t="n">
        <v>1000</v>
      </c>
      <c r="J116" s="0" t="n">
        <v>0.25</v>
      </c>
      <c r="K116" s="0" t="s">
        <v>205</v>
      </c>
    </row>
    <row r="117" customFormat="false" ht="15" hidden="false" customHeight="false" outlineLevel="0" collapsed="false">
      <c r="A117" s="0" t="n">
        <v>12</v>
      </c>
      <c r="B117" s="0" t="s">
        <v>51</v>
      </c>
      <c r="C117" s="0" t="s">
        <v>184</v>
      </c>
      <c r="D117" s="0" t="s">
        <v>198</v>
      </c>
      <c r="E117" s="0" t="s">
        <v>132</v>
      </c>
      <c r="F117" s="0" t="s">
        <v>29</v>
      </c>
      <c r="I117" s="0" t="n">
        <v>0</v>
      </c>
      <c r="J117" s="0" t="n">
        <v>0</v>
      </c>
      <c r="K117" s="0" t="s">
        <v>206</v>
      </c>
    </row>
    <row r="118" customFormat="false" ht="15" hidden="false" customHeight="false" outlineLevel="0" collapsed="false">
      <c r="A118" s="0" t="n">
        <v>12</v>
      </c>
      <c r="B118" s="0" t="s">
        <v>51</v>
      </c>
      <c r="C118" s="0" t="s">
        <v>184</v>
      </c>
      <c r="D118" s="0" t="s">
        <v>198</v>
      </c>
      <c r="E118" s="0" t="s">
        <v>134</v>
      </c>
      <c r="F118" s="0" t="s">
        <v>28</v>
      </c>
      <c r="I118" s="0" t="n">
        <v>0</v>
      </c>
      <c r="J118" s="0" t="n">
        <v>0</v>
      </c>
      <c r="K118" s="0" t="s">
        <v>207</v>
      </c>
    </row>
    <row r="119" customFormat="false" ht="15" hidden="false" customHeight="false" outlineLevel="0" collapsed="false">
      <c r="A119" s="0" t="n">
        <v>12</v>
      </c>
      <c r="B119" s="0" t="s">
        <v>51</v>
      </c>
      <c r="C119" s="0" t="s">
        <v>184</v>
      </c>
      <c r="D119" s="0" t="s">
        <v>198</v>
      </c>
      <c r="E119" s="0" t="s">
        <v>60</v>
      </c>
      <c r="F119" s="0" t="s">
        <v>27</v>
      </c>
      <c r="I119" s="0" t="n">
        <v>50</v>
      </c>
      <c r="J119" s="0" t="n">
        <v>0.0125</v>
      </c>
      <c r="K119" s="0" t="s">
        <v>208</v>
      </c>
    </row>
    <row r="120" customFormat="false" ht="15" hidden="false" customHeight="false" outlineLevel="0" collapsed="false">
      <c r="A120" s="0" t="n">
        <v>12</v>
      </c>
      <c r="B120" s="0" t="s">
        <v>51</v>
      </c>
      <c r="C120" s="0" t="s">
        <v>184</v>
      </c>
      <c r="D120" s="0" t="s">
        <v>198</v>
      </c>
      <c r="E120" s="0" t="s">
        <v>62</v>
      </c>
      <c r="F120" s="0" t="s">
        <v>27</v>
      </c>
      <c r="I120" s="0" t="n">
        <v>500</v>
      </c>
      <c r="J120" s="0" t="n">
        <v>0.125</v>
      </c>
      <c r="K120" s="0" t="s">
        <v>209</v>
      </c>
    </row>
    <row r="121" customFormat="false" ht="15" hidden="false" customHeight="false" outlineLevel="0" collapsed="false">
      <c r="A121" s="0" t="n">
        <v>12</v>
      </c>
      <c r="B121" s="0" t="s">
        <v>51</v>
      </c>
      <c r="C121" s="0" t="s">
        <v>184</v>
      </c>
      <c r="D121" s="0" t="s">
        <v>198</v>
      </c>
      <c r="E121" s="0" t="s">
        <v>66</v>
      </c>
      <c r="F121" s="0" t="s">
        <v>27</v>
      </c>
      <c r="I121" s="0" t="n">
        <v>250</v>
      </c>
      <c r="J121" s="0" t="n">
        <v>0.0625</v>
      </c>
      <c r="K121" s="0" t="s">
        <v>210</v>
      </c>
    </row>
    <row r="122" customFormat="false" ht="15" hidden="false" customHeight="false" outlineLevel="0" collapsed="false">
      <c r="A122" s="0" t="n">
        <v>12</v>
      </c>
      <c r="B122" s="0" t="s">
        <v>51</v>
      </c>
      <c r="C122" s="0" t="s">
        <v>184</v>
      </c>
      <c r="D122" s="0" t="s">
        <v>198</v>
      </c>
      <c r="E122" s="0" t="s">
        <v>64</v>
      </c>
      <c r="F122" s="0" t="s">
        <v>27</v>
      </c>
      <c r="I122" s="0" t="n">
        <v>100</v>
      </c>
      <c r="J122" s="0" t="n">
        <v>0.025</v>
      </c>
      <c r="K122" s="0" t="s">
        <v>211</v>
      </c>
    </row>
    <row r="123" customFormat="false" ht="15" hidden="false" customHeight="false" outlineLevel="0" collapsed="false">
      <c r="A123" s="0" t="n">
        <v>12</v>
      </c>
      <c r="B123" s="0" t="s">
        <v>51</v>
      </c>
      <c r="C123" s="0" t="s">
        <v>184</v>
      </c>
      <c r="D123" s="0" t="s">
        <v>198</v>
      </c>
      <c r="E123" s="0" t="s">
        <v>68</v>
      </c>
      <c r="F123" s="0" t="s">
        <v>30</v>
      </c>
      <c r="I123" s="0" t="n">
        <v>3700</v>
      </c>
      <c r="J123" s="0" t="n">
        <v>0.925</v>
      </c>
      <c r="K123" s="0" t="s">
        <v>212</v>
      </c>
    </row>
    <row r="124" customFormat="false" ht="15" hidden="false" customHeight="false" outlineLevel="0" collapsed="false">
      <c r="A124" s="0" t="n">
        <v>13</v>
      </c>
      <c r="B124" s="0" t="s">
        <v>51</v>
      </c>
      <c r="C124" s="0" t="s">
        <v>213</v>
      </c>
      <c r="D124" s="0" t="s">
        <v>213</v>
      </c>
      <c r="E124" s="0" t="s">
        <v>53</v>
      </c>
      <c r="F124" s="0" t="s">
        <v>27</v>
      </c>
      <c r="G124" s="0" t="n">
        <v>0.7</v>
      </c>
      <c r="H124" s="0" t="n">
        <v>1.6</v>
      </c>
      <c r="I124" s="0" t="n">
        <v>4480</v>
      </c>
      <c r="J124" s="0" t="n">
        <v>1.12</v>
      </c>
      <c r="K124" s="0" t="s">
        <v>214</v>
      </c>
      <c r="L124" s="0" t="s">
        <v>215</v>
      </c>
    </row>
    <row r="125" customFormat="false" ht="15" hidden="false" customHeight="false" outlineLevel="0" collapsed="false">
      <c r="A125" s="0" t="n">
        <v>13</v>
      </c>
      <c r="B125" s="0" t="s">
        <v>51</v>
      </c>
      <c r="C125" s="0" t="s">
        <v>213</v>
      </c>
      <c r="D125" s="0" t="s">
        <v>213</v>
      </c>
      <c r="E125" s="0" t="s">
        <v>56</v>
      </c>
      <c r="F125" s="0" t="s">
        <v>28</v>
      </c>
      <c r="I125" s="0" t="n">
        <v>300</v>
      </c>
      <c r="J125" s="0" t="n">
        <v>0.075</v>
      </c>
      <c r="K125" s="0" t="s">
        <v>216</v>
      </c>
    </row>
    <row r="126" customFormat="false" ht="15" hidden="false" customHeight="false" outlineLevel="0" collapsed="false">
      <c r="A126" s="0" t="n">
        <v>13</v>
      </c>
      <c r="B126" s="0" t="s">
        <v>51</v>
      </c>
      <c r="C126" s="0" t="s">
        <v>213</v>
      </c>
      <c r="D126" s="0" t="s">
        <v>213</v>
      </c>
      <c r="E126" s="0" t="s">
        <v>58</v>
      </c>
      <c r="F126" s="0" t="s">
        <v>28</v>
      </c>
      <c r="I126" s="0" t="n">
        <v>1600</v>
      </c>
      <c r="J126" s="0" t="n">
        <v>0.4</v>
      </c>
      <c r="K126" s="0" t="s">
        <v>217</v>
      </c>
    </row>
    <row r="127" customFormat="false" ht="15" hidden="false" customHeight="false" outlineLevel="0" collapsed="false">
      <c r="A127" s="0" t="n">
        <v>13</v>
      </c>
      <c r="B127" s="0" t="s">
        <v>51</v>
      </c>
      <c r="C127" s="0" t="s">
        <v>213</v>
      </c>
      <c r="D127" s="0" t="s">
        <v>213</v>
      </c>
      <c r="E127" s="0" t="s">
        <v>218</v>
      </c>
      <c r="F127" s="0" t="s">
        <v>29</v>
      </c>
      <c r="G127" s="0" t="n">
        <v>13000</v>
      </c>
      <c r="H127" s="0" t="n">
        <v>15</v>
      </c>
      <c r="I127" s="0" t="n">
        <v>866.666666666667</v>
      </c>
      <c r="J127" s="0" t="n">
        <v>0.216666666666667</v>
      </c>
      <c r="K127" s="0" t="s">
        <v>219</v>
      </c>
      <c r="L127" s="0" t="s">
        <v>220</v>
      </c>
    </row>
    <row r="128" customFormat="false" ht="15" hidden="false" customHeight="false" outlineLevel="0" collapsed="false">
      <c r="A128" s="0" t="n">
        <v>13</v>
      </c>
      <c r="B128" s="0" t="s">
        <v>51</v>
      </c>
      <c r="C128" s="0" t="s">
        <v>213</v>
      </c>
      <c r="D128" s="0" t="s">
        <v>213</v>
      </c>
      <c r="E128" s="0" t="s">
        <v>128</v>
      </c>
      <c r="F128" s="0" t="s">
        <v>28</v>
      </c>
      <c r="I128" s="0" t="n">
        <v>500</v>
      </c>
      <c r="J128" s="0" t="n">
        <v>0.125</v>
      </c>
      <c r="K128" s="0" t="s">
        <v>221</v>
      </c>
    </row>
    <row r="129" customFormat="false" ht="15" hidden="false" customHeight="false" outlineLevel="0" collapsed="false">
      <c r="A129" s="0" t="n">
        <v>13</v>
      </c>
      <c r="B129" s="0" t="s">
        <v>51</v>
      </c>
      <c r="C129" s="0" t="s">
        <v>213</v>
      </c>
      <c r="D129" s="0" t="s">
        <v>213</v>
      </c>
      <c r="E129" s="0" t="s">
        <v>60</v>
      </c>
      <c r="F129" s="0" t="s">
        <v>27</v>
      </c>
      <c r="I129" s="0" t="n">
        <v>200</v>
      </c>
      <c r="J129" s="0" t="n">
        <v>0.05</v>
      </c>
      <c r="K129" s="0" t="s">
        <v>222</v>
      </c>
    </row>
    <row r="130" customFormat="false" ht="15" hidden="false" customHeight="false" outlineLevel="0" collapsed="false">
      <c r="A130" s="0" t="n">
        <v>13</v>
      </c>
      <c r="B130" s="0" t="s">
        <v>51</v>
      </c>
      <c r="C130" s="0" t="s">
        <v>213</v>
      </c>
      <c r="D130" s="0" t="s">
        <v>213</v>
      </c>
      <c r="E130" s="0" t="s">
        <v>203</v>
      </c>
      <c r="F130" s="0" t="s">
        <v>29</v>
      </c>
      <c r="G130" s="0" t="n">
        <v>30000</v>
      </c>
      <c r="H130" s="0" t="n">
        <v>39</v>
      </c>
      <c r="I130" s="0" t="n">
        <v>769.230769230769</v>
      </c>
      <c r="J130" s="0" t="n">
        <v>0.192307692307692</v>
      </c>
      <c r="K130" s="0" t="s">
        <v>223</v>
      </c>
      <c r="L130" s="0" t="s">
        <v>224</v>
      </c>
    </row>
    <row r="131" customFormat="false" ht="15" hidden="false" customHeight="false" outlineLevel="0" collapsed="false">
      <c r="A131" s="0" t="n">
        <v>13</v>
      </c>
      <c r="B131" s="0" t="s">
        <v>51</v>
      </c>
      <c r="C131" s="0" t="s">
        <v>213</v>
      </c>
      <c r="D131" s="0" t="s">
        <v>213</v>
      </c>
      <c r="E131" s="0" t="s">
        <v>64</v>
      </c>
      <c r="F131" s="0" t="s">
        <v>27</v>
      </c>
      <c r="I131" s="0" t="n">
        <v>500</v>
      </c>
      <c r="J131" s="0" t="n">
        <v>0.125</v>
      </c>
      <c r="K131" s="0" t="s">
        <v>225</v>
      </c>
    </row>
    <row r="132" customFormat="false" ht="15" hidden="false" customHeight="false" outlineLevel="0" collapsed="false">
      <c r="A132" s="0" t="n">
        <v>13</v>
      </c>
      <c r="B132" s="0" t="s">
        <v>51</v>
      </c>
      <c r="C132" s="0" t="s">
        <v>213</v>
      </c>
      <c r="D132" s="0" t="s">
        <v>213</v>
      </c>
      <c r="E132" s="0" t="s">
        <v>66</v>
      </c>
      <c r="F132" s="0" t="s">
        <v>27</v>
      </c>
      <c r="I132" s="0" t="n">
        <v>350</v>
      </c>
      <c r="J132" s="0" t="n">
        <v>0.0875</v>
      </c>
      <c r="K132" s="0" t="s">
        <v>226</v>
      </c>
    </row>
    <row r="133" customFormat="false" ht="15" hidden="false" customHeight="false" outlineLevel="0" collapsed="false">
      <c r="A133" s="0" t="n">
        <v>13</v>
      </c>
      <c r="B133" s="0" t="s">
        <v>51</v>
      </c>
      <c r="C133" s="0" t="s">
        <v>213</v>
      </c>
      <c r="D133" s="0" t="s">
        <v>213</v>
      </c>
      <c r="E133" s="0" t="s">
        <v>68</v>
      </c>
      <c r="F133" s="0" t="s">
        <v>30</v>
      </c>
      <c r="I133" s="0" t="n">
        <v>2000</v>
      </c>
      <c r="J133" s="0" t="n">
        <v>0.5</v>
      </c>
      <c r="K133" s="0" t="s">
        <v>227</v>
      </c>
    </row>
    <row r="134" customFormat="false" ht="15" hidden="false" customHeight="false" outlineLevel="0" collapsed="false">
      <c r="A134" s="0" t="n">
        <v>14</v>
      </c>
      <c r="B134" s="0" t="s">
        <v>51</v>
      </c>
      <c r="C134" s="0" t="s">
        <v>213</v>
      </c>
      <c r="D134" s="0" t="s">
        <v>228</v>
      </c>
      <c r="E134" s="0" t="s">
        <v>53</v>
      </c>
      <c r="F134" s="0" t="s">
        <v>27</v>
      </c>
      <c r="G134" s="0" t="n">
        <v>0.5</v>
      </c>
      <c r="H134" s="0" t="n">
        <v>1.6</v>
      </c>
      <c r="I134" s="0" t="n">
        <v>3200</v>
      </c>
      <c r="J134" s="0" t="n">
        <v>0.8</v>
      </c>
      <c r="K134" s="0" t="s">
        <v>229</v>
      </c>
      <c r="L134" s="0" t="s">
        <v>230</v>
      </c>
    </row>
    <row r="135" customFormat="false" ht="15" hidden="false" customHeight="false" outlineLevel="0" collapsed="false">
      <c r="A135" s="0" t="n">
        <v>14</v>
      </c>
      <c r="B135" s="0" t="s">
        <v>51</v>
      </c>
      <c r="C135" s="0" t="s">
        <v>213</v>
      </c>
      <c r="D135" s="0" t="s">
        <v>228</v>
      </c>
      <c r="E135" s="0" t="s">
        <v>56</v>
      </c>
      <c r="F135" s="0" t="s">
        <v>28</v>
      </c>
      <c r="I135" s="0" t="n">
        <v>300</v>
      </c>
      <c r="J135" s="0" t="n">
        <v>0.075</v>
      </c>
      <c r="K135" s="0" t="s">
        <v>231</v>
      </c>
    </row>
    <row r="136" customFormat="false" ht="15" hidden="false" customHeight="false" outlineLevel="0" collapsed="false">
      <c r="A136" s="0" t="n">
        <v>14</v>
      </c>
      <c r="B136" s="0" t="s">
        <v>51</v>
      </c>
      <c r="C136" s="0" t="s">
        <v>213</v>
      </c>
      <c r="D136" s="0" t="s">
        <v>228</v>
      </c>
      <c r="E136" s="0" t="s">
        <v>58</v>
      </c>
      <c r="F136" s="0" t="s">
        <v>28</v>
      </c>
      <c r="I136" s="0" t="n">
        <v>1600</v>
      </c>
      <c r="J136" s="0" t="n">
        <v>0.4</v>
      </c>
      <c r="K136" s="0" t="s">
        <v>232</v>
      </c>
    </row>
    <row r="137" customFormat="false" ht="15" hidden="false" customHeight="false" outlineLevel="0" collapsed="false">
      <c r="A137" s="0" t="n">
        <v>14</v>
      </c>
      <c r="B137" s="0" t="s">
        <v>51</v>
      </c>
      <c r="C137" s="0" t="s">
        <v>213</v>
      </c>
      <c r="D137" s="0" t="s">
        <v>228</v>
      </c>
      <c r="E137" s="0" t="s">
        <v>218</v>
      </c>
      <c r="F137" s="0" t="s">
        <v>29</v>
      </c>
      <c r="I137" s="0" t="n">
        <v>866.666666666667</v>
      </c>
      <c r="J137" s="0" t="n">
        <v>0.216666666666667</v>
      </c>
      <c r="K137" s="0" t="s">
        <v>233</v>
      </c>
      <c r="L137" s="0" t="s">
        <v>234</v>
      </c>
    </row>
    <row r="138" customFormat="false" ht="15" hidden="false" customHeight="false" outlineLevel="0" collapsed="false">
      <c r="A138" s="0" t="n">
        <v>14</v>
      </c>
      <c r="B138" s="0" t="s">
        <v>51</v>
      </c>
      <c r="C138" s="0" t="s">
        <v>213</v>
      </c>
      <c r="D138" s="0" t="s">
        <v>228</v>
      </c>
      <c r="E138" s="0" t="s">
        <v>128</v>
      </c>
      <c r="F138" s="0" t="s">
        <v>28</v>
      </c>
      <c r="I138" s="0" t="n">
        <v>500</v>
      </c>
      <c r="J138" s="0" t="n">
        <v>0.125</v>
      </c>
      <c r="K138" s="0" t="s">
        <v>235</v>
      </c>
      <c r="L138" s="0" t="s">
        <v>236</v>
      </c>
    </row>
    <row r="139" customFormat="false" ht="15" hidden="false" customHeight="false" outlineLevel="0" collapsed="false">
      <c r="A139" s="0" t="n">
        <v>14</v>
      </c>
      <c r="B139" s="0" t="s">
        <v>51</v>
      </c>
      <c r="C139" s="0" t="s">
        <v>213</v>
      </c>
      <c r="D139" s="0" t="s">
        <v>228</v>
      </c>
      <c r="E139" s="0" t="s">
        <v>60</v>
      </c>
      <c r="F139" s="0" t="s">
        <v>27</v>
      </c>
      <c r="I139" s="0" t="n">
        <v>200</v>
      </c>
      <c r="J139" s="0" t="n">
        <v>0.05</v>
      </c>
      <c r="K139" s="0" t="s">
        <v>237</v>
      </c>
    </row>
    <row r="140" customFormat="false" ht="15" hidden="false" customHeight="false" outlineLevel="0" collapsed="false">
      <c r="A140" s="0" t="n">
        <v>14</v>
      </c>
      <c r="B140" s="0" t="s">
        <v>51</v>
      </c>
      <c r="C140" s="0" t="s">
        <v>213</v>
      </c>
      <c r="D140" s="0" t="s">
        <v>228</v>
      </c>
      <c r="E140" s="0" t="s">
        <v>203</v>
      </c>
      <c r="F140" s="0" t="s">
        <v>29</v>
      </c>
      <c r="I140" s="0" t="n">
        <v>769.230769230769</v>
      </c>
      <c r="J140" s="0" t="n">
        <v>0.192307692307692</v>
      </c>
      <c r="K140" s="0" t="s">
        <v>238</v>
      </c>
      <c r="L140" s="0" t="s">
        <v>239</v>
      </c>
    </row>
    <row r="141" customFormat="false" ht="15" hidden="false" customHeight="false" outlineLevel="0" collapsed="false">
      <c r="A141" s="0" t="n">
        <v>14</v>
      </c>
      <c r="B141" s="0" t="s">
        <v>51</v>
      </c>
      <c r="C141" s="0" t="s">
        <v>213</v>
      </c>
      <c r="D141" s="0" t="s">
        <v>228</v>
      </c>
      <c r="E141" s="0" t="s">
        <v>64</v>
      </c>
      <c r="F141" s="0" t="s">
        <v>27</v>
      </c>
      <c r="I141" s="0" t="n">
        <v>500</v>
      </c>
      <c r="J141" s="0" t="n">
        <v>0.125</v>
      </c>
      <c r="K141" s="0" t="s">
        <v>240</v>
      </c>
    </row>
    <row r="142" customFormat="false" ht="15" hidden="false" customHeight="false" outlineLevel="0" collapsed="false">
      <c r="A142" s="0" t="n">
        <v>14</v>
      </c>
      <c r="B142" s="0" t="s">
        <v>51</v>
      </c>
      <c r="C142" s="0" t="s">
        <v>213</v>
      </c>
      <c r="D142" s="0" t="s">
        <v>228</v>
      </c>
      <c r="E142" s="0" t="s">
        <v>66</v>
      </c>
      <c r="F142" s="0" t="s">
        <v>27</v>
      </c>
      <c r="I142" s="0" t="n">
        <v>350</v>
      </c>
      <c r="J142" s="0" t="n">
        <v>0.0875</v>
      </c>
      <c r="K142" s="0" t="s">
        <v>241</v>
      </c>
    </row>
    <row r="143" customFormat="false" ht="15" hidden="false" customHeight="false" outlineLevel="0" collapsed="false">
      <c r="A143" s="0" t="n">
        <v>14</v>
      </c>
      <c r="B143" s="0" t="s">
        <v>51</v>
      </c>
      <c r="C143" s="0" t="s">
        <v>213</v>
      </c>
      <c r="D143" s="0" t="s">
        <v>228</v>
      </c>
      <c r="E143" s="0" t="s">
        <v>68</v>
      </c>
      <c r="F143" s="0" t="s">
        <v>30</v>
      </c>
      <c r="I143" s="0" t="n">
        <v>2000</v>
      </c>
      <c r="J143" s="0" t="n">
        <v>0.5</v>
      </c>
      <c r="K143" s="0" t="s">
        <v>242</v>
      </c>
    </row>
    <row r="144" customFormat="false" ht="15" hidden="false" customHeight="false" outlineLevel="0" collapsed="false">
      <c r="A144" s="0" t="n">
        <v>15</v>
      </c>
      <c r="B144" s="0" t="s">
        <v>51</v>
      </c>
      <c r="C144" s="0" t="s">
        <v>243</v>
      </c>
      <c r="D144" s="0" t="s">
        <v>243</v>
      </c>
      <c r="E144" s="0" t="s">
        <v>53</v>
      </c>
      <c r="F144" s="0" t="s">
        <v>27</v>
      </c>
      <c r="G144" s="0" t="n">
        <v>0.6</v>
      </c>
      <c r="H144" s="0" t="n">
        <v>1.8</v>
      </c>
      <c r="I144" s="0" t="n">
        <v>4320</v>
      </c>
      <c r="J144" s="0" t="n">
        <v>1.08</v>
      </c>
      <c r="K144" s="0" t="s">
        <v>244</v>
      </c>
      <c r="L144" s="0" t="s">
        <v>245</v>
      </c>
    </row>
    <row r="145" customFormat="false" ht="15" hidden="false" customHeight="false" outlineLevel="0" collapsed="false">
      <c r="A145" s="0" t="n">
        <v>15</v>
      </c>
      <c r="B145" s="0" t="s">
        <v>51</v>
      </c>
      <c r="C145" s="0" t="s">
        <v>243</v>
      </c>
      <c r="D145" s="0" t="s">
        <v>243</v>
      </c>
      <c r="E145" s="0" t="s">
        <v>56</v>
      </c>
      <c r="F145" s="0" t="s">
        <v>28</v>
      </c>
      <c r="I145" s="0" t="n">
        <v>700</v>
      </c>
      <c r="J145" s="0" t="n">
        <v>0.175</v>
      </c>
      <c r="K145" s="0" t="s">
        <v>246</v>
      </c>
    </row>
    <row r="146" customFormat="false" ht="15" hidden="false" customHeight="false" outlineLevel="0" collapsed="false">
      <c r="A146" s="0" t="n">
        <v>15</v>
      </c>
      <c r="B146" s="0" t="s">
        <v>51</v>
      </c>
      <c r="C146" s="0" t="s">
        <v>243</v>
      </c>
      <c r="D146" s="0" t="s">
        <v>243</v>
      </c>
      <c r="E146" s="0" t="s">
        <v>58</v>
      </c>
      <c r="F146" s="0" t="s">
        <v>28</v>
      </c>
      <c r="I146" s="0" t="n">
        <v>2500</v>
      </c>
      <c r="J146" s="0" t="n">
        <v>0.625</v>
      </c>
      <c r="K146" s="0" t="s">
        <v>247</v>
      </c>
    </row>
    <row r="147" customFormat="false" ht="15" hidden="false" customHeight="false" outlineLevel="0" collapsed="false">
      <c r="A147" s="0" t="n">
        <v>15</v>
      </c>
      <c r="B147" s="0" t="s">
        <v>51</v>
      </c>
      <c r="C147" s="0" t="s">
        <v>243</v>
      </c>
      <c r="D147" s="0" t="s">
        <v>243</v>
      </c>
      <c r="E147" s="0" t="s">
        <v>218</v>
      </c>
      <c r="F147" s="0" t="s">
        <v>29</v>
      </c>
      <c r="I147" s="0" t="n">
        <v>4000</v>
      </c>
      <c r="J147" s="0" t="n">
        <v>1</v>
      </c>
      <c r="K147" s="0" t="s">
        <v>248</v>
      </c>
      <c r="L147" s="0" t="s">
        <v>249</v>
      </c>
    </row>
    <row r="148" customFormat="false" ht="15" hidden="false" customHeight="false" outlineLevel="0" collapsed="false">
      <c r="A148" s="0" t="n">
        <v>15</v>
      </c>
      <c r="B148" s="0" t="s">
        <v>51</v>
      </c>
      <c r="C148" s="0" t="s">
        <v>243</v>
      </c>
      <c r="D148" s="0" t="s">
        <v>243</v>
      </c>
      <c r="E148" s="0" t="s">
        <v>158</v>
      </c>
      <c r="F148" s="0" t="s">
        <v>28</v>
      </c>
      <c r="I148" s="0" t="n">
        <v>0</v>
      </c>
      <c r="J148" s="0" t="n">
        <v>0</v>
      </c>
      <c r="K148" s="0" t="s">
        <v>250</v>
      </c>
    </row>
    <row r="149" customFormat="false" ht="15" hidden="false" customHeight="false" outlineLevel="0" collapsed="false">
      <c r="A149" s="0" t="n">
        <v>15</v>
      </c>
      <c r="B149" s="0" t="s">
        <v>51</v>
      </c>
      <c r="C149" s="0" t="s">
        <v>243</v>
      </c>
      <c r="D149" s="0" t="s">
        <v>243</v>
      </c>
      <c r="E149" s="0" t="s">
        <v>128</v>
      </c>
      <c r="F149" s="0" t="s">
        <v>28</v>
      </c>
      <c r="I149" s="0" t="n">
        <v>1000</v>
      </c>
      <c r="J149" s="0" t="n">
        <v>0.25</v>
      </c>
      <c r="K149" s="0" t="s">
        <v>251</v>
      </c>
    </row>
    <row r="150" customFormat="false" ht="15" hidden="false" customHeight="false" outlineLevel="0" collapsed="false">
      <c r="A150" s="0" t="n">
        <v>15</v>
      </c>
      <c r="B150" s="0" t="s">
        <v>51</v>
      </c>
      <c r="C150" s="0" t="s">
        <v>243</v>
      </c>
      <c r="D150" s="0" t="s">
        <v>243</v>
      </c>
      <c r="E150" s="0" t="s">
        <v>60</v>
      </c>
      <c r="F150" s="0" t="s">
        <v>27</v>
      </c>
      <c r="I150" s="0" t="n">
        <v>200</v>
      </c>
      <c r="J150" s="0" t="n">
        <v>0.05</v>
      </c>
      <c r="K150" s="0" t="s">
        <v>252</v>
      </c>
    </row>
    <row r="151" customFormat="false" ht="15" hidden="false" customHeight="false" outlineLevel="0" collapsed="false">
      <c r="A151" s="0" t="n">
        <v>15</v>
      </c>
      <c r="B151" s="0" t="s">
        <v>51</v>
      </c>
      <c r="C151" s="0" t="s">
        <v>243</v>
      </c>
      <c r="D151" s="0" t="s">
        <v>243</v>
      </c>
      <c r="E151" s="0" t="s">
        <v>203</v>
      </c>
      <c r="F151" s="0" t="s">
        <v>29</v>
      </c>
      <c r="I151" s="0" t="n">
        <v>769.230769230769</v>
      </c>
      <c r="J151" s="0" t="n">
        <v>0.192307692307692</v>
      </c>
      <c r="K151" s="0" t="s">
        <v>253</v>
      </c>
      <c r="L151" s="0" t="s">
        <v>239</v>
      </c>
    </row>
    <row r="152" customFormat="false" ht="15" hidden="false" customHeight="false" outlineLevel="0" collapsed="false">
      <c r="A152" s="0" t="n">
        <v>15</v>
      </c>
      <c r="B152" s="0" t="s">
        <v>51</v>
      </c>
      <c r="C152" s="0" t="s">
        <v>243</v>
      </c>
      <c r="D152" s="0" t="s">
        <v>243</v>
      </c>
      <c r="E152" s="0" t="s">
        <v>64</v>
      </c>
      <c r="F152" s="0" t="s">
        <v>27</v>
      </c>
      <c r="I152" s="0" t="n">
        <v>500</v>
      </c>
      <c r="J152" s="0" t="n">
        <v>0.125</v>
      </c>
      <c r="K152" s="0" t="s">
        <v>254</v>
      </c>
    </row>
    <row r="153" customFormat="false" ht="15" hidden="false" customHeight="false" outlineLevel="0" collapsed="false">
      <c r="A153" s="0" t="n">
        <v>15</v>
      </c>
      <c r="B153" s="0" t="s">
        <v>51</v>
      </c>
      <c r="C153" s="0" t="s">
        <v>243</v>
      </c>
      <c r="D153" s="0" t="s">
        <v>243</v>
      </c>
      <c r="E153" s="0" t="s">
        <v>66</v>
      </c>
      <c r="F153" s="0" t="s">
        <v>27</v>
      </c>
      <c r="I153" s="0" t="n">
        <v>350</v>
      </c>
      <c r="J153" s="0" t="n">
        <v>0.0875</v>
      </c>
      <c r="K153" s="0" t="s">
        <v>255</v>
      </c>
    </row>
    <row r="154" customFormat="false" ht="15" hidden="false" customHeight="false" outlineLevel="0" collapsed="false">
      <c r="A154" s="0" t="n">
        <v>15</v>
      </c>
      <c r="B154" s="0" t="s">
        <v>51</v>
      </c>
      <c r="C154" s="0" t="s">
        <v>243</v>
      </c>
      <c r="D154" s="0" t="s">
        <v>243</v>
      </c>
      <c r="E154" s="0" t="s">
        <v>68</v>
      </c>
      <c r="F154" s="0" t="s">
        <v>30</v>
      </c>
      <c r="I154" s="0" t="n">
        <v>4000</v>
      </c>
      <c r="J154" s="0" t="n">
        <v>1</v>
      </c>
      <c r="K154" s="0" t="s">
        <v>256</v>
      </c>
    </row>
    <row r="155" customFormat="false" ht="15" hidden="false" customHeight="false" outlineLevel="0" collapsed="false">
      <c r="A155" s="0" t="n">
        <v>16</v>
      </c>
      <c r="B155" s="0" t="s">
        <v>51</v>
      </c>
      <c r="C155" s="0" t="s">
        <v>243</v>
      </c>
      <c r="D155" s="0" t="s">
        <v>257</v>
      </c>
      <c r="E155" s="0" t="s">
        <v>53</v>
      </c>
      <c r="F155" s="0" t="s">
        <v>27</v>
      </c>
      <c r="G155" s="0" t="n">
        <v>0.7</v>
      </c>
      <c r="H155" s="0" t="n">
        <v>2.65</v>
      </c>
      <c r="I155" s="0" t="n">
        <v>7420</v>
      </c>
      <c r="J155" s="0" t="n">
        <v>1.855</v>
      </c>
      <c r="K155" s="0" t="s">
        <v>258</v>
      </c>
      <c r="L155" s="0" t="s">
        <v>259</v>
      </c>
    </row>
    <row r="156" customFormat="false" ht="15" hidden="false" customHeight="false" outlineLevel="0" collapsed="false">
      <c r="A156" s="0" t="n">
        <v>16</v>
      </c>
      <c r="B156" s="0" t="s">
        <v>51</v>
      </c>
      <c r="C156" s="0" t="s">
        <v>243</v>
      </c>
      <c r="D156" s="0" t="s">
        <v>257</v>
      </c>
      <c r="E156" s="0" t="s">
        <v>56</v>
      </c>
      <c r="F156" s="0" t="s">
        <v>28</v>
      </c>
      <c r="I156" s="0" t="n">
        <v>300</v>
      </c>
      <c r="J156" s="0" t="n">
        <v>0.075</v>
      </c>
      <c r="K156" s="0" t="s">
        <v>260</v>
      </c>
    </row>
    <row r="157" customFormat="false" ht="15" hidden="false" customHeight="false" outlineLevel="0" collapsed="false">
      <c r="A157" s="0" t="n">
        <v>16</v>
      </c>
      <c r="B157" s="0" t="s">
        <v>51</v>
      </c>
      <c r="C157" s="0" t="s">
        <v>243</v>
      </c>
      <c r="D157" s="0" t="s">
        <v>257</v>
      </c>
      <c r="E157" s="0" t="s">
        <v>58</v>
      </c>
      <c r="F157" s="0" t="s">
        <v>28</v>
      </c>
      <c r="I157" s="0" t="n">
        <v>1600</v>
      </c>
      <c r="J157" s="0" t="n">
        <v>0.4</v>
      </c>
      <c r="K157" s="0" t="s">
        <v>261</v>
      </c>
    </row>
    <row r="158" customFormat="false" ht="15" hidden="false" customHeight="false" outlineLevel="0" collapsed="false">
      <c r="A158" s="0" t="n">
        <v>16</v>
      </c>
      <c r="B158" s="0" t="s">
        <v>51</v>
      </c>
      <c r="C158" s="0" t="s">
        <v>243</v>
      </c>
      <c r="D158" s="0" t="s">
        <v>257</v>
      </c>
      <c r="E158" s="0" t="s">
        <v>218</v>
      </c>
      <c r="F158" s="0" t="s">
        <v>29</v>
      </c>
      <c r="I158" s="0" t="n">
        <v>866.666666666667</v>
      </c>
      <c r="J158" s="0" t="n">
        <v>0.216666666666667</v>
      </c>
      <c r="K158" s="0" t="s">
        <v>262</v>
      </c>
      <c r="L158" s="0" t="s">
        <v>234</v>
      </c>
    </row>
    <row r="159" customFormat="false" ht="15" hidden="false" customHeight="false" outlineLevel="0" collapsed="false">
      <c r="A159" s="0" t="n">
        <v>16</v>
      </c>
      <c r="B159" s="0" t="s">
        <v>51</v>
      </c>
      <c r="C159" s="0" t="s">
        <v>243</v>
      </c>
      <c r="D159" s="0" t="s">
        <v>257</v>
      </c>
      <c r="E159" s="0" t="s">
        <v>158</v>
      </c>
      <c r="F159" s="0" t="s">
        <v>28</v>
      </c>
      <c r="I159" s="0" t="n">
        <v>0</v>
      </c>
      <c r="J159" s="0" t="n">
        <v>0</v>
      </c>
      <c r="K159" s="0" t="s">
        <v>263</v>
      </c>
    </row>
    <row r="160" customFormat="false" ht="15" hidden="false" customHeight="false" outlineLevel="0" collapsed="false">
      <c r="A160" s="0" t="n">
        <v>16</v>
      </c>
      <c r="B160" s="0" t="s">
        <v>51</v>
      </c>
      <c r="C160" s="0" t="s">
        <v>243</v>
      </c>
      <c r="D160" s="0" t="s">
        <v>257</v>
      </c>
      <c r="E160" s="0" t="s">
        <v>128</v>
      </c>
      <c r="F160" s="0" t="s">
        <v>28</v>
      </c>
      <c r="I160" s="0" t="n">
        <v>500</v>
      </c>
      <c r="J160" s="0" t="n">
        <v>0.125</v>
      </c>
      <c r="K160" s="0" t="s">
        <v>264</v>
      </c>
      <c r="L160" s="0" t="s">
        <v>236</v>
      </c>
    </row>
    <row r="161" customFormat="false" ht="15" hidden="false" customHeight="false" outlineLevel="0" collapsed="false">
      <c r="A161" s="0" t="n">
        <v>16</v>
      </c>
      <c r="B161" s="0" t="s">
        <v>51</v>
      </c>
      <c r="C161" s="0" t="s">
        <v>243</v>
      </c>
      <c r="D161" s="0" t="s">
        <v>257</v>
      </c>
      <c r="E161" s="0" t="s">
        <v>60</v>
      </c>
      <c r="F161" s="0" t="s">
        <v>27</v>
      </c>
      <c r="I161" s="0" t="n">
        <v>200</v>
      </c>
      <c r="J161" s="0" t="n">
        <v>0.05</v>
      </c>
      <c r="K161" s="0" t="s">
        <v>265</v>
      </c>
    </row>
    <row r="162" customFormat="false" ht="15" hidden="false" customHeight="false" outlineLevel="0" collapsed="false">
      <c r="A162" s="0" t="n">
        <v>16</v>
      </c>
      <c r="B162" s="0" t="s">
        <v>51</v>
      </c>
      <c r="C162" s="0" t="s">
        <v>243</v>
      </c>
      <c r="D162" s="0" t="s">
        <v>257</v>
      </c>
      <c r="E162" s="0" t="s">
        <v>203</v>
      </c>
      <c r="F162" s="0" t="s">
        <v>29</v>
      </c>
      <c r="I162" s="0" t="n">
        <v>769.230769230769</v>
      </c>
      <c r="J162" s="0" t="n">
        <v>0.192307692307692</v>
      </c>
      <c r="K162" s="0" t="s">
        <v>266</v>
      </c>
      <c r="L162" s="0" t="s">
        <v>239</v>
      </c>
    </row>
    <row r="163" customFormat="false" ht="15" hidden="false" customHeight="false" outlineLevel="0" collapsed="false">
      <c r="A163" s="0" t="n">
        <v>16</v>
      </c>
      <c r="B163" s="0" t="s">
        <v>51</v>
      </c>
      <c r="C163" s="0" t="s">
        <v>243</v>
      </c>
      <c r="D163" s="0" t="s">
        <v>257</v>
      </c>
      <c r="E163" s="0" t="s">
        <v>64</v>
      </c>
      <c r="F163" s="0" t="s">
        <v>27</v>
      </c>
      <c r="I163" s="0" t="n">
        <v>500</v>
      </c>
      <c r="J163" s="0" t="n">
        <v>0.125</v>
      </c>
      <c r="K163" s="0" t="s">
        <v>267</v>
      </c>
    </row>
    <row r="164" customFormat="false" ht="15" hidden="false" customHeight="false" outlineLevel="0" collapsed="false">
      <c r="A164" s="0" t="n">
        <v>16</v>
      </c>
      <c r="B164" s="0" t="s">
        <v>51</v>
      </c>
      <c r="C164" s="0" t="s">
        <v>243</v>
      </c>
      <c r="D164" s="0" t="s">
        <v>257</v>
      </c>
      <c r="E164" s="0" t="s">
        <v>66</v>
      </c>
      <c r="F164" s="0" t="s">
        <v>27</v>
      </c>
      <c r="I164" s="0" t="n">
        <v>350</v>
      </c>
      <c r="J164" s="0" t="n">
        <v>0.0875</v>
      </c>
      <c r="K164" s="0" t="s">
        <v>268</v>
      </c>
    </row>
    <row r="165" customFormat="false" ht="15" hidden="false" customHeight="false" outlineLevel="0" collapsed="false">
      <c r="A165" s="0" t="n">
        <v>16</v>
      </c>
      <c r="B165" s="0" t="s">
        <v>51</v>
      </c>
      <c r="C165" s="0" t="s">
        <v>243</v>
      </c>
      <c r="D165" s="0" t="s">
        <v>257</v>
      </c>
      <c r="E165" s="0" t="s">
        <v>68</v>
      </c>
      <c r="F165" s="0" t="s">
        <v>30</v>
      </c>
      <c r="I165" s="0" t="n">
        <v>2000</v>
      </c>
      <c r="J165" s="0" t="n">
        <v>0.5</v>
      </c>
      <c r="K165" s="0" t="s">
        <v>269</v>
      </c>
    </row>
    <row r="166" customFormat="false" ht="15" hidden="false" customHeight="false" outlineLevel="0" collapsed="false">
      <c r="A166" s="0" t="n">
        <v>17</v>
      </c>
      <c r="B166" s="0" t="s">
        <v>51</v>
      </c>
      <c r="C166" s="0" t="s">
        <v>270</v>
      </c>
      <c r="D166" s="0" t="s">
        <v>270</v>
      </c>
      <c r="E166" s="0" t="s">
        <v>53</v>
      </c>
      <c r="F166" s="0" t="s">
        <v>27</v>
      </c>
      <c r="G166" s="0" t="n">
        <v>1</v>
      </c>
      <c r="H166" s="0" t="n">
        <v>1.2</v>
      </c>
      <c r="I166" s="0" t="n">
        <v>4800</v>
      </c>
      <c r="J166" s="0" t="n">
        <v>1.2</v>
      </c>
      <c r="K166" s="0" t="s">
        <v>271</v>
      </c>
      <c r="L166" s="0" t="s">
        <v>272</v>
      </c>
    </row>
    <row r="167" customFormat="false" ht="15" hidden="false" customHeight="false" outlineLevel="0" collapsed="false">
      <c r="A167" s="0" t="n">
        <v>17</v>
      </c>
      <c r="B167" s="0" t="s">
        <v>51</v>
      </c>
      <c r="C167" s="0" t="s">
        <v>270</v>
      </c>
      <c r="D167" s="0" t="s">
        <v>270</v>
      </c>
      <c r="E167" s="0" t="s">
        <v>56</v>
      </c>
      <c r="F167" s="0" t="s">
        <v>28</v>
      </c>
      <c r="I167" s="0" t="n">
        <v>500</v>
      </c>
      <c r="J167" s="0" t="n">
        <v>0.125</v>
      </c>
      <c r="K167" s="0" t="s">
        <v>273</v>
      </c>
    </row>
    <row r="168" customFormat="false" ht="15" hidden="false" customHeight="false" outlineLevel="0" collapsed="false">
      <c r="A168" s="0" t="n">
        <v>17</v>
      </c>
      <c r="B168" s="0" t="s">
        <v>51</v>
      </c>
      <c r="C168" s="0" t="s">
        <v>270</v>
      </c>
      <c r="D168" s="0" t="s">
        <v>270</v>
      </c>
      <c r="E168" s="0" t="s">
        <v>58</v>
      </c>
      <c r="F168" s="0" t="s">
        <v>28</v>
      </c>
      <c r="I168" s="0" t="n">
        <v>2000</v>
      </c>
      <c r="J168" s="0" t="n">
        <v>0.5</v>
      </c>
      <c r="K168" s="0" t="s">
        <v>274</v>
      </c>
    </row>
    <row r="169" customFormat="false" ht="15" hidden="false" customHeight="false" outlineLevel="0" collapsed="false">
      <c r="A169" s="0" t="n">
        <v>17</v>
      </c>
      <c r="B169" s="0" t="s">
        <v>51</v>
      </c>
      <c r="C169" s="0" t="s">
        <v>270</v>
      </c>
      <c r="D169" s="0" t="s">
        <v>270</v>
      </c>
      <c r="E169" s="0" t="s">
        <v>218</v>
      </c>
      <c r="F169" s="0" t="s">
        <v>29</v>
      </c>
      <c r="I169" s="0" t="n">
        <v>3000</v>
      </c>
      <c r="J169" s="0" t="n">
        <v>0.75</v>
      </c>
      <c r="K169" s="0" t="s">
        <v>275</v>
      </c>
    </row>
    <row r="170" customFormat="false" ht="15" hidden="false" customHeight="false" outlineLevel="0" collapsed="false">
      <c r="A170" s="0" t="n">
        <v>17</v>
      </c>
      <c r="B170" s="0" t="s">
        <v>51</v>
      </c>
      <c r="C170" s="0" t="s">
        <v>270</v>
      </c>
      <c r="D170" s="0" t="s">
        <v>270</v>
      </c>
      <c r="E170" s="0" t="s">
        <v>158</v>
      </c>
      <c r="F170" s="0" t="s">
        <v>28</v>
      </c>
      <c r="I170" s="0" t="n">
        <v>1000</v>
      </c>
      <c r="J170" s="0" t="n">
        <v>0.25</v>
      </c>
      <c r="K170" s="0" t="s">
        <v>276</v>
      </c>
    </row>
    <row r="171" customFormat="false" ht="15" hidden="false" customHeight="false" outlineLevel="0" collapsed="false">
      <c r="A171" s="0" t="n">
        <v>17</v>
      </c>
      <c r="B171" s="0" t="s">
        <v>51</v>
      </c>
      <c r="C171" s="0" t="s">
        <v>270</v>
      </c>
      <c r="D171" s="0" t="s">
        <v>270</v>
      </c>
      <c r="E171" s="0" t="s">
        <v>128</v>
      </c>
      <c r="F171" s="0" t="s">
        <v>28</v>
      </c>
      <c r="I171" s="0" t="n">
        <v>1000</v>
      </c>
      <c r="J171" s="0" t="n">
        <v>0.25</v>
      </c>
      <c r="K171" s="0" t="s">
        <v>277</v>
      </c>
    </row>
    <row r="172" customFormat="false" ht="15" hidden="false" customHeight="false" outlineLevel="0" collapsed="false">
      <c r="A172" s="0" t="n">
        <v>17</v>
      </c>
      <c r="B172" s="0" t="s">
        <v>51</v>
      </c>
      <c r="C172" s="0" t="s">
        <v>270</v>
      </c>
      <c r="D172" s="0" t="s">
        <v>270</v>
      </c>
      <c r="E172" s="0" t="s">
        <v>60</v>
      </c>
      <c r="F172" s="0" t="s">
        <v>27</v>
      </c>
      <c r="I172" s="0" t="n">
        <v>200</v>
      </c>
      <c r="J172" s="0" t="n">
        <v>0.05</v>
      </c>
      <c r="K172" s="0" t="s">
        <v>278</v>
      </c>
    </row>
    <row r="173" customFormat="false" ht="15" hidden="false" customHeight="false" outlineLevel="0" collapsed="false">
      <c r="A173" s="0" t="n">
        <v>17</v>
      </c>
      <c r="B173" s="0" t="s">
        <v>51</v>
      </c>
      <c r="C173" s="0" t="s">
        <v>270</v>
      </c>
      <c r="D173" s="0" t="s">
        <v>270</v>
      </c>
      <c r="E173" s="0" t="s">
        <v>203</v>
      </c>
      <c r="F173" s="0" t="s">
        <v>29</v>
      </c>
      <c r="I173" s="0" t="n">
        <v>0</v>
      </c>
      <c r="J173" s="0" t="n">
        <v>0</v>
      </c>
      <c r="K173" s="0" t="s">
        <v>279</v>
      </c>
    </row>
    <row r="174" customFormat="false" ht="15" hidden="false" customHeight="false" outlineLevel="0" collapsed="false">
      <c r="A174" s="0" t="n">
        <v>17</v>
      </c>
      <c r="B174" s="0" t="s">
        <v>51</v>
      </c>
      <c r="C174" s="0" t="s">
        <v>270</v>
      </c>
      <c r="D174" s="0" t="s">
        <v>270</v>
      </c>
      <c r="E174" s="0" t="s">
        <v>64</v>
      </c>
      <c r="F174" s="0" t="s">
        <v>27</v>
      </c>
      <c r="I174" s="0" t="n">
        <v>250</v>
      </c>
      <c r="J174" s="0" t="n">
        <v>0.0625</v>
      </c>
      <c r="K174" s="0" t="s">
        <v>280</v>
      </c>
    </row>
    <row r="175" customFormat="false" ht="15" hidden="false" customHeight="false" outlineLevel="0" collapsed="false">
      <c r="A175" s="0" t="n">
        <v>17</v>
      </c>
      <c r="B175" s="0" t="s">
        <v>51</v>
      </c>
      <c r="C175" s="0" t="s">
        <v>270</v>
      </c>
      <c r="D175" s="0" t="s">
        <v>270</v>
      </c>
      <c r="E175" s="0" t="s">
        <v>66</v>
      </c>
      <c r="F175" s="0" t="s">
        <v>27</v>
      </c>
      <c r="I175" s="0" t="n">
        <v>350</v>
      </c>
      <c r="J175" s="0" t="n">
        <v>0.0875</v>
      </c>
      <c r="K175" s="0" t="s">
        <v>281</v>
      </c>
    </row>
    <row r="176" customFormat="false" ht="15" hidden="false" customHeight="false" outlineLevel="0" collapsed="false">
      <c r="A176" s="0" t="n">
        <v>17</v>
      </c>
      <c r="B176" s="0" t="s">
        <v>51</v>
      </c>
      <c r="C176" s="0" t="s">
        <v>270</v>
      </c>
      <c r="D176" s="0" t="s">
        <v>270</v>
      </c>
      <c r="E176" s="0" t="s">
        <v>68</v>
      </c>
      <c r="F176" s="0" t="s">
        <v>30</v>
      </c>
      <c r="I176" s="0" t="n">
        <v>2000</v>
      </c>
      <c r="J176" s="0" t="n">
        <v>0.5</v>
      </c>
      <c r="K176" s="0" t="s">
        <v>282</v>
      </c>
    </row>
    <row r="177" customFormat="false" ht="15" hidden="false" customHeight="false" outlineLevel="0" collapsed="false">
      <c r="A177" s="0" t="n">
        <v>18</v>
      </c>
      <c r="B177" s="0" t="s">
        <v>51</v>
      </c>
      <c r="C177" s="0" t="s">
        <v>270</v>
      </c>
      <c r="D177" s="0" t="s">
        <v>283</v>
      </c>
      <c r="E177" s="0" t="s">
        <v>53</v>
      </c>
      <c r="F177" s="0" t="s">
        <v>27</v>
      </c>
      <c r="G177" s="0" t="n">
        <v>1</v>
      </c>
      <c r="H177" s="0" t="n">
        <v>2</v>
      </c>
      <c r="I177" s="0" t="n">
        <v>7600</v>
      </c>
      <c r="J177" s="0" t="n">
        <v>1.9</v>
      </c>
      <c r="K177" s="0" t="s">
        <v>284</v>
      </c>
      <c r="L177" s="0" t="s">
        <v>285</v>
      </c>
    </row>
    <row r="178" customFormat="false" ht="15" hidden="false" customHeight="false" outlineLevel="0" collapsed="false">
      <c r="A178" s="0" t="n">
        <v>18</v>
      </c>
      <c r="B178" s="0" t="s">
        <v>51</v>
      </c>
      <c r="C178" s="0" t="s">
        <v>270</v>
      </c>
      <c r="D178" s="0" t="s">
        <v>283</v>
      </c>
      <c r="E178" s="0" t="s">
        <v>56</v>
      </c>
      <c r="F178" s="0" t="s">
        <v>28</v>
      </c>
      <c r="I178" s="0" t="n">
        <v>700</v>
      </c>
      <c r="J178" s="0" t="n">
        <v>0.175</v>
      </c>
      <c r="K178" s="0" t="s">
        <v>286</v>
      </c>
    </row>
    <row r="179" customFormat="false" ht="15" hidden="false" customHeight="false" outlineLevel="0" collapsed="false">
      <c r="A179" s="0" t="n">
        <v>18</v>
      </c>
      <c r="B179" s="0" t="s">
        <v>51</v>
      </c>
      <c r="C179" s="0" t="s">
        <v>270</v>
      </c>
      <c r="D179" s="0" t="s">
        <v>283</v>
      </c>
      <c r="E179" s="0" t="s">
        <v>58</v>
      </c>
      <c r="F179" s="0" t="s">
        <v>28</v>
      </c>
      <c r="I179" s="0" t="n">
        <v>3500</v>
      </c>
      <c r="J179" s="0" t="n">
        <v>0.875</v>
      </c>
      <c r="K179" s="0" t="s">
        <v>287</v>
      </c>
    </row>
    <row r="180" customFormat="false" ht="15" hidden="false" customHeight="false" outlineLevel="0" collapsed="false">
      <c r="A180" s="0" t="n">
        <v>18</v>
      </c>
      <c r="B180" s="0" t="s">
        <v>51</v>
      </c>
      <c r="C180" s="0" t="s">
        <v>270</v>
      </c>
      <c r="D180" s="0" t="s">
        <v>283</v>
      </c>
      <c r="E180" s="0" t="s">
        <v>218</v>
      </c>
      <c r="F180" s="0" t="s">
        <v>29</v>
      </c>
      <c r="I180" s="0" t="n">
        <v>3000</v>
      </c>
      <c r="J180" s="0" t="n">
        <v>0.75</v>
      </c>
      <c r="K180" s="0" t="s">
        <v>288</v>
      </c>
    </row>
    <row r="181" customFormat="false" ht="15" hidden="false" customHeight="false" outlineLevel="0" collapsed="false">
      <c r="A181" s="0" t="n">
        <v>18</v>
      </c>
      <c r="B181" s="0" t="s">
        <v>51</v>
      </c>
      <c r="C181" s="0" t="s">
        <v>270</v>
      </c>
      <c r="D181" s="0" t="s">
        <v>283</v>
      </c>
      <c r="E181" s="0" t="s">
        <v>158</v>
      </c>
      <c r="F181" s="0" t="s">
        <v>28</v>
      </c>
      <c r="I181" s="0" t="n">
        <v>1000</v>
      </c>
      <c r="J181" s="0" t="n">
        <v>0.25</v>
      </c>
      <c r="K181" s="0" t="s">
        <v>289</v>
      </c>
    </row>
    <row r="182" customFormat="false" ht="15" hidden="false" customHeight="false" outlineLevel="0" collapsed="false">
      <c r="A182" s="0" t="n">
        <v>18</v>
      </c>
      <c r="B182" s="0" t="s">
        <v>51</v>
      </c>
      <c r="C182" s="0" t="s">
        <v>270</v>
      </c>
      <c r="D182" s="0" t="s">
        <v>283</v>
      </c>
      <c r="E182" s="0" t="s">
        <v>128</v>
      </c>
      <c r="F182" s="0" t="s">
        <v>28</v>
      </c>
      <c r="I182" s="0" t="n">
        <v>1000</v>
      </c>
      <c r="J182" s="0" t="n">
        <v>0.25</v>
      </c>
      <c r="K182" s="0" t="s">
        <v>290</v>
      </c>
    </row>
    <row r="183" customFormat="false" ht="15" hidden="false" customHeight="false" outlineLevel="0" collapsed="false">
      <c r="A183" s="0" t="n">
        <v>18</v>
      </c>
      <c r="B183" s="0" t="s">
        <v>51</v>
      </c>
      <c r="C183" s="0" t="s">
        <v>270</v>
      </c>
      <c r="D183" s="0" t="s">
        <v>283</v>
      </c>
      <c r="E183" s="0" t="s">
        <v>60</v>
      </c>
      <c r="F183" s="0" t="s">
        <v>27</v>
      </c>
      <c r="I183" s="0" t="n">
        <v>200</v>
      </c>
      <c r="J183" s="0" t="n">
        <v>0.05</v>
      </c>
      <c r="K183" s="0" t="s">
        <v>291</v>
      </c>
    </row>
    <row r="184" customFormat="false" ht="15" hidden="false" customHeight="false" outlineLevel="0" collapsed="false">
      <c r="A184" s="0" t="n">
        <v>18</v>
      </c>
      <c r="B184" s="0" t="s">
        <v>51</v>
      </c>
      <c r="C184" s="0" t="s">
        <v>270</v>
      </c>
      <c r="D184" s="0" t="s">
        <v>283</v>
      </c>
      <c r="E184" s="0" t="s">
        <v>203</v>
      </c>
      <c r="F184" s="0" t="s">
        <v>29</v>
      </c>
      <c r="I184" s="0" t="n">
        <v>0</v>
      </c>
      <c r="J184" s="0" t="n">
        <v>0</v>
      </c>
      <c r="K184" s="0" t="s">
        <v>292</v>
      </c>
    </row>
    <row r="185" customFormat="false" ht="15" hidden="false" customHeight="false" outlineLevel="0" collapsed="false">
      <c r="A185" s="0" t="n">
        <v>18</v>
      </c>
      <c r="B185" s="0" t="s">
        <v>51</v>
      </c>
      <c r="C185" s="0" t="s">
        <v>270</v>
      </c>
      <c r="D185" s="0" t="s">
        <v>283</v>
      </c>
      <c r="E185" s="0" t="s">
        <v>64</v>
      </c>
      <c r="F185" s="0" t="s">
        <v>27</v>
      </c>
      <c r="I185" s="0" t="n">
        <v>250</v>
      </c>
      <c r="J185" s="0" t="n">
        <v>0.0625</v>
      </c>
      <c r="K185" s="0" t="s">
        <v>293</v>
      </c>
    </row>
    <row r="186" customFormat="false" ht="15" hidden="false" customHeight="false" outlineLevel="0" collapsed="false">
      <c r="A186" s="0" t="n">
        <v>18</v>
      </c>
      <c r="B186" s="0" t="s">
        <v>51</v>
      </c>
      <c r="C186" s="0" t="s">
        <v>270</v>
      </c>
      <c r="D186" s="0" t="s">
        <v>283</v>
      </c>
      <c r="E186" s="0" t="s">
        <v>66</v>
      </c>
      <c r="F186" s="0" t="s">
        <v>27</v>
      </c>
      <c r="I186" s="0" t="n">
        <v>200</v>
      </c>
      <c r="J186" s="0" t="n">
        <v>0.05</v>
      </c>
      <c r="K186" s="0" t="s">
        <v>294</v>
      </c>
    </row>
    <row r="187" customFormat="false" ht="15" hidden="false" customHeight="false" outlineLevel="0" collapsed="false">
      <c r="A187" s="0" t="n">
        <v>18</v>
      </c>
      <c r="B187" s="0" t="s">
        <v>51</v>
      </c>
      <c r="C187" s="0" t="s">
        <v>270</v>
      </c>
      <c r="D187" s="0" t="s">
        <v>283</v>
      </c>
      <c r="E187" s="0" t="s">
        <v>68</v>
      </c>
      <c r="F187" s="0" t="s">
        <v>30</v>
      </c>
      <c r="I187" s="0" t="n">
        <v>3700</v>
      </c>
      <c r="J187" s="0" t="n">
        <v>0.925</v>
      </c>
      <c r="K187" s="0" t="s">
        <v>295</v>
      </c>
    </row>
    <row r="188" customFormat="false" ht="15" hidden="false" customHeight="false" outlineLevel="0" collapsed="false">
      <c r="A188" s="0" t="n">
        <v>19</v>
      </c>
      <c r="B188" s="0" t="s">
        <v>51</v>
      </c>
      <c r="C188" s="0" t="s">
        <v>68</v>
      </c>
      <c r="D188" s="0" t="s">
        <v>296</v>
      </c>
      <c r="E188" s="0" t="s">
        <v>53</v>
      </c>
      <c r="F188" s="0" t="s">
        <v>27</v>
      </c>
      <c r="G188" s="0" t="n">
        <v>0.8</v>
      </c>
      <c r="H188" s="0" t="n">
        <v>1.8</v>
      </c>
      <c r="I188" s="0" t="n">
        <v>5760</v>
      </c>
      <c r="J188" s="0" t="n">
        <v>1.44</v>
      </c>
      <c r="K188" s="0" t="s">
        <v>297</v>
      </c>
      <c r="L188" s="0" t="s">
        <v>298</v>
      </c>
    </row>
    <row r="189" customFormat="false" ht="15" hidden="false" customHeight="false" outlineLevel="0" collapsed="false">
      <c r="A189" s="0" t="n">
        <v>19</v>
      </c>
      <c r="B189" s="0" t="s">
        <v>51</v>
      </c>
      <c r="C189" s="0" t="s">
        <v>68</v>
      </c>
      <c r="D189" s="0" t="s">
        <v>296</v>
      </c>
      <c r="E189" s="0" t="s">
        <v>56</v>
      </c>
      <c r="F189" s="0" t="s">
        <v>28</v>
      </c>
      <c r="I189" s="0" t="n">
        <v>1000</v>
      </c>
      <c r="J189" s="0" t="n">
        <v>0.25</v>
      </c>
      <c r="K189" s="0" t="s">
        <v>299</v>
      </c>
    </row>
    <row r="190" customFormat="false" ht="15" hidden="false" customHeight="false" outlineLevel="0" collapsed="false">
      <c r="A190" s="0" t="n">
        <v>19</v>
      </c>
      <c r="B190" s="0" t="s">
        <v>51</v>
      </c>
      <c r="C190" s="0" t="s">
        <v>68</v>
      </c>
      <c r="D190" s="0" t="s">
        <v>296</v>
      </c>
      <c r="E190" s="0" t="s">
        <v>58</v>
      </c>
      <c r="F190" s="0" t="s">
        <v>28</v>
      </c>
      <c r="I190" s="0" t="n">
        <v>2500</v>
      </c>
      <c r="J190" s="0" t="n">
        <v>0.625</v>
      </c>
      <c r="K190" s="0" t="s">
        <v>300</v>
      </c>
    </row>
    <row r="191" customFormat="false" ht="15" hidden="false" customHeight="false" outlineLevel="0" collapsed="false">
      <c r="A191" s="0" t="n">
        <v>19</v>
      </c>
      <c r="B191" s="0" t="s">
        <v>51</v>
      </c>
      <c r="C191" s="0" t="s">
        <v>68</v>
      </c>
      <c r="D191" s="0" t="s">
        <v>296</v>
      </c>
      <c r="E191" s="0" t="s">
        <v>301</v>
      </c>
      <c r="F191" s="0" t="s">
        <v>29</v>
      </c>
      <c r="G191" s="0" t="n">
        <v>15000</v>
      </c>
      <c r="H191" s="0" t="n">
        <v>0.3</v>
      </c>
      <c r="I191" s="0" t="n">
        <v>1500</v>
      </c>
      <c r="J191" s="0" t="n">
        <v>0.375</v>
      </c>
      <c r="K191" s="0" t="s">
        <v>302</v>
      </c>
      <c r="L191" s="0" t="s">
        <v>303</v>
      </c>
    </row>
    <row r="192" customFormat="false" ht="15" hidden="false" customHeight="false" outlineLevel="0" collapsed="false">
      <c r="A192" s="0" t="n">
        <v>19</v>
      </c>
      <c r="B192" s="0" t="s">
        <v>51</v>
      </c>
      <c r="C192" s="0" t="s">
        <v>68</v>
      </c>
      <c r="D192" s="0" t="s">
        <v>296</v>
      </c>
      <c r="E192" s="0" t="s">
        <v>158</v>
      </c>
      <c r="F192" s="0" t="s">
        <v>28</v>
      </c>
      <c r="I192" s="0" t="n">
        <v>1000</v>
      </c>
      <c r="J192" s="0" t="n">
        <v>0.25</v>
      </c>
      <c r="K192" s="0" t="s">
        <v>304</v>
      </c>
    </row>
    <row r="193" customFormat="false" ht="15" hidden="false" customHeight="false" outlineLevel="0" collapsed="false">
      <c r="A193" s="0" t="n">
        <v>19</v>
      </c>
      <c r="B193" s="0" t="s">
        <v>51</v>
      </c>
      <c r="C193" s="0" t="s">
        <v>68</v>
      </c>
      <c r="D193" s="0" t="s">
        <v>296</v>
      </c>
      <c r="E193" s="0" t="s">
        <v>128</v>
      </c>
      <c r="F193" s="0" t="s">
        <v>28</v>
      </c>
      <c r="I193" s="0" t="n">
        <v>1000</v>
      </c>
      <c r="J193" s="0" t="n">
        <v>0.25</v>
      </c>
      <c r="K193" s="0" t="s">
        <v>305</v>
      </c>
    </row>
    <row r="194" customFormat="false" ht="15" hidden="false" customHeight="false" outlineLevel="0" collapsed="false">
      <c r="A194" s="0" t="n">
        <v>19</v>
      </c>
      <c r="B194" s="0" t="s">
        <v>51</v>
      </c>
      <c r="C194" s="0" t="s">
        <v>68</v>
      </c>
      <c r="D194" s="0" t="s">
        <v>296</v>
      </c>
      <c r="E194" s="0" t="s">
        <v>60</v>
      </c>
      <c r="F194" s="0" t="s">
        <v>27</v>
      </c>
      <c r="I194" s="0" t="n">
        <v>200</v>
      </c>
      <c r="J194" s="0" t="n">
        <v>0.05</v>
      </c>
      <c r="K194" s="0" t="s">
        <v>306</v>
      </c>
    </row>
    <row r="195" customFormat="false" ht="15" hidden="false" customHeight="false" outlineLevel="0" collapsed="false">
      <c r="A195" s="0" t="n">
        <v>19</v>
      </c>
      <c r="B195" s="0" t="s">
        <v>51</v>
      </c>
      <c r="C195" s="0" t="s">
        <v>68</v>
      </c>
      <c r="D195" s="0" t="s">
        <v>296</v>
      </c>
      <c r="E195" s="0" t="s">
        <v>62</v>
      </c>
      <c r="F195" s="0" t="s">
        <v>27</v>
      </c>
      <c r="I195" s="0" t="n">
        <v>100</v>
      </c>
      <c r="J195" s="0" t="n">
        <v>0.025</v>
      </c>
      <c r="K195" s="0" t="s">
        <v>307</v>
      </c>
    </row>
    <row r="196" customFormat="false" ht="15" hidden="false" customHeight="false" outlineLevel="0" collapsed="false">
      <c r="A196" s="0" t="n">
        <v>19</v>
      </c>
      <c r="B196" s="0" t="s">
        <v>51</v>
      </c>
      <c r="C196" s="0" t="s">
        <v>68</v>
      </c>
      <c r="D196" s="0" t="s">
        <v>296</v>
      </c>
      <c r="E196" s="0" t="s">
        <v>64</v>
      </c>
      <c r="F196" s="0" t="s">
        <v>27</v>
      </c>
      <c r="I196" s="0" t="n">
        <v>750</v>
      </c>
      <c r="J196" s="0" t="n">
        <v>0.1875</v>
      </c>
      <c r="K196" s="0" t="s">
        <v>308</v>
      </c>
    </row>
    <row r="197" customFormat="false" ht="15" hidden="false" customHeight="false" outlineLevel="0" collapsed="false">
      <c r="A197" s="0" t="n">
        <v>19</v>
      </c>
      <c r="B197" s="0" t="s">
        <v>51</v>
      </c>
      <c r="C197" s="0" t="s">
        <v>68</v>
      </c>
      <c r="D197" s="0" t="s">
        <v>296</v>
      </c>
      <c r="E197" s="0" t="s">
        <v>66</v>
      </c>
      <c r="F197" s="0" t="s">
        <v>27</v>
      </c>
      <c r="I197" s="0" t="n">
        <v>350</v>
      </c>
      <c r="J197" s="0" t="n">
        <v>0.0875</v>
      </c>
      <c r="K197" s="0" t="s">
        <v>309</v>
      </c>
    </row>
    <row r="198" customFormat="false" ht="15" hidden="false" customHeight="false" outlineLevel="0" collapsed="false">
      <c r="A198" s="0" t="n">
        <v>19</v>
      </c>
      <c r="B198" s="0" t="s">
        <v>51</v>
      </c>
      <c r="C198" s="0" t="s">
        <v>68</v>
      </c>
      <c r="D198" s="0" t="s">
        <v>296</v>
      </c>
      <c r="E198" s="0" t="s">
        <v>68</v>
      </c>
      <c r="F198" s="0" t="s">
        <v>30</v>
      </c>
      <c r="I198" s="0" t="n">
        <v>4000</v>
      </c>
      <c r="J198" s="0" t="n">
        <v>1</v>
      </c>
      <c r="K198" s="0" t="s">
        <v>310</v>
      </c>
    </row>
    <row r="199" customFormat="false" ht="15" hidden="false" customHeight="false" outlineLevel="0" collapsed="false">
      <c r="A199" s="0" t="n">
        <v>20</v>
      </c>
      <c r="B199" s="0" t="s">
        <v>51</v>
      </c>
      <c r="C199" s="0" t="s">
        <v>68</v>
      </c>
      <c r="D199" s="0" t="s">
        <v>311</v>
      </c>
      <c r="E199" s="0" t="s">
        <v>53</v>
      </c>
      <c r="F199" s="0" t="s">
        <v>27</v>
      </c>
      <c r="G199" s="0" t="n">
        <v>0.6</v>
      </c>
      <c r="H199" s="0" t="n">
        <v>1.8</v>
      </c>
      <c r="I199" s="0" t="n">
        <v>4320</v>
      </c>
      <c r="J199" s="0" t="n">
        <v>1.08</v>
      </c>
      <c r="K199" s="0" t="s">
        <v>312</v>
      </c>
      <c r="L199" s="0" t="s">
        <v>245</v>
      </c>
    </row>
    <row r="200" customFormat="false" ht="15" hidden="false" customHeight="false" outlineLevel="0" collapsed="false">
      <c r="A200" s="0" t="n">
        <v>20</v>
      </c>
      <c r="B200" s="0" t="s">
        <v>51</v>
      </c>
      <c r="C200" s="0" t="s">
        <v>68</v>
      </c>
      <c r="D200" s="0" t="s">
        <v>311</v>
      </c>
      <c r="E200" s="0" t="s">
        <v>56</v>
      </c>
      <c r="F200" s="0" t="s">
        <v>28</v>
      </c>
      <c r="I200" s="0" t="n">
        <v>1000</v>
      </c>
      <c r="J200" s="0" t="n">
        <v>0.25</v>
      </c>
      <c r="K200" s="0" t="s">
        <v>313</v>
      </c>
    </row>
    <row r="201" customFormat="false" ht="15" hidden="false" customHeight="false" outlineLevel="0" collapsed="false">
      <c r="A201" s="0" t="n">
        <v>20</v>
      </c>
      <c r="B201" s="0" t="s">
        <v>51</v>
      </c>
      <c r="C201" s="0" t="s">
        <v>68</v>
      </c>
      <c r="D201" s="0" t="s">
        <v>311</v>
      </c>
      <c r="E201" s="0" t="s">
        <v>58</v>
      </c>
      <c r="F201" s="0" t="s">
        <v>28</v>
      </c>
      <c r="I201" s="0" t="n">
        <v>2500</v>
      </c>
      <c r="J201" s="0" t="n">
        <v>0.625</v>
      </c>
      <c r="K201" s="0" t="s">
        <v>314</v>
      </c>
    </row>
    <row r="202" customFormat="false" ht="15" hidden="false" customHeight="false" outlineLevel="0" collapsed="false">
      <c r="A202" s="0" t="n">
        <v>20</v>
      </c>
      <c r="B202" s="0" t="s">
        <v>51</v>
      </c>
      <c r="C202" s="0" t="s">
        <v>68</v>
      </c>
      <c r="D202" s="0" t="s">
        <v>311</v>
      </c>
      <c r="E202" s="0" t="s">
        <v>301</v>
      </c>
      <c r="F202" s="0" t="s">
        <v>29</v>
      </c>
      <c r="G202" s="0" t="n">
        <v>15000</v>
      </c>
      <c r="H202" s="0" t="n">
        <v>0.3</v>
      </c>
      <c r="I202" s="0" t="n">
        <v>1125</v>
      </c>
      <c r="J202" s="0" t="n">
        <v>0.28125</v>
      </c>
      <c r="K202" s="0" t="s">
        <v>315</v>
      </c>
      <c r="L202" s="0" t="s">
        <v>316</v>
      </c>
    </row>
    <row r="203" customFormat="false" ht="15" hidden="false" customHeight="false" outlineLevel="0" collapsed="false">
      <c r="A203" s="0" t="n">
        <v>20</v>
      </c>
      <c r="B203" s="0" t="s">
        <v>51</v>
      </c>
      <c r="C203" s="0" t="s">
        <v>68</v>
      </c>
      <c r="D203" s="0" t="s">
        <v>311</v>
      </c>
      <c r="E203" s="0" t="s">
        <v>158</v>
      </c>
      <c r="F203" s="0" t="s">
        <v>28</v>
      </c>
      <c r="I203" s="0" t="n">
        <v>1000</v>
      </c>
      <c r="J203" s="0" t="n">
        <v>0.25</v>
      </c>
      <c r="K203" s="0" t="s">
        <v>317</v>
      </c>
    </row>
    <row r="204" customFormat="false" ht="15" hidden="false" customHeight="false" outlineLevel="0" collapsed="false">
      <c r="A204" s="0" t="n">
        <v>20</v>
      </c>
      <c r="B204" s="0" t="s">
        <v>51</v>
      </c>
      <c r="C204" s="0" t="s">
        <v>68</v>
      </c>
      <c r="D204" s="0" t="s">
        <v>311</v>
      </c>
      <c r="E204" s="0" t="s">
        <v>128</v>
      </c>
      <c r="F204" s="0" t="s">
        <v>28</v>
      </c>
      <c r="I204" s="0" t="n">
        <v>1000</v>
      </c>
      <c r="J204" s="0" t="n">
        <v>0.25</v>
      </c>
      <c r="K204" s="0" t="s">
        <v>318</v>
      </c>
    </row>
    <row r="205" customFormat="false" ht="15" hidden="false" customHeight="false" outlineLevel="0" collapsed="false">
      <c r="A205" s="0" t="n">
        <v>20</v>
      </c>
      <c r="B205" s="0" t="s">
        <v>51</v>
      </c>
      <c r="C205" s="0" t="s">
        <v>68</v>
      </c>
      <c r="D205" s="0" t="s">
        <v>311</v>
      </c>
      <c r="E205" s="0" t="s">
        <v>60</v>
      </c>
      <c r="F205" s="0" t="s">
        <v>27</v>
      </c>
      <c r="I205" s="0" t="n">
        <v>200</v>
      </c>
      <c r="J205" s="0" t="n">
        <v>0.05</v>
      </c>
      <c r="K205" s="0" t="s">
        <v>319</v>
      </c>
    </row>
    <row r="206" customFormat="false" ht="15" hidden="false" customHeight="false" outlineLevel="0" collapsed="false">
      <c r="A206" s="0" t="n">
        <v>20</v>
      </c>
      <c r="B206" s="0" t="s">
        <v>51</v>
      </c>
      <c r="C206" s="0" t="s">
        <v>68</v>
      </c>
      <c r="D206" s="0" t="s">
        <v>311</v>
      </c>
      <c r="E206" s="0" t="s">
        <v>62</v>
      </c>
      <c r="F206" s="0" t="s">
        <v>27</v>
      </c>
      <c r="I206" s="0" t="n">
        <v>100</v>
      </c>
      <c r="J206" s="0" t="n">
        <v>0.025</v>
      </c>
      <c r="K206" s="0" t="s">
        <v>320</v>
      </c>
    </row>
    <row r="207" customFormat="false" ht="15" hidden="false" customHeight="false" outlineLevel="0" collapsed="false">
      <c r="A207" s="0" t="n">
        <v>20</v>
      </c>
      <c r="B207" s="0" t="s">
        <v>51</v>
      </c>
      <c r="C207" s="0" t="s">
        <v>68</v>
      </c>
      <c r="D207" s="0" t="s">
        <v>311</v>
      </c>
      <c r="E207" s="0" t="s">
        <v>64</v>
      </c>
      <c r="F207" s="0" t="s">
        <v>27</v>
      </c>
      <c r="I207" s="0" t="n">
        <v>750</v>
      </c>
      <c r="J207" s="0" t="n">
        <v>0.1875</v>
      </c>
      <c r="K207" s="0" t="s">
        <v>321</v>
      </c>
    </row>
    <row r="208" customFormat="false" ht="15" hidden="false" customHeight="false" outlineLevel="0" collapsed="false">
      <c r="A208" s="0" t="n">
        <v>20</v>
      </c>
      <c r="B208" s="0" t="s">
        <v>51</v>
      </c>
      <c r="C208" s="0" t="s">
        <v>68</v>
      </c>
      <c r="D208" s="0" t="s">
        <v>311</v>
      </c>
      <c r="E208" s="0" t="s">
        <v>66</v>
      </c>
      <c r="F208" s="0" t="s">
        <v>27</v>
      </c>
      <c r="I208" s="0" t="n">
        <v>350</v>
      </c>
      <c r="J208" s="0" t="n">
        <v>0.0875</v>
      </c>
      <c r="K208" s="0" t="s">
        <v>322</v>
      </c>
    </row>
    <row r="209" customFormat="false" ht="15" hidden="false" customHeight="false" outlineLevel="0" collapsed="false">
      <c r="A209" s="0" t="n">
        <v>20</v>
      </c>
      <c r="B209" s="0" t="s">
        <v>51</v>
      </c>
      <c r="C209" s="0" t="s">
        <v>68</v>
      </c>
      <c r="D209" s="0" t="s">
        <v>311</v>
      </c>
      <c r="E209" s="0" t="s">
        <v>68</v>
      </c>
      <c r="F209" s="0" t="s">
        <v>30</v>
      </c>
      <c r="I209" s="0" t="n">
        <v>4000</v>
      </c>
      <c r="J209" s="0" t="n">
        <v>1</v>
      </c>
      <c r="K209" s="0" t="s">
        <v>323</v>
      </c>
    </row>
    <row r="210" customFormat="false" ht="15" hidden="false" customHeight="false" outlineLevel="0" collapsed="false">
      <c r="A210" s="0" t="n">
        <v>21</v>
      </c>
      <c r="B210" s="0" t="s">
        <v>51</v>
      </c>
      <c r="C210" s="0" t="s">
        <v>68</v>
      </c>
      <c r="D210" s="0" t="s">
        <v>296</v>
      </c>
      <c r="E210" s="0" t="s">
        <v>53</v>
      </c>
      <c r="F210" s="0" t="s">
        <v>27</v>
      </c>
      <c r="G210" s="0" t="n">
        <v>0.8</v>
      </c>
      <c r="H210" s="0" t="n">
        <v>2.65</v>
      </c>
      <c r="I210" s="0" t="n">
        <v>8480</v>
      </c>
      <c r="J210" s="0" t="n">
        <v>2.12</v>
      </c>
      <c r="K210" s="0" t="s">
        <v>324</v>
      </c>
      <c r="L210" s="0" t="s">
        <v>325</v>
      </c>
    </row>
    <row r="211" customFormat="false" ht="15" hidden="false" customHeight="false" outlineLevel="0" collapsed="false">
      <c r="A211" s="0" t="n">
        <v>21</v>
      </c>
      <c r="B211" s="0" t="s">
        <v>51</v>
      </c>
      <c r="C211" s="0" t="s">
        <v>68</v>
      </c>
      <c r="D211" s="0" t="s">
        <v>296</v>
      </c>
      <c r="E211" s="0" t="s">
        <v>56</v>
      </c>
      <c r="F211" s="0" t="s">
        <v>28</v>
      </c>
      <c r="I211" s="0" t="n">
        <v>1000</v>
      </c>
      <c r="J211" s="0" t="n">
        <v>0.25</v>
      </c>
      <c r="K211" s="0" t="s">
        <v>326</v>
      </c>
    </row>
    <row r="212" customFormat="false" ht="15" hidden="false" customHeight="false" outlineLevel="0" collapsed="false">
      <c r="A212" s="0" t="n">
        <v>21</v>
      </c>
      <c r="B212" s="0" t="s">
        <v>51</v>
      </c>
      <c r="C212" s="0" t="s">
        <v>68</v>
      </c>
      <c r="D212" s="0" t="s">
        <v>296</v>
      </c>
      <c r="E212" s="0" t="s">
        <v>58</v>
      </c>
      <c r="F212" s="0" t="s">
        <v>28</v>
      </c>
      <c r="I212" s="0" t="n">
        <v>2500</v>
      </c>
      <c r="J212" s="0" t="n">
        <v>0.625</v>
      </c>
      <c r="K212" s="0" t="s">
        <v>327</v>
      </c>
    </row>
    <row r="213" customFormat="false" ht="15" hidden="false" customHeight="false" outlineLevel="0" collapsed="false">
      <c r="A213" s="0" t="n">
        <v>21</v>
      </c>
      <c r="B213" s="0" t="s">
        <v>51</v>
      </c>
      <c r="C213" s="0" t="s">
        <v>68</v>
      </c>
      <c r="D213" s="0" t="s">
        <v>296</v>
      </c>
      <c r="E213" s="0" t="s">
        <v>301</v>
      </c>
      <c r="F213" s="0" t="s">
        <v>29</v>
      </c>
      <c r="I213" s="0" t="n">
        <v>6000</v>
      </c>
      <c r="J213" s="0" t="n">
        <v>1.5</v>
      </c>
      <c r="K213" s="0" t="s">
        <v>328</v>
      </c>
    </row>
    <row r="214" customFormat="false" ht="15" hidden="false" customHeight="false" outlineLevel="0" collapsed="false">
      <c r="A214" s="0" t="n">
        <v>21</v>
      </c>
      <c r="B214" s="0" t="s">
        <v>51</v>
      </c>
      <c r="C214" s="0" t="s">
        <v>68</v>
      </c>
      <c r="D214" s="0" t="s">
        <v>296</v>
      </c>
      <c r="E214" s="0" t="s">
        <v>158</v>
      </c>
      <c r="F214" s="0" t="s">
        <v>28</v>
      </c>
      <c r="I214" s="0" t="n">
        <v>2000</v>
      </c>
      <c r="J214" s="0" t="n">
        <v>0.5</v>
      </c>
      <c r="K214" s="0" t="s">
        <v>329</v>
      </c>
    </row>
    <row r="215" customFormat="false" ht="15" hidden="false" customHeight="false" outlineLevel="0" collapsed="false">
      <c r="A215" s="0" t="n">
        <v>21</v>
      </c>
      <c r="B215" s="0" t="s">
        <v>51</v>
      </c>
      <c r="C215" s="0" t="s">
        <v>68</v>
      </c>
      <c r="D215" s="0" t="s">
        <v>296</v>
      </c>
      <c r="E215" s="0" t="s">
        <v>128</v>
      </c>
      <c r="F215" s="0" t="s">
        <v>28</v>
      </c>
      <c r="I215" s="0" t="n">
        <v>2000</v>
      </c>
      <c r="J215" s="0" t="n">
        <v>0.5</v>
      </c>
      <c r="K215" s="0" t="s">
        <v>330</v>
      </c>
    </row>
    <row r="216" customFormat="false" ht="15" hidden="false" customHeight="false" outlineLevel="0" collapsed="false">
      <c r="A216" s="0" t="n">
        <v>21</v>
      </c>
      <c r="B216" s="0" t="s">
        <v>51</v>
      </c>
      <c r="C216" s="0" t="s">
        <v>68</v>
      </c>
      <c r="D216" s="0" t="s">
        <v>296</v>
      </c>
      <c r="E216" s="0" t="s">
        <v>60</v>
      </c>
      <c r="F216" s="0" t="s">
        <v>27</v>
      </c>
      <c r="I216" s="0" t="n">
        <v>200</v>
      </c>
      <c r="J216" s="0" t="n">
        <v>0.05</v>
      </c>
      <c r="K216" s="0" t="s">
        <v>331</v>
      </c>
    </row>
    <row r="217" customFormat="false" ht="15" hidden="false" customHeight="false" outlineLevel="0" collapsed="false">
      <c r="A217" s="0" t="n">
        <v>21</v>
      </c>
      <c r="B217" s="0" t="s">
        <v>51</v>
      </c>
      <c r="C217" s="0" t="s">
        <v>68</v>
      </c>
      <c r="D217" s="0" t="s">
        <v>296</v>
      </c>
      <c r="E217" s="0" t="s">
        <v>62</v>
      </c>
      <c r="F217" s="0" t="s">
        <v>27</v>
      </c>
      <c r="I217" s="0" t="n">
        <v>100</v>
      </c>
      <c r="J217" s="0" t="n">
        <v>0.025</v>
      </c>
      <c r="K217" s="0" t="s">
        <v>332</v>
      </c>
    </row>
    <row r="218" customFormat="false" ht="15" hidden="false" customHeight="false" outlineLevel="0" collapsed="false">
      <c r="A218" s="0" t="n">
        <v>21</v>
      </c>
      <c r="B218" s="0" t="s">
        <v>51</v>
      </c>
      <c r="C218" s="0" t="s">
        <v>68</v>
      </c>
      <c r="D218" s="0" t="s">
        <v>296</v>
      </c>
      <c r="E218" s="0" t="s">
        <v>64</v>
      </c>
      <c r="F218" s="0" t="s">
        <v>27</v>
      </c>
      <c r="I218" s="0" t="n">
        <v>750</v>
      </c>
      <c r="J218" s="0" t="n">
        <v>0.1875</v>
      </c>
      <c r="K218" s="0" t="s">
        <v>333</v>
      </c>
    </row>
    <row r="219" customFormat="false" ht="15" hidden="false" customHeight="false" outlineLevel="0" collapsed="false">
      <c r="A219" s="0" t="n">
        <v>21</v>
      </c>
      <c r="B219" s="0" t="s">
        <v>51</v>
      </c>
      <c r="C219" s="0" t="s">
        <v>68</v>
      </c>
      <c r="D219" s="0" t="s">
        <v>296</v>
      </c>
      <c r="E219" s="0" t="s">
        <v>66</v>
      </c>
      <c r="F219" s="0" t="s">
        <v>27</v>
      </c>
      <c r="I219" s="0" t="n">
        <v>350</v>
      </c>
      <c r="J219" s="0" t="n">
        <v>0.0875</v>
      </c>
      <c r="K219" s="0" t="s">
        <v>334</v>
      </c>
    </row>
    <row r="220" customFormat="false" ht="15" hidden="false" customHeight="false" outlineLevel="0" collapsed="false">
      <c r="A220" s="0" t="n">
        <v>21</v>
      </c>
      <c r="B220" s="0" t="s">
        <v>51</v>
      </c>
      <c r="C220" s="0" t="s">
        <v>68</v>
      </c>
      <c r="D220" s="0" t="s">
        <v>296</v>
      </c>
      <c r="E220" s="0" t="s">
        <v>68</v>
      </c>
      <c r="F220" s="0" t="s">
        <v>30</v>
      </c>
      <c r="I220" s="0" t="n">
        <v>4000</v>
      </c>
      <c r="J220" s="0" t="n">
        <v>1</v>
      </c>
      <c r="K220" s="0" t="s">
        <v>335</v>
      </c>
    </row>
    <row r="221" customFormat="false" ht="15" hidden="false" customHeight="false" outlineLevel="0" collapsed="false">
      <c r="A221" s="0" t="n">
        <v>22</v>
      </c>
      <c r="B221" s="0" t="s">
        <v>51</v>
      </c>
      <c r="C221" s="0" t="s">
        <v>68</v>
      </c>
      <c r="D221" s="0" t="s">
        <v>311</v>
      </c>
      <c r="E221" s="0" t="s">
        <v>53</v>
      </c>
      <c r="F221" s="0" t="s">
        <v>27</v>
      </c>
      <c r="G221" s="0" t="n">
        <v>0.6</v>
      </c>
      <c r="H221" s="0" t="n">
        <v>2.4</v>
      </c>
      <c r="I221" s="0" t="n">
        <v>5760</v>
      </c>
      <c r="J221" s="0" t="n">
        <v>1.44</v>
      </c>
      <c r="K221" s="0" t="s">
        <v>336</v>
      </c>
      <c r="L221" s="0" t="s">
        <v>337</v>
      </c>
    </row>
    <row r="222" customFormat="false" ht="15" hidden="false" customHeight="false" outlineLevel="0" collapsed="false">
      <c r="A222" s="0" t="n">
        <v>22</v>
      </c>
      <c r="B222" s="0" t="s">
        <v>51</v>
      </c>
      <c r="C222" s="0" t="s">
        <v>68</v>
      </c>
      <c r="D222" s="0" t="s">
        <v>311</v>
      </c>
      <c r="E222" s="0" t="s">
        <v>56</v>
      </c>
      <c r="F222" s="0" t="s">
        <v>28</v>
      </c>
      <c r="I222" s="0" t="n">
        <v>700</v>
      </c>
      <c r="J222" s="0" t="n">
        <v>0.175</v>
      </c>
      <c r="K222" s="0" t="s">
        <v>338</v>
      </c>
    </row>
    <row r="223" customFormat="false" ht="15" hidden="false" customHeight="false" outlineLevel="0" collapsed="false">
      <c r="A223" s="0" t="n">
        <v>22</v>
      </c>
      <c r="B223" s="0" t="s">
        <v>51</v>
      </c>
      <c r="C223" s="0" t="s">
        <v>68</v>
      </c>
      <c r="D223" s="0" t="s">
        <v>311</v>
      </c>
      <c r="E223" s="0" t="s">
        <v>58</v>
      </c>
      <c r="F223" s="0" t="s">
        <v>28</v>
      </c>
      <c r="I223" s="0" t="n">
        <v>2500</v>
      </c>
      <c r="J223" s="0" t="n">
        <v>0.625</v>
      </c>
      <c r="K223" s="0" t="s">
        <v>339</v>
      </c>
    </row>
    <row r="224" customFormat="false" ht="15" hidden="false" customHeight="false" outlineLevel="0" collapsed="false">
      <c r="A224" s="0" t="n">
        <v>22</v>
      </c>
      <c r="B224" s="0" t="s">
        <v>51</v>
      </c>
      <c r="C224" s="0" t="s">
        <v>68</v>
      </c>
      <c r="D224" s="0" t="s">
        <v>311</v>
      </c>
      <c r="E224" s="0" t="s">
        <v>301</v>
      </c>
      <c r="F224" s="0" t="s">
        <v>29</v>
      </c>
      <c r="G224" s="0" t="n">
        <v>11000</v>
      </c>
      <c r="H224" s="0" t="n">
        <v>0.6</v>
      </c>
      <c r="I224" s="0" t="n">
        <v>6600</v>
      </c>
      <c r="J224" s="0" t="n">
        <v>1.65</v>
      </c>
      <c r="K224" s="0" t="s">
        <v>340</v>
      </c>
      <c r="L224" s="0" t="s">
        <v>341</v>
      </c>
    </row>
    <row r="225" customFormat="false" ht="15" hidden="false" customHeight="false" outlineLevel="0" collapsed="false">
      <c r="A225" s="0" t="n">
        <v>22</v>
      </c>
      <c r="B225" s="0" t="s">
        <v>51</v>
      </c>
      <c r="C225" s="0" t="s">
        <v>68</v>
      </c>
      <c r="D225" s="0" t="s">
        <v>311</v>
      </c>
      <c r="E225" s="0" t="s">
        <v>158</v>
      </c>
      <c r="F225" s="0" t="s">
        <v>28</v>
      </c>
      <c r="I225" s="0" t="n">
        <v>1000</v>
      </c>
      <c r="J225" s="0" t="n">
        <v>0.25</v>
      </c>
      <c r="K225" s="0" t="s">
        <v>342</v>
      </c>
    </row>
    <row r="226" customFormat="false" ht="15" hidden="false" customHeight="false" outlineLevel="0" collapsed="false">
      <c r="A226" s="0" t="n">
        <v>22</v>
      </c>
      <c r="B226" s="0" t="s">
        <v>51</v>
      </c>
      <c r="C226" s="0" t="s">
        <v>68</v>
      </c>
      <c r="D226" s="0" t="s">
        <v>311</v>
      </c>
      <c r="E226" s="0" t="s">
        <v>128</v>
      </c>
      <c r="F226" s="0" t="s">
        <v>28</v>
      </c>
      <c r="I226" s="0" t="n">
        <v>1500</v>
      </c>
      <c r="J226" s="0" t="n">
        <v>0.375</v>
      </c>
      <c r="K226" s="0" t="s">
        <v>343</v>
      </c>
    </row>
    <row r="227" customFormat="false" ht="15" hidden="false" customHeight="false" outlineLevel="0" collapsed="false">
      <c r="A227" s="0" t="n">
        <v>22</v>
      </c>
      <c r="B227" s="0" t="s">
        <v>51</v>
      </c>
      <c r="C227" s="0" t="s">
        <v>68</v>
      </c>
      <c r="D227" s="0" t="s">
        <v>311</v>
      </c>
      <c r="E227" s="0" t="s">
        <v>60</v>
      </c>
      <c r="F227" s="0" t="s">
        <v>27</v>
      </c>
      <c r="I227" s="0" t="n">
        <v>0</v>
      </c>
      <c r="J227" s="0" t="n">
        <v>0</v>
      </c>
      <c r="K227" s="0" t="s">
        <v>344</v>
      </c>
    </row>
    <row r="228" customFormat="false" ht="15" hidden="false" customHeight="false" outlineLevel="0" collapsed="false">
      <c r="A228" s="0" t="n">
        <v>22</v>
      </c>
      <c r="B228" s="0" t="s">
        <v>51</v>
      </c>
      <c r="C228" s="0" t="s">
        <v>68</v>
      </c>
      <c r="D228" s="0" t="s">
        <v>311</v>
      </c>
      <c r="E228" s="0" t="s">
        <v>62</v>
      </c>
      <c r="F228" s="0" t="s">
        <v>27</v>
      </c>
      <c r="I228" s="0" t="n">
        <v>50</v>
      </c>
      <c r="J228" s="0" t="n">
        <v>0.0125</v>
      </c>
      <c r="K228" s="0" t="s">
        <v>345</v>
      </c>
    </row>
    <row r="229" customFormat="false" ht="15" hidden="false" customHeight="false" outlineLevel="0" collapsed="false">
      <c r="A229" s="0" t="n">
        <v>22</v>
      </c>
      <c r="B229" s="0" t="s">
        <v>51</v>
      </c>
      <c r="C229" s="0" t="s">
        <v>68</v>
      </c>
      <c r="D229" s="0" t="s">
        <v>311</v>
      </c>
      <c r="E229" s="0" t="s">
        <v>64</v>
      </c>
      <c r="F229" s="0" t="s">
        <v>27</v>
      </c>
      <c r="I229" s="0" t="n">
        <v>50</v>
      </c>
      <c r="J229" s="0" t="n">
        <v>0.0125</v>
      </c>
      <c r="K229" s="0" t="s">
        <v>346</v>
      </c>
    </row>
    <row r="230" customFormat="false" ht="15" hidden="false" customHeight="false" outlineLevel="0" collapsed="false">
      <c r="A230" s="0" t="n">
        <v>22</v>
      </c>
      <c r="B230" s="0" t="s">
        <v>51</v>
      </c>
      <c r="C230" s="0" t="s">
        <v>68</v>
      </c>
      <c r="D230" s="0" t="s">
        <v>311</v>
      </c>
      <c r="E230" s="0" t="s">
        <v>66</v>
      </c>
      <c r="F230" s="0" t="s">
        <v>27</v>
      </c>
      <c r="I230" s="0" t="n">
        <v>350</v>
      </c>
      <c r="J230" s="0" t="n">
        <v>0.0875</v>
      </c>
      <c r="K230" s="0" t="s">
        <v>347</v>
      </c>
    </row>
    <row r="231" customFormat="false" ht="15" hidden="false" customHeight="false" outlineLevel="0" collapsed="false">
      <c r="A231" s="0" t="n">
        <v>22</v>
      </c>
      <c r="B231" s="0" t="s">
        <v>51</v>
      </c>
      <c r="C231" s="0" t="s">
        <v>68</v>
      </c>
      <c r="D231" s="0" t="s">
        <v>311</v>
      </c>
      <c r="E231" s="0" t="s">
        <v>68</v>
      </c>
      <c r="F231" s="0" t="s">
        <v>30</v>
      </c>
      <c r="I231" s="0" t="n">
        <v>4000</v>
      </c>
      <c r="J231" s="0" t="n">
        <v>1</v>
      </c>
      <c r="K231" s="0" t="s">
        <v>348</v>
      </c>
    </row>
    <row r="232" customFormat="false" ht="15" hidden="false" customHeight="false" outlineLevel="0" collapsed="false">
      <c r="A232" s="0" t="n">
        <v>23</v>
      </c>
      <c r="B232" s="0" t="s">
        <v>51</v>
      </c>
      <c r="C232" s="0" t="s">
        <v>68</v>
      </c>
      <c r="D232" s="0" t="s">
        <v>349</v>
      </c>
      <c r="E232" s="0" t="s">
        <v>53</v>
      </c>
      <c r="F232" s="0" t="s">
        <v>27</v>
      </c>
      <c r="G232" s="0" t="n">
        <v>1</v>
      </c>
      <c r="H232" s="0" t="n">
        <v>1</v>
      </c>
      <c r="I232" s="0" t="n">
        <v>4000</v>
      </c>
      <c r="J232" s="0" t="n">
        <v>1</v>
      </c>
      <c r="K232" s="0" t="s">
        <v>350</v>
      </c>
      <c r="L232" s="0" t="s">
        <v>351</v>
      </c>
    </row>
    <row r="233" customFormat="false" ht="15" hidden="false" customHeight="false" outlineLevel="0" collapsed="false">
      <c r="A233" s="0" t="n">
        <v>23</v>
      </c>
      <c r="B233" s="0" t="s">
        <v>51</v>
      </c>
      <c r="C233" s="0" t="s">
        <v>68</v>
      </c>
      <c r="D233" s="0" t="s">
        <v>349</v>
      </c>
      <c r="E233" s="0" t="s">
        <v>56</v>
      </c>
      <c r="F233" s="0" t="s">
        <v>28</v>
      </c>
      <c r="I233" s="0" t="n">
        <v>700</v>
      </c>
      <c r="J233" s="0" t="n">
        <v>0.175</v>
      </c>
      <c r="K233" s="0" t="s">
        <v>352</v>
      </c>
    </row>
    <row r="234" customFormat="false" ht="15" hidden="false" customHeight="false" outlineLevel="0" collapsed="false">
      <c r="A234" s="0" t="n">
        <v>23</v>
      </c>
      <c r="B234" s="0" t="s">
        <v>51</v>
      </c>
      <c r="C234" s="0" t="s">
        <v>68</v>
      </c>
      <c r="D234" s="0" t="s">
        <v>349</v>
      </c>
      <c r="E234" s="0" t="s">
        <v>58</v>
      </c>
      <c r="F234" s="0" t="s">
        <v>28</v>
      </c>
      <c r="I234" s="0" t="n">
        <v>2500</v>
      </c>
      <c r="J234" s="0" t="n">
        <v>0.625</v>
      </c>
      <c r="K234" s="0" t="s">
        <v>353</v>
      </c>
    </row>
    <row r="235" customFormat="false" ht="15" hidden="false" customHeight="false" outlineLevel="0" collapsed="false">
      <c r="A235" s="0" t="n">
        <v>23</v>
      </c>
      <c r="B235" s="0" t="s">
        <v>51</v>
      </c>
      <c r="C235" s="0" t="s">
        <v>68</v>
      </c>
      <c r="D235" s="0" t="s">
        <v>349</v>
      </c>
      <c r="E235" s="0" t="s">
        <v>301</v>
      </c>
      <c r="F235" s="0" t="s">
        <v>29</v>
      </c>
      <c r="G235" s="0" t="n">
        <v>1.3</v>
      </c>
      <c r="H235" s="0" t="n">
        <v>11000</v>
      </c>
      <c r="I235" s="0" t="n">
        <v>14300</v>
      </c>
      <c r="J235" s="0" t="n">
        <v>3.575</v>
      </c>
      <c r="K235" s="0" t="s">
        <v>354</v>
      </c>
      <c r="L235" s="0" t="s">
        <v>355</v>
      </c>
    </row>
    <row r="236" customFormat="false" ht="15" hidden="false" customHeight="false" outlineLevel="0" collapsed="false">
      <c r="A236" s="0" t="n">
        <v>23</v>
      </c>
      <c r="B236" s="0" t="s">
        <v>51</v>
      </c>
      <c r="C236" s="0" t="s">
        <v>68</v>
      </c>
      <c r="D236" s="0" t="s">
        <v>349</v>
      </c>
      <c r="E236" s="0" t="s">
        <v>158</v>
      </c>
      <c r="F236" s="0" t="s">
        <v>28</v>
      </c>
      <c r="I236" s="0" t="n">
        <v>2000</v>
      </c>
      <c r="J236" s="0" t="n">
        <v>0.5</v>
      </c>
      <c r="K236" s="0" t="s">
        <v>356</v>
      </c>
    </row>
    <row r="237" customFormat="false" ht="15" hidden="false" customHeight="false" outlineLevel="0" collapsed="false">
      <c r="A237" s="0" t="n">
        <v>23</v>
      </c>
      <c r="B237" s="0" t="s">
        <v>51</v>
      </c>
      <c r="C237" s="0" t="s">
        <v>68</v>
      </c>
      <c r="D237" s="0" t="s">
        <v>349</v>
      </c>
      <c r="E237" s="0" t="s">
        <v>128</v>
      </c>
      <c r="F237" s="0" t="s">
        <v>28</v>
      </c>
      <c r="I237" s="0" t="n">
        <v>2000</v>
      </c>
      <c r="J237" s="0" t="n">
        <v>0.5</v>
      </c>
      <c r="K237" s="0" t="s">
        <v>357</v>
      </c>
    </row>
    <row r="238" customFormat="false" ht="15" hidden="false" customHeight="false" outlineLevel="0" collapsed="false">
      <c r="A238" s="0" t="n">
        <v>23</v>
      </c>
      <c r="B238" s="0" t="s">
        <v>51</v>
      </c>
      <c r="C238" s="0" t="s">
        <v>68</v>
      </c>
      <c r="D238" s="0" t="s">
        <v>349</v>
      </c>
      <c r="E238" s="0" t="s">
        <v>60</v>
      </c>
      <c r="F238" s="0" t="s">
        <v>27</v>
      </c>
      <c r="I238" s="0" t="n">
        <v>0</v>
      </c>
      <c r="J238" s="0" t="n">
        <v>0</v>
      </c>
      <c r="K238" s="0" t="s">
        <v>358</v>
      </c>
    </row>
    <row r="239" customFormat="false" ht="15" hidden="false" customHeight="false" outlineLevel="0" collapsed="false">
      <c r="A239" s="0" t="n">
        <v>23</v>
      </c>
      <c r="B239" s="0" t="s">
        <v>51</v>
      </c>
      <c r="C239" s="0" t="s">
        <v>68</v>
      </c>
      <c r="D239" s="0" t="s">
        <v>349</v>
      </c>
      <c r="E239" s="0" t="s">
        <v>62</v>
      </c>
      <c r="F239" s="0" t="s">
        <v>27</v>
      </c>
      <c r="I239" s="0" t="n">
        <v>0</v>
      </c>
      <c r="J239" s="0" t="n">
        <v>0</v>
      </c>
      <c r="K239" s="0" t="s">
        <v>359</v>
      </c>
    </row>
    <row r="240" customFormat="false" ht="15" hidden="false" customHeight="false" outlineLevel="0" collapsed="false">
      <c r="A240" s="0" t="n">
        <v>23</v>
      </c>
      <c r="B240" s="0" t="s">
        <v>51</v>
      </c>
      <c r="C240" s="0" t="s">
        <v>68</v>
      </c>
      <c r="D240" s="0" t="s">
        <v>349</v>
      </c>
      <c r="E240" s="0" t="s">
        <v>64</v>
      </c>
      <c r="F240" s="0" t="s">
        <v>27</v>
      </c>
      <c r="I240" s="0" t="n">
        <v>300</v>
      </c>
      <c r="J240" s="0" t="n">
        <v>0.075</v>
      </c>
      <c r="K240" s="0" t="s">
        <v>360</v>
      </c>
    </row>
    <row r="241" customFormat="false" ht="15" hidden="false" customHeight="false" outlineLevel="0" collapsed="false">
      <c r="A241" s="0" t="n">
        <v>23</v>
      </c>
      <c r="B241" s="0" t="s">
        <v>51</v>
      </c>
      <c r="C241" s="0" t="s">
        <v>68</v>
      </c>
      <c r="D241" s="0" t="s">
        <v>349</v>
      </c>
      <c r="E241" s="0" t="s">
        <v>66</v>
      </c>
      <c r="F241" s="0" t="s">
        <v>27</v>
      </c>
      <c r="I241" s="0" t="n">
        <v>350</v>
      </c>
      <c r="J241" s="0" t="n">
        <v>0.0875</v>
      </c>
      <c r="K241" s="0" t="s">
        <v>361</v>
      </c>
    </row>
    <row r="242" customFormat="false" ht="15" hidden="false" customHeight="false" outlineLevel="0" collapsed="false">
      <c r="A242" s="0" t="n">
        <v>23</v>
      </c>
      <c r="B242" s="0" t="s">
        <v>51</v>
      </c>
      <c r="C242" s="0" t="s">
        <v>68</v>
      </c>
      <c r="D242" s="0" t="s">
        <v>349</v>
      </c>
      <c r="E242" s="0" t="s">
        <v>68</v>
      </c>
      <c r="F242" s="0" t="s">
        <v>30</v>
      </c>
      <c r="I242" s="0" t="n">
        <v>4000</v>
      </c>
      <c r="J242" s="0" t="n">
        <v>1</v>
      </c>
      <c r="K242" s="0" t="s">
        <v>362</v>
      </c>
    </row>
    <row r="243" customFormat="false" ht="15" hidden="false" customHeight="false" outlineLevel="0" collapsed="false">
      <c r="A243" s="0" t="n">
        <v>24</v>
      </c>
      <c r="B243" s="0" t="s">
        <v>51</v>
      </c>
      <c r="C243" s="0" t="s">
        <v>68</v>
      </c>
      <c r="D243" s="0" t="s">
        <v>349</v>
      </c>
      <c r="E243" s="0" t="s">
        <v>53</v>
      </c>
      <c r="F243" s="0" t="s">
        <v>27</v>
      </c>
      <c r="G243" s="0" t="n">
        <v>1</v>
      </c>
      <c r="H243" s="0" t="n">
        <v>1.7</v>
      </c>
      <c r="I243" s="0" t="n">
        <v>6800</v>
      </c>
      <c r="J243" s="0" t="n">
        <v>1.7</v>
      </c>
      <c r="K243" s="0" t="s">
        <v>363</v>
      </c>
      <c r="L243" s="0" t="s">
        <v>364</v>
      </c>
    </row>
    <row r="244" customFormat="false" ht="15" hidden="false" customHeight="false" outlineLevel="0" collapsed="false">
      <c r="A244" s="0" t="n">
        <v>24</v>
      </c>
      <c r="B244" s="0" t="s">
        <v>51</v>
      </c>
      <c r="C244" s="0" t="s">
        <v>68</v>
      </c>
      <c r="D244" s="0" t="s">
        <v>349</v>
      </c>
      <c r="E244" s="0" t="s">
        <v>56</v>
      </c>
      <c r="F244" s="0" t="s">
        <v>28</v>
      </c>
      <c r="I244" s="0" t="n">
        <v>700</v>
      </c>
      <c r="J244" s="0" t="n">
        <v>0.175</v>
      </c>
      <c r="K244" s="0" t="s">
        <v>365</v>
      </c>
    </row>
    <row r="245" customFormat="false" ht="15" hidden="false" customHeight="false" outlineLevel="0" collapsed="false">
      <c r="A245" s="0" t="n">
        <v>24</v>
      </c>
      <c r="B245" s="0" t="s">
        <v>51</v>
      </c>
      <c r="C245" s="0" t="s">
        <v>68</v>
      </c>
      <c r="D245" s="0" t="s">
        <v>349</v>
      </c>
      <c r="E245" s="0" t="s">
        <v>58</v>
      </c>
      <c r="F245" s="0" t="s">
        <v>28</v>
      </c>
      <c r="I245" s="0" t="n">
        <v>2500</v>
      </c>
      <c r="J245" s="0" t="n">
        <v>0.625</v>
      </c>
      <c r="K245" s="0" t="s">
        <v>366</v>
      </c>
    </row>
    <row r="246" customFormat="false" ht="15" hidden="false" customHeight="false" outlineLevel="0" collapsed="false">
      <c r="A246" s="0" t="n">
        <v>24</v>
      </c>
      <c r="B246" s="0" t="s">
        <v>51</v>
      </c>
      <c r="C246" s="0" t="s">
        <v>68</v>
      </c>
      <c r="D246" s="0" t="s">
        <v>349</v>
      </c>
      <c r="E246" s="0" t="s">
        <v>301</v>
      </c>
      <c r="F246" s="0" t="s">
        <v>29</v>
      </c>
      <c r="I246" s="0" t="n">
        <v>4500</v>
      </c>
      <c r="J246" s="0" t="n">
        <v>1.125</v>
      </c>
      <c r="K246" s="0" t="s">
        <v>367</v>
      </c>
    </row>
    <row r="247" customFormat="false" ht="15" hidden="false" customHeight="false" outlineLevel="0" collapsed="false">
      <c r="A247" s="0" t="n">
        <v>24</v>
      </c>
      <c r="B247" s="0" t="s">
        <v>51</v>
      </c>
      <c r="C247" s="0" t="s">
        <v>68</v>
      </c>
      <c r="D247" s="0" t="s">
        <v>349</v>
      </c>
      <c r="E247" s="0" t="s">
        <v>158</v>
      </c>
      <c r="F247" s="0" t="s">
        <v>28</v>
      </c>
      <c r="I247" s="0" t="n">
        <v>1000</v>
      </c>
      <c r="J247" s="0" t="n">
        <v>0.25</v>
      </c>
      <c r="K247" s="0" t="s">
        <v>368</v>
      </c>
    </row>
    <row r="248" customFormat="false" ht="15" hidden="false" customHeight="false" outlineLevel="0" collapsed="false">
      <c r="A248" s="0" t="n">
        <v>24</v>
      </c>
      <c r="B248" s="0" t="s">
        <v>51</v>
      </c>
      <c r="C248" s="0" t="s">
        <v>68</v>
      </c>
      <c r="D248" s="0" t="s">
        <v>349</v>
      </c>
      <c r="E248" s="0" t="s">
        <v>128</v>
      </c>
      <c r="F248" s="0" t="s">
        <v>28</v>
      </c>
      <c r="I248" s="0" t="n">
        <v>1000</v>
      </c>
      <c r="J248" s="0" t="n">
        <v>0.25</v>
      </c>
      <c r="K248" s="0" t="s">
        <v>369</v>
      </c>
    </row>
    <row r="249" customFormat="false" ht="15" hidden="false" customHeight="false" outlineLevel="0" collapsed="false">
      <c r="A249" s="0" t="n">
        <v>24</v>
      </c>
      <c r="B249" s="0" t="s">
        <v>51</v>
      </c>
      <c r="C249" s="0" t="s">
        <v>68</v>
      </c>
      <c r="D249" s="0" t="s">
        <v>349</v>
      </c>
      <c r="E249" s="0" t="s">
        <v>60</v>
      </c>
      <c r="F249" s="0" t="s">
        <v>27</v>
      </c>
      <c r="I249" s="0" t="n">
        <v>50</v>
      </c>
      <c r="J249" s="0" t="n">
        <v>0.0125</v>
      </c>
      <c r="K249" s="0" t="s">
        <v>370</v>
      </c>
    </row>
    <row r="250" customFormat="false" ht="15" hidden="false" customHeight="false" outlineLevel="0" collapsed="false">
      <c r="A250" s="0" t="n">
        <v>24</v>
      </c>
      <c r="B250" s="0" t="s">
        <v>51</v>
      </c>
      <c r="C250" s="0" t="s">
        <v>68</v>
      </c>
      <c r="D250" s="0" t="s">
        <v>349</v>
      </c>
      <c r="E250" s="0" t="s">
        <v>62</v>
      </c>
      <c r="F250" s="0" t="s">
        <v>27</v>
      </c>
      <c r="I250" s="0" t="n">
        <v>100</v>
      </c>
      <c r="J250" s="0" t="n">
        <v>0.025</v>
      </c>
      <c r="K250" s="0" t="s">
        <v>371</v>
      </c>
    </row>
    <row r="251" customFormat="false" ht="15" hidden="false" customHeight="false" outlineLevel="0" collapsed="false">
      <c r="A251" s="0" t="n">
        <v>24</v>
      </c>
      <c r="B251" s="0" t="s">
        <v>51</v>
      </c>
      <c r="C251" s="0" t="s">
        <v>68</v>
      </c>
      <c r="D251" s="0" t="s">
        <v>349</v>
      </c>
      <c r="E251" s="0" t="s">
        <v>64</v>
      </c>
      <c r="F251" s="0" t="s">
        <v>27</v>
      </c>
      <c r="I251" s="0" t="n">
        <v>300</v>
      </c>
      <c r="J251" s="0" t="n">
        <v>0.075</v>
      </c>
      <c r="K251" s="0" t="s">
        <v>372</v>
      </c>
    </row>
    <row r="252" customFormat="false" ht="15" hidden="false" customHeight="false" outlineLevel="0" collapsed="false">
      <c r="A252" s="0" t="n">
        <v>24</v>
      </c>
      <c r="B252" s="0" t="s">
        <v>51</v>
      </c>
      <c r="C252" s="0" t="s">
        <v>68</v>
      </c>
      <c r="D252" s="0" t="s">
        <v>349</v>
      </c>
      <c r="E252" s="0" t="s">
        <v>66</v>
      </c>
      <c r="F252" s="0" t="s">
        <v>27</v>
      </c>
      <c r="I252" s="0" t="n">
        <v>350</v>
      </c>
      <c r="J252" s="0" t="n">
        <v>0.0875</v>
      </c>
      <c r="K252" s="0" t="s">
        <v>373</v>
      </c>
    </row>
    <row r="253" customFormat="false" ht="15" hidden="false" customHeight="false" outlineLevel="0" collapsed="false">
      <c r="A253" s="0" t="n">
        <v>24</v>
      </c>
      <c r="B253" s="0" t="s">
        <v>51</v>
      </c>
      <c r="C253" s="0" t="s">
        <v>68</v>
      </c>
      <c r="D253" s="0" t="s">
        <v>349</v>
      </c>
      <c r="E253" s="0" t="s">
        <v>68</v>
      </c>
      <c r="F253" s="0" t="s">
        <v>30</v>
      </c>
      <c r="I253" s="0" t="n">
        <v>3000</v>
      </c>
      <c r="J253" s="0" t="n">
        <v>0.75</v>
      </c>
      <c r="K253" s="0" t="s">
        <v>374</v>
      </c>
    </row>
    <row r="254" customFormat="false" ht="15" hidden="false" customHeight="false" outlineLevel="0" collapsed="false">
      <c r="A254" s="0" t="n">
        <v>25</v>
      </c>
      <c r="B254" s="0" t="s">
        <v>51</v>
      </c>
      <c r="C254" s="0" t="s">
        <v>68</v>
      </c>
      <c r="D254" s="0" t="s">
        <v>296</v>
      </c>
      <c r="E254" s="0" t="s">
        <v>53</v>
      </c>
      <c r="F254" s="0" t="s">
        <v>27</v>
      </c>
      <c r="G254" s="0" t="n">
        <v>0.8</v>
      </c>
      <c r="H254" s="0" t="n">
        <v>1.6</v>
      </c>
      <c r="I254" s="0" t="n">
        <v>5120</v>
      </c>
      <c r="J254" s="0" t="n">
        <v>1.28</v>
      </c>
      <c r="K254" s="0" t="s">
        <v>375</v>
      </c>
      <c r="L254" s="0" t="s">
        <v>376</v>
      </c>
    </row>
    <row r="255" customFormat="false" ht="15" hidden="false" customHeight="false" outlineLevel="0" collapsed="false">
      <c r="A255" s="0" t="n">
        <v>25</v>
      </c>
      <c r="B255" s="0" t="s">
        <v>51</v>
      </c>
      <c r="C255" s="0" t="s">
        <v>68</v>
      </c>
      <c r="D255" s="0" t="s">
        <v>296</v>
      </c>
      <c r="E255" s="0" t="s">
        <v>56</v>
      </c>
      <c r="F255" s="0" t="s">
        <v>28</v>
      </c>
      <c r="I255" s="0" t="n">
        <v>700</v>
      </c>
      <c r="J255" s="0" t="n">
        <v>0.175</v>
      </c>
      <c r="K255" s="0" t="s">
        <v>377</v>
      </c>
    </row>
    <row r="256" customFormat="false" ht="15" hidden="false" customHeight="false" outlineLevel="0" collapsed="false">
      <c r="A256" s="0" t="n">
        <v>25</v>
      </c>
      <c r="B256" s="0" t="s">
        <v>51</v>
      </c>
      <c r="C256" s="0" t="s">
        <v>68</v>
      </c>
      <c r="D256" s="0" t="s">
        <v>296</v>
      </c>
      <c r="E256" s="0" t="s">
        <v>58</v>
      </c>
      <c r="F256" s="0" t="s">
        <v>28</v>
      </c>
      <c r="I256" s="0" t="n">
        <v>2500</v>
      </c>
      <c r="J256" s="0" t="n">
        <v>0.625</v>
      </c>
      <c r="K256" s="0" t="s">
        <v>378</v>
      </c>
    </row>
    <row r="257" customFormat="false" ht="15" hidden="false" customHeight="false" outlineLevel="0" collapsed="false">
      <c r="A257" s="0" t="n">
        <v>25</v>
      </c>
      <c r="B257" s="0" t="s">
        <v>51</v>
      </c>
      <c r="C257" s="0" t="s">
        <v>68</v>
      </c>
      <c r="D257" s="0" t="s">
        <v>296</v>
      </c>
      <c r="E257" s="0" t="s">
        <v>379</v>
      </c>
      <c r="F257" s="0" t="s">
        <v>29</v>
      </c>
      <c r="I257" s="0" t="n">
        <v>2500</v>
      </c>
      <c r="J257" s="0" t="n">
        <v>0.625</v>
      </c>
      <c r="K257" s="0" t="s">
        <v>380</v>
      </c>
    </row>
    <row r="258" customFormat="false" ht="15" hidden="false" customHeight="false" outlineLevel="0" collapsed="false">
      <c r="A258" s="0" t="n">
        <v>25</v>
      </c>
      <c r="B258" s="0" t="s">
        <v>51</v>
      </c>
      <c r="C258" s="0" t="s">
        <v>68</v>
      </c>
      <c r="D258" s="0" t="s">
        <v>296</v>
      </c>
      <c r="E258" s="0" t="s">
        <v>158</v>
      </c>
      <c r="F258" s="0" t="s">
        <v>28</v>
      </c>
      <c r="I258" s="0" t="n">
        <v>1000</v>
      </c>
      <c r="J258" s="0" t="n">
        <v>0.25</v>
      </c>
      <c r="K258" s="0" t="s">
        <v>381</v>
      </c>
    </row>
    <row r="259" customFormat="false" ht="15" hidden="false" customHeight="false" outlineLevel="0" collapsed="false">
      <c r="A259" s="0" t="n">
        <v>25</v>
      </c>
      <c r="B259" s="0" t="s">
        <v>51</v>
      </c>
      <c r="C259" s="0" t="s">
        <v>68</v>
      </c>
      <c r="D259" s="0" t="s">
        <v>296</v>
      </c>
      <c r="E259" s="0" t="s">
        <v>128</v>
      </c>
      <c r="F259" s="0" t="s">
        <v>28</v>
      </c>
      <c r="I259" s="0" t="n">
        <v>1000</v>
      </c>
      <c r="J259" s="0" t="n">
        <v>0.25</v>
      </c>
      <c r="K259" s="0" t="s">
        <v>382</v>
      </c>
    </row>
    <row r="260" customFormat="false" ht="15" hidden="false" customHeight="false" outlineLevel="0" collapsed="false">
      <c r="A260" s="0" t="n">
        <v>25</v>
      </c>
      <c r="B260" s="0" t="s">
        <v>51</v>
      </c>
      <c r="C260" s="0" t="s">
        <v>68</v>
      </c>
      <c r="D260" s="0" t="s">
        <v>296</v>
      </c>
      <c r="E260" s="0" t="s">
        <v>60</v>
      </c>
      <c r="F260" s="0" t="s">
        <v>27</v>
      </c>
      <c r="I260" s="0" t="n">
        <v>200</v>
      </c>
      <c r="J260" s="0" t="n">
        <v>0.05</v>
      </c>
      <c r="K260" s="0" t="s">
        <v>383</v>
      </c>
    </row>
    <row r="261" customFormat="false" ht="15" hidden="false" customHeight="false" outlineLevel="0" collapsed="false">
      <c r="A261" s="0" t="n">
        <v>25</v>
      </c>
      <c r="B261" s="0" t="s">
        <v>51</v>
      </c>
      <c r="C261" s="0" t="s">
        <v>68</v>
      </c>
      <c r="D261" s="0" t="s">
        <v>296</v>
      </c>
      <c r="E261" s="0" t="s">
        <v>62</v>
      </c>
      <c r="F261" s="0" t="s">
        <v>27</v>
      </c>
      <c r="I261" s="0" t="n">
        <v>100</v>
      </c>
      <c r="J261" s="0" t="n">
        <v>0.025</v>
      </c>
      <c r="K261" s="0" t="s">
        <v>384</v>
      </c>
    </row>
    <row r="262" customFormat="false" ht="15" hidden="false" customHeight="false" outlineLevel="0" collapsed="false">
      <c r="A262" s="0" t="n">
        <v>25</v>
      </c>
      <c r="B262" s="0" t="s">
        <v>51</v>
      </c>
      <c r="C262" s="0" t="s">
        <v>68</v>
      </c>
      <c r="D262" s="0" t="s">
        <v>296</v>
      </c>
      <c r="E262" s="0" t="s">
        <v>64</v>
      </c>
      <c r="F262" s="0" t="s">
        <v>27</v>
      </c>
      <c r="I262" s="0" t="n">
        <v>750</v>
      </c>
      <c r="J262" s="0" t="n">
        <v>0.1875</v>
      </c>
      <c r="K262" s="0" t="s">
        <v>385</v>
      </c>
    </row>
    <row r="263" customFormat="false" ht="15" hidden="false" customHeight="false" outlineLevel="0" collapsed="false">
      <c r="A263" s="0" t="n">
        <v>25</v>
      </c>
      <c r="B263" s="0" t="s">
        <v>51</v>
      </c>
      <c r="C263" s="0" t="s">
        <v>68</v>
      </c>
      <c r="D263" s="0" t="s">
        <v>296</v>
      </c>
      <c r="E263" s="0" t="s">
        <v>66</v>
      </c>
      <c r="F263" s="0" t="s">
        <v>27</v>
      </c>
      <c r="I263" s="0" t="n">
        <v>350</v>
      </c>
      <c r="J263" s="0" t="n">
        <v>0.0875</v>
      </c>
      <c r="K263" s="0" t="s">
        <v>386</v>
      </c>
    </row>
    <row r="264" customFormat="false" ht="15" hidden="false" customHeight="false" outlineLevel="0" collapsed="false">
      <c r="A264" s="0" t="n">
        <v>25</v>
      </c>
      <c r="B264" s="0" t="s">
        <v>51</v>
      </c>
      <c r="C264" s="0" t="s">
        <v>68</v>
      </c>
      <c r="D264" s="0" t="s">
        <v>296</v>
      </c>
      <c r="E264" s="0" t="s">
        <v>68</v>
      </c>
      <c r="F264" s="0" t="s">
        <v>30</v>
      </c>
      <c r="I264" s="0" t="n">
        <v>4000</v>
      </c>
      <c r="J264" s="0" t="n">
        <v>1</v>
      </c>
      <c r="K264" s="0" t="s">
        <v>387</v>
      </c>
    </row>
    <row r="265" customFormat="false" ht="15" hidden="false" customHeight="false" outlineLevel="0" collapsed="false">
      <c r="A265" s="0" t="n">
        <v>26</v>
      </c>
      <c r="B265" s="0" t="s">
        <v>51</v>
      </c>
      <c r="C265" s="0" t="s">
        <v>68</v>
      </c>
      <c r="D265" s="0" t="s">
        <v>311</v>
      </c>
      <c r="E265" s="0" t="s">
        <v>53</v>
      </c>
      <c r="F265" s="0" t="s">
        <v>27</v>
      </c>
      <c r="G265" s="0" t="n">
        <v>0.7</v>
      </c>
      <c r="H265" s="0" t="n">
        <v>1.8</v>
      </c>
      <c r="I265" s="0" t="n">
        <v>5040</v>
      </c>
      <c r="J265" s="0" t="n">
        <v>1.26</v>
      </c>
      <c r="K265" s="0" t="s">
        <v>388</v>
      </c>
      <c r="L265" s="0" t="s">
        <v>389</v>
      </c>
    </row>
    <row r="266" customFormat="false" ht="15" hidden="false" customHeight="false" outlineLevel="0" collapsed="false">
      <c r="A266" s="0" t="n">
        <v>26</v>
      </c>
      <c r="B266" s="0" t="s">
        <v>51</v>
      </c>
      <c r="C266" s="0" t="s">
        <v>68</v>
      </c>
      <c r="D266" s="0" t="s">
        <v>311</v>
      </c>
      <c r="E266" s="0" t="s">
        <v>56</v>
      </c>
      <c r="F266" s="0" t="s">
        <v>28</v>
      </c>
      <c r="I266" s="0" t="n">
        <v>700</v>
      </c>
      <c r="J266" s="0" t="n">
        <v>0.175</v>
      </c>
      <c r="K266" s="0" t="s">
        <v>390</v>
      </c>
    </row>
    <row r="267" customFormat="false" ht="15" hidden="false" customHeight="false" outlineLevel="0" collapsed="false">
      <c r="A267" s="0" t="n">
        <v>26</v>
      </c>
      <c r="B267" s="0" t="s">
        <v>51</v>
      </c>
      <c r="C267" s="0" t="s">
        <v>68</v>
      </c>
      <c r="D267" s="0" t="s">
        <v>311</v>
      </c>
      <c r="E267" s="0" t="s">
        <v>58</v>
      </c>
      <c r="F267" s="0" t="s">
        <v>28</v>
      </c>
      <c r="I267" s="0" t="n">
        <v>2500</v>
      </c>
      <c r="J267" s="0" t="n">
        <v>0.625</v>
      </c>
      <c r="K267" s="0" t="s">
        <v>391</v>
      </c>
    </row>
    <row r="268" customFormat="false" ht="15" hidden="false" customHeight="false" outlineLevel="0" collapsed="false">
      <c r="A268" s="0" t="n">
        <v>26</v>
      </c>
      <c r="B268" s="0" t="s">
        <v>51</v>
      </c>
      <c r="C268" s="0" t="s">
        <v>68</v>
      </c>
      <c r="D268" s="0" t="s">
        <v>311</v>
      </c>
      <c r="E268" s="0" t="s">
        <v>379</v>
      </c>
      <c r="F268" s="0" t="s">
        <v>29</v>
      </c>
      <c r="I268" s="0" t="n">
        <v>2500</v>
      </c>
      <c r="J268" s="0" t="n">
        <v>0.625</v>
      </c>
      <c r="K268" s="0" t="s">
        <v>392</v>
      </c>
    </row>
    <row r="269" customFormat="false" ht="15" hidden="false" customHeight="false" outlineLevel="0" collapsed="false">
      <c r="A269" s="0" t="n">
        <v>26</v>
      </c>
      <c r="B269" s="0" t="s">
        <v>51</v>
      </c>
      <c r="C269" s="0" t="s">
        <v>68</v>
      </c>
      <c r="D269" s="0" t="s">
        <v>311</v>
      </c>
      <c r="E269" s="0" t="s">
        <v>158</v>
      </c>
      <c r="F269" s="0" t="s">
        <v>28</v>
      </c>
      <c r="I269" s="0" t="n">
        <v>1000</v>
      </c>
      <c r="J269" s="0" t="n">
        <v>0.25</v>
      </c>
      <c r="K269" s="0" t="s">
        <v>393</v>
      </c>
    </row>
    <row r="270" customFormat="false" ht="15" hidden="false" customHeight="false" outlineLevel="0" collapsed="false">
      <c r="A270" s="0" t="n">
        <v>26</v>
      </c>
      <c r="B270" s="0" t="s">
        <v>51</v>
      </c>
      <c r="C270" s="0" t="s">
        <v>68</v>
      </c>
      <c r="D270" s="0" t="s">
        <v>311</v>
      </c>
      <c r="E270" s="0" t="s">
        <v>128</v>
      </c>
      <c r="F270" s="0" t="s">
        <v>28</v>
      </c>
      <c r="I270" s="0" t="n">
        <v>1000</v>
      </c>
      <c r="J270" s="0" t="n">
        <v>0.25</v>
      </c>
      <c r="K270" s="0" t="s">
        <v>394</v>
      </c>
    </row>
    <row r="271" customFormat="false" ht="15" hidden="false" customHeight="false" outlineLevel="0" collapsed="false">
      <c r="A271" s="0" t="n">
        <v>26</v>
      </c>
      <c r="B271" s="0" t="s">
        <v>51</v>
      </c>
      <c r="C271" s="0" t="s">
        <v>68</v>
      </c>
      <c r="D271" s="0" t="s">
        <v>311</v>
      </c>
      <c r="E271" s="0" t="s">
        <v>60</v>
      </c>
      <c r="F271" s="0" t="s">
        <v>27</v>
      </c>
      <c r="I271" s="0" t="n">
        <v>200</v>
      </c>
      <c r="J271" s="0" t="n">
        <v>0.05</v>
      </c>
      <c r="K271" s="0" t="s">
        <v>395</v>
      </c>
    </row>
    <row r="272" customFormat="false" ht="15" hidden="false" customHeight="false" outlineLevel="0" collapsed="false">
      <c r="A272" s="0" t="n">
        <v>26</v>
      </c>
      <c r="B272" s="0" t="s">
        <v>51</v>
      </c>
      <c r="C272" s="0" t="s">
        <v>68</v>
      </c>
      <c r="D272" s="0" t="s">
        <v>311</v>
      </c>
      <c r="E272" s="0" t="s">
        <v>62</v>
      </c>
      <c r="F272" s="0" t="s">
        <v>27</v>
      </c>
      <c r="I272" s="0" t="n">
        <v>100</v>
      </c>
      <c r="J272" s="0" t="n">
        <v>0.025</v>
      </c>
      <c r="K272" s="0" t="s">
        <v>396</v>
      </c>
    </row>
    <row r="273" customFormat="false" ht="15" hidden="false" customHeight="false" outlineLevel="0" collapsed="false">
      <c r="A273" s="0" t="n">
        <v>26</v>
      </c>
      <c r="B273" s="0" t="s">
        <v>51</v>
      </c>
      <c r="C273" s="0" t="s">
        <v>68</v>
      </c>
      <c r="D273" s="0" t="s">
        <v>311</v>
      </c>
      <c r="E273" s="0" t="s">
        <v>64</v>
      </c>
      <c r="F273" s="0" t="s">
        <v>27</v>
      </c>
      <c r="I273" s="0" t="n">
        <v>750</v>
      </c>
      <c r="J273" s="0" t="n">
        <v>0.1875</v>
      </c>
      <c r="K273" s="0" t="s">
        <v>397</v>
      </c>
    </row>
    <row r="274" customFormat="false" ht="15" hidden="false" customHeight="false" outlineLevel="0" collapsed="false">
      <c r="A274" s="0" t="n">
        <v>26</v>
      </c>
      <c r="B274" s="0" t="s">
        <v>51</v>
      </c>
      <c r="C274" s="0" t="s">
        <v>68</v>
      </c>
      <c r="D274" s="0" t="s">
        <v>311</v>
      </c>
      <c r="E274" s="0" t="s">
        <v>66</v>
      </c>
      <c r="F274" s="0" t="s">
        <v>27</v>
      </c>
      <c r="I274" s="0" t="n">
        <v>350</v>
      </c>
      <c r="J274" s="0" t="n">
        <v>0.0875</v>
      </c>
      <c r="K274" s="0" t="s">
        <v>398</v>
      </c>
    </row>
    <row r="275" customFormat="false" ht="15" hidden="false" customHeight="false" outlineLevel="0" collapsed="false">
      <c r="A275" s="0" t="n">
        <v>26</v>
      </c>
      <c r="B275" s="0" t="s">
        <v>51</v>
      </c>
      <c r="C275" s="0" t="s">
        <v>68</v>
      </c>
      <c r="D275" s="0" t="s">
        <v>311</v>
      </c>
      <c r="E275" s="0" t="s">
        <v>68</v>
      </c>
      <c r="F275" s="0" t="s">
        <v>30</v>
      </c>
      <c r="I275" s="0" t="n">
        <v>4000</v>
      </c>
      <c r="J275" s="0" t="n">
        <v>1</v>
      </c>
      <c r="K275" s="0" t="s">
        <v>399</v>
      </c>
    </row>
    <row r="276" customFormat="false" ht="15" hidden="false" customHeight="false" outlineLevel="0" collapsed="false">
      <c r="A276" s="0" t="n">
        <v>27</v>
      </c>
      <c r="B276" s="0" t="s">
        <v>51</v>
      </c>
      <c r="C276" s="0" t="s">
        <v>68</v>
      </c>
      <c r="D276" s="0" t="s">
        <v>296</v>
      </c>
      <c r="E276" s="0" t="s">
        <v>53</v>
      </c>
      <c r="F276" s="0" t="s">
        <v>27</v>
      </c>
      <c r="G276" s="0" t="n">
        <v>0.8</v>
      </c>
      <c r="H276" s="0" t="n">
        <v>2.6</v>
      </c>
      <c r="I276" s="0" t="n">
        <v>8320</v>
      </c>
      <c r="J276" s="0" t="n">
        <v>2.08</v>
      </c>
      <c r="K276" s="0" t="s">
        <v>400</v>
      </c>
      <c r="L276" s="0" t="s">
        <v>401</v>
      </c>
    </row>
    <row r="277" customFormat="false" ht="15" hidden="false" customHeight="false" outlineLevel="0" collapsed="false">
      <c r="A277" s="0" t="n">
        <v>27</v>
      </c>
      <c r="B277" s="0" t="s">
        <v>51</v>
      </c>
      <c r="C277" s="0" t="s">
        <v>68</v>
      </c>
      <c r="D277" s="0" t="s">
        <v>296</v>
      </c>
      <c r="E277" s="0" t="s">
        <v>56</v>
      </c>
      <c r="F277" s="0" t="s">
        <v>28</v>
      </c>
      <c r="I277" s="0" t="n">
        <v>700</v>
      </c>
      <c r="J277" s="0" t="n">
        <v>0.175</v>
      </c>
      <c r="K277" s="0" t="s">
        <v>402</v>
      </c>
    </row>
    <row r="278" customFormat="false" ht="15" hidden="false" customHeight="false" outlineLevel="0" collapsed="false">
      <c r="A278" s="0" t="n">
        <v>27</v>
      </c>
      <c r="B278" s="0" t="s">
        <v>51</v>
      </c>
      <c r="C278" s="0" t="s">
        <v>68</v>
      </c>
      <c r="D278" s="0" t="s">
        <v>296</v>
      </c>
      <c r="E278" s="0" t="s">
        <v>58</v>
      </c>
      <c r="F278" s="0" t="s">
        <v>28</v>
      </c>
      <c r="I278" s="0" t="n">
        <v>2500</v>
      </c>
      <c r="J278" s="0" t="n">
        <v>0.625</v>
      </c>
      <c r="K278" s="0" t="s">
        <v>403</v>
      </c>
    </row>
    <row r="279" customFormat="false" ht="15" hidden="false" customHeight="false" outlineLevel="0" collapsed="false">
      <c r="A279" s="0" t="n">
        <v>27</v>
      </c>
      <c r="B279" s="0" t="s">
        <v>51</v>
      </c>
      <c r="C279" s="0" t="s">
        <v>68</v>
      </c>
      <c r="D279" s="0" t="s">
        <v>296</v>
      </c>
      <c r="E279" s="0" t="s">
        <v>379</v>
      </c>
      <c r="F279" s="0" t="s">
        <v>29</v>
      </c>
      <c r="I279" s="0" t="n">
        <v>6000</v>
      </c>
      <c r="J279" s="0" t="n">
        <v>1.5</v>
      </c>
      <c r="K279" s="0" t="s">
        <v>404</v>
      </c>
    </row>
    <row r="280" customFormat="false" ht="15" hidden="false" customHeight="false" outlineLevel="0" collapsed="false">
      <c r="A280" s="0" t="n">
        <v>27</v>
      </c>
      <c r="B280" s="0" t="s">
        <v>51</v>
      </c>
      <c r="C280" s="0" t="s">
        <v>68</v>
      </c>
      <c r="D280" s="0" t="s">
        <v>296</v>
      </c>
      <c r="E280" s="0" t="s">
        <v>158</v>
      </c>
      <c r="F280" s="0" t="s">
        <v>28</v>
      </c>
      <c r="I280" s="0" t="n">
        <v>1000</v>
      </c>
      <c r="J280" s="0" t="n">
        <v>0.25</v>
      </c>
      <c r="K280" s="0" t="s">
        <v>405</v>
      </c>
    </row>
    <row r="281" customFormat="false" ht="15" hidden="false" customHeight="false" outlineLevel="0" collapsed="false">
      <c r="A281" s="0" t="n">
        <v>27</v>
      </c>
      <c r="B281" s="0" t="s">
        <v>51</v>
      </c>
      <c r="C281" s="0" t="s">
        <v>68</v>
      </c>
      <c r="D281" s="0" t="s">
        <v>296</v>
      </c>
      <c r="E281" s="0" t="s">
        <v>128</v>
      </c>
      <c r="F281" s="0" t="s">
        <v>28</v>
      </c>
      <c r="I281" s="0" t="n">
        <v>2000</v>
      </c>
      <c r="J281" s="0" t="n">
        <v>0.5</v>
      </c>
      <c r="K281" s="0" t="s">
        <v>406</v>
      </c>
    </row>
    <row r="282" customFormat="false" ht="15" hidden="false" customHeight="false" outlineLevel="0" collapsed="false">
      <c r="A282" s="0" t="n">
        <v>27</v>
      </c>
      <c r="B282" s="0" t="s">
        <v>51</v>
      </c>
      <c r="C282" s="0" t="s">
        <v>68</v>
      </c>
      <c r="D282" s="0" t="s">
        <v>296</v>
      </c>
      <c r="E282" s="0" t="s">
        <v>60</v>
      </c>
      <c r="F282" s="0" t="s">
        <v>27</v>
      </c>
      <c r="I282" s="0" t="n">
        <v>0</v>
      </c>
      <c r="J282" s="0" t="n">
        <v>0</v>
      </c>
      <c r="K282" s="0" t="s">
        <v>407</v>
      </c>
    </row>
    <row r="283" customFormat="false" ht="15" hidden="false" customHeight="false" outlineLevel="0" collapsed="false">
      <c r="A283" s="0" t="n">
        <v>27</v>
      </c>
      <c r="B283" s="0" t="s">
        <v>51</v>
      </c>
      <c r="C283" s="0" t="s">
        <v>68</v>
      </c>
      <c r="D283" s="0" t="s">
        <v>296</v>
      </c>
      <c r="E283" s="0" t="s">
        <v>62</v>
      </c>
      <c r="F283" s="0" t="s">
        <v>27</v>
      </c>
      <c r="I283" s="0" t="n">
        <v>0</v>
      </c>
      <c r="J283" s="0" t="n">
        <v>0</v>
      </c>
      <c r="K283" s="0" t="s">
        <v>408</v>
      </c>
    </row>
    <row r="284" customFormat="false" ht="15" hidden="false" customHeight="false" outlineLevel="0" collapsed="false">
      <c r="A284" s="0" t="n">
        <v>27</v>
      </c>
      <c r="B284" s="0" t="s">
        <v>51</v>
      </c>
      <c r="C284" s="0" t="s">
        <v>68</v>
      </c>
      <c r="D284" s="0" t="s">
        <v>296</v>
      </c>
      <c r="E284" s="0" t="s">
        <v>64</v>
      </c>
      <c r="F284" s="0" t="s">
        <v>27</v>
      </c>
      <c r="I284" s="0" t="n">
        <v>250</v>
      </c>
      <c r="J284" s="0" t="n">
        <v>0.0625</v>
      </c>
      <c r="K284" s="0" t="s">
        <v>409</v>
      </c>
    </row>
    <row r="285" customFormat="false" ht="15" hidden="false" customHeight="false" outlineLevel="0" collapsed="false">
      <c r="A285" s="0" t="n">
        <v>27</v>
      </c>
      <c r="B285" s="0" t="s">
        <v>51</v>
      </c>
      <c r="C285" s="0" t="s">
        <v>68</v>
      </c>
      <c r="D285" s="0" t="s">
        <v>296</v>
      </c>
      <c r="E285" s="0" t="s">
        <v>66</v>
      </c>
      <c r="F285" s="0" t="s">
        <v>27</v>
      </c>
      <c r="I285" s="0" t="n">
        <v>350</v>
      </c>
      <c r="J285" s="0" t="n">
        <v>0.0875</v>
      </c>
      <c r="K285" s="0" t="s">
        <v>410</v>
      </c>
    </row>
    <row r="286" customFormat="false" ht="15" hidden="false" customHeight="false" outlineLevel="0" collapsed="false">
      <c r="A286" s="0" t="n">
        <v>27</v>
      </c>
      <c r="B286" s="0" t="s">
        <v>51</v>
      </c>
      <c r="C286" s="0" t="s">
        <v>68</v>
      </c>
      <c r="D286" s="0" t="s">
        <v>296</v>
      </c>
      <c r="E286" s="0" t="s">
        <v>68</v>
      </c>
      <c r="F286" s="0" t="s">
        <v>30</v>
      </c>
      <c r="I286" s="0" t="n">
        <v>3700</v>
      </c>
      <c r="J286" s="0" t="n">
        <v>0.925</v>
      </c>
      <c r="K286" s="0" t="s">
        <v>411</v>
      </c>
    </row>
    <row r="287" customFormat="false" ht="15" hidden="false" customHeight="false" outlineLevel="0" collapsed="false">
      <c r="A287" s="0" t="n">
        <v>28</v>
      </c>
      <c r="B287" s="0" t="s">
        <v>51</v>
      </c>
      <c r="C287" s="0" t="s">
        <v>68</v>
      </c>
      <c r="D287" s="0" t="s">
        <v>311</v>
      </c>
      <c r="E287" s="0" t="s">
        <v>53</v>
      </c>
      <c r="F287" s="0" t="s">
        <v>27</v>
      </c>
      <c r="G287" s="0" t="n">
        <v>0.6</v>
      </c>
      <c r="H287" s="0" t="n">
        <v>2.3</v>
      </c>
      <c r="I287" s="0" t="n">
        <v>5520</v>
      </c>
      <c r="J287" s="0" t="n">
        <v>1.38</v>
      </c>
      <c r="K287" s="0" t="s">
        <v>412</v>
      </c>
      <c r="L287" s="0" t="s">
        <v>413</v>
      </c>
    </row>
    <row r="288" customFormat="false" ht="15" hidden="false" customHeight="false" outlineLevel="0" collapsed="false">
      <c r="A288" s="0" t="n">
        <v>28</v>
      </c>
      <c r="B288" s="0" t="s">
        <v>51</v>
      </c>
      <c r="C288" s="0" t="s">
        <v>68</v>
      </c>
      <c r="D288" s="0" t="s">
        <v>311</v>
      </c>
      <c r="E288" s="0" t="s">
        <v>56</v>
      </c>
      <c r="F288" s="0" t="s">
        <v>28</v>
      </c>
      <c r="I288" s="0" t="n">
        <v>700</v>
      </c>
      <c r="J288" s="0" t="n">
        <v>0.175</v>
      </c>
      <c r="K288" s="0" t="s">
        <v>414</v>
      </c>
    </row>
    <row r="289" customFormat="false" ht="15" hidden="false" customHeight="false" outlineLevel="0" collapsed="false">
      <c r="A289" s="0" t="n">
        <v>28</v>
      </c>
      <c r="B289" s="0" t="s">
        <v>51</v>
      </c>
      <c r="C289" s="0" t="s">
        <v>68</v>
      </c>
      <c r="D289" s="0" t="s">
        <v>311</v>
      </c>
      <c r="E289" s="0" t="s">
        <v>58</v>
      </c>
      <c r="F289" s="0" t="s">
        <v>28</v>
      </c>
      <c r="I289" s="0" t="n">
        <v>2500</v>
      </c>
      <c r="J289" s="0" t="n">
        <v>0.625</v>
      </c>
      <c r="K289" s="0" t="s">
        <v>415</v>
      </c>
    </row>
    <row r="290" customFormat="false" ht="15" hidden="false" customHeight="false" outlineLevel="0" collapsed="false">
      <c r="A290" s="0" t="n">
        <v>28</v>
      </c>
      <c r="B290" s="0" t="s">
        <v>51</v>
      </c>
      <c r="C290" s="0" t="s">
        <v>68</v>
      </c>
      <c r="D290" s="0" t="s">
        <v>311</v>
      </c>
      <c r="E290" s="0" t="s">
        <v>379</v>
      </c>
      <c r="F290" s="0" t="s">
        <v>29</v>
      </c>
      <c r="G290" s="0" t="n">
        <v>15000</v>
      </c>
      <c r="H290" s="0" t="n">
        <v>4</v>
      </c>
      <c r="I290" s="0" t="n">
        <v>3750</v>
      </c>
      <c r="J290" s="0" t="n">
        <v>0.9375</v>
      </c>
      <c r="K290" s="0" t="s">
        <v>416</v>
      </c>
      <c r="L290" s="0" t="s">
        <v>417</v>
      </c>
    </row>
    <row r="291" customFormat="false" ht="15" hidden="false" customHeight="false" outlineLevel="0" collapsed="false">
      <c r="A291" s="0" t="n">
        <v>28</v>
      </c>
      <c r="B291" s="0" t="s">
        <v>51</v>
      </c>
      <c r="C291" s="0" t="s">
        <v>68</v>
      </c>
      <c r="D291" s="0" t="s">
        <v>311</v>
      </c>
      <c r="E291" s="0" t="s">
        <v>158</v>
      </c>
      <c r="F291" s="0" t="s">
        <v>28</v>
      </c>
      <c r="I291" s="0" t="n">
        <v>1000</v>
      </c>
      <c r="J291" s="0" t="n">
        <v>0.25</v>
      </c>
      <c r="K291" s="0" t="s">
        <v>418</v>
      </c>
    </row>
    <row r="292" customFormat="false" ht="15" hidden="false" customHeight="false" outlineLevel="0" collapsed="false">
      <c r="A292" s="0" t="n">
        <v>28</v>
      </c>
      <c r="B292" s="0" t="s">
        <v>51</v>
      </c>
      <c r="C292" s="0" t="s">
        <v>68</v>
      </c>
      <c r="D292" s="0" t="s">
        <v>311</v>
      </c>
      <c r="E292" s="0" t="s">
        <v>128</v>
      </c>
      <c r="F292" s="0" t="s">
        <v>28</v>
      </c>
      <c r="I292" s="0" t="n">
        <v>1000</v>
      </c>
      <c r="J292" s="0" t="n">
        <v>0.25</v>
      </c>
      <c r="K292" s="0" t="s">
        <v>419</v>
      </c>
    </row>
    <row r="293" customFormat="false" ht="15" hidden="false" customHeight="false" outlineLevel="0" collapsed="false">
      <c r="A293" s="0" t="n">
        <v>28</v>
      </c>
      <c r="B293" s="0" t="s">
        <v>51</v>
      </c>
      <c r="C293" s="0" t="s">
        <v>68</v>
      </c>
      <c r="D293" s="0" t="s">
        <v>311</v>
      </c>
      <c r="E293" s="0" t="s">
        <v>60</v>
      </c>
      <c r="F293" s="0" t="s">
        <v>27</v>
      </c>
      <c r="I293" s="0" t="n">
        <v>200</v>
      </c>
      <c r="J293" s="0" t="n">
        <v>0.05</v>
      </c>
      <c r="K293" s="0" t="s">
        <v>420</v>
      </c>
    </row>
    <row r="294" customFormat="false" ht="15" hidden="false" customHeight="false" outlineLevel="0" collapsed="false">
      <c r="A294" s="0" t="n">
        <v>28</v>
      </c>
      <c r="B294" s="0" t="s">
        <v>51</v>
      </c>
      <c r="C294" s="0" t="s">
        <v>68</v>
      </c>
      <c r="D294" s="0" t="s">
        <v>311</v>
      </c>
      <c r="E294" s="0" t="s">
        <v>62</v>
      </c>
      <c r="F294" s="0" t="s">
        <v>27</v>
      </c>
      <c r="I294" s="0" t="n">
        <v>100</v>
      </c>
      <c r="J294" s="0" t="n">
        <v>0.025</v>
      </c>
      <c r="K294" s="0" t="s">
        <v>421</v>
      </c>
    </row>
    <row r="295" customFormat="false" ht="15" hidden="false" customHeight="false" outlineLevel="0" collapsed="false">
      <c r="A295" s="0" t="n">
        <v>28</v>
      </c>
      <c r="B295" s="0" t="s">
        <v>51</v>
      </c>
      <c r="C295" s="0" t="s">
        <v>68</v>
      </c>
      <c r="D295" s="0" t="s">
        <v>311</v>
      </c>
      <c r="E295" s="0" t="s">
        <v>64</v>
      </c>
      <c r="F295" s="0" t="s">
        <v>27</v>
      </c>
      <c r="I295" s="0" t="n">
        <v>750</v>
      </c>
      <c r="J295" s="0" t="n">
        <v>0.1875</v>
      </c>
      <c r="K295" s="0" t="s">
        <v>422</v>
      </c>
    </row>
    <row r="296" customFormat="false" ht="15" hidden="false" customHeight="false" outlineLevel="0" collapsed="false">
      <c r="A296" s="0" t="n">
        <v>28</v>
      </c>
      <c r="B296" s="0" t="s">
        <v>51</v>
      </c>
      <c r="C296" s="0" t="s">
        <v>68</v>
      </c>
      <c r="D296" s="0" t="s">
        <v>311</v>
      </c>
      <c r="E296" s="0" t="s">
        <v>66</v>
      </c>
      <c r="F296" s="0" t="s">
        <v>27</v>
      </c>
      <c r="I296" s="0" t="n">
        <v>350</v>
      </c>
      <c r="J296" s="0" t="n">
        <v>0.0875</v>
      </c>
      <c r="K296" s="0" t="s">
        <v>423</v>
      </c>
    </row>
    <row r="297" customFormat="false" ht="15" hidden="false" customHeight="false" outlineLevel="0" collapsed="false">
      <c r="A297" s="0" t="n">
        <v>28</v>
      </c>
      <c r="B297" s="0" t="s">
        <v>51</v>
      </c>
      <c r="C297" s="0" t="s">
        <v>68</v>
      </c>
      <c r="D297" s="0" t="s">
        <v>311</v>
      </c>
      <c r="E297" s="0" t="s">
        <v>68</v>
      </c>
      <c r="F297" s="0" t="s">
        <v>30</v>
      </c>
      <c r="I297" s="0" t="n">
        <v>4000</v>
      </c>
      <c r="J297" s="0" t="n">
        <v>1</v>
      </c>
      <c r="K297" s="0" t="s">
        <v>424</v>
      </c>
    </row>
    <row r="298" customFormat="false" ht="15" hidden="false" customHeight="false" outlineLevel="0" collapsed="false">
      <c r="A298" s="0" t="n">
        <v>29</v>
      </c>
      <c r="B298" s="0" t="s">
        <v>51</v>
      </c>
      <c r="C298" s="0" t="s">
        <v>68</v>
      </c>
      <c r="D298" s="0" t="s">
        <v>349</v>
      </c>
      <c r="E298" s="0" t="s">
        <v>53</v>
      </c>
      <c r="F298" s="0" t="s">
        <v>27</v>
      </c>
      <c r="G298" s="0" t="n">
        <v>1.1</v>
      </c>
      <c r="H298" s="0" t="n">
        <v>2.7</v>
      </c>
      <c r="I298" s="0" t="n">
        <v>11880</v>
      </c>
      <c r="J298" s="0" t="n">
        <v>2.97</v>
      </c>
      <c r="K298" s="0" t="s">
        <v>425</v>
      </c>
      <c r="L298" s="0" t="s">
        <v>426</v>
      </c>
    </row>
    <row r="299" customFormat="false" ht="15" hidden="false" customHeight="false" outlineLevel="0" collapsed="false">
      <c r="A299" s="0" t="n">
        <v>29</v>
      </c>
      <c r="B299" s="0" t="s">
        <v>51</v>
      </c>
      <c r="C299" s="0" t="s">
        <v>68</v>
      </c>
      <c r="D299" s="0" t="s">
        <v>349</v>
      </c>
      <c r="E299" s="0" t="s">
        <v>56</v>
      </c>
      <c r="F299" s="0" t="s">
        <v>28</v>
      </c>
      <c r="I299" s="0" t="n">
        <v>700</v>
      </c>
      <c r="J299" s="0" t="n">
        <v>0.175</v>
      </c>
      <c r="K299" s="0" t="s">
        <v>427</v>
      </c>
    </row>
    <row r="300" customFormat="false" ht="15" hidden="false" customHeight="false" outlineLevel="0" collapsed="false">
      <c r="A300" s="0" t="n">
        <v>29</v>
      </c>
      <c r="B300" s="0" t="s">
        <v>51</v>
      </c>
      <c r="C300" s="0" t="s">
        <v>68</v>
      </c>
      <c r="D300" s="0" t="s">
        <v>349</v>
      </c>
      <c r="E300" s="0" t="s">
        <v>58</v>
      </c>
      <c r="F300" s="0" t="s">
        <v>28</v>
      </c>
      <c r="I300" s="0" t="n">
        <v>2500</v>
      </c>
      <c r="J300" s="0" t="n">
        <v>0.625</v>
      </c>
      <c r="K300" s="0" t="s">
        <v>428</v>
      </c>
    </row>
    <row r="301" customFormat="false" ht="15" hidden="false" customHeight="false" outlineLevel="0" collapsed="false">
      <c r="A301" s="0" t="n">
        <v>29</v>
      </c>
      <c r="B301" s="0" t="s">
        <v>51</v>
      </c>
      <c r="C301" s="0" t="s">
        <v>68</v>
      </c>
      <c r="D301" s="0" t="s">
        <v>349</v>
      </c>
      <c r="E301" s="0" t="s">
        <v>379</v>
      </c>
      <c r="F301" s="0" t="s">
        <v>29</v>
      </c>
      <c r="I301" s="0" t="n">
        <v>13000</v>
      </c>
      <c r="J301" s="0" t="n">
        <v>3.25</v>
      </c>
      <c r="K301" s="0" t="s">
        <v>429</v>
      </c>
      <c r="L301" s="0" t="s">
        <v>430</v>
      </c>
    </row>
    <row r="302" customFormat="false" ht="15" hidden="false" customHeight="false" outlineLevel="0" collapsed="false">
      <c r="A302" s="0" t="n">
        <v>29</v>
      </c>
      <c r="B302" s="0" t="s">
        <v>51</v>
      </c>
      <c r="C302" s="0" t="s">
        <v>68</v>
      </c>
      <c r="D302" s="0" t="s">
        <v>349</v>
      </c>
      <c r="E302" s="0" t="s">
        <v>158</v>
      </c>
      <c r="F302" s="0" t="s">
        <v>28</v>
      </c>
      <c r="I302" s="0" t="n">
        <v>1000</v>
      </c>
      <c r="J302" s="0" t="n">
        <v>0.25</v>
      </c>
      <c r="K302" s="0" t="s">
        <v>431</v>
      </c>
    </row>
    <row r="303" customFormat="false" ht="15" hidden="false" customHeight="false" outlineLevel="0" collapsed="false">
      <c r="A303" s="0" t="n">
        <v>29</v>
      </c>
      <c r="B303" s="0" t="s">
        <v>51</v>
      </c>
      <c r="C303" s="0" t="s">
        <v>68</v>
      </c>
      <c r="D303" s="0" t="s">
        <v>349</v>
      </c>
      <c r="E303" s="0" t="s">
        <v>128</v>
      </c>
      <c r="F303" s="0" t="s">
        <v>28</v>
      </c>
      <c r="I303" s="0" t="n">
        <v>1000</v>
      </c>
      <c r="J303" s="0" t="n">
        <v>0.25</v>
      </c>
      <c r="K303" s="0" t="s">
        <v>432</v>
      </c>
    </row>
    <row r="304" customFormat="false" ht="15" hidden="false" customHeight="false" outlineLevel="0" collapsed="false">
      <c r="A304" s="0" t="n">
        <v>29</v>
      </c>
      <c r="B304" s="0" t="s">
        <v>51</v>
      </c>
      <c r="C304" s="0" t="s">
        <v>68</v>
      </c>
      <c r="D304" s="0" t="s">
        <v>349</v>
      </c>
      <c r="E304" s="0" t="s">
        <v>60</v>
      </c>
      <c r="F304" s="0" t="s">
        <v>27</v>
      </c>
      <c r="I304" s="0" t="n">
        <v>200</v>
      </c>
      <c r="J304" s="0" t="n">
        <v>0.05</v>
      </c>
      <c r="K304" s="0" t="s">
        <v>433</v>
      </c>
    </row>
    <row r="305" customFormat="false" ht="15" hidden="false" customHeight="false" outlineLevel="0" collapsed="false">
      <c r="A305" s="0" t="n">
        <v>29</v>
      </c>
      <c r="B305" s="0" t="s">
        <v>51</v>
      </c>
      <c r="C305" s="0" t="s">
        <v>68</v>
      </c>
      <c r="D305" s="0" t="s">
        <v>349</v>
      </c>
      <c r="E305" s="0" t="s">
        <v>62</v>
      </c>
      <c r="F305" s="0" t="s">
        <v>27</v>
      </c>
      <c r="I305" s="0" t="n">
        <v>100</v>
      </c>
      <c r="J305" s="0" t="n">
        <v>0.025</v>
      </c>
      <c r="K305" s="0" t="s">
        <v>434</v>
      </c>
    </row>
    <row r="306" customFormat="false" ht="15" hidden="false" customHeight="false" outlineLevel="0" collapsed="false">
      <c r="A306" s="0" t="n">
        <v>29</v>
      </c>
      <c r="B306" s="0" t="s">
        <v>51</v>
      </c>
      <c r="C306" s="0" t="s">
        <v>68</v>
      </c>
      <c r="D306" s="0" t="s">
        <v>349</v>
      </c>
      <c r="E306" s="0" t="s">
        <v>64</v>
      </c>
      <c r="F306" s="0" t="s">
        <v>27</v>
      </c>
      <c r="I306" s="0" t="n">
        <v>750</v>
      </c>
      <c r="J306" s="0" t="n">
        <v>0.1875</v>
      </c>
      <c r="K306" s="0" t="s">
        <v>435</v>
      </c>
    </row>
    <row r="307" customFormat="false" ht="15" hidden="false" customHeight="false" outlineLevel="0" collapsed="false">
      <c r="A307" s="0" t="n">
        <v>29</v>
      </c>
      <c r="B307" s="0" t="s">
        <v>51</v>
      </c>
      <c r="C307" s="0" t="s">
        <v>68</v>
      </c>
      <c r="D307" s="0" t="s">
        <v>349</v>
      </c>
      <c r="E307" s="0" t="s">
        <v>66</v>
      </c>
      <c r="F307" s="0" t="s">
        <v>27</v>
      </c>
      <c r="I307" s="0" t="n">
        <v>350</v>
      </c>
      <c r="J307" s="0" t="n">
        <v>0.0875</v>
      </c>
      <c r="K307" s="0" t="s">
        <v>436</v>
      </c>
    </row>
    <row r="308" customFormat="false" ht="15" hidden="false" customHeight="false" outlineLevel="0" collapsed="false">
      <c r="A308" s="0" t="n">
        <v>29</v>
      </c>
      <c r="B308" s="0" t="s">
        <v>51</v>
      </c>
      <c r="C308" s="0" t="s">
        <v>68</v>
      </c>
      <c r="D308" s="0" t="s">
        <v>349</v>
      </c>
      <c r="E308" s="0" t="s">
        <v>68</v>
      </c>
      <c r="F308" s="0" t="s">
        <v>30</v>
      </c>
      <c r="I308" s="0" t="n">
        <v>4000</v>
      </c>
      <c r="J308" s="0" t="n">
        <v>1</v>
      </c>
      <c r="K308" s="0" t="s">
        <v>437</v>
      </c>
    </row>
    <row r="309" customFormat="false" ht="15" hidden="false" customHeight="false" outlineLevel="0" collapsed="false">
      <c r="A309" s="0" t="n">
        <v>30</v>
      </c>
      <c r="B309" s="0" t="s">
        <v>51</v>
      </c>
      <c r="C309" s="0" t="s">
        <v>68</v>
      </c>
      <c r="D309" s="0" t="s">
        <v>349</v>
      </c>
      <c r="E309" s="0" t="s">
        <v>53</v>
      </c>
      <c r="F309" s="0" t="s">
        <v>27</v>
      </c>
      <c r="G309" s="0" t="n">
        <v>1</v>
      </c>
      <c r="H309" s="0" t="n">
        <v>4.5</v>
      </c>
      <c r="I309" s="0" t="n">
        <v>18000</v>
      </c>
      <c r="J309" s="0" t="n">
        <v>4.5</v>
      </c>
      <c r="K309" s="0" t="s">
        <v>438</v>
      </c>
      <c r="L309" s="0" t="s">
        <v>439</v>
      </c>
    </row>
    <row r="310" customFormat="false" ht="15" hidden="false" customHeight="false" outlineLevel="0" collapsed="false">
      <c r="A310" s="0" t="n">
        <v>30</v>
      </c>
      <c r="B310" s="0" t="s">
        <v>51</v>
      </c>
      <c r="C310" s="0" t="s">
        <v>68</v>
      </c>
      <c r="D310" s="0" t="s">
        <v>349</v>
      </c>
      <c r="E310" s="0" t="s">
        <v>56</v>
      </c>
      <c r="F310" s="0" t="s">
        <v>28</v>
      </c>
      <c r="I310" s="0" t="n">
        <v>700</v>
      </c>
      <c r="J310" s="0" t="n">
        <v>0.175</v>
      </c>
      <c r="K310" s="0" t="s">
        <v>440</v>
      </c>
    </row>
    <row r="311" customFormat="false" ht="15" hidden="false" customHeight="false" outlineLevel="0" collapsed="false">
      <c r="A311" s="0" t="n">
        <v>30</v>
      </c>
      <c r="B311" s="0" t="s">
        <v>51</v>
      </c>
      <c r="C311" s="0" t="s">
        <v>68</v>
      </c>
      <c r="D311" s="0" t="s">
        <v>349</v>
      </c>
      <c r="E311" s="0" t="s">
        <v>58</v>
      </c>
      <c r="F311" s="0" t="s">
        <v>28</v>
      </c>
      <c r="I311" s="0" t="n">
        <v>2500</v>
      </c>
      <c r="J311" s="0" t="n">
        <v>0.625</v>
      </c>
      <c r="K311" s="0" t="s">
        <v>441</v>
      </c>
    </row>
    <row r="312" customFormat="false" ht="15" hidden="false" customHeight="false" outlineLevel="0" collapsed="false">
      <c r="A312" s="0" t="n">
        <v>30</v>
      </c>
      <c r="B312" s="0" t="s">
        <v>51</v>
      </c>
      <c r="C312" s="0" t="s">
        <v>68</v>
      </c>
      <c r="D312" s="0" t="s">
        <v>349</v>
      </c>
      <c r="E312" s="0" t="s">
        <v>379</v>
      </c>
      <c r="F312" s="0" t="s">
        <v>29</v>
      </c>
      <c r="G312" s="0" t="n">
        <v>35000</v>
      </c>
      <c r="H312" s="0" t="n">
        <v>4</v>
      </c>
      <c r="I312" s="0" t="n">
        <v>8750</v>
      </c>
      <c r="J312" s="0" t="n">
        <v>2.1875</v>
      </c>
      <c r="K312" s="0" t="s">
        <v>442</v>
      </c>
      <c r="L312" s="0" t="s">
        <v>443</v>
      </c>
    </row>
    <row r="313" customFormat="false" ht="15" hidden="false" customHeight="false" outlineLevel="0" collapsed="false">
      <c r="A313" s="0" t="n">
        <v>30</v>
      </c>
      <c r="B313" s="0" t="s">
        <v>51</v>
      </c>
      <c r="C313" s="0" t="s">
        <v>68</v>
      </c>
      <c r="D313" s="0" t="s">
        <v>349</v>
      </c>
      <c r="E313" s="0" t="s">
        <v>158</v>
      </c>
      <c r="F313" s="0" t="s">
        <v>28</v>
      </c>
      <c r="I313" s="0" t="n">
        <v>2500</v>
      </c>
      <c r="J313" s="0" t="n">
        <v>0.625</v>
      </c>
      <c r="K313" s="0" t="s">
        <v>444</v>
      </c>
    </row>
    <row r="314" customFormat="false" ht="15" hidden="false" customHeight="false" outlineLevel="0" collapsed="false">
      <c r="A314" s="0" t="n">
        <v>30</v>
      </c>
      <c r="B314" s="0" t="s">
        <v>51</v>
      </c>
      <c r="C314" s="0" t="s">
        <v>68</v>
      </c>
      <c r="D314" s="0" t="s">
        <v>349</v>
      </c>
      <c r="E314" s="0" t="s">
        <v>128</v>
      </c>
      <c r="F314" s="0" t="s">
        <v>28</v>
      </c>
      <c r="I314" s="0" t="n">
        <v>2000</v>
      </c>
      <c r="J314" s="0" t="n">
        <v>0.5</v>
      </c>
      <c r="K314" s="0" t="s">
        <v>445</v>
      </c>
    </row>
    <row r="315" customFormat="false" ht="15" hidden="false" customHeight="false" outlineLevel="0" collapsed="false">
      <c r="A315" s="0" t="n">
        <v>30</v>
      </c>
      <c r="B315" s="0" t="s">
        <v>51</v>
      </c>
      <c r="C315" s="0" t="s">
        <v>68</v>
      </c>
      <c r="D315" s="0" t="s">
        <v>349</v>
      </c>
      <c r="E315" s="0" t="s">
        <v>60</v>
      </c>
      <c r="F315" s="0" t="s">
        <v>27</v>
      </c>
      <c r="I315" s="0" t="n">
        <v>0</v>
      </c>
      <c r="J315" s="0" t="n">
        <v>0</v>
      </c>
      <c r="K315" s="0" t="s">
        <v>446</v>
      </c>
    </row>
    <row r="316" customFormat="false" ht="15" hidden="false" customHeight="false" outlineLevel="0" collapsed="false">
      <c r="A316" s="0" t="n">
        <v>30</v>
      </c>
      <c r="B316" s="0" t="s">
        <v>51</v>
      </c>
      <c r="C316" s="0" t="s">
        <v>68</v>
      </c>
      <c r="D316" s="0" t="s">
        <v>349</v>
      </c>
      <c r="E316" s="0" t="s">
        <v>62</v>
      </c>
      <c r="F316" s="0" t="s">
        <v>27</v>
      </c>
      <c r="I316" s="0" t="n">
        <v>100</v>
      </c>
      <c r="J316" s="0" t="n">
        <v>0.025</v>
      </c>
      <c r="K316" s="0" t="s">
        <v>447</v>
      </c>
    </row>
    <row r="317" customFormat="false" ht="15" hidden="false" customHeight="false" outlineLevel="0" collapsed="false">
      <c r="A317" s="0" t="n">
        <v>30</v>
      </c>
      <c r="B317" s="0" t="s">
        <v>51</v>
      </c>
      <c r="C317" s="0" t="s">
        <v>68</v>
      </c>
      <c r="D317" s="0" t="s">
        <v>349</v>
      </c>
      <c r="E317" s="0" t="s">
        <v>64</v>
      </c>
      <c r="F317" s="0" t="s">
        <v>27</v>
      </c>
      <c r="I317" s="0" t="n">
        <v>50</v>
      </c>
      <c r="J317" s="0" t="n">
        <v>0.0125</v>
      </c>
      <c r="K317" s="0" t="s">
        <v>448</v>
      </c>
    </row>
    <row r="318" customFormat="false" ht="15" hidden="false" customHeight="false" outlineLevel="0" collapsed="false">
      <c r="A318" s="0" t="n">
        <v>30</v>
      </c>
      <c r="B318" s="0" t="s">
        <v>51</v>
      </c>
      <c r="C318" s="0" t="s">
        <v>68</v>
      </c>
      <c r="D318" s="0" t="s">
        <v>349</v>
      </c>
      <c r="E318" s="0" t="s">
        <v>66</v>
      </c>
      <c r="F318" s="0" t="s">
        <v>27</v>
      </c>
      <c r="I318" s="0" t="n">
        <v>250</v>
      </c>
      <c r="J318" s="0" t="n">
        <v>0.0625</v>
      </c>
      <c r="K318" s="0" t="s">
        <v>449</v>
      </c>
    </row>
    <row r="319" customFormat="false" ht="15" hidden="false" customHeight="false" outlineLevel="0" collapsed="false">
      <c r="A319" s="0" t="n">
        <v>30</v>
      </c>
      <c r="B319" s="0" t="s">
        <v>51</v>
      </c>
      <c r="C319" s="0" t="s">
        <v>68</v>
      </c>
      <c r="D319" s="0" t="s">
        <v>349</v>
      </c>
      <c r="E319" s="0" t="s">
        <v>68</v>
      </c>
      <c r="F319" s="0" t="s">
        <v>30</v>
      </c>
      <c r="I319" s="0" t="n">
        <v>3500</v>
      </c>
      <c r="J319" s="0" t="n">
        <v>0.875</v>
      </c>
      <c r="K319" s="0" t="s">
        <v>450</v>
      </c>
    </row>
    <row r="320" customFormat="false" ht="15" hidden="false" customHeight="false" outlineLevel="0" collapsed="false">
      <c r="A320" s="0" t="n">
        <v>31</v>
      </c>
      <c r="B320" s="0" t="s">
        <v>51</v>
      </c>
      <c r="C320" s="0" t="s">
        <v>68</v>
      </c>
      <c r="D320" s="0" t="s">
        <v>311</v>
      </c>
      <c r="E320" s="0" t="s">
        <v>53</v>
      </c>
      <c r="F320" s="0" t="s">
        <v>27</v>
      </c>
      <c r="G320" s="0" t="n">
        <v>0.7</v>
      </c>
      <c r="H320" s="0" t="n">
        <v>1.8</v>
      </c>
      <c r="I320" s="0" t="n">
        <v>5040</v>
      </c>
      <c r="J320" s="0" t="n">
        <v>1.26</v>
      </c>
      <c r="K320" s="0" t="s">
        <v>451</v>
      </c>
      <c r="L320" s="0" t="s">
        <v>389</v>
      </c>
    </row>
    <row r="321" customFormat="false" ht="15" hidden="false" customHeight="false" outlineLevel="0" collapsed="false">
      <c r="A321" s="0" t="n">
        <v>31</v>
      </c>
      <c r="B321" s="0" t="s">
        <v>51</v>
      </c>
      <c r="C321" s="0" t="s">
        <v>68</v>
      </c>
      <c r="D321" s="0" t="s">
        <v>311</v>
      </c>
      <c r="E321" s="0" t="s">
        <v>56</v>
      </c>
      <c r="F321" s="0" t="s">
        <v>28</v>
      </c>
      <c r="I321" s="0" t="n">
        <v>700</v>
      </c>
      <c r="J321" s="0" t="n">
        <v>0.175</v>
      </c>
      <c r="K321" s="0" t="s">
        <v>452</v>
      </c>
    </row>
    <row r="322" customFormat="false" ht="15" hidden="false" customHeight="false" outlineLevel="0" collapsed="false">
      <c r="A322" s="0" t="n">
        <v>31</v>
      </c>
      <c r="B322" s="0" t="s">
        <v>51</v>
      </c>
      <c r="C322" s="0" t="s">
        <v>68</v>
      </c>
      <c r="D322" s="0" t="s">
        <v>311</v>
      </c>
      <c r="E322" s="0" t="s">
        <v>58</v>
      </c>
      <c r="F322" s="0" t="s">
        <v>28</v>
      </c>
      <c r="I322" s="0" t="n">
        <v>2500</v>
      </c>
      <c r="J322" s="0" t="n">
        <v>0.625</v>
      </c>
      <c r="K322" s="0" t="s">
        <v>453</v>
      </c>
    </row>
    <row r="323" customFormat="false" ht="15" hidden="false" customHeight="false" outlineLevel="0" collapsed="false">
      <c r="A323" s="0" t="n">
        <v>31</v>
      </c>
      <c r="B323" s="0" t="s">
        <v>51</v>
      </c>
      <c r="C323" s="0" t="s">
        <v>68</v>
      </c>
      <c r="D323" s="0" t="s">
        <v>311</v>
      </c>
      <c r="E323" s="0" t="s">
        <v>379</v>
      </c>
      <c r="F323" s="0" t="s">
        <v>29</v>
      </c>
      <c r="G323" s="0" t="n">
        <v>0.7</v>
      </c>
      <c r="H323" s="0" t="n">
        <v>13000</v>
      </c>
      <c r="I323" s="0" t="n">
        <v>9100</v>
      </c>
      <c r="J323" s="0" t="n">
        <v>2.275</v>
      </c>
      <c r="K323" s="0" t="s">
        <v>454</v>
      </c>
      <c r="L323" s="0" t="s">
        <v>455</v>
      </c>
    </row>
    <row r="324" customFormat="false" ht="15" hidden="false" customHeight="false" outlineLevel="0" collapsed="false">
      <c r="A324" s="0" t="n">
        <v>31</v>
      </c>
      <c r="B324" s="0" t="s">
        <v>51</v>
      </c>
      <c r="C324" s="0" t="s">
        <v>68</v>
      </c>
      <c r="D324" s="0" t="s">
        <v>311</v>
      </c>
      <c r="E324" s="0" t="s">
        <v>158</v>
      </c>
      <c r="F324" s="0" t="s">
        <v>28</v>
      </c>
      <c r="I324" s="0" t="n">
        <v>3000</v>
      </c>
      <c r="J324" s="0" t="n">
        <v>0.75</v>
      </c>
      <c r="K324" s="0" t="s">
        <v>456</v>
      </c>
    </row>
    <row r="325" customFormat="false" ht="15" hidden="false" customHeight="false" outlineLevel="0" collapsed="false">
      <c r="A325" s="0" t="n">
        <v>31</v>
      </c>
      <c r="B325" s="0" t="s">
        <v>51</v>
      </c>
      <c r="C325" s="0" t="s">
        <v>68</v>
      </c>
      <c r="D325" s="0" t="s">
        <v>311</v>
      </c>
      <c r="E325" s="0" t="s">
        <v>128</v>
      </c>
      <c r="F325" s="0" t="s">
        <v>28</v>
      </c>
      <c r="I325" s="0" t="n">
        <v>1000</v>
      </c>
      <c r="J325" s="0" t="n">
        <v>0.25</v>
      </c>
      <c r="K325" s="0" t="s">
        <v>457</v>
      </c>
    </row>
    <row r="326" customFormat="false" ht="15" hidden="false" customHeight="false" outlineLevel="0" collapsed="false">
      <c r="A326" s="0" t="n">
        <v>31</v>
      </c>
      <c r="B326" s="0" t="s">
        <v>51</v>
      </c>
      <c r="C326" s="0" t="s">
        <v>68</v>
      </c>
      <c r="D326" s="0" t="s">
        <v>311</v>
      </c>
      <c r="E326" s="0" t="s">
        <v>60</v>
      </c>
      <c r="F326" s="0" t="s">
        <v>27</v>
      </c>
      <c r="I326" s="0" t="n">
        <v>0</v>
      </c>
      <c r="J326" s="0" t="n">
        <v>0</v>
      </c>
      <c r="K326" s="0" t="s">
        <v>458</v>
      </c>
    </row>
    <row r="327" customFormat="false" ht="15" hidden="false" customHeight="false" outlineLevel="0" collapsed="false">
      <c r="A327" s="0" t="n">
        <v>31</v>
      </c>
      <c r="B327" s="0" t="s">
        <v>51</v>
      </c>
      <c r="C327" s="0" t="s">
        <v>68</v>
      </c>
      <c r="D327" s="0" t="s">
        <v>311</v>
      </c>
      <c r="E327" s="0" t="s">
        <v>62</v>
      </c>
      <c r="F327" s="0" t="s">
        <v>27</v>
      </c>
      <c r="I327" s="0" t="n">
        <v>0</v>
      </c>
      <c r="J327" s="0" t="n">
        <v>0</v>
      </c>
      <c r="K327" s="0" t="s">
        <v>459</v>
      </c>
    </row>
    <row r="328" customFormat="false" ht="15" hidden="false" customHeight="false" outlineLevel="0" collapsed="false">
      <c r="A328" s="0" t="n">
        <v>31</v>
      </c>
      <c r="B328" s="0" t="s">
        <v>51</v>
      </c>
      <c r="C328" s="0" t="s">
        <v>68</v>
      </c>
      <c r="D328" s="0" t="s">
        <v>311</v>
      </c>
      <c r="E328" s="0" t="s">
        <v>64</v>
      </c>
      <c r="F328" s="0" t="s">
        <v>27</v>
      </c>
      <c r="I328" s="0" t="n">
        <v>750</v>
      </c>
      <c r="J328" s="0" t="n">
        <v>0.1875</v>
      </c>
      <c r="K328" s="0" t="s">
        <v>460</v>
      </c>
    </row>
    <row r="329" customFormat="false" ht="15" hidden="false" customHeight="false" outlineLevel="0" collapsed="false">
      <c r="A329" s="0" t="n">
        <v>31</v>
      </c>
      <c r="B329" s="0" t="s">
        <v>51</v>
      </c>
      <c r="C329" s="0" t="s">
        <v>68</v>
      </c>
      <c r="D329" s="0" t="s">
        <v>311</v>
      </c>
      <c r="E329" s="0" t="s">
        <v>66</v>
      </c>
      <c r="F329" s="0" t="s">
        <v>27</v>
      </c>
      <c r="I329" s="0" t="n">
        <v>350</v>
      </c>
      <c r="J329" s="0" t="n">
        <v>0.0875</v>
      </c>
      <c r="K329" s="0" t="s">
        <v>461</v>
      </c>
    </row>
    <row r="330" customFormat="false" ht="15" hidden="false" customHeight="false" outlineLevel="0" collapsed="false">
      <c r="A330" s="0" t="n">
        <v>31</v>
      </c>
      <c r="B330" s="0" t="s">
        <v>51</v>
      </c>
      <c r="C330" s="0" t="s">
        <v>68</v>
      </c>
      <c r="D330" s="0" t="s">
        <v>311</v>
      </c>
      <c r="E330" s="0" t="s">
        <v>68</v>
      </c>
      <c r="F330" s="0" t="s">
        <v>30</v>
      </c>
      <c r="I330" s="0" t="n">
        <v>3000</v>
      </c>
      <c r="J330" s="0" t="n">
        <v>0.75</v>
      </c>
      <c r="K330" s="0" t="s">
        <v>462</v>
      </c>
    </row>
    <row r="331" customFormat="false" ht="15" hidden="false" customHeight="false" outlineLevel="0" collapsed="false">
      <c r="A331" s="0" t="n">
        <v>32</v>
      </c>
      <c r="B331" s="0" t="s">
        <v>51</v>
      </c>
      <c r="C331" s="0" t="s">
        <v>68</v>
      </c>
      <c r="D331" s="0" t="s">
        <v>311</v>
      </c>
      <c r="E331" s="0" t="s">
        <v>53</v>
      </c>
      <c r="F331" s="0" t="s">
        <v>27</v>
      </c>
      <c r="G331" s="0" t="n">
        <v>0.5</v>
      </c>
      <c r="H331" s="0" t="n">
        <v>1.3</v>
      </c>
      <c r="I331" s="0" t="n">
        <v>2600</v>
      </c>
      <c r="J331" s="0" t="n">
        <v>0.65</v>
      </c>
      <c r="K331" s="0" t="s">
        <v>463</v>
      </c>
      <c r="L331" s="0" t="s">
        <v>464</v>
      </c>
    </row>
    <row r="332" customFormat="false" ht="15" hidden="false" customHeight="false" outlineLevel="0" collapsed="false">
      <c r="A332" s="0" t="n">
        <v>32</v>
      </c>
      <c r="B332" s="0" t="s">
        <v>51</v>
      </c>
      <c r="C332" s="0" t="s">
        <v>68</v>
      </c>
      <c r="D332" s="0" t="s">
        <v>311</v>
      </c>
      <c r="E332" s="0" t="s">
        <v>56</v>
      </c>
      <c r="F332" s="0" t="s">
        <v>28</v>
      </c>
      <c r="I332" s="0" t="n">
        <v>700</v>
      </c>
      <c r="J332" s="0" t="n">
        <v>0.175</v>
      </c>
      <c r="K332" s="0" t="s">
        <v>465</v>
      </c>
    </row>
    <row r="333" customFormat="false" ht="15" hidden="false" customHeight="false" outlineLevel="0" collapsed="false">
      <c r="A333" s="0" t="n">
        <v>32</v>
      </c>
      <c r="B333" s="0" t="s">
        <v>51</v>
      </c>
      <c r="C333" s="0" t="s">
        <v>68</v>
      </c>
      <c r="D333" s="0" t="s">
        <v>311</v>
      </c>
      <c r="E333" s="0" t="s">
        <v>58</v>
      </c>
      <c r="F333" s="0" t="s">
        <v>28</v>
      </c>
      <c r="I333" s="0" t="n">
        <v>4500</v>
      </c>
      <c r="J333" s="0" t="n">
        <v>1.125</v>
      </c>
      <c r="K333" s="0" t="s">
        <v>466</v>
      </c>
    </row>
    <row r="334" customFormat="false" ht="15" hidden="false" customHeight="false" outlineLevel="0" collapsed="false">
      <c r="A334" s="0" t="n">
        <v>32</v>
      </c>
      <c r="B334" s="0" t="s">
        <v>51</v>
      </c>
      <c r="C334" s="0" t="s">
        <v>68</v>
      </c>
      <c r="D334" s="0" t="s">
        <v>311</v>
      </c>
      <c r="E334" s="0" t="s">
        <v>379</v>
      </c>
      <c r="F334" s="0" t="s">
        <v>29</v>
      </c>
      <c r="G334" s="0" t="n">
        <v>0.5</v>
      </c>
      <c r="H334" s="0" t="n">
        <v>11000</v>
      </c>
      <c r="I334" s="0" t="n">
        <v>5500</v>
      </c>
      <c r="J334" s="0" t="n">
        <v>1.375</v>
      </c>
      <c r="K334" s="0" t="s">
        <v>467</v>
      </c>
      <c r="L334" s="0" t="s">
        <v>468</v>
      </c>
    </row>
    <row r="335" customFormat="false" ht="15" hidden="false" customHeight="false" outlineLevel="0" collapsed="false">
      <c r="A335" s="0" t="n">
        <v>32</v>
      </c>
      <c r="B335" s="0" t="s">
        <v>51</v>
      </c>
      <c r="C335" s="0" t="s">
        <v>68</v>
      </c>
      <c r="D335" s="0" t="s">
        <v>311</v>
      </c>
      <c r="E335" s="0" t="s">
        <v>158</v>
      </c>
      <c r="F335" s="0" t="s">
        <v>28</v>
      </c>
      <c r="I335" s="0" t="n">
        <v>0</v>
      </c>
      <c r="J335" s="0" t="n">
        <v>0</v>
      </c>
      <c r="K335" s="0" t="s">
        <v>469</v>
      </c>
    </row>
    <row r="336" customFormat="false" ht="15" hidden="false" customHeight="false" outlineLevel="0" collapsed="false">
      <c r="A336" s="0" t="n">
        <v>32</v>
      </c>
      <c r="B336" s="0" t="s">
        <v>51</v>
      </c>
      <c r="C336" s="0" t="s">
        <v>68</v>
      </c>
      <c r="D336" s="0" t="s">
        <v>311</v>
      </c>
      <c r="E336" s="0" t="s">
        <v>128</v>
      </c>
      <c r="F336" s="0" t="s">
        <v>28</v>
      </c>
      <c r="I336" s="0" t="n">
        <v>1000</v>
      </c>
      <c r="J336" s="0" t="n">
        <v>0.25</v>
      </c>
      <c r="K336" s="0" t="s">
        <v>470</v>
      </c>
    </row>
    <row r="337" customFormat="false" ht="15" hidden="false" customHeight="false" outlineLevel="0" collapsed="false">
      <c r="A337" s="0" t="n">
        <v>32</v>
      </c>
      <c r="B337" s="0" t="s">
        <v>51</v>
      </c>
      <c r="C337" s="0" t="s">
        <v>68</v>
      </c>
      <c r="D337" s="0" t="s">
        <v>311</v>
      </c>
      <c r="E337" s="0" t="s">
        <v>60</v>
      </c>
      <c r="F337" s="0" t="s">
        <v>27</v>
      </c>
      <c r="I337" s="0" t="n">
        <v>0</v>
      </c>
      <c r="J337" s="0" t="n">
        <v>0</v>
      </c>
      <c r="K337" s="0" t="s">
        <v>471</v>
      </c>
    </row>
    <row r="338" customFormat="false" ht="15" hidden="false" customHeight="false" outlineLevel="0" collapsed="false">
      <c r="A338" s="0" t="n">
        <v>32</v>
      </c>
      <c r="B338" s="0" t="s">
        <v>51</v>
      </c>
      <c r="C338" s="0" t="s">
        <v>68</v>
      </c>
      <c r="D338" s="0" t="s">
        <v>311</v>
      </c>
      <c r="E338" s="0" t="s">
        <v>62</v>
      </c>
      <c r="F338" s="0" t="s">
        <v>27</v>
      </c>
      <c r="I338" s="0" t="n">
        <v>0</v>
      </c>
      <c r="J338" s="0" t="n">
        <v>0</v>
      </c>
      <c r="K338" s="0" t="s">
        <v>472</v>
      </c>
    </row>
    <row r="339" customFormat="false" ht="15" hidden="false" customHeight="false" outlineLevel="0" collapsed="false">
      <c r="A339" s="0" t="n">
        <v>32</v>
      </c>
      <c r="B339" s="0" t="s">
        <v>51</v>
      </c>
      <c r="C339" s="0" t="s">
        <v>68</v>
      </c>
      <c r="D339" s="0" t="s">
        <v>311</v>
      </c>
      <c r="E339" s="0" t="s">
        <v>64</v>
      </c>
      <c r="F339" s="0" t="s">
        <v>27</v>
      </c>
      <c r="I339" s="0" t="n">
        <v>0</v>
      </c>
      <c r="J339" s="0" t="n">
        <v>0</v>
      </c>
      <c r="K339" s="0" t="s">
        <v>473</v>
      </c>
    </row>
    <row r="340" customFormat="false" ht="15" hidden="false" customHeight="false" outlineLevel="0" collapsed="false">
      <c r="A340" s="0" t="n">
        <v>32</v>
      </c>
      <c r="B340" s="0" t="s">
        <v>51</v>
      </c>
      <c r="C340" s="0" t="s">
        <v>68</v>
      </c>
      <c r="D340" s="0" t="s">
        <v>311</v>
      </c>
      <c r="E340" s="0" t="s">
        <v>66</v>
      </c>
      <c r="F340" s="0" t="s">
        <v>27</v>
      </c>
      <c r="I340" s="0" t="n">
        <v>0</v>
      </c>
      <c r="J340" s="0" t="n">
        <v>0</v>
      </c>
      <c r="K340" s="0" t="s">
        <v>474</v>
      </c>
    </row>
    <row r="341" customFormat="false" ht="15" hidden="false" customHeight="false" outlineLevel="0" collapsed="false">
      <c r="A341" s="0" t="n">
        <v>32</v>
      </c>
      <c r="B341" s="0" t="s">
        <v>51</v>
      </c>
      <c r="C341" s="0" t="s">
        <v>68</v>
      </c>
      <c r="D341" s="0" t="s">
        <v>311</v>
      </c>
      <c r="E341" s="0" t="s">
        <v>68</v>
      </c>
      <c r="F341" s="0" t="s">
        <v>30</v>
      </c>
      <c r="I341" s="0" t="n">
        <v>2700</v>
      </c>
      <c r="J341" s="0" t="n">
        <v>0.675</v>
      </c>
      <c r="K341" s="0" t="s">
        <v>475</v>
      </c>
    </row>
    <row r="342" customFormat="false" ht="15" hidden="false" customHeight="false" outlineLevel="0" collapsed="false">
      <c r="A342" s="0" t="n">
        <v>33</v>
      </c>
      <c r="B342" s="0" t="s">
        <v>51</v>
      </c>
      <c r="C342" s="0" t="s">
        <v>68</v>
      </c>
      <c r="D342" s="0" t="s">
        <v>296</v>
      </c>
      <c r="E342" s="0" t="s">
        <v>53</v>
      </c>
      <c r="F342" s="0" t="s">
        <v>27</v>
      </c>
      <c r="G342" s="0" t="n">
        <v>0.8</v>
      </c>
      <c r="H342" s="0" t="n">
        <v>2.6</v>
      </c>
      <c r="I342" s="0" t="n">
        <v>8320</v>
      </c>
      <c r="J342" s="0" t="n">
        <v>2.08</v>
      </c>
      <c r="K342" s="0" t="s">
        <v>476</v>
      </c>
      <c r="L342" s="0" t="s">
        <v>401</v>
      </c>
    </row>
    <row r="343" customFormat="false" ht="15" hidden="false" customHeight="false" outlineLevel="0" collapsed="false">
      <c r="A343" s="0" t="n">
        <v>33</v>
      </c>
      <c r="B343" s="0" t="s">
        <v>51</v>
      </c>
      <c r="C343" s="0" t="s">
        <v>68</v>
      </c>
      <c r="D343" s="0" t="s">
        <v>296</v>
      </c>
      <c r="E343" s="0" t="s">
        <v>56</v>
      </c>
      <c r="F343" s="0" t="s">
        <v>28</v>
      </c>
      <c r="I343" s="0" t="n">
        <v>700</v>
      </c>
      <c r="J343" s="0" t="n">
        <v>0.175</v>
      </c>
      <c r="K343" s="0" t="s">
        <v>477</v>
      </c>
    </row>
    <row r="344" customFormat="false" ht="15" hidden="false" customHeight="false" outlineLevel="0" collapsed="false">
      <c r="A344" s="0" t="n">
        <v>33</v>
      </c>
      <c r="B344" s="0" t="s">
        <v>51</v>
      </c>
      <c r="C344" s="0" t="s">
        <v>68</v>
      </c>
      <c r="D344" s="0" t="s">
        <v>296</v>
      </c>
      <c r="E344" s="0" t="s">
        <v>58</v>
      </c>
      <c r="F344" s="0" t="s">
        <v>28</v>
      </c>
      <c r="I344" s="0" t="n">
        <v>2500</v>
      </c>
      <c r="J344" s="0" t="n">
        <v>0.625</v>
      </c>
      <c r="K344" s="0" t="s">
        <v>478</v>
      </c>
    </row>
    <row r="345" customFormat="false" ht="15" hidden="false" customHeight="false" outlineLevel="0" collapsed="false">
      <c r="A345" s="0" t="n">
        <v>33</v>
      </c>
      <c r="B345" s="0" t="s">
        <v>51</v>
      </c>
      <c r="C345" s="0" t="s">
        <v>68</v>
      </c>
      <c r="D345" s="0" t="s">
        <v>296</v>
      </c>
      <c r="E345" s="0" t="s">
        <v>379</v>
      </c>
      <c r="F345" s="0" t="s">
        <v>29</v>
      </c>
      <c r="G345" s="0" t="n">
        <v>1</v>
      </c>
      <c r="H345" s="0" t="n">
        <v>13000</v>
      </c>
      <c r="I345" s="0" t="n">
        <v>13000</v>
      </c>
      <c r="J345" s="0" t="n">
        <v>3.25</v>
      </c>
      <c r="K345" s="0" t="s">
        <v>479</v>
      </c>
      <c r="L345" s="0" t="s">
        <v>480</v>
      </c>
    </row>
    <row r="346" customFormat="false" ht="15" hidden="false" customHeight="false" outlineLevel="0" collapsed="false">
      <c r="A346" s="0" t="n">
        <v>33</v>
      </c>
      <c r="B346" s="0" t="s">
        <v>51</v>
      </c>
      <c r="C346" s="0" t="s">
        <v>68</v>
      </c>
      <c r="D346" s="0" t="s">
        <v>296</v>
      </c>
      <c r="E346" s="0" t="s">
        <v>158</v>
      </c>
      <c r="F346" s="0" t="s">
        <v>28</v>
      </c>
      <c r="I346" s="0" t="n">
        <v>2000</v>
      </c>
      <c r="J346" s="0" t="n">
        <v>0.5</v>
      </c>
      <c r="K346" s="0" t="s">
        <v>481</v>
      </c>
    </row>
    <row r="347" customFormat="false" ht="15" hidden="false" customHeight="false" outlineLevel="0" collapsed="false">
      <c r="A347" s="0" t="n">
        <v>33</v>
      </c>
      <c r="B347" s="0" t="s">
        <v>51</v>
      </c>
      <c r="C347" s="0" t="s">
        <v>68</v>
      </c>
      <c r="D347" s="0" t="s">
        <v>296</v>
      </c>
      <c r="E347" s="0" t="s">
        <v>128</v>
      </c>
      <c r="F347" s="0" t="s">
        <v>28</v>
      </c>
      <c r="I347" s="0" t="n">
        <v>2000</v>
      </c>
      <c r="J347" s="0" t="n">
        <v>0.5</v>
      </c>
      <c r="K347" s="0" t="s">
        <v>482</v>
      </c>
    </row>
    <row r="348" customFormat="false" ht="15" hidden="false" customHeight="false" outlineLevel="0" collapsed="false">
      <c r="A348" s="0" t="n">
        <v>33</v>
      </c>
      <c r="B348" s="0" t="s">
        <v>51</v>
      </c>
      <c r="C348" s="0" t="s">
        <v>68</v>
      </c>
      <c r="D348" s="0" t="s">
        <v>296</v>
      </c>
      <c r="E348" s="0" t="s">
        <v>60</v>
      </c>
      <c r="F348" s="0" t="s">
        <v>27</v>
      </c>
      <c r="I348" s="0" t="n">
        <v>500</v>
      </c>
      <c r="J348" s="0" t="n">
        <v>0.125</v>
      </c>
      <c r="K348" s="0" t="s">
        <v>483</v>
      </c>
    </row>
    <row r="349" customFormat="false" ht="15" hidden="false" customHeight="false" outlineLevel="0" collapsed="false">
      <c r="A349" s="0" t="n">
        <v>33</v>
      </c>
      <c r="B349" s="0" t="s">
        <v>51</v>
      </c>
      <c r="C349" s="0" t="s">
        <v>68</v>
      </c>
      <c r="D349" s="0" t="s">
        <v>296</v>
      </c>
      <c r="E349" s="0" t="s">
        <v>62</v>
      </c>
      <c r="F349" s="0" t="s">
        <v>27</v>
      </c>
      <c r="I349" s="0" t="n">
        <v>100</v>
      </c>
      <c r="J349" s="0" t="n">
        <v>0.025</v>
      </c>
      <c r="K349" s="0" t="s">
        <v>484</v>
      </c>
    </row>
    <row r="350" customFormat="false" ht="15" hidden="false" customHeight="false" outlineLevel="0" collapsed="false">
      <c r="A350" s="0" t="n">
        <v>33</v>
      </c>
      <c r="B350" s="0" t="s">
        <v>51</v>
      </c>
      <c r="C350" s="0" t="s">
        <v>68</v>
      </c>
      <c r="D350" s="0" t="s">
        <v>296</v>
      </c>
      <c r="E350" s="0" t="s">
        <v>64</v>
      </c>
      <c r="F350" s="0" t="s">
        <v>27</v>
      </c>
      <c r="I350" s="0" t="n">
        <v>750</v>
      </c>
      <c r="J350" s="0" t="n">
        <v>0.1875</v>
      </c>
      <c r="K350" s="0" t="s">
        <v>485</v>
      </c>
    </row>
    <row r="351" customFormat="false" ht="15" hidden="false" customHeight="false" outlineLevel="0" collapsed="false">
      <c r="A351" s="0" t="n">
        <v>33</v>
      </c>
      <c r="B351" s="0" t="s">
        <v>51</v>
      </c>
      <c r="C351" s="0" t="s">
        <v>68</v>
      </c>
      <c r="D351" s="0" t="s">
        <v>296</v>
      </c>
      <c r="E351" s="0" t="s">
        <v>66</v>
      </c>
      <c r="F351" s="0" t="s">
        <v>27</v>
      </c>
      <c r="I351" s="0" t="n">
        <v>350</v>
      </c>
      <c r="J351" s="0" t="n">
        <v>0.0875</v>
      </c>
      <c r="K351" s="0" t="s">
        <v>486</v>
      </c>
    </row>
    <row r="352" customFormat="false" ht="15" hidden="false" customHeight="false" outlineLevel="0" collapsed="false">
      <c r="A352" s="0" t="n">
        <v>33</v>
      </c>
      <c r="B352" s="0" t="s">
        <v>51</v>
      </c>
      <c r="C352" s="0" t="s">
        <v>68</v>
      </c>
      <c r="D352" s="0" t="s">
        <v>296</v>
      </c>
      <c r="E352" s="0" t="s">
        <v>68</v>
      </c>
      <c r="F352" s="0" t="s">
        <v>30</v>
      </c>
      <c r="I352" s="0" t="n">
        <v>4000</v>
      </c>
      <c r="J352" s="0" t="n">
        <v>1</v>
      </c>
      <c r="K352" s="0" t="s">
        <v>487</v>
      </c>
    </row>
    <row r="353" customFormat="false" ht="15" hidden="false" customHeight="false" outlineLevel="0" collapsed="false">
      <c r="A353" s="0" t="n">
        <v>34</v>
      </c>
      <c r="B353" s="0" t="s">
        <v>51</v>
      </c>
      <c r="C353" s="0" t="s">
        <v>68</v>
      </c>
      <c r="D353" s="0" t="s">
        <v>296</v>
      </c>
      <c r="E353" s="0" t="s">
        <v>53</v>
      </c>
      <c r="F353" s="0" t="s">
        <v>27</v>
      </c>
      <c r="G353" s="0" t="n">
        <v>0.8</v>
      </c>
      <c r="H353" s="0" t="n">
        <v>1.07</v>
      </c>
      <c r="I353" s="0" t="n">
        <v>3424</v>
      </c>
      <c r="J353" s="0" t="n">
        <v>0.856</v>
      </c>
      <c r="K353" s="0" t="s">
        <v>488</v>
      </c>
      <c r="L353" s="0" t="s">
        <v>489</v>
      </c>
    </row>
    <row r="354" customFormat="false" ht="15" hidden="false" customHeight="false" outlineLevel="0" collapsed="false">
      <c r="A354" s="0" t="n">
        <v>34</v>
      </c>
      <c r="B354" s="0" t="s">
        <v>51</v>
      </c>
      <c r="C354" s="0" t="s">
        <v>68</v>
      </c>
      <c r="D354" s="0" t="s">
        <v>296</v>
      </c>
      <c r="E354" s="0" t="s">
        <v>56</v>
      </c>
      <c r="F354" s="0" t="s">
        <v>28</v>
      </c>
      <c r="I354" s="0" t="n">
        <v>700</v>
      </c>
      <c r="J354" s="0" t="n">
        <v>0.175</v>
      </c>
      <c r="K354" s="0" t="s">
        <v>490</v>
      </c>
    </row>
    <row r="355" customFormat="false" ht="15" hidden="false" customHeight="false" outlineLevel="0" collapsed="false">
      <c r="A355" s="0" t="n">
        <v>34</v>
      </c>
      <c r="B355" s="0" t="s">
        <v>51</v>
      </c>
      <c r="C355" s="0" t="s">
        <v>68</v>
      </c>
      <c r="D355" s="0" t="s">
        <v>296</v>
      </c>
      <c r="E355" s="0" t="s">
        <v>58</v>
      </c>
      <c r="F355" s="0" t="s">
        <v>28</v>
      </c>
      <c r="I355" s="0" t="n">
        <v>1300</v>
      </c>
      <c r="J355" s="0" t="n">
        <v>0.325</v>
      </c>
      <c r="K355" s="0" t="s">
        <v>491</v>
      </c>
    </row>
    <row r="356" customFormat="false" ht="15" hidden="false" customHeight="false" outlineLevel="0" collapsed="false">
      <c r="A356" s="0" t="n">
        <v>34</v>
      </c>
      <c r="B356" s="0" t="s">
        <v>51</v>
      </c>
      <c r="C356" s="0" t="s">
        <v>68</v>
      </c>
      <c r="D356" s="0" t="s">
        <v>296</v>
      </c>
      <c r="E356" s="0" t="s">
        <v>379</v>
      </c>
      <c r="F356" s="0" t="s">
        <v>29</v>
      </c>
      <c r="G356" s="0" t="n">
        <v>0.8</v>
      </c>
      <c r="H356" s="0" t="n">
        <v>10000</v>
      </c>
      <c r="I356" s="0" t="n">
        <v>8000</v>
      </c>
      <c r="J356" s="0" t="n">
        <v>2</v>
      </c>
      <c r="K356" s="0" t="s">
        <v>492</v>
      </c>
      <c r="L356" s="0" t="s">
        <v>493</v>
      </c>
    </row>
    <row r="357" customFormat="false" ht="15" hidden="false" customHeight="false" outlineLevel="0" collapsed="false">
      <c r="A357" s="0" t="n">
        <v>34</v>
      </c>
      <c r="B357" s="0" t="s">
        <v>51</v>
      </c>
      <c r="C357" s="0" t="s">
        <v>68</v>
      </c>
      <c r="D357" s="0" t="s">
        <v>296</v>
      </c>
      <c r="E357" s="0" t="s">
        <v>158</v>
      </c>
      <c r="F357" s="0" t="s">
        <v>28</v>
      </c>
      <c r="I357" s="0" t="n">
        <v>0</v>
      </c>
      <c r="J357" s="0" t="n">
        <v>0</v>
      </c>
      <c r="K357" s="0" t="s">
        <v>494</v>
      </c>
    </row>
    <row r="358" customFormat="false" ht="15" hidden="false" customHeight="false" outlineLevel="0" collapsed="false">
      <c r="A358" s="0" t="n">
        <v>34</v>
      </c>
      <c r="B358" s="0" t="s">
        <v>51</v>
      </c>
      <c r="C358" s="0" t="s">
        <v>68</v>
      </c>
      <c r="D358" s="0" t="s">
        <v>296</v>
      </c>
      <c r="E358" s="0" t="s">
        <v>128</v>
      </c>
      <c r="F358" s="0" t="s">
        <v>28</v>
      </c>
      <c r="I358" s="0" t="n">
        <v>0</v>
      </c>
      <c r="J358" s="0" t="n">
        <v>0</v>
      </c>
      <c r="K358" s="0" t="s">
        <v>495</v>
      </c>
    </row>
    <row r="359" customFormat="false" ht="15" hidden="false" customHeight="false" outlineLevel="0" collapsed="false">
      <c r="A359" s="0" t="n">
        <v>34</v>
      </c>
      <c r="B359" s="0" t="s">
        <v>51</v>
      </c>
      <c r="C359" s="0" t="s">
        <v>68</v>
      </c>
      <c r="D359" s="0" t="s">
        <v>296</v>
      </c>
      <c r="E359" s="0" t="s">
        <v>60</v>
      </c>
      <c r="F359" s="0" t="s">
        <v>27</v>
      </c>
      <c r="I359" s="0" t="n">
        <v>132</v>
      </c>
      <c r="J359" s="0" t="n">
        <v>0.033</v>
      </c>
      <c r="K359" s="0" t="s">
        <v>496</v>
      </c>
    </row>
    <row r="360" customFormat="false" ht="15" hidden="false" customHeight="false" outlineLevel="0" collapsed="false">
      <c r="A360" s="0" t="n">
        <v>34</v>
      </c>
      <c r="B360" s="0" t="s">
        <v>51</v>
      </c>
      <c r="C360" s="0" t="s">
        <v>68</v>
      </c>
      <c r="D360" s="0" t="s">
        <v>296</v>
      </c>
      <c r="E360" s="0" t="s">
        <v>62</v>
      </c>
      <c r="F360" s="0" t="s">
        <v>27</v>
      </c>
      <c r="I360" s="0" t="n">
        <v>530</v>
      </c>
      <c r="J360" s="0" t="n">
        <v>0.1325</v>
      </c>
      <c r="K360" s="0" t="s">
        <v>497</v>
      </c>
    </row>
    <row r="361" customFormat="false" ht="15" hidden="false" customHeight="false" outlineLevel="0" collapsed="false">
      <c r="A361" s="0" t="n">
        <v>34</v>
      </c>
      <c r="B361" s="0" t="s">
        <v>51</v>
      </c>
      <c r="C361" s="0" t="s">
        <v>68</v>
      </c>
      <c r="D361" s="0" t="s">
        <v>296</v>
      </c>
      <c r="E361" s="0" t="s">
        <v>64</v>
      </c>
      <c r="F361" s="0" t="s">
        <v>27</v>
      </c>
      <c r="I361" s="0" t="n">
        <v>0</v>
      </c>
      <c r="J361" s="0" t="n">
        <v>0</v>
      </c>
      <c r="K361" s="0" t="s">
        <v>498</v>
      </c>
    </row>
    <row r="362" customFormat="false" ht="15" hidden="false" customHeight="false" outlineLevel="0" collapsed="false">
      <c r="A362" s="0" t="n">
        <v>34</v>
      </c>
      <c r="B362" s="0" t="s">
        <v>51</v>
      </c>
      <c r="C362" s="0" t="s">
        <v>68</v>
      </c>
      <c r="D362" s="0" t="s">
        <v>296</v>
      </c>
      <c r="E362" s="0" t="s">
        <v>66</v>
      </c>
      <c r="F362" s="0" t="s">
        <v>27</v>
      </c>
      <c r="I362" s="0" t="n">
        <v>250</v>
      </c>
      <c r="J362" s="0" t="n">
        <v>0.0625</v>
      </c>
      <c r="K362" s="0" t="s">
        <v>499</v>
      </c>
    </row>
    <row r="363" customFormat="false" ht="15" hidden="false" customHeight="false" outlineLevel="0" collapsed="false">
      <c r="A363" s="0" t="n">
        <v>34</v>
      </c>
      <c r="B363" s="0" t="s">
        <v>51</v>
      </c>
      <c r="C363" s="0" t="s">
        <v>68</v>
      </c>
      <c r="D363" s="0" t="s">
        <v>296</v>
      </c>
      <c r="E363" s="0" t="s">
        <v>68</v>
      </c>
      <c r="F363" s="0" t="s">
        <v>30</v>
      </c>
      <c r="I363" s="0" t="n">
        <v>0</v>
      </c>
      <c r="J363" s="0" t="n">
        <v>0</v>
      </c>
      <c r="K363" s="0" t="s">
        <v>500</v>
      </c>
    </row>
    <row r="364" customFormat="false" ht="15" hidden="false" customHeight="false" outlineLevel="0" collapsed="false">
      <c r="A364" s="0" t="n">
        <v>35</v>
      </c>
      <c r="B364" s="0" t="s">
        <v>51</v>
      </c>
      <c r="C364" s="0" t="s">
        <v>68</v>
      </c>
      <c r="D364" s="0" t="s">
        <v>349</v>
      </c>
      <c r="E364" s="0" t="s">
        <v>53</v>
      </c>
      <c r="F364" s="0" t="s">
        <v>27</v>
      </c>
      <c r="G364" s="0" t="n">
        <v>0.8</v>
      </c>
      <c r="H364" s="0" t="n">
        <v>2</v>
      </c>
      <c r="I364" s="0" t="n">
        <v>6400</v>
      </c>
      <c r="J364" s="0" t="n">
        <v>1.6</v>
      </c>
      <c r="K364" s="0" t="s">
        <v>501</v>
      </c>
      <c r="L364" s="0" t="s">
        <v>72</v>
      </c>
    </row>
    <row r="365" customFormat="false" ht="15" hidden="false" customHeight="false" outlineLevel="0" collapsed="false">
      <c r="A365" s="0" t="n">
        <v>35</v>
      </c>
      <c r="B365" s="0" t="s">
        <v>51</v>
      </c>
      <c r="C365" s="0" t="s">
        <v>68</v>
      </c>
      <c r="D365" s="0" t="s">
        <v>349</v>
      </c>
      <c r="E365" s="0" t="s">
        <v>56</v>
      </c>
      <c r="F365" s="0" t="s">
        <v>28</v>
      </c>
      <c r="I365" s="0" t="n">
        <v>700</v>
      </c>
      <c r="J365" s="0" t="n">
        <v>0.175</v>
      </c>
      <c r="K365" s="0" t="s">
        <v>502</v>
      </c>
    </row>
    <row r="366" customFormat="false" ht="15" hidden="false" customHeight="false" outlineLevel="0" collapsed="false">
      <c r="A366" s="0" t="n">
        <v>35</v>
      </c>
      <c r="B366" s="0" t="s">
        <v>51</v>
      </c>
      <c r="C366" s="0" t="s">
        <v>68</v>
      </c>
      <c r="D366" s="0" t="s">
        <v>349</v>
      </c>
      <c r="E366" s="0" t="s">
        <v>58</v>
      </c>
      <c r="F366" s="0" t="s">
        <v>28</v>
      </c>
      <c r="I366" s="0" t="n">
        <v>2500</v>
      </c>
      <c r="J366" s="0" t="n">
        <v>0.625</v>
      </c>
      <c r="K366" s="0" t="s">
        <v>503</v>
      </c>
    </row>
    <row r="367" customFormat="false" ht="15" hidden="false" customHeight="false" outlineLevel="0" collapsed="false">
      <c r="A367" s="0" t="n">
        <v>35</v>
      </c>
      <c r="B367" s="0" t="s">
        <v>51</v>
      </c>
      <c r="C367" s="0" t="s">
        <v>68</v>
      </c>
      <c r="D367" s="0" t="s">
        <v>349</v>
      </c>
      <c r="E367" s="0" t="s">
        <v>379</v>
      </c>
      <c r="F367" s="0" t="s">
        <v>29</v>
      </c>
      <c r="G367" s="0" t="n">
        <v>12000</v>
      </c>
      <c r="H367" s="0" t="n">
        <v>2</v>
      </c>
      <c r="I367" s="0" t="n">
        <v>6000</v>
      </c>
      <c r="J367" s="0" t="n">
        <v>1.5</v>
      </c>
      <c r="K367" s="0" t="s">
        <v>504</v>
      </c>
      <c r="L367" s="0" t="s">
        <v>505</v>
      </c>
    </row>
    <row r="368" customFormat="false" ht="15" hidden="false" customHeight="false" outlineLevel="0" collapsed="false">
      <c r="A368" s="0" t="n">
        <v>35</v>
      </c>
      <c r="B368" s="0" t="s">
        <v>51</v>
      </c>
      <c r="C368" s="0" t="s">
        <v>68</v>
      </c>
      <c r="D368" s="0" t="s">
        <v>349</v>
      </c>
      <c r="E368" s="0" t="s">
        <v>158</v>
      </c>
      <c r="F368" s="0" t="s">
        <v>28</v>
      </c>
      <c r="I368" s="0" t="n">
        <v>2000</v>
      </c>
      <c r="J368" s="0" t="n">
        <v>0.5</v>
      </c>
      <c r="K368" s="0" t="s">
        <v>506</v>
      </c>
    </row>
    <row r="369" customFormat="false" ht="15" hidden="false" customHeight="false" outlineLevel="0" collapsed="false">
      <c r="A369" s="0" t="n">
        <v>35</v>
      </c>
      <c r="B369" s="0" t="s">
        <v>51</v>
      </c>
      <c r="C369" s="0" t="s">
        <v>68</v>
      </c>
      <c r="D369" s="0" t="s">
        <v>349</v>
      </c>
      <c r="E369" s="0" t="s">
        <v>128</v>
      </c>
      <c r="F369" s="0" t="s">
        <v>28</v>
      </c>
      <c r="G369" s="0" t="n">
        <v>3</v>
      </c>
      <c r="H369" s="0" t="n">
        <v>500</v>
      </c>
      <c r="I369" s="0" t="n">
        <v>1500</v>
      </c>
      <c r="J369" s="0" t="n">
        <v>0.375</v>
      </c>
      <c r="K369" s="0" t="s">
        <v>507</v>
      </c>
      <c r="L369" s="0" t="s">
        <v>508</v>
      </c>
    </row>
    <row r="370" customFormat="false" ht="15" hidden="false" customHeight="false" outlineLevel="0" collapsed="false">
      <c r="A370" s="0" t="n">
        <v>35</v>
      </c>
      <c r="B370" s="0" t="s">
        <v>51</v>
      </c>
      <c r="C370" s="0" t="s">
        <v>68</v>
      </c>
      <c r="D370" s="0" t="s">
        <v>349</v>
      </c>
      <c r="E370" s="0" t="s">
        <v>60</v>
      </c>
      <c r="F370" s="0" t="s">
        <v>27</v>
      </c>
      <c r="I370" s="0" t="n">
        <v>65</v>
      </c>
      <c r="J370" s="0" t="n">
        <v>0.01625</v>
      </c>
      <c r="K370" s="0" t="s">
        <v>509</v>
      </c>
    </row>
    <row r="371" customFormat="false" ht="15" hidden="false" customHeight="false" outlineLevel="0" collapsed="false">
      <c r="A371" s="0" t="n">
        <v>35</v>
      </c>
      <c r="B371" s="0" t="s">
        <v>51</v>
      </c>
      <c r="C371" s="0" t="s">
        <v>68</v>
      </c>
      <c r="D371" s="0" t="s">
        <v>349</v>
      </c>
      <c r="E371" s="0" t="s">
        <v>62</v>
      </c>
      <c r="F371" s="0" t="s">
        <v>27</v>
      </c>
      <c r="I371" s="0" t="n">
        <v>0</v>
      </c>
      <c r="J371" s="0" t="n">
        <v>0</v>
      </c>
      <c r="K371" s="0" t="s">
        <v>510</v>
      </c>
    </row>
    <row r="372" customFormat="false" ht="15" hidden="false" customHeight="false" outlineLevel="0" collapsed="false">
      <c r="A372" s="0" t="n">
        <v>35</v>
      </c>
      <c r="B372" s="0" t="s">
        <v>51</v>
      </c>
      <c r="C372" s="0" t="s">
        <v>68</v>
      </c>
      <c r="D372" s="0" t="s">
        <v>349</v>
      </c>
      <c r="E372" s="0" t="s">
        <v>64</v>
      </c>
      <c r="F372" s="0" t="s">
        <v>27</v>
      </c>
      <c r="I372" s="0" t="n">
        <v>50</v>
      </c>
      <c r="J372" s="0" t="n">
        <v>0.0125</v>
      </c>
      <c r="K372" s="0" t="s">
        <v>511</v>
      </c>
    </row>
    <row r="373" customFormat="false" ht="15" hidden="false" customHeight="false" outlineLevel="0" collapsed="false">
      <c r="A373" s="0" t="n">
        <v>35</v>
      </c>
      <c r="B373" s="0" t="s">
        <v>51</v>
      </c>
      <c r="C373" s="0" t="s">
        <v>68</v>
      </c>
      <c r="D373" s="0" t="s">
        <v>349</v>
      </c>
      <c r="E373" s="0" t="s">
        <v>66</v>
      </c>
      <c r="F373" s="0" t="s">
        <v>27</v>
      </c>
      <c r="I373" s="0" t="n">
        <v>250</v>
      </c>
      <c r="J373" s="0" t="n">
        <v>0.0625</v>
      </c>
      <c r="K373" s="0" t="s">
        <v>512</v>
      </c>
    </row>
    <row r="374" customFormat="false" ht="15" hidden="false" customHeight="false" outlineLevel="0" collapsed="false">
      <c r="A374" s="0" t="n">
        <v>35</v>
      </c>
      <c r="B374" s="0" t="s">
        <v>51</v>
      </c>
      <c r="C374" s="0" t="s">
        <v>68</v>
      </c>
      <c r="D374" s="0" t="s">
        <v>349</v>
      </c>
      <c r="E374" s="0" t="s">
        <v>68</v>
      </c>
      <c r="F374" s="0" t="s">
        <v>30</v>
      </c>
      <c r="I374" s="0" t="n">
        <v>3700</v>
      </c>
      <c r="J374" s="0" t="n">
        <v>0.925</v>
      </c>
      <c r="K374" s="0" t="s">
        <v>513</v>
      </c>
    </row>
    <row r="375" customFormat="false" ht="15" hidden="false" customHeight="false" outlineLevel="0" collapsed="false">
      <c r="A375" s="0" t="n">
        <v>36</v>
      </c>
      <c r="B375" s="0" t="s">
        <v>51</v>
      </c>
      <c r="C375" s="0" t="s">
        <v>68</v>
      </c>
      <c r="D375" s="0" t="s">
        <v>349</v>
      </c>
      <c r="E375" s="0" t="s">
        <v>53</v>
      </c>
      <c r="F375" s="0" t="s">
        <v>27</v>
      </c>
      <c r="G375" s="0" t="n">
        <v>0.8</v>
      </c>
      <c r="H375" s="0" t="n">
        <v>1.8</v>
      </c>
      <c r="I375" s="0" t="n">
        <v>5760</v>
      </c>
      <c r="J375" s="0" t="n">
        <v>1.44</v>
      </c>
      <c r="K375" s="0" t="s">
        <v>514</v>
      </c>
      <c r="L375" s="0" t="s">
        <v>298</v>
      </c>
    </row>
    <row r="376" customFormat="false" ht="15" hidden="false" customHeight="false" outlineLevel="0" collapsed="false">
      <c r="A376" s="0" t="n">
        <v>36</v>
      </c>
      <c r="B376" s="0" t="s">
        <v>51</v>
      </c>
      <c r="C376" s="0" t="s">
        <v>68</v>
      </c>
      <c r="D376" s="0" t="s">
        <v>349</v>
      </c>
      <c r="E376" s="0" t="s">
        <v>56</v>
      </c>
      <c r="F376" s="0" t="s">
        <v>28</v>
      </c>
      <c r="I376" s="0" t="n">
        <v>1400</v>
      </c>
      <c r="J376" s="0" t="n">
        <v>0.35</v>
      </c>
      <c r="K376" s="0" t="s">
        <v>515</v>
      </c>
    </row>
    <row r="377" customFormat="false" ht="15" hidden="false" customHeight="false" outlineLevel="0" collapsed="false">
      <c r="A377" s="0" t="n">
        <v>36</v>
      </c>
      <c r="B377" s="0" t="s">
        <v>51</v>
      </c>
      <c r="C377" s="0" t="s">
        <v>68</v>
      </c>
      <c r="D377" s="0" t="s">
        <v>349</v>
      </c>
      <c r="E377" s="0" t="s">
        <v>58</v>
      </c>
      <c r="F377" s="0" t="s">
        <v>28</v>
      </c>
      <c r="I377" s="0" t="n">
        <v>3500</v>
      </c>
      <c r="J377" s="0" t="n">
        <v>0.875</v>
      </c>
      <c r="K377" s="0" t="s">
        <v>516</v>
      </c>
    </row>
    <row r="378" customFormat="false" ht="15" hidden="false" customHeight="false" outlineLevel="0" collapsed="false">
      <c r="A378" s="0" t="n">
        <v>36</v>
      </c>
      <c r="B378" s="0" t="s">
        <v>51</v>
      </c>
      <c r="C378" s="0" t="s">
        <v>68</v>
      </c>
      <c r="D378" s="0" t="s">
        <v>349</v>
      </c>
      <c r="E378" s="0" t="s">
        <v>379</v>
      </c>
      <c r="F378" s="0" t="s">
        <v>29</v>
      </c>
      <c r="G378" s="0" t="n">
        <v>8500</v>
      </c>
      <c r="H378" s="0" t="n">
        <v>1</v>
      </c>
      <c r="I378" s="0" t="n">
        <v>8500</v>
      </c>
      <c r="J378" s="0" t="n">
        <v>2.125</v>
      </c>
      <c r="K378" s="0" t="s">
        <v>517</v>
      </c>
      <c r="L378" s="0" t="s">
        <v>518</v>
      </c>
    </row>
    <row r="379" customFormat="false" ht="15" hidden="false" customHeight="false" outlineLevel="0" collapsed="false">
      <c r="A379" s="0" t="n">
        <v>36</v>
      </c>
      <c r="B379" s="0" t="s">
        <v>51</v>
      </c>
      <c r="C379" s="0" t="s">
        <v>68</v>
      </c>
      <c r="D379" s="0" t="s">
        <v>349</v>
      </c>
      <c r="E379" s="0" t="s">
        <v>158</v>
      </c>
      <c r="F379" s="0" t="s">
        <v>28</v>
      </c>
      <c r="I379" s="0" t="n">
        <v>1000</v>
      </c>
      <c r="J379" s="0" t="n">
        <v>0.25</v>
      </c>
      <c r="K379" s="0" t="s">
        <v>519</v>
      </c>
    </row>
    <row r="380" customFormat="false" ht="15" hidden="false" customHeight="false" outlineLevel="0" collapsed="false">
      <c r="A380" s="0" t="n">
        <v>36</v>
      </c>
      <c r="B380" s="0" t="s">
        <v>51</v>
      </c>
      <c r="C380" s="0" t="s">
        <v>68</v>
      </c>
      <c r="D380" s="0" t="s">
        <v>349</v>
      </c>
      <c r="E380" s="0" t="s">
        <v>128</v>
      </c>
      <c r="F380" s="0" t="s">
        <v>28</v>
      </c>
      <c r="I380" s="0" t="n">
        <v>2000</v>
      </c>
      <c r="J380" s="0" t="n">
        <v>0.5</v>
      </c>
      <c r="K380" s="0" t="s">
        <v>520</v>
      </c>
    </row>
    <row r="381" customFormat="false" ht="15" hidden="false" customHeight="false" outlineLevel="0" collapsed="false">
      <c r="A381" s="0" t="n">
        <v>36</v>
      </c>
      <c r="B381" s="0" t="s">
        <v>51</v>
      </c>
      <c r="C381" s="0" t="s">
        <v>68</v>
      </c>
      <c r="D381" s="0" t="s">
        <v>349</v>
      </c>
      <c r="E381" s="0" t="s">
        <v>60</v>
      </c>
      <c r="F381" s="0" t="s">
        <v>27</v>
      </c>
      <c r="I381" s="0" t="n">
        <v>50</v>
      </c>
      <c r="J381" s="0" t="n">
        <v>0.0125</v>
      </c>
      <c r="K381" s="0" t="s">
        <v>521</v>
      </c>
    </row>
    <row r="382" customFormat="false" ht="15" hidden="false" customHeight="false" outlineLevel="0" collapsed="false">
      <c r="A382" s="0" t="n">
        <v>36</v>
      </c>
      <c r="B382" s="0" t="s">
        <v>51</v>
      </c>
      <c r="C382" s="0" t="s">
        <v>68</v>
      </c>
      <c r="D382" s="0" t="s">
        <v>349</v>
      </c>
      <c r="E382" s="0" t="s">
        <v>62</v>
      </c>
      <c r="F382" s="0" t="s">
        <v>27</v>
      </c>
      <c r="I382" s="0" t="n">
        <v>500</v>
      </c>
      <c r="J382" s="0" t="n">
        <v>0.125</v>
      </c>
      <c r="K382" s="0" t="s">
        <v>522</v>
      </c>
    </row>
    <row r="383" customFormat="false" ht="15" hidden="false" customHeight="false" outlineLevel="0" collapsed="false">
      <c r="A383" s="0" t="n">
        <v>36</v>
      </c>
      <c r="B383" s="0" t="s">
        <v>51</v>
      </c>
      <c r="C383" s="0" t="s">
        <v>68</v>
      </c>
      <c r="D383" s="0" t="s">
        <v>349</v>
      </c>
      <c r="E383" s="0" t="s">
        <v>64</v>
      </c>
      <c r="F383" s="0" t="s">
        <v>27</v>
      </c>
      <c r="I383" s="0" t="n">
        <v>50</v>
      </c>
      <c r="J383" s="0" t="n">
        <v>0.0125</v>
      </c>
      <c r="K383" s="0" t="s">
        <v>523</v>
      </c>
    </row>
    <row r="384" customFormat="false" ht="15" hidden="false" customHeight="false" outlineLevel="0" collapsed="false">
      <c r="A384" s="0" t="n">
        <v>36</v>
      </c>
      <c r="B384" s="0" t="s">
        <v>51</v>
      </c>
      <c r="C384" s="0" t="s">
        <v>68</v>
      </c>
      <c r="D384" s="0" t="s">
        <v>349</v>
      </c>
      <c r="E384" s="0" t="s">
        <v>66</v>
      </c>
      <c r="F384" s="0" t="s">
        <v>27</v>
      </c>
      <c r="I384" s="0" t="n">
        <v>250</v>
      </c>
      <c r="J384" s="0" t="n">
        <v>0.0625</v>
      </c>
      <c r="K384" s="0" t="s">
        <v>524</v>
      </c>
    </row>
    <row r="385" customFormat="false" ht="15" hidden="false" customHeight="false" outlineLevel="0" collapsed="false">
      <c r="A385" s="0" t="n">
        <v>36</v>
      </c>
      <c r="B385" s="0" t="s">
        <v>51</v>
      </c>
      <c r="C385" s="0" t="s">
        <v>68</v>
      </c>
      <c r="D385" s="0" t="s">
        <v>349</v>
      </c>
      <c r="E385" s="0" t="s">
        <v>68</v>
      </c>
      <c r="F385" s="0" t="s">
        <v>30</v>
      </c>
      <c r="I385" s="0" t="n">
        <v>3700</v>
      </c>
      <c r="J385" s="0" t="n">
        <v>0.925</v>
      </c>
      <c r="K385" s="0" t="s">
        <v>525</v>
      </c>
    </row>
    <row r="386" customFormat="false" ht="15" hidden="false" customHeight="false" outlineLevel="0" collapsed="false">
      <c r="A386" s="0" t="n">
        <v>37</v>
      </c>
      <c r="B386" s="0" t="s">
        <v>51</v>
      </c>
      <c r="C386" s="0" t="s">
        <v>68</v>
      </c>
      <c r="D386" s="0" t="s">
        <v>296</v>
      </c>
      <c r="E386" s="0" t="s">
        <v>53</v>
      </c>
      <c r="F386" s="0" t="s">
        <v>27</v>
      </c>
      <c r="G386" s="0" t="n">
        <v>0.8</v>
      </c>
      <c r="H386" s="0" t="n">
        <v>1.8</v>
      </c>
      <c r="I386" s="0" t="n">
        <v>6480</v>
      </c>
      <c r="J386" s="0" t="n">
        <v>1.62</v>
      </c>
      <c r="K386" s="0" t="s">
        <v>526</v>
      </c>
      <c r="L386" s="0" t="s">
        <v>527</v>
      </c>
    </row>
    <row r="387" customFormat="false" ht="15" hidden="false" customHeight="false" outlineLevel="0" collapsed="false">
      <c r="A387" s="0" t="n">
        <v>37</v>
      </c>
      <c r="B387" s="0" t="s">
        <v>51</v>
      </c>
      <c r="C387" s="0" t="s">
        <v>68</v>
      </c>
      <c r="D387" s="0" t="s">
        <v>296</v>
      </c>
      <c r="E387" s="0" t="s">
        <v>56</v>
      </c>
      <c r="F387" s="0" t="s">
        <v>28</v>
      </c>
      <c r="I387" s="0" t="n">
        <v>1000</v>
      </c>
      <c r="J387" s="0" t="n">
        <v>0.25</v>
      </c>
      <c r="K387" s="0" t="s">
        <v>528</v>
      </c>
    </row>
    <row r="388" customFormat="false" ht="15" hidden="false" customHeight="false" outlineLevel="0" collapsed="false">
      <c r="A388" s="0" t="n">
        <v>37</v>
      </c>
      <c r="B388" s="0" t="s">
        <v>51</v>
      </c>
      <c r="C388" s="0" t="s">
        <v>68</v>
      </c>
      <c r="D388" s="0" t="s">
        <v>296</v>
      </c>
      <c r="E388" s="0" t="s">
        <v>58</v>
      </c>
      <c r="F388" s="0" t="s">
        <v>28</v>
      </c>
      <c r="I388" s="0" t="n">
        <v>2500</v>
      </c>
      <c r="J388" s="0" t="n">
        <v>0.625</v>
      </c>
      <c r="K388" s="0" t="s">
        <v>529</v>
      </c>
    </row>
    <row r="389" customFormat="false" ht="15" hidden="false" customHeight="false" outlineLevel="0" collapsed="false">
      <c r="A389" s="0" t="n">
        <v>37</v>
      </c>
      <c r="B389" s="0" t="s">
        <v>51</v>
      </c>
      <c r="C389" s="0" t="s">
        <v>68</v>
      </c>
      <c r="D389" s="0" t="s">
        <v>296</v>
      </c>
      <c r="E389" s="0" t="s">
        <v>128</v>
      </c>
      <c r="F389" s="0" t="s">
        <v>28</v>
      </c>
      <c r="I389" s="0" t="n">
        <v>1000</v>
      </c>
      <c r="J389" s="0" t="n">
        <v>0.25</v>
      </c>
      <c r="K389" s="0" t="s">
        <v>530</v>
      </c>
    </row>
    <row r="390" customFormat="false" ht="15" hidden="false" customHeight="false" outlineLevel="0" collapsed="false">
      <c r="A390" s="0" t="n">
        <v>37</v>
      </c>
      <c r="B390" s="0" t="s">
        <v>51</v>
      </c>
      <c r="C390" s="0" t="s">
        <v>68</v>
      </c>
      <c r="D390" s="0" t="s">
        <v>296</v>
      </c>
      <c r="E390" s="0" t="s">
        <v>531</v>
      </c>
      <c r="F390" s="0" t="s">
        <v>29</v>
      </c>
      <c r="I390" s="0" t="n">
        <v>4000</v>
      </c>
      <c r="J390" s="0" t="n">
        <v>1</v>
      </c>
      <c r="K390" s="0" t="s">
        <v>532</v>
      </c>
    </row>
    <row r="391" customFormat="false" ht="15" hidden="false" customHeight="false" outlineLevel="0" collapsed="false">
      <c r="A391" s="0" t="n">
        <v>37</v>
      </c>
      <c r="B391" s="0" t="s">
        <v>51</v>
      </c>
      <c r="C391" s="0" t="s">
        <v>68</v>
      </c>
      <c r="D391" s="0" t="s">
        <v>296</v>
      </c>
      <c r="E391" s="0" t="s">
        <v>158</v>
      </c>
      <c r="F391" s="0" t="s">
        <v>28</v>
      </c>
      <c r="I391" s="0" t="n">
        <v>2000</v>
      </c>
      <c r="J391" s="0" t="n">
        <v>0.5</v>
      </c>
      <c r="K391" s="0" t="s">
        <v>533</v>
      </c>
    </row>
    <row r="392" customFormat="false" ht="15" hidden="false" customHeight="false" outlineLevel="0" collapsed="false">
      <c r="A392" s="0" t="n">
        <v>37</v>
      </c>
      <c r="B392" s="0" t="s">
        <v>51</v>
      </c>
      <c r="C392" s="0" t="s">
        <v>68</v>
      </c>
      <c r="D392" s="0" t="s">
        <v>296</v>
      </c>
      <c r="E392" s="0" t="s">
        <v>132</v>
      </c>
      <c r="F392" s="0" t="s">
        <v>29</v>
      </c>
      <c r="I392" s="0" t="n">
        <v>200</v>
      </c>
      <c r="J392" s="0" t="n">
        <v>0.05</v>
      </c>
      <c r="K392" s="0" t="s">
        <v>534</v>
      </c>
    </row>
    <row r="393" customFormat="false" ht="15" hidden="false" customHeight="false" outlineLevel="0" collapsed="false">
      <c r="A393" s="0" t="n">
        <v>37</v>
      </c>
      <c r="B393" s="0" t="s">
        <v>51</v>
      </c>
      <c r="C393" s="0" t="s">
        <v>68</v>
      </c>
      <c r="D393" s="0" t="s">
        <v>296</v>
      </c>
      <c r="E393" s="0" t="s">
        <v>134</v>
      </c>
      <c r="F393" s="0" t="s">
        <v>28</v>
      </c>
      <c r="I393" s="0" t="n">
        <v>200</v>
      </c>
      <c r="J393" s="0" t="n">
        <v>0.05</v>
      </c>
      <c r="K393" s="0" t="s">
        <v>535</v>
      </c>
    </row>
    <row r="394" customFormat="false" ht="15" hidden="false" customHeight="false" outlineLevel="0" collapsed="false">
      <c r="A394" s="0" t="n">
        <v>37</v>
      </c>
      <c r="B394" s="0" t="s">
        <v>51</v>
      </c>
      <c r="C394" s="0" t="s">
        <v>68</v>
      </c>
      <c r="D394" s="0" t="s">
        <v>296</v>
      </c>
      <c r="E394" s="0" t="s">
        <v>60</v>
      </c>
      <c r="F394" s="0" t="s">
        <v>27</v>
      </c>
      <c r="I394" s="0" t="n">
        <v>200</v>
      </c>
      <c r="J394" s="0" t="n">
        <v>0.05</v>
      </c>
      <c r="K394" s="0" t="s">
        <v>536</v>
      </c>
    </row>
    <row r="395" customFormat="false" ht="15" hidden="false" customHeight="false" outlineLevel="0" collapsed="false">
      <c r="A395" s="0" t="n">
        <v>37</v>
      </c>
      <c r="B395" s="0" t="s">
        <v>51</v>
      </c>
      <c r="C395" s="0" t="s">
        <v>68</v>
      </c>
      <c r="D395" s="0" t="s">
        <v>296</v>
      </c>
      <c r="E395" s="0" t="s">
        <v>62</v>
      </c>
      <c r="F395" s="0" t="s">
        <v>27</v>
      </c>
      <c r="I395" s="0" t="n">
        <v>100</v>
      </c>
      <c r="J395" s="0" t="n">
        <v>0.025</v>
      </c>
      <c r="K395" s="0" t="s">
        <v>537</v>
      </c>
    </row>
    <row r="396" customFormat="false" ht="15" hidden="false" customHeight="false" outlineLevel="0" collapsed="false">
      <c r="A396" s="0" t="n">
        <v>37</v>
      </c>
      <c r="B396" s="0" t="s">
        <v>51</v>
      </c>
      <c r="C396" s="0" t="s">
        <v>68</v>
      </c>
      <c r="D396" s="0" t="s">
        <v>296</v>
      </c>
      <c r="E396" s="0" t="s">
        <v>66</v>
      </c>
      <c r="F396" s="0" t="s">
        <v>27</v>
      </c>
      <c r="I396" s="0" t="n">
        <v>250</v>
      </c>
      <c r="J396" s="0" t="n">
        <v>0.0625</v>
      </c>
      <c r="K396" s="0" t="s">
        <v>538</v>
      </c>
    </row>
    <row r="397" customFormat="false" ht="15" hidden="false" customHeight="false" outlineLevel="0" collapsed="false">
      <c r="A397" s="0" t="n">
        <v>37</v>
      </c>
      <c r="B397" s="0" t="s">
        <v>51</v>
      </c>
      <c r="C397" s="0" t="s">
        <v>68</v>
      </c>
      <c r="D397" s="0" t="s">
        <v>296</v>
      </c>
      <c r="E397" s="0" t="s">
        <v>64</v>
      </c>
      <c r="F397" s="0" t="s">
        <v>27</v>
      </c>
      <c r="I397" s="0" t="n">
        <v>750</v>
      </c>
      <c r="J397" s="0" t="n">
        <v>0.1875</v>
      </c>
      <c r="K397" s="0" t="s">
        <v>539</v>
      </c>
    </row>
    <row r="398" customFormat="false" ht="15" hidden="false" customHeight="false" outlineLevel="0" collapsed="false">
      <c r="A398" s="0" t="n">
        <v>37</v>
      </c>
      <c r="B398" s="0" t="s">
        <v>51</v>
      </c>
      <c r="C398" s="0" t="s">
        <v>68</v>
      </c>
      <c r="D398" s="0" t="s">
        <v>296</v>
      </c>
      <c r="E398" s="0" t="s">
        <v>68</v>
      </c>
      <c r="F398" s="0" t="s">
        <v>30</v>
      </c>
      <c r="I398" s="0" t="n">
        <v>4000</v>
      </c>
      <c r="J398" s="0" t="n">
        <v>1</v>
      </c>
      <c r="K398" s="0" t="s">
        <v>540</v>
      </c>
    </row>
    <row r="399" customFormat="false" ht="15" hidden="false" customHeight="false" outlineLevel="0" collapsed="false">
      <c r="A399" s="0" t="n">
        <v>38</v>
      </c>
      <c r="B399" s="0" t="s">
        <v>51</v>
      </c>
      <c r="C399" s="0" t="s">
        <v>68</v>
      </c>
      <c r="D399" s="0" t="s">
        <v>311</v>
      </c>
      <c r="E399" s="0" t="s">
        <v>53</v>
      </c>
      <c r="F399" s="0" t="s">
        <v>27</v>
      </c>
      <c r="G399" s="0" t="n">
        <v>0.6</v>
      </c>
      <c r="H399" s="0" t="n">
        <v>1.8</v>
      </c>
      <c r="I399" s="0" t="n">
        <v>4320</v>
      </c>
      <c r="J399" s="0" t="n">
        <v>1.08</v>
      </c>
      <c r="K399" s="0" t="s">
        <v>541</v>
      </c>
      <c r="L399" s="0" t="s">
        <v>245</v>
      </c>
    </row>
    <row r="400" customFormat="false" ht="15" hidden="false" customHeight="false" outlineLevel="0" collapsed="false">
      <c r="A400" s="0" t="n">
        <v>38</v>
      </c>
      <c r="B400" s="0" t="s">
        <v>51</v>
      </c>
      <c r="C400" s="0" t="s">
        <v>68</v>
      </c>
      <c r="D400" s="0" t="s">
        <v>311</v>
      </c>
      <c r="E400" s="0" t="s">
        <v>56</v>
      </c>
      <c r="F400" s="0" t="s">
        <v>28</v>
      </c>
      <c r="I400" s="0" t="n">
        <v>1000</v>
      </c>
      <c r="J400" s="0" t="n">
        <v>0.25</v>
      </c>
      <c r="K400" s="0" t="s">
        <v>542</v>
      </c>
    </row>
    <row r="401" customFormat="false" ht="15" hidden="false" customHeight="false" outlineLevel="0" collapsed="false">
      <c r="A401" s="0" t="n">
        <v>38</v>
      </c>
      <c r="B401" s="0" t="s">
        <v>51</v>
      </c>
      <c r="C401" s="0" t="s">
        <v>68</v>
      </c>
      <c r="D401" s="0" t="s">
        <v>311</v>
      </c>
      <c r="E401" s="0" t="s">
        <v>58</v>
      </c>
      <c r="F401" s="0" t="s">
        <v>28</v>
      </c>
      <c r="I401" s="0" t="n">
        <v>2500</v>
      </c>
      <c r="J401" s="0" t="n">
        <v>0.625</v>
      </c>
      <c r="K401" s="0" t="s">
        <v>543</v>
      </c>
    </row>
    <row r="402" customFormat="false" ht="15" hidden="false" customHeight="false" outlineLevel="0" collapsed="false">
      <c r="A402" s="0" t="n">
        <v>38</v>
      </c>
      <c r="B402" s="0" t="s">
        <v>51</v>
      </c>
      <c r="C402" s="0" t="s">
        <v>68</v>
      </c>
      <c r="D402" s="0" t="s">
        <v>311</v>
      </c>
      <c r="E402" s="0" t="s">
        <v>128</v>
      </c>
      <c r="F402" s="0" t="s">
        <v>28</v>
      </c>
      <c r="I402" s="0" t="n">
        <v>1000</v>
      </c>
      <c r="J402" s="0" t="n">
        <v>0.25</v>
      </c>
      <c r="K402" s="0" t="s">
        <v>544</v>
      </c>
    </row>
    <row r="403" customFormat="false" ht="15" hidden="false" customHeight="false" outlineLevel="0" collapsed="false">
      <c r="A403" s="0" t="n">
        <v>38</v>
      </c>
      <c r="B403" s="0" t="s">
        <v>51</v>
      </c>
      <c r="C403" s="0" t="s">
        <v>68</v>
      </c>
      <c r="D403" s="0" t="s">
        <v>311</v>
      </c>
      <c r="E403" s="0" t="s">
        <v>545</v>
      </c>
      <c r="F403" s="0" t="s">
        <v>29</v>
      </c>
      <c r="I403" s="0" t="n">
        <v>4000</v>
      </c>
      <c r="J403" s="0" t="n">
        <v>1</v>
      </c>
      <c r="K403" s="0" t="s">
        <v>546</v>
      </c>
    </row>
    <row r="404" customFormat="false" ht="15" hidden="false" customHeight="false" outlineLevel="0" collapsed="false">
      <c r="A404" s="0" t="n">
        <v>38</v>
      </c>
      <c r="B404" s="0" t="s">
        <v>51</v>
      </c>
      <c r="C404" s="0" t="s">
        <v>68</v>
      </c>
      <c r="D404" s="0" t="s">
        <v>311</v>
      </c>
      <c r="E404" s="0" t="s">
        <v>158</v>
      </c>
      <c r="F404" s="0" t="s">
        <v>28</v>
      </c>
      <c r="I404" s="0" t="n">
        <v>2000</v>
      </c>
      <c r="J404" s="0" t="n">
        <v>0.5</v>
      </c>
      <c r="K404" s="0" t="s">
        <v>547</v>
      </c>
    </row>
    <row r="405" customFormat="false" ht="15" hidden="false" customHeight="false" outlineLevel="0" collapsed="false">
      <c r="A405" s="0" t="n">
        <v>38</v>
      </c>
      <c r="B405" s="0" t="s">
        <v>51</v>
      </c>
      <c r="C405" s="0" t="s">
        <v>68</v>
      </c>
      <c r="D405" s="0" t="s">
        <v>311</v>
      </c>
      <c r="E405" s="0" t="s">
        <v>132</v>
      </c>
      <c r="F405" s="0" t="s">
        <v>29</v>
      </c>
      <c r="I405" s="0" t="n">
        <v>200</v>
      </c>
      <c r="J405" s="0" t="n">
        <v>0.05</v>
      </c>
      <c r="K405" s="0" t="s">
        <v>548</v>
      </c>
    </row>
    <row r="406" customFormat="false" ht="15" hidden="false" customHeight="false" outlineLevel="0" collapsed="false">
      <c r="A406" s="0" t="n">
        <v>38</v>
      </c>
      <c r="B406" s="0" t="s">
        <v>51</v>
      </c>
      <c r="C406" s="0" t="s">
        <v>68</v>
      </c>
      <c r="D406" s="0" t="s">
        <v>311</v>
      </c>
      <c r="E406" s="0" t="s">
        <v>134</v>
      </c>
      <c r="F406" s="0" t="s">
        <v>28</v>
      </c>
      <c r="I406" s="0" t="n">
        <v>200</v>
      </c>
      <c r="J406" s="0" t="n">
        <v>0.05</v>
      </c>
      <c r="K406" s="0" t="s">
        <v>549</v>
      </c>
    </row>
    <row r="407" customFormat="false" ht="15" hidden="false" customHeight="false" outlineLevel="0" collapsed="false">
      <c r="A407" s="0" t="n">
        <v>38</v>
      </c>
      <c r="B407" s="0" t="s">
        <v>51</v>
      </c>
      <c r="C407" s="0" t="s">
        <v>68</v>
      </c>
      <c r="D407" s="0" t="s">
        <v>311</v>
      </c>
      <c r="E407" s="0" t="s">
        <v>60</v>
      </c>
      <c r="F407" s="0" t="s">
        <v>27</v>
      </c>
      <c r="I407" s="0" t="n">
        <v>200</v>
      </c>
      <c r="J407" s="0" t="n">
        <v>0.05</v>
      </c>
      <c r="K407" s="0" t="s">
        <v>550</v>
      </c>
    </row>
    <row r="408" customFormat="false" ht="15" hidden="false" customHeight="false" outlineLevel="0" collapsed="false">
      <c r="A408" s="0" t="n">
        <v>38</v>
      </c>
      <c r="B408" s="0" t="s">
        <v>51</v>
      </c>
      <c r="C408" s="0" t="s">
        <v>68</v>
      </c>
      <c r="D408" s="0" t="s">
        <v>311</v>
      </c>
      <c r="E408" s="0" t="s">
        <v>62</v>
      </c>
      <c r="F408" s="0" t="s">
        <v>27</v>
      </c>
      <c r="I408" s="0" t="n">
        <v>100</v>
      </c>
      <c r="J408" s="0" t="n">
        <v>0.025</v>
      </c>
      <c r="K408" s="0" t="s">
        <v>551</v>
      </c>
    </row>
    <row r="409" customFormat="false" ht="15" hidden="false" customHeight="false" outlineLevel="0" collapsed="false">
      <c r="A409" s="0" t="n">
        <v>38</v>
      </c>
      <c r="B409" s="0" t="s">
        <v>51</v>
      </c>
      <c r="C409" s="0" t="s">
        <v>68</v>
      </c>
      <c r="D409" s="0" t="s">
        <v>311</v>
      </c>
      <c r="E409" s="0" t="s">
        <v>66</v>
      </c>
      <c r="F409" s="0" t="s">
        <v>27</v>
      </c>
      <c r="I409" s="0" t="n">
        <v>250</v>
      </c>
      <c r="J409" s="0" t="n">
        <v>0.0625</v>
      </c>
      <c r="K409" s="0" t="s">
        <v>552</v>
      </c>
    </row>
    <row r="410" customFormat="false" ht="15" hidden="false" customHeight="false" outlineLevel="0" collapsed="false">
      <c r="A410" s="0" t="n">
        <v>38</v>
      </c>
      <c r="B410" s="0" t="s">
        <v>51</v>
      </c>
      <c r="C410" s="0" t="s">
        <v>68</v>
      </c>
      <c r="D410" s="0" t="s">
        <v>311</v>
      </c>
      <c r="E410" s="0" t="s">
        <v>64</v>
      </c>
      <c r="F410" s="0" t="s">
        <v>27</v>
      </c>
      <c r="I410" s="0" t="n">
        <v>750</v>
      </c>
      <c r="J410" s="0" t="n">
        <v>0.1875</v>
      </c>
      <c r="K410" s="0" t="s">
        <v>553</v>
      </c>
    </row>
    <row r="411" customFormat="false" ht="15" hidden="false" customHeight="false" outlineLevel="0" collapsed="false">
      <c r="A411" s="0" t="n">
        <v>38</v>
      </c>
      <c r="B411" s="0" t="s">
        <v>51</v>
      </c>
      <c r="C411" s="0" t="s">
        <v>68</v>
      </c>
      <c r="D411" s="0" t="s">
        <v>311</v>
      </c>
      <c r="E411" s="0" t="s">
        <v>68</v>
      </c>
      <c r="F411" s="0" t="s">
        <v>30</v>
      </c>
      <c r="I411" s="0" t="n">
        <v>4000</v>
      </c>
      <c r="J411" s="0" t="n">
        <v>1</v>
      </c>
      <c r="K411" s="0" t="s">
        <v>554</v>
      </c>
    </row>
    <row r="412" customFormat="false" ht="15" hidden="false" customHeight="false" outlineLevel="0" collapsed="false">
      <c r="A412" s="0" t="n">
        <v>39</v>
      </c>
      <c r="B412" s="0" t="s">
        <v>51</v>
      </c>
      <c r="C412" s="0" t="s">
        <v>70</v>
      </c>
      <c r="D412" s="0" t="s">
        <v>70</v>
      </c>
      <c r="E412" s="0" t="s">
        <v>53</v>
      </c>
      <c r="F412" s="0" t="s">
        <v>27</v>
      </c>
      <c r="G412" s="0" t="n">
        <v>0.8</v>
      </c>
      <c r="H412" s="0" t="n">
        <v>2.8</v>
      </c>
      <c r="I412" s="0" t="n">
        <v>10080</v>
      </c>
      <c r="J412" s="0" t="n">
        <v>2.52</v>
      </c>
      <c r="K412" s="0" t="s">
        <v>555</v>
      </c>
      <c r="L412" s="0" t="s">
        <v>556</v>
      </c>
    </row>
    <row r="413" customFormat="false" ht="15" hidden="false" customHeight="false" outlineLevel="0" collapsed="false">
      <c r="A413" s="0" t="n">
        <v>39</v>
      </c>
      <c r="B413" s="0" t="s">
        <v>51</v>
      </c>
      <c r="C413" s="0" t="s">
        <v>70</v>
      </c>
      <c r="D413" s="0" t="s">
        <v>70</v>
      </c>
      <c r="E413" s="0" t="s">
        <v>56</v>
      </c>
      <c r="F413" s="0" t="s">
        <v>28</v>
      </c>
      <c r="I413" s="0" t="n">
        <v>500</v>
      </c>
      <c r="J413" s="0" t="n">
        <v>0.125</v>
      </c>
      <c r="K413" s="0" t="s">
        <v>557</v>
      </c>
    </row>
    <row r="414" customFormat="false" ht="15" hidden="false" customHeight="false" outlineLevel="0" collapsed="false">
      <c r="A414" s="0" t="n">
        <v>39</v>
      </c>
      <c r="B414" s="0" t="s">
        <v>51</v>
      </c>
      <c r="C414" s="0" t="s">
        <v>70</v>
      </c>
      <c r="D414" s="0" t="s">
        <v>70</v>
      </c>
      <c r="E414" s="0" t="s">
        <v>58</v>
      </c>
      <c r="F414" s="0" t="s">
        <v>28</v>
      </c>
      <c r="I414" s="0" t="n">
        <v>2500</v>
      </c>
      <c r="J414" s="0" t="n">
        <v>0.625</v>
      </c>
      <c r="K414" s="0" t="s">
        <v>558</v>
      </c>
    </row>
    <row r="415" customFormat="false" ht="15" hidden="false" customHeight="false" outlineLevel="0" collapsed="false">
      <c r="A415" s="0" t="n">
        <v>39</v>
      </c>
      <c r="B415" s="0" t="s">
        <v>51</v>
      </c>
      <c r="C415" s="0" t="s">
        <v>70</v>
      </c>
      <c r="D415" s="0" t="s">
        <v>70</v>
      </c>
      <c r="E415" s="0" t="s">
        <v>128</v>
      </c>
      <c r="F415" s="0" t="s">
        <v>28</v>
      </c>
      <c r="I415" s="0" t="n">
        <v>1000</v>
      </c>
      <c r="J415" s="0" t="n">
        <v>0.25</v>
      </c>
      <c r="K415" s="0" t="s">
        <v>559</v>
      </c>
    </row>
    <row r="416" customFormat="false" ht="15" hidden="false" customHeight="false" outlineLevel="0" collapsed="false">
      <c r="A416" s="0" t="n">
        <v>39</v>
      </c>
      <c r="B416" s="0" t="s">
        <v>51</v>
      </c>
      <c r="C416" s="0" t="s">
        <v>70</v>
      </c>
      <c r="D416" s="0" t="s">
        <v>70</v>
      </c>
      <c r="E416" s="0" t="s">
        <v>531</v>
      </c>
      <c r="F416" s="0" t="s">
        <v>29</v>
      </c>
      <c r="I416" s="0" t="n">
        <v>4000</v>
      </c>
      <c r="J416" s="0" t="n">
        <v>1</v>
      </c>
      <c r="K416" s="0" t="s">
        <v>560</v>
      </c>
      <c r="L416" s="0" t="s">
        <v>561</v>
      </c>
    </row>
    <row r="417" customFormat="false" ht="15" hidden="false" customHeight="false" outlineLevel="0" collapsed="false">
      <c r="A417" s="0" t="n">
        <v>39</v>
      </c>
      <c r="B417" s="0" t="s">
        <v>51</v>
      </c>
      <c r="C417" s="0" t="s">
        <v>70</v>
      </c>
      <c r="D417" s="0" t="s">
        <v>70</v>
      </c>
      <c r="E417" s="0" t="s">
        <v>158</v>
      </c>
      <c r="F417" s="0" t="s">
        <v>28</v>
      </c>
      <c r="I417" s="0" t="n">
        <v>0</v>
      </c>
      <c r="J417" s="0" t="n">
        <v>0</v>
      </c>
      <c r="K417" s="0" t="s">
        <v>562</v>
      </c>
    </row>
    <row r="418" customFormat="false" ht="15" hidden="false" customHeight="false" outlineLevel="0" collapsed="false">
      <c r="A418" s="0" t="n">
        <v>39</v>
      </c>
      <c r="B418" s="0" t="s">
        <v>51</v>
      </c>
      <c r="C418" s="0" t="s">
        <v>70</v>
      </c>
      <c r="D418" s="0" t="s">
        <v>70</v>
      </c>
      <c r="E418" s="0" t="s">
        <v>132</v>
      </c>
      <c r="F418" s="0" t="s">
        <v>29</v>
      </c>
      <c r="I418" s="0" t="n">
        <v>200</v>
      </c>
      <c r="J418" s="0" t="n">
        <v>0.05</v>
      </c>
      <c r="K418" s="0" t="s">
        <v>563</v>
      </c>
      <c r="L418" s="0" t="s">
        <v>564</v>
      </c>
    </row>
    <row r="419" customFormat="false" ht="15" hidden="false" customHeight="false" outlineLevel="0" collapsed="false">
      <c r="A419" s="0" t="n">
        <v>39</v>
      </c>
      <c r="B419" s="0" t="s">
        <v>51</v>
      </c>
      <c r="C419" s="0" t="s">
        <v>70</v>
      </c>
      <c r="D419" s="0" t="s">
        <v>70</v>
      </c>
      <c r="E419" s="0" t="s">
        <v>134</v>
      </c>
      <c r="F419" s="0" t="s">
        <v>28</v>
      </c>
      <c r="I419" s="0" t="n">
        <v>200</v>
      </c>
      <c r="J419" s="0" t="n">
        <v>0.05</v>
      </c>
      <c r="K419" s="0" t="s">
        <v>565</v>
      </c>
      <c r="L419" s="0" t="s">
        <v>566</v>
      </c>
    </row>
    <row r="420" customFormat="false" ht="15" hidden="false" customHeight="false" outlineLevel="0" collapsed="false">
      <c r="A420" s="0" t="n">
        <v>39</v>
      </c>
      <c r="B420" s="0" t="s">
        <v>51</v>
      </c>
      <c r="C420" s="0" t="s">
        <v>70</v>
      </c>
      <c r="D420" s="0" t="s">
        <v>70</v>
      </c>
      <c r="E420" s="0" t="s">
        <v>60</v>
      </c>
      <c r="F420" s="0" t="s">
        <v>27</v>
      </c>
      <c r="I420" s="0" t="n">
        <v>200</v>
      </c>
      <c r="J420" s="0" t="n">
        <v>0.05</v>
      </c>
      <c r="K420" s="0" t="s">
        <v>567</v>
      </c>
    </row>
    <row r="421" customFormat="false" ht="15" hidden="false" customHeight="false" outlineLevel="0" collapsed="false">
      <c r="A421" s="0" t="n">
        <v>39</v>
      </c>
      <c r="B421" s="0" t="s">
        <v>51</v>
      </c>
      <c r="C421" s="0" t="s">
        <v>70</v>
      </c>
      <c r="D421" s="0" t="s">
        <v>70</v>
      </c>
      <c r="E421" s="0" t="s">
        <v>62</v>
      </c>
      <c r="F421" s="0" t="s">
        <v>27</v>
      </c>
      <c r="I421" s="0" t="n">
        <v>100</v>
      </c>
      <c r="J421" s="0" t="n">
        <v>0.025</v>
      </c>
      <c r="K421" s="0" t="s">
        <v>568</v>
      </c>
    </row>
    <row r="422" customFormat="false" ht="15" hidden="false" customHeight="false" outlineLevel="0" collapsed="false">
      <c r="A422" s="0" t="n">
        <v>39</v>
      </c>
      <c r="B422" s="0" t="s">
        <v>51</v>
      </c>
      <c r="C422" s="0" t="s">
        <v>70</v>
      </c>
      <c r="D422" s="0" t="s">
        <v>70</v>
      </c>
      <c r="E422" s="0" t="s">
        <v>66</v>
      </c>
      <c r="F422" s="0" t="s">
        <v>27</v>
      </c>
      <c r="I422" s="0" t="n">
        <v>250</v>
      </c>
      <c r="J422" s="0" t="n">
        <v>0.0625</v>
      </c>
      <c r="K422" s="0" t="s">
        <v>569</v>
      </c>
      <c r="L422" s="0" t="s">
        <v>570</v>
      </c>
    </row>
    <row r="423" customFormat="false" ht="15" hidden="false" customHeight="false" outlineLevel="0" collapsed="false">
      <c r="A423" s="0" t="n">
        <v>39</v>
      </c>
      <c r="B423" s="0" t="s">
        <v>51</v>
      </c>
      <c r="C423" s="0" t="s">
        <v>70</v>
      </c>
      <c r="D423" s="0" t="s">
        <v>70</v>
      </c>
      <c r="E423" s="0" t="s">
        <v>64</v>
      </c>
      <c r="F423" s="0" t="s">
        <v>27</v>
      </c>
      <c r="I423" s="0" t="n">
        <v>750</v>
      </c>
      <c r="J423" s="0" t="n">
        <v>0.1875</v>
      </c>
      <c r="K423" s="0" t="s">
        <v>571</v>
      </c>
      <c r="L423" s="0" t="s">
        <v>572</v>
      </c>
    </row>
    <row r="424" customFormat="false" ht="15" hidden="false" customHeight="false" outlineLevel="0" collapsed="false">
      <c r="A424" s="0" t="n">
        <v>39</v>
      </c>
      <c r="B424" s="0" t="s">
        <v>51</v>
      </c>
      <c r="C424" s="0" t="s">
        <v>70</v>
      </c>
      <c r="D424" s="0" t="s">
        <v>70</v>
      </c>
      <c r="E424" s="0" t="s">
        <v>68</v>
      </c>
      <c r="F424" s="0" t="s">
        <v>30</v>
      </c>
      <c r="I424" s="0" t="n">
        <v>4000</v>
      </c>
      <c r="J424" s="0" t="n">
        <v>1</v>
      </c>
      <c r="K424" s="0" t="s">
        <v>573</v>
      </c>
      <c r="L424" s="0" t="s">
        <v>574</v>
      </c>
    </row>
    <row r="425" customFormat="false" ht="15" hidden="false" customHeight="false" outlineLevel="0" collapsed="false">
      <c r="A425" s="0" t="n">
        <v>40</v>
      </c>
      <c r="B425" s="0" t="s">
        <v>51</v>
      </c>
      <c r="C425" s="0" t="s">
        <v>70</v>
      </c>
      <c r="D425" s="0" t="s">
        <v>90</v>
      </c>
      <c r="E425" s="0" t="s">
        <v>53</v>
      </c>
      <c r="F425" s="0" t="s">
        <v>27</v>
      </c>
      <c r="G425" s="0" t="n">
        <v>0.6</v>
      </c>
      <c r="H425" s="0" t="n">
        <v>3</v>
      </c>
      <c r="I425" s="0" t="n">
        <v>7200</v>
      </c>
      <c r="J425" s="0" t="n">
        <v>1.8</v>
      </c>
      <c r="K425" s="0" t="s">
        <v>575</v>
      </c>
      <c r="L425" s="0" t="s">
        <v>576</v>
      </c>
    </row>
    <row r="426" customFormat="false" ht="15" hidden="false" customHeight="false" outlineLevel="0" collapsed="false">
      <c r="A426" s="0" t="n">
        <v>40</v>
      </c>
      <c r="B426" s="0" t="s">
        <v>51</v>
      </c>
      <c r="C426" s="0" t="s">
        <v>70</v>
      </c>
      <c r="D426" s="0" t="s">
        <v>90</v>
      </c>
      <c r="E426" s="0" t="s">
        <v>56</v>
      </c>
      <c r="F426" s="0" t="s">
        <v>28</v>
      </c>
      <c r="I426" s="0" t="n">
        <v>1000</v>
      </c>
      <c r="J426" s="0" t="n">
        <v>0.25</v>
      </c>
      <c r="K426" s="0" t="s">
        <v>577</v>
      </c>
    </row>
    <row r="427" customFormat="false" ht="15" hidden="false" customHeight="false" outlineLevel="0" collapsed="false">
      <c r="A427" s="0" t="n">
        <v>40</v>
      </c>
      <c r="B427" s="0" t="s">
        <v>51</v>
      </c>
      <c r="C427" s="0" t="s">
        <v>70</v>
      </c>
      <c r="D427" s="0" t="s">
        <v>90</v>
      </c>
      <c r="E427" s="0" t="s">
        <v>58</v>
      </c>
      <c r="F427" s="0" t="s">
        <v>28</v>
      </c>
      <c r="I427" s="0" t="n">
        <v>2500</v>
      </c>
      <c r="J427" s="0" t="n">
        <v>0.625</v>
      </c>
      <c r="K427" s="0" t="s">
        <v>578</v>
      </c>
    </row>
    <row r="428" customFormat="false" ht="15" hidden="false" customHeight="false" outlineLevel="0" collapsed="false">
      <c r="A428" s="0" t="n">
        <v>40</v>
      </c>
      <c r="B428" s="0" t="s">
        <v>51</v>
      </c>
      <c r="C428" s="0" t="s">
        <v>70</v>
      </c>
      <c r="D428" s="0" t="s">
        <v>90</v>
      </c>
      <c r="E428" s="0" t="s">
        <v>128</v>
      </c>
      <c r="F428" s="0" t="s">
        <v>28</v>
      </c>
      <c r="I428" s="0" t="n">
        <v>1000</v>
      </c>
      <c r="J428" s="0" t="n">
        <v>0.25</v>
      </c>
      <c r="K428" s="0" t="s">
        <v>579</v>
      </c>
    </row>
    <row r="429" customFormat="false" ht="15" hidden="false" customHeight="false" outlineLevel="0" collapsed="false">
      <c r="A429" s="0" t="n">
        <v>40</v>
      </c>
      <c r="B429" s="0" t="s">
        <v>51</v>
      </c>
      <c r="C429" s="0" t="s">
        <v>70</v>
      </c>
      <c r="D429" s="0" t="s">
        <v>90</v>
      </c>
      <c r="E429" s="0" t="s">
        <v>545</v>
      </c>
      <c r="F429" s="0" t="s">
        <v>29</v>
      </c>
      <c r="I429" s="0" t="n">
        <v>4000</v>
      </c>
      <c r="J429" s="0" t="n">
        <v>1</v>
      </c>
      <c r="K429" s="0" t="s">
        <v>580</v>
      </c>
      <c r="L429" s="0" t="s">
        <v>581</v>
      </c>
    </row>
    <row r="430" customFormat="false" ht="15" hidden="false" customHeight="false" outlineLevel="0" collapsed="false">
      <c r="A430" s="0" t="n">
        <v>40</v>
      </c>
      <c r="B430" s="0" t="s">
        <v>51</v>
      </c>
      <c r="C430" s="0" t="s">
        <v>70</v>
      </c>
      <c r="D430" s="0" t="s">
        <v>90</v>
      </c>
      <c r="E430" s="0" t="s">
        <v>158</v>
      </c>
      <c r="F430" s="0" t="s">
        <v>28</v>
      </c>
      <c r="I430" s="0" t="n">
        <v>2000</v>
      </c>
      <c r="J430" s="0" t="n">
        <v>0.5</v>
      </c>
      <c r="K430" s="0" t="s">
        <v>582</v>
      </c>
      <c r="L430" s="0" t="s">
        <v>583</v>
      </c>
    </row>
    <row r="431" customFormat="false" ht="15" hidden="false" customHeight="false" outlineLevel="0" collapsed="false">
      <c r="A431" s="0" t="n">
        <v>40</v>
      </c>
      <c r="B431" s="0" t="s">
        <v>51</v>
      </c>
      <c r="C431" s="0" t="s">
        <v>70</v>
      </c>
      <c r="D431" s="0" t="s">
        <v>90</v>
      </c>
      <c r="E431" s="0" t="s">
        <v>132</v>
      </c>
      <c r="F431" s="0" t="s">
        <v>29</v>
      </c>
      <c r="I431" s="0" t="n">
        <v>200</v>
      </c>
      <c r="J431" s="0" t="n">
        <v>0.05</v>
      </c>
      <c r="K431" s="0" t="s">
        <v>584</v>
      </c>
      <c r="L431" s="0" t="s">
        <v>585</v>
      </c>
    </row>
    <row r="432" customFormat="false" ht="15" hidden="false" customHeight="false" outlineLevel="0" collapsed="false">
      <c r="A432" s="0" t="n">
        <v>40</v>
      </c>
      <c r="B432" s="0" t="s">
        <v>51</v>
      </c>
      <c r="C432" s="0" t="s">
        <v>70</v>
      </c>
      <c r="D432" s="0" t="s">
        <v>90</v>
      </c>
      <c r="E432" s="0" t="s">
        <v>134</v>
      </c>
      <c r="F432" s="0" t="s">
        <v>28</v>
      </c>
      <c r="I432" s="0" t="n">
        <v>200</v>
      </c>
      <c r="J432" s="0" t="n">
        <v>0.05</v>
      </c>
      <c r="K432" s="0" t="s">
        <v>586</v>
      </c>
      <c r="L432" s="0" t="s">
        <v>587</v>
      </c>
    </row>
    <row r="433" customFormat="false" ht="15" hidden="false" customHeight="false" outlineLevel="0" collapsed="false">
      <c r="A433" s="0" t="n">
        <v>40</v>
      </c>
      <c r="B433" s="0" t="s">
        <v>51</v>
      </c>
      <c r="C433" s="0" t="s">
        <v>70</v>
      </c>
      <c r="D433" s="0" t="s">
        <v>90</v>
      </c>
      <c r="E433" s="0" t="s">
        <v>60</v>
      </c>
      <c r="F433" s="0" t="s">
        <v>27</v>
      </c>
      <c r="I433" s="0" t="n">
        <v>200</v>
      </c>
      <c r="J433" s="0" t="n">
        <v>0.05</v>
      </c>
      <c r="K433" s="0" t="s">
        <v>588</v>
      </c>
    </row>
    <row r="434" customFormat="false" ht="15" hidden="false" customHeight="false" outlineLevel="0" collapsed="false">
      <c r="A434" s="0" t="n">
        <v>40</v>
      </c>
      <c r="B434" s="0" t="s">
        <v>51</v>
      </c>
      <c r="C434" s="0" t="s">
        <v>70</v>
      </c>
      <c r="D434" s="0" t="s">
        <v>90</v>
      </c>
      <c r="E434" s="0" t="s">
        <v>62</v>
      </c>
      <c r="F434" s="0" t="s">
        <v>27</v>
      </c>
      <c r="I434" s="0" t="n">
        <v>100</v>
      </c>
      <c r="J434" s="0" t="n">
        <v>0.025</v>
      </c>
      <c r="K434" s="0" t="s">
        <v>589</v>
      </c>
    </row>
    <row r="435" customFormat="false" ht="15" hidden="false" customHeight="false" outlineLevel="0" collapsed="false">
      <c r="A435" s="0" t="n">
        <v>40</v>
      </c>
      <c r="B435" s="0" t="s">
        <v>51</v>
      </c>
      <c r="C435" s="0" t="s">
        <v>70</v>
      </c>
      <c r="D435" s="0" t="s">
        <v>90</v>
      </c>
      <c r="E435" s="0" t="s">
        <v>66</v>
      </c>
      <c r="F435" s="0" t="s">
        <v>27</v>
      </c>
      <c r="I435" s="0" t="n">
        <v>250</v>
      </c>
      <c r="J435" s="0" t="n">
        <v>0.0625</v>
      </c>
      <c r="K435" s="0" t="s">
        <v>590</v>
      </c>
      <c r="L435" s="0" t="s">
        <v>591</v>
      </c>
    </row>
    <row r="436" customFormat="false" ht="15" hidden="false" customHeight="false" outlineLevel="0" collapsed="false">
      <c r="A436" s="0" t="n">
        <v>40</v>
      </c>
      <c r="B436" s="0" t="s">
        <v>51</v>
      </c>
      <c r="C436" s="0" t="s">
        <v>70</v>
      </c>
      <c r="D436" s="0" t="s">
        <v>90</v>
      </c>
      <c r="E436" s="0" t="s">
        <v>64</v>
      </c>
      <c r="F436" s="0" t="s">
        <v>27</v>
      </c>
      <c r="I436" s="0" t="n">
        <v>750</v>
      </c>
      <c r="J436" s="0" t="n">
        <v>0.1875</v>
      </c>
      <c r="K436" s="0" t="s">
        <v>592</v>
      </c>
      <c r="L436" s="0" t="s">
        <v>593</v>
      </c>
    </row>
    <row r="437" customFormat="false" ht="15" hidden="false" customHeight="false" outlineLevel="0" collapsed="false">
      <c r="A437" s="0" t="n">
        <v>40</v>
      </c>
      <c r="B437" s="0" t="s">
        <v>51</v>
      </c>
      <c r="C437" s="0" t="s">
        <v>70</v>
      </c>
      <c r="D437" s="0" t="s">
        <v>90</v>
      </c>
      <c r="E437" s="0" t="s">
        <v>68</v>
      </c>
      <c r="F437" s="0" t="s">
        <v>30</v>
      </c>
      <c r="I437" s="0" t="n">
        <v>4000</v>
      </c>
      <c r="J437" s="0" t="n">
        <v>1</v>
      </c>
      <c r="K437" s="0" t="s">
        <v>594</v>
      </c>
      <c r="L437" s="0" t="s">
        <v>595</v>
      </c>
    </row>
    <row r="438" customFormat="false" ht="15" hidden="false" customHeight="false" outlineLevel="0" collapsed="false">
      <c r="A438" s="0" t="n">
        <v>41</v>
      </c>
      <c r="B438" s="0" t="s">
        <v>51</v>
      </c>
      <c r="C438" s="0" t="s">
        <v>68</v>
      </c>
      <c r="D438" s="0" t="s">
        <v>349</v>
      </c>
      <c r="E438" s="0" t="s">
        <v>53</v>
      </c>
      <c r="F438" s="0" t="s">
        <v>27</v>
      </c>
      <c r="G438" s="0" t="n">
        <v>1</v>
      </c>
      <c r="H438" s="0" t="n">
        <v>1.8</v>
      </c>
      <c r="I438" s="0" t="n">
        <v>8100</v>
      </c>
      <c r="J438" s="0" t="n">
        <v>2.025</v>
      </c>
      <c r="K438" s="0" t="s">
        <v>596</v>
      </c>
      <c r="L438" s="0" t="s">
        <v>597</v>
      </c>
    </row>
    <row r="439" customFormat="false" ht="15" hidden="false" customHeight="false" outlineLevel="0" collapsed="false">
      <c r="A439" s="0" t="n">
        <v>41</v>
      </c>
      <c r="B439" s="0" t="s">
        <v>51</v>
      </c>
      <c r="C439" s="0" t="s">
        <v>68</v>
      </c>
      <c r="D439" s="0" t="s">
        <v>349</v>
      </c>
      <c r="E439" s="0" t="s">
        <v>56</v>
      </c>
      <c r="F439" s="0" t="s">
        <v>28</v>
      </c>
      <c r="I439" s="0" t="n">
        <v>700</v>
      </c>
      <c r="J439" s="0" t="n">
        <v>0.175</v>
      </c>
      <c r="K439" s="0" t="s">
        <v>598</v>
      </c>
    </row>
    <row r="440" customFormat="false" ht="15" hidden="false" customHeight="false" outlineLevel="0" collapsed="false">
      <c r="A440" s="0" t="n">
        <v>41</v>
      </c>
      <c r="B440" s="0" t="s">
        <v>51</v>
      </c>
      <c r="C440" s="0" t="s">
        <v>68</v>
      </c>
      <c r="D440" s="0" t="s">
        <v>349</v>
      </c>
      <c r="E440" s="0" t="s">
        <v>58</v>
      </c>
      <c r="F440" s="0" t="s">
        <v>28</v>
      </c>
      <c r="I440" s="0" t="n">
        <v>2500</v>
      </c>
      <c r="J440" s="0" t="n">
        <v>0.625</v>
      </c>
      <c r="K440" s="0" t="s">
        <v>599</v>
      </c>
    </row>
    <row r="441" customFormat="false" ht="15" hidden="false" customHeight="false" outlineLevel="0" collapsed="false">
      <c r="A441" s="0" t="n">
        <v>41</v>
      </c>
      <c r="B441" s="0" t="s">
        <v>51</v>
      </c>
      <c r="C441" s="0" t="s">
        <v>68</v>
      </c>
      <c r="D441" s="0" t="s">
        <v>349</v>
      </c>
      <c r="E441" s="0" t="s">
        <v>128</v>
      </c>
      <c r="F441" s="0" t="s">
        <v>28</v>
      </c>
      <c r="I441" s="0" t="n">
        <v>1000</v>
      </c>
      <c r="J441" s="0" t="n">
        <v>0.25</v>
      </c>
      <c r="K441" s="0" t="s">
        <v>600</v>
      </c>
    </row>
    <row r="442" customFormat="false" ht="15" hidden="false" customHeight="false" outlineLevel="0" collapsed="false">
      <c r="A442" s="0" t="n">
        <v>41</v>
      </c>
      <c r="B442" s="0" t="s">
        <v>51</v>
      </c>
      <c r="C442" s="0" t="s">
        <v>68</v>
      </c>
      <c r="D442" s="0" t="s">
        <v>349</v>
      </c>
      <c r="E442" s="0" t="s">
        <v>531</v>
      </c>
      <c r="F442" s="0" t="s">
        <v>29</v>
      </c>
      <c r="I442" s="0" t="n">
        <v>4000</v>
      </c>
      <c r="J442" s="0" t="n">
        <v>1</v>
      </c>
      <c r="K442" s="0" t="s">
        <v>601</v>
      </c>
    </row>
    <row r="443" customFormat="false" ht="15" hidden="false" customHeight="false" outlineLevel="0" collapsed="false">
      <c r="A443" s="0" t="n">
        <v>41</v>
      </c>
      <c r="B443" s="0" t="s">
        <v>51</v>
      </c>
      <c r="C443" s="0" t="s">
        <v>68</v>
      </c>
      <c r="D443" s="0" t="s">
        <v>349</v>
      </c>
      <c r="E443" s="0" t="s">
        <v>158</v>
      </c>
      <c r="F443" s="0" t="s">
        <v>28</v>
      </c>
      <c r="I443" s="0" t="n">
        <v>1000</v>
      </c>
      <c r="J443" s="0" t="n">
        <v>0.25</v>
      </c>
      <c r="K443" s="0" t="s">
        <v>602</v>
      </c>
    </row>
    <row r="444" customFormat="false" ht="15" hidden="false" customHeight="false" outlineLevel="0" collapsed="false">
      <c r="A444" s="0" t="n">
        <v>41</v>
      </c>
      <c r="B444" s="0" t="s">
        <v>51</v>
      </c>
      <c r="C444" s="0" t="s">
        <v>68</v>
      </c>
      <c r="D444" s="0" t="s">
        <v>349</v>
      </c>
      <c r="E444" s="0" t="s">
        <v>132</v>
      </c>
      <c r="F444" s="0" t="s">
        <v>29</v>
      </c>
      <c r="I444" s="0" t="n">
        <v>200</v>
      </c>
      <c r="J444" s="0" t="n">
        <v>0.05</v>
      </c>
      <c r="K444" s="0" t="s">
        <v>603</v>
      </c>
    </row>
    <row r="445" customFormat="false" ht="15" hidden="false" customHeight="false" outlineLevel="0" collapsed="false">
      <c r="A445" s="0" t="n">
        <v>41</v>
      </c>
      <c r="B445" s="0" t="s">
        <v>51</v>
      </c>
      <c r="C445" s="0" t="s">
        <v>68</v>
      </c>
      <c r="D445" s="0" t="s">
        <v>349</v>
      </c>
      <c r="E445" s="0" t="s">
        <v>134</v>
      </c>
      <c r="F445" s="0" t="s">
        <v>28</v>
      </c>
      <c r="I445" s="0" t="n">
        <v>200</v>
      </c>
      <c r="J445" s="0" t="n">
        <v>0.05</v>
      </c>
      <c r="K445" s="0" t="s">
        <v>604</v>
      </c>
    </row>
    <row r="446" customFormat="false" ht="15" hidden="false" customHeight="false" outlineLevel="0" collapsed="false">
      <c r="A446" s="0" t="n">
        <v>41</v>
      </c>
      <c r="B446" s="0" t="s">
        <v>51</v>
      </c>
      <c r="C446" s="0" t="s">
        <v>68</v>
      </c>
      <c r="D446" s="0" t="s">
        <v>349</v>
      </c>
      <c r="E446" s="0" t="s">
        <v>60</v>
      </c>
      <c r="F446" s="0" t="s">
        <v>27</v>
      </c>
      <c r="I446" s="0" t="n">
        <v>200</v>
      </c>
      <c r="J446" s="0" t="n">
        <v>0.05</v>
      </c>
      <c r="K446" s="0" t="s">
        <v>605</v>
      </c>
    </row>
    <row r="447" customFormat="false" ht="15" hidden="false" customHeight="false" outlineLevel="0" collapsed="false">
      <c r="A447" s="0" t="n">
        <v>41</v>
      </c>
      <c r="B447" s="0" t="s">
        <v>51</v>
      </c>
      <c r="C447" s="0" t="s">
        <v>68</v>
      </c>
      <c r="D447" s="0" t="s">
        <v>349</v>
      </c>
      <c r="E447" s="0" t="s">
        <v>62</v>
      </c>
      <c r="F447" s="0" t="s">
        <v>27</v>
      </c>
      <c r="I447" s="0" t="n">
        <v>100</v>
      </c>
      <c r="J447" s="0" t="n">
        <v>0.025</v>
      </c>
      <c r="K447" s="0" t="s">
        <v>606</v>
      </c>
    </row>
    <row r="448" customFormat="false" ht="15" hidden="false" customHeight="false" outlineLevel="0" collapsed="false">
      <c r="A448" s="0" t="n">
        <v>41</v>
      </c>
      <c r="B448" s="0" t="s">
        <v>51</v>
      </c>
      <c r="C448" s="0" t="s">
        <v>68</v>
      </c>
      <c r="D448" s="0" t="s">
        <v>349</v>
      </c>
      <c r="E448" s="0" t="s">
        <v>66</v>
      </c>
      <c r="F448" s="0" t="s">
        <v>27</v>
      </c>
      <c r="I448" s="0" t="n">
        <v>250</v>
      </c>
      <c r="J448" s="0" t="n">
        <v>0.0625</v>
      </c>
      <c r="K448" s="0" t="s">
        <v>607</v>
      </c>
    </row>
    <row r="449" customFormat="false" ht="15" hidden="false" customHeight="false" outlineLevel="0" collapsed="false">
      <c r="A449" s="0" t="n">
        <v>41</v>
      </c>
      <c r="B449" s="0" t="s">
        <v>51</v>
      </c>
      <c r="C449" s="0" t="s">
        <v>68</v>
      </c>
      <c r="D449" s="0" t="s">
        <v>349</v>
      </c>
      <c r="E449" s="0" t="s">
        <v>64</v>
      </c>
      <c r="F449" s="0" t="s">
        <v>27</v>
      </c>
      <c r="I449" s="0" t="n">
        <v>750</v>
      </c>
      <c r="J449" s="0" t="n">
        <v>0.1875</v>
      </c>
      <c r="K449" s="0" t="s">
        <v>608</v>
      </c>
    </row>
    <row r="450" customFormat="false" ht="15" hidden="false" customHeight="false" outlineLevel="0" collapsed="false">
      <c r="A450" s="0" t="n">
        <v>41</v>
      </c>
      <c r="B450" s="0" t="s">
        <v>51</v>
      </c>
      <c r="C450" s="0" t="s">
        <v>68</v>
      </c>
      <c r="D450" s="0" t="s">
        <v>349</v>
      </c>
      <c r="E450" s="0" t="s">
        <v>68</v>
      </c>
      <c r="F450" s="0" t="s">
        <v>30</v>
      </c>
      <c r="I450" s="0" t="n">
        <v>4000</v>
      </c>
      <c r="J450" s="0" t="n">
        <v>1</v>
      </c>
      <c r="K450" s="0" t="s">
        <v>609</v>
      </c>
    </row>
    <row r="451" customFormat="false" ht="15" hidden="false" customHeight="false" outlineLevel="0" collapsed="false">
      <c r="A451" s="0" t="n">
        <v>42</v>
      </c>
      <c r="B451" s="0" t="s">
        <v>51</v>
      </c>
      <c r="C451" s="0" t="s">
        <v>68</v>
      </c>
      <c r="D451" s="0" t="s">
        <v>349</v>
      </c>
      <c r="E451" s="0" t="s">
        <v>53</v>
      </c>
      <c r="F451" s="0" t="s">
        <v>27</v>
      </c>
      <c r="G451" s="0" t="n">
        <v>1</v>
      </c>
      <c r="H451" s="0" t="n">
        <v>2.8</v>
      </c>
      <c r="I451" s="0" t="n">
        <v>12600</v>
      </c>
      <c r="J451" s="0" t="n">
        <v>3.15</v>
      </c>
      <c r="K451" s="0" t="s">
        <v>610</v>
      </c>
      <c r="L451" s="0" t="s">
        <v>611</v>
      </c>
    </row>
    <row r="452" customFormat="false" ht="15" hidden="false" customHeight="false" outlineLevel="0" collapsed="false">
      <c r="A452" s="0" t="n">
        <v>42</v>
      </c>
      <c r="B452" s="0" t="s">
        <v>51</v>
      </c>
      <c r="C452" s="0" t="s">
        <v>68</v>
      </c>
      <c r="D452" s="0" t="s">
        <v>349</v>
      </c>
      <c r="E452" s="0" t="s">
        <v>56</v>
      </c>
      <c r="F452" s="0" t="s">
        <v>28</v>
      </c>
      <c r="I452" s="0" t="n">
        <v>500</v>
      </c>
      <c r="J452" s="0" t="n">
        <v>0.125</v>
      </c>
      <c r="K452" s="0" t="s">
        <v>612</v>
      </c>
    </row>
    <row r="453" customFormat="false" ht="15" hidden="false" customHeight="false" outlineLevel="0" collapsed="false">
      <c r="A453" s="0" t="n">
        <v>42</v>
      </c>
      <c r="B453" s="0" t="s">
        <v>51</v>
      </c>
      <c r="C453" s="0" t="s">
        <v>68</v>
      </c>
      <c r="D453" s="0" t="s">
        <v>349</v>
      </c>
      <c r="E453" s="0" t="s">
        <v>58</v>
      </c>
      <c r="F453" s="0" t="s">
        <v>28</v>
      </c>
      <c r="I453" s="0" t="n">
        <v>2500</v>
      </c>
      <c r="J453" s="0" t="n">
        <v>0.625</v>
      </c>
      <c r="K453" s="0" t="s">
        <v>613</v>
      </c>
    </row>
    <row r="454" customFormat="false" ht="15" hidden="false" customHeight="false" outlineLevel="0" collapsed="false">
      <c r="A454" s="0" t="n">
        <v>42</v>
      </c>
      <c r="B454" s="0" t="s">
        <v>51</v>
      </c>
      <c r="C454" s="0" t="s">
        <v>68</v>
      </c>
      <c r="D454" s="0" t="s">
        <v>349</v>
      </c>
      <c r="E454" s="0" t="s">
        <v>531</v>
      </c>
      <c r="F454" s="0" t="s">
        <v>29</v>
      </c>
      <c r="I454" s="0" t="n">
        <v>4000</v>
      </c>
      <c r="J454" s="0" t="n">
        <v>1</v>
      </c>
      <c r="K454" s="0" t="s">
        <v>614</v>
      </c>
    </row>
    <row r="455" customFormat="false" ht="15" hidden="false" customHeight="false" outlineLevel="0" collapsed="false">
      <c r="A455" s="0" t="n">
        <v>42</v>
      </c>
      <c r="B455" s="0" t="s">
        <v>51</v>
      </c>
      <c r="C455" s="0" t="s">
        <v>68</v>
      </c>
      <c r="D455" s="0" t="s">
        <v>349</v>
      </c>
      <c r="E455" s="0" t="s">
        <v>128</v>
      </c>
      <c r="F455" s="0" t="s">
        <v>28</v>
      </c>
      <c r="I455" s="0" t="n">
        <v>1000</v>
      </c>
      <c r="J455" s="0" t="n">
        <v>0.25</v>
      </c>
      <c r="K455" s="0" t="s">
        <v>615</v>
      </c>
    </row>
    <row r="456" customFormat="false" ht="15" hidden="false" customHeight="false" outlineLevel="0" collapsed="false">
      <c r="A456" s="0" t="n">
        <v>42</v>
      </c>
      <c r="B456" s="0" t="s">
        <v>51</v>
      </c>
      <c r="C456" s="0" t="s">
        <v>68</v>
      </c>
      <c r="D456" s="0" t="s">
        <v>349</v>
      </c>
      <c r="E456" s="0" t="s">
        <v>158</v>
      </c>
      <c r="F456" s="0" t="s">
        <v>28</v>
      </c>
      <c r="I456" s="0" t="n">
        <v>0</v>
      </c>
      <c r="J456" s="0" t="n">
        <v>0</v>
      </c>
      <c r="K456" s="0" t="s">
        <v>616</v>
      </c>
    </row>
    <row r="457" customFormat="false" ht="15" hidden="false" customHeight="false" outlineLevel="0" collapsed="false">
      <c r="A457" s="0" t="n">
        <v>42</v>
      </c>
      <c r="B457" s="0" t="s">
        <v>51</v>
      </c>
      <c r="C457" s="0" t="s">
        <v>68</v>
      </c>
      <c r="D457" s="0" t="s">
        <v>349</v>
      </c>
      <c r="E457" s="0" t="s">
        <v>132</v>
      </c>
      <c r="F457" s="0" t="s">
        <v>29</v>
      </c>
      <c r="I457" s="0" t="n">
        <v>200</v>
      </c>
      <c r="J457" s="0" t="n">
        <v>0.05</v>
      </c>
      <c r="K457" s="0" t="s">
        <v>617</v>
      </c>
    </row>
    <row r="458" customFormat="false" ht="15" hidden="false" customHeight="false" outlineLevel="0" collapsed="false">
      <c r="A458" s="0" t="n">
        <v>42</v>
      </c>
      <c r="B458" s="0" t="s">
        <v>51</v>
      </c>
      <c r="C458" s="0" t="s">
        <v>68</v>
      </c>
      <c r="D458" s="0" t="s">
        <v>349</v>
      </c>
      <c r="E458" s="0" t="s">
        <v>134</v>
      </c>
      <c r="F458" s="0" t="s">
        <v>28</v>
      </c>
      <c r="I458" s="0" t="n">
        <v>200</v>
      </c>
      <c r="J458" s="0" t="n">
        <v>0.05</v>
      </c>
      <c r="K458" s="0" t="s">
        <v>618</v>
      </c>
      <c r="L458" s="0" t="s">
        <v>619</v>
      </c>
    </row>
    <row r="459" customFormat="false" ht="15" hidden="false" customHeight="false" outlineLevel="0" collapsed="false">
      <c r="A459" s="0" t="n">
        <v>42</v>
      </c>
      <c r="B459" s="0" t="s">
        <v>51</v>
      </c>
      <c r="C459" s="0" t="s">
        <v>68</v>
      </c>
      <c r="D459" s="0" t="s">
        <v>349</v>
      </c>
      <c r="E459" s="0" t="s">
        <v>60</v>
      </c>
      <c r="F459" s="0" t="s">
        <v>27</v>
      </c>
      <c r="I459" s="0" t="n">
        <v>200</v>
      </c>
      <c r="J459" s="0" t="n">
        <v>0.05</v>
      </c>
      <c r="K459" s="0" t="s">
        <v>620</v>
      </c>
    </row>
    <row r="460" customFormat="false" ht="15" hidden="false" customHeight="false" outlineLevel="0" collapsed="false">
      <c r="A460" s="0" t="n">
        <v>42</v>
      </c>
      <c r="B460" s="0" t="s">
        <v>51</v>
      </c>
      <c r="C460" s="0" t="s">
        <v>68</v>
      </c>
      <c r="D460" s="0" t="s">
        <v>349</v>
      </c>
      <c r="E460" s="0" t="s">
        <v>62</v>
      </c>
      <c r="F460" s="0" t="s">
        <v>27</v>
      </c>
      <c r="I460" s="0" t="n">
        <v>100</v>
      </c>
      <c r="J460" s="0" t="n">
        <v>0.025</v>
      </c>
      <c r="K460" s="0" t="s">
        <v>621</v>
      </c>
    </row>
    <row r="461" customFormat="false" ht="15" hidden="false" customHeight="false" outlineLevel="0" collapsed="false">
      <c r="A461" s="0" t="n">
        <v>42</v>
      </c>
      <c r="B461" s="0" t="s">
        <v>51</v>
      </c>
      <c r="C461" s="0" t="s">
        <v>68</v>
      </c>
      <c r="D461" s="0" t="s">
        <v>349</v>
      </c>
      <c r="E461" s="0" t="s">
        <v>66</v>
      </c>
      <c r="F461" s="0" t="s">
        <v>27</v>
      </c>
      <c r="I461" s="0" t="n">
        <v>250</v>
      </c>
      <c r="J461" s="0" t="n">
        <v>0.0625</v>
      </c>
      <c r="K461" s="0" t="s">
        <v>622</v>
      </c>
    </row>
    <row r="462" customFormat="false" ht="15" hidden="false" customHeight="false" outlineLevel="0" collapsed="false">
      <c r="A462" s="0" t="n">
        <v>42</v>
      </c>
      <c r="B462" s="0" t="s">
        <v>51</v>
      </c>
      <c r="C462" s="0" t="s">
        <v>68</v>
      </c>
      <c r="D462" s="0" t="s">
        <v>349</v>
      </c>
      <c r="E462" s="0" t="s">
        <v>64</v>
      </c>
      <c r="F462" s="0" t="s">
        <v>27</v>
      </c>
      <c r="I462" s="0" t="n">
        <v>750</v>
      </c>
      <c r="J462" s="0" t="n">
        <v>0.1875</v>
      </c>
      <c r="K462" s="0" t="s">
        <v>623</v>
      </c>
    </row>
    <row r="463" customFormat="false" ht="15" hidden="false" customHeight="false" outlineLevel="0" collapsed="false">
      <c r="A463" s="0" t="n">
        <v>42</v>
      </c>
      <c r="B463" s="0" t="s">
        <v>51</v>
      </c>
      <c r="C463" s="0" t="s">
        <v>68</v>
      </c>
      <c r="D463" s="0" t="s">
        <v>349</v>
      </c>
      <c r="E463" s="0" t="s">
        <v>68</v>
      </c>
      <c r="F463" s="0" t="s">
        <v>30</v>
      </c>
      <c r="I463" s="0" t="n">
        <v>4000</v>
      </c>
      <c r="J463" s="0" t="n">
        <v>1</v>
      </c>
      <c r="K463" s="0" t="s">
        <v>624</v>
      </c>
    </row>
    <row r="464" customFormat="false" ht="15" hidden="false" customHeight="false" outlineLevel="0" collapsed="false">
      <c r="A464" s="0" t="n">
        <v>43</v>
      </c>
      <c r="B464" s="0" t="s">
        <v>625</v>
      </c>
      <c r="C464" s="0" t="s">
        <v>626</v>
      </c>
      <c r="D464" s="0" t="s">
        <v>626</v>
      </c>
      <c r="E464" s="0" t="s">
        <v>53</v>
      </c>
      <c r="F464" s="0" t="s">
        <v>27</v>
      </c>
      <c r="G464" s="0" t="n">
        <v>0.8</v>
      </c>
      <c r="H464" s="0" t="n">
        <v>4.2</v>
      </c>
      <c r="I464" s="0" t="n">
        <v>12768</v>
      </c>
      <c r="J464" s="0" t="n">
        <v>3.36</v>
      </c>
      <c r="K464" s="0" t="s">
        <v>627</v>
      </c>
      <c r="L464" s="0" t="s">
        <v>628</v>
      </c>
    </row>
    <row r="465" customFormat="false" ht="15" hidden="false" customHeight="false" outlineLevel="0" collapsed="false">
      <c r="A465" s="0" t="n">
        <v>43</v>
      </c>
      <c r="B465" s="0" t="s">
        <v>625</v>
      </c>
      <c r="C465" s="0" t="s">
        <v>626</v>
      </c>
      <c r="D465" s="0" t="s">
        <v>626</v>
      </c>
      <c r="E465" s="0" t="s">
        <v>56</v>
      </c>
      <c r="F465" s="0" t="s">
        <v>28</v>
      </c>
      <c r="I465" s="0" t="n">
        <v>500</v>
      </c>
      <c r="J465" s="0" t="n">
        <v>0.131578947368421</v>
      </c>
      <c r="K465" s="0" t="s">
        <v>629</v>
      </c>
    </row>
    <row r="466" customFormat="false" ht="15" hidden="false" customHeight="false" outlineLevel="0" collapsed="false">
      <c r="A466" s="0" t="n">
        <v>43</v>
      </c>
      <c r="B466" s="0" t="s">
        <v>625</v>
      </c>
      <c r="C466" s="0" t="s">
        <v>626</v>
      </c>
      <c r="D466" s="0" t="s">
        <v>626</v>
      </c>
      <c r="E466" s="0" t="s">
        <v>58</v>
      </c>
      <c r="F466" s="0" t="s">
        <v>28</v>
      </c>
      <c r="I466" s="0" t="n">
        <v>2500</v>
      </c>
      <c r="J466" s="0" t="n">
        <v>0.657894736842105</v>
      </c>
      <c r="K466" s="0" t="s">
        <v>630</v>
      </c>
    </row>
    <row r="467" customFormat="false" ht="15" hidden="false" customHeight="false" outlineLevel="0" collapsed="false">
      <c r="A467" s="0" t="n">
        <v>43</v>
      </c>
      <c r="B467" s="0" t="s">
        <v>625</v>
      </c>
      <c r="C467" s="0" t="s">
        <v>626</v>
      </c>
      <c r="D467" s="0" t="s">
        <v>626</v>
      </c>
      <c r="E467" s="0" t="s">
        <v>60</v>
      </c>
      <c r="F467" s="0" t="s">
        <v>27</v>
      </c>
      <c r="I467" s="0" t="n">
        <v>250</v>
      </c>
      <c r="J467" s="0" t="n">
        <v>0.0657894736842105</v>
      </c>
      <c r="K467" s="0" t="s">
        <v>631</v>
      </c>
    </row>
    <row r="468" customFormat="false" ht="15" hidden="false" customHeight="false" outlineLevel="0" collapsed="false">
      <c r="A468" s="0" t="n">
        <v>43</v>
      </c>
      <c r="B468" s="0" t="s">
        <v>625</v>
      </c>
      <c r="C468" s="0" t="s">
        <v>626</v>
      </c>
      <c r="D468" s="0" t="s">
        <v>626</v>
      </c>
      <c r="E468" s="0" t="s">
        <v>62</v>
      </c>
      <c r="F468" s="0" t="s">
        <v>27</v>
      </c>
      <c r="I468" s="0" t="n">
        <v>100</v>
      </c>
      <c r="J468" s="0" t="n">
        <v>0.0263157894736842</v>
      </c>
      <c r="K468" s="0" t="s">
        <v>632</v>
      </c>
    </row>
    <row r="469" customFormat="false" ht="15" hidden="false" customHeight="false" outlineLevel="0" collapsed="false">
      <c r="A469" s="0" t="n">
        <v>43</v>
      </c>
      <c r="B469" s="0" t="s">
        <v>625</v>
      </c>
      <c r="C469" s="0" t="s">
        <v>626</v>
      </c>
      <c r="D469" s="0" t="s">
        <v>626</v>
      </c>
      <c r="E469" s="0" t="s">
        <v>64</v>
      </c>
      <c r="F469" s="0" t="s">
        <v>27</v>
      </c>
      <c r="I469" s="0" t="n">
        <v>500</v>
      </c>
      <c r="J469" s="0" t="n">
        <v>0.131578947368421</v>
      </c>
      <c r="K469" s="0" t="s">
        <v>633</v>
      </c>
    </row>
    <row r="470" customFormat="false" ht="15" hidden="false" customHeight="false" outlineLevel="0" collapsed="false">
      <c r="A470" s="0" t="n">
        <v>43</v>
      </c>
      <c r="B470" s="0" t="s">
        <v>625</v>
      </c>
      <c r="C470" s="0" t="s">
        <v>626</v>
      </c>
      <c r="D470" s="0" t="s">
        <v>626</v>
      </c>
      <c r="E470" s="0" t="s">
        <v>66</v>
      </c>
      <c r="F470" s="0" t="s">
        <v>27</v>
      </c>
      <c r="I470" s="0" t="n">
        <v>250</v>
      </c>
      <c r="J470" s="0" t="n">
        <v>0.0657894736842105</v>
      </c>
      <c r="K470" s="0" t="s">
        <v>634</v>
      </c>
    </row>
    <row r="471" customFormat="false" ht="15" hidden="false" customHeight="false" outlineLevel="0" collapsed="false">
      <c r="A471" s="0" t="n">
        <v>43</v>
      </c>
      <c r="B471" s="0" t="s">
        <v>625</v>
      </c>
      <c r="C471" s="0" t="s">
        <v>626</v>
      </c>
      <c r="D471" s="0" t="s">
        <v>626</v>
      </c>
      <c r="E471" s="0" t="s">
        <v>68</v>
      </c>
      <c r="F471" s="0" t="s">
        <v>30</v>
      </c>
      <c r="I471" s="0" t="n">
        <v>4000</v>
      </c>
      <c r="J471" s="0" t="n">
        <v>1.05263157894737</v>
      </c>
      <c r="K471" s="0" t="s">
        <v>635</v>
      </c>
    </row>
    <row r="472" customFormat="false" ht="15" hidden="false" customHeight="false" outlineLevel="0" collapsed="false">
      <c r="A472" s="0" t="n">
        <v>44</v>
      </c>
      <c r="B472" s="0" t="s">
        <v>625</v>
      </c>
      <c r="C472" s="0" t="s">
        <v>626</v>
      </c>
      <c r="D472" s="0" t="s">
        <v>636</v>
      </c>
      <c r="E472" s="0" t="s">
        <v>53</v>
      </c>
      <c r="F472" s="0" t="s">
        <v>27</v>
      </c>
      <c r="G472" s="0" t="n">
        <v>1</v>
      </c>
      <c r="H472" s="0" t="n">
        <v>4.2</v>
      </c>
      <c r="I472" s="0" t="n">
        <v>15960</v>
      </c>
      <c r="J472" s="0" t="n">
        <v>4.2</v>
      </c>
      <c r="K472" s="0" t="s">
        <v>637</v>
      </c>
      <c r="L472" s="0" t="s">
        <v>638</v>
      </c>
    </row>
    <row r="473" customFormat="false" ht="15" hidden="false" customHeight="false" outlineLevel="0" collapsed="false">
      <c r="A473" s="0" t="n">
        <v>44</v>
      </c>
      <c r="B473" s="0" t="s">
        <v>625</v>
      </c>
      <c r="C473" s="0" t="s">
        <v>626</v>
      </c>
      <c r="D473" s="0" t="s">
        <v>636</v>
      </c>
      <c r="E473" s="0" t="s">
        <v>56</v>
      </c>
      <c r="F473" s="0" t="s">
        <v>28</v>
      </c>
      <c r="I473" s="0" t="n">
        <v>500</v>
      </c>
      <c r="J473" s="0" t="n">
        <v>0.131578947368421</v>
      </c>
      <c r="K473" s="0" t="s">
        <v>639</v>
      </c>
    </row>
    <row r="474" customFormat="false" ht="15" hidden="false" customHeight="false" outlineLevel="0" collapsed="false">
      <c r="A474" s="0" t="n">
        <v>44</v>
      </c>
      <c r="B474" s="0" t="s">
        <v>625</v>
      </c>
      <c r="C474" s="0" t="s">
        <v>626</v>
      </c>
      <c r="D474" s="0" t="s">
        <v>636</v>
      </c>
      <c r="E474" s="0" t="s">
        <v>58</v>
      </c>
      <c r="F474" s="0" t="s">
        <v>28</v>
      </c>
      <c r="I474" s="0" t="n">
        <v>2500</v>
      </c>
      <c r="J474" s="0" t="n">
        <v>0.657894736842105</v>
      </c>
      <c r="K474" s="0" t="s">
        <v>640</v>
      </c>
    </row>
    <row r="475" customFormat="false" ht="15" hidden="false" customHeight="false" outlineLevel="0" collapsed="false">
      <c r="A475" s="0" t="n">
        <v>44</v>
      </c>
      <c r="B475" s="0" t="s">
        <v>625</v>
      </c>
      <c r="C475" s="0" t="s">
        <v>626</v>
      </c>
      <c r="D475" s="0" t="s">
        <v>636</v>
      </c>
      <c r="E475" s="0" t="s">
        <v>60</v>
      </c>
      <c r="F475" s="0" t="s">
        <v>27</v>
      </c>
      <c r="I475" s="0" t="n">
        <v>250</v>
      </c>
      <c r="J475" s="0" t="n">
        <v>0.0657894736842105</v>
      </c>
      <c r="K475" s="0" t="s">
        <v>641</v>
      </c>
    </row>
    <row r="476" customFormat="false" ht="15" hidden="false" customHeight="false" outlineLevel="0" collapsed="false">
      <c r="A476" s="0" t="n">
        <v>44</v>
      </c>
      <c r="B476" s="0" t="s">
        <v>625</v>
      </c>
      <c r="C476" s="0" t="s">
        <v>626</v>
      </c>
      <c r="D476" s="0" t="s">
        <v>636</v>
      </c>
      <c r="E476" s="0" t="s">
        <v>62</v>
      </c>
      <c r="F476" s="0" t="s">
        <v>27</v>
      </c>
      <c r="I476" s="0" t="n">
        <v>100</v>
      </c>
      <c r="J476" s="0" t="n">
        <v>0.0263157894736842</v>
      </c>
      <c r="K476" s="0" t="s">
        <v>642</v>
      </c>
    </row>
    <row r="477" customFormat="false" ht="15" hidden="false" customHeight="false" outlineLevel="0" collapsed="false">
      <c r="A477" s="0" t="n">
        <v>44</v>
      </c>
      <c r="B477" s="0" t="s">
        <v>625</v>
      </c>
      <c r="C477" s="0" t="s">
        <v>626</v>
      </c>
      <c r="D477" s="0" t="s">
        <v>636</v>
      </c>
      <c r="E477" s="0" t="s">
        <v>64</v>
      </c>
      <c r="F477" s="0" t="s">
        <v>27</v>
      </c>
      <c r="I477" s="0" t="n">
        <v>500</v>
      </c>
      <c r="J477" s="0" t="n">
        <v>0.131578947368421</v>
      </c>
      <c r="K477" s="0" t="s">
        <v>643</v>
      </c>
    </row>
    <row r="478" customFormat="false" ht="15" hidden="false" customHeight="false" outlineLevel="0" collapsed="false">
      <c r="A478" s="0" t="n">
        <v>44</v>
      </c>
      <c r="B478" s="0" t="s">
        <v>625</v>
      </c>
      <c r="C478" s="0" t="s">
        <v>626</v>
      </c>
      <c r="D478" s="0" t="s">
        <v>636</v>
      </c>
      <c r="E478" s="0" t="s">
        <v>66</v>
      </c>
      <c r="F478" s="0" t="s">
        <v>27</v>
      </c>
      <c r="I478" s="0" t="n">
        <v>250</v>
      </c>
      <c r="J478" s="0" t="n">
        <v>0.0657894736842105</v>
      </c>
      <c r="K478" s="0" t="s">
        <v>644</v>
      </c>
      <c r="L478" s="0" t="s">
        <v>645</v>
      </c>
    </row>
    <row r="479" customFormat="false" ht="15" hidden="false" customHeight="false" outlineLevel="0" collapsed="false">
      <c r="A479" s="0" t="n">
        <v>44</v>
      </c>
      <c r="B479" s="0" t="s">
        <v>625</v>
      </c>
      <c r="C479" s="0" t="s">
        <v>626</v>
      </c>
      <c r="D479" s="0" t="s">
        <v>636</v>
      </c>
      <c r="E479" s="0" t="s">
        <v>68</v>
      </c>
      <c r="F479" s="0" t="s">
        <v>30</v>
      </c>
      <c r="I479" s="0" t="n">
        <v>4000</v>
      </c>
      <c r="J479" s="0" t="n">
        <v>1.05263157894737</v>
      </c>
      <c r="K479" s="0" t="s">
        <v>646</v>
      </c>
      <c r="L479" s="0" t="s">
        <v>647</v>
      </c>
    </row>
    <row r="480" customFormat="false" ht="15" hidden="false" customHeight="false" outlineLevel="0" collapsed="false">
      <c r="A480" s="0" t="n">
        <v>45</v>
      </c>
      <c r="B480" s="0" t="s">
        <v>625</v>
      </c>
      <c r="C480" s="0" t="s">
        <v>648</v>
      </c>
      <c r="D480" s="0" t="s">
        <v>648</v>
      </c>
      <c r="E480" s="0" t="s">
        <v>53</v>
      </c>
      <c r="F480" s="0" t="s">
        <v>27</v>
      </c>
      <c r="G480" s="0" t="n">
        <v>0.8</v>
      </c>
      <c r="H480" s="0" t="n">
        <v>2.8</v>
      </c>
      <c r="I480" s="0" t="n">
        <v>8512</v>
      </c>
      <c r="J480" s="0" t="n">
        <v>2.24</v>
      </c>
      <c r="K480" s="0" t="s">
        <v>649</v>
      </c>
      <c r="L480" s="0" t="s">
        <v>650</v>
      </c>
    </row>
    <row r="481" customFormat="false" ht="15" hidden="false" customHeight="false" outlineLevel="0" collapsed="false">
      <c r="A481" s="0" t="n">
        <v>45</v>
      </c>
      <c r="B481" s="0" t="s">
        <v>625</v>
      </c>
      <c r="C481" s="0" t="s">
        <v>648</v>
      </c>
      <c r="D481" s="0" t="s">
        <v>648</v>
      </c>
      <c r="E481" s="0" t="s">
        <v>56</v>
      </c>
      <c r="F481" s="0" t="s">
        <v>28</v>
      </c>
      <c r="I481" s="0" t="n">
        <v>500</v>
      </c>
      <c r="J481" s="0" t="n">
        <v>0.131578947368421</v>
      </c>
      <c r="K481" s="0" t="s">
        <v>651</v>
      </c>
      <c r="L481" s="0" t="s">
        <v>652</v>
      </c>
    </row>
    <row r="482" customFormat="false" ht="15" hidden="false" customHeight="false" outlineLevel="0" collapsed="false">
      <c r="A482" s="0" t="n">
        <v>45</v>
      </c>
      <c r="B482" s="0" t="s">
        <v>625</v>
      </c>
      <c r="C482" s="0" t="s">
        <v>648</v>
      </c>
      <c r="D482" s="0" t="s">
        <v>648</v>
      </c>
      <c r="E482" s="0" t="s">
        <v>58</v>
      </c>
      <c r="F482" s="0" t="s">
        <v>28</v>
      </c>
      <c r="I482" s="0" t="n">
        <v>2500</v>
      </c>
      <c r="J482" s="0" t="n">
        <v>0.657894736842105</v>
      </c>
      <c r="K482" s="0" t="s">
        <v>653</v>
      </c>
      <c r="L482" s="0" t="s">
        <v>654</v>
      </c>
    </row>
    <row r="483" customFormat="false" ht="15" hidden="false" customHeight="false" outlineLevel="0" collapsed="false">
      <c r="A483" s="0" t="n">
        <v>45</v>
      </c>
      <c r="B483" s="0" t="s">
        <v>625</v>
      </c>
      <c r="C483" s="0" t="s">
        <v>648</v>
      </c>
      <c r="D483" s="0" t="s">
        <v>648</v>
      </c>
      <c r="E483" s="0" t="s">
        <v>60</v>
      </c>
      <c r="F483" s="0" t="s">
        <v>27</v>
      </c>
      <c r="I483" s="0" t="n">
        <v>250</v>
      </c>
      <c r="J483" s="0" t="n">
        <v>0.0657894736842105</v>
      </c>
      <c r="K483" s="0" t="s">
        <v>655</v>
      </c>
    </row>
    <row r="484" customFormat="false" ht="15" hidden="false" customHeight="false" outlineLevel="0" collapsed="false">
      <c r="A484" s="0" t="n">
        <v>45</v>
      </c>
      <c r="B484" s="0" t="s">
        <v>625</v>
      </c>
      <c r="C484" s="0" t="s">
        <v>648</v>
      </c>
      <c r="D484" s="0" t="s">
        <v>648</v>
      </c>
      <c r="E484" s="0" t="s">
        <v>62</v>
      </c>
      <c r="F484" s="0" t="s">
        <v>27</v>
      </c>
      <c r="I484" s="0" t="n">
        <v>100</v>
      </c>
      <c r="J484" s="0" t="n">
        <v>0.0263157894736842</v>
      </c>
      <c r="K484" s="0" t="s">
        <v>656</v>
      </c>
    </row>
    <row r="485" customFormat="false" ht="15" hidden="false" customHeight="false" outlineLevel="0" collapsed="false">
      <c r="A485" s="0" t="n">
        <v>45</v>
      </c>
      <c r="B485" s="0" t="s">
        <v>625</v>
      </c>
      <c r="C485" s="0" t="s">
        <v>648</v>
      </c>
      <c r="D485" s="0" t="s">
        <v>648</v>
      </c>
      <c r="E485" s="0" t="s">
        <v>64</v>
      </c>
      <c r="F485" s="0" t="s">
        <v>27</v>
      </c>
      <c r="I485" s="0" t="n">
        <v>500</v>
      </c>
      <c r="J485" s="0" t="n">
        <v>0.131578947368421</v>
      </c>
      <c r="K485" s="0" t="s">
        <v>657</v>
      </c>
    </row>
    <row r="486" customFormat="false" ht="15" hidden="false" customHeight="false" outlineLevel="0" collapsed="false">
      <c r="A486" s="0" t="n">
        <v>45</v>
      </c>
      <c r="B486" s="0" t="s">
        <v>625</v>
      </c>
      <c r="C486" s="0" t="s">
        <v>648</v>
      </c>
      <c r="D486" s="0" t="s">
        <v>648</v>
      </c>
      <c r="E486" s="0" t="s">
        <v>66</v>
      </c>
      <c r="F486" s="0" t="s">
        <v>27</v>
      </c>
      <c r="I486" s="0" t="n">
        <v>250</v>
      </c>
      <c r="J486" s="0" t="n">
        <v>0.0657894736842105</v>
      </c>
      <c r="K486" s="0" t="s">
        <v>658</v>
      </c>
    </row>
    <row r="487" customFormat="false" ht="15" hidden="false" customHeight="false" outlineLevel="0" collapsed="false">
      <c r="A487" s="0" t="n">
        <v>45</v>
      </c>
      <c r="B487" s="0" t="s">
        <v>625</v>
      </c>
      <c r="C487" s="0" t="s">
        <v>648</v>
      </c>
      <c r="D487" s="0" t="s">
        <v>648</v>
      </c>
      <c r="E487" s="0" t="s">
        <v>68</v>
      </c>
      <c r="F487" s="0" t="s">
        <v>30</v>
      </c>
      <c r="I487" s="0" t="n">
        <v>4000</v>
      </c>
      <c r="J487" s="0" t="n">
        <v>1.05263157894737</v>
      </c>
      <c r="K487" s="0" t="s">
        <v>659</v>
      </c>
    </row>
    <row r="488" customFormat="false" ht="15" hidden="false" customHeight="false" outlineLevel="0" collapsed="false">
      <c r="A488" s="0" t="n">
        <v>46</v>
      </c>
      <c r="B488" s="0" t="s">
        <v>625</v>
      </c>
      <c r="C488" s="0" t="s">
        <v>648</v>
      </c>
      <c r="D488" s="0" t="s">
        <v>660</v>
      </c>
      <c r="E488" s="0" t="s">
        <v>53</v>
      </c>
      <c r="F488" s="0" t="s">
        <v>27</v>
      </c>
      <c r="G488" s="0" t="n">
        <v>1</v>
      </c>
      <c r="H488" s="0" t="n">
        <v>2.8</v>
      </c>
      <c r="I488" s="0" t="n">
        <v>10640</v>
      </c>
      <c r="J488" s="0" t="n">
        <v>2.8</v>
      </c>
      <c r="K488" s="0" t="s">
        <v>661</v>
      </c>
      <c r="L488" s="0" t="s">
        <v>662</v>
      </c>
    </row>
    <row r="489" customFormat="false" ht="15" hidden="false" customHeight="false" outlineLevel="0" collapsed="false">
      <c r="A489" s="0" t="n">
        <v>46</v>
      </c>
      <c r="B489" s="0" t="s">
        <v>625</v>
      </c>
      <c r="C489" s="0" t="s">
        <v>648</v>
      </c>
      <c r="D489" s="0" t="s">
        <v>660</v>
      </c>
      <c r="E489" s="0" t="s">
        <v>56</v>
      </c>
      <c r="F489" s="0" t="s">
        <v>28</v>
      </c>
      <c r="I489" s="0" t="n">
        <v>500</v>
      </c>
      <c r="J489" s="0" t="n">
        <v>0.131578947368421</v>
      </c>
      <c r="K489" s="0" t="s">
        <v>663</v>
      </c>
    </row>
    <row r="490" customFormat="false" ht="15" hidden="false" customHeight="false" outlineLevel="0" collapsed="false">
      <c r="A490" s="0" t="n">
        <v>46</v>
      </c>
      <c r="B490" s="0" t="s">
        <v>625</v>
      </c>
      <c r="C490" s="0" t="s">
        <v>648</v>
      </c>
      <c r="D490" s="0" t="s">
        <v>660</v>
      </c>
      <c r="E490" s="0" t="s">
        <v>58</v>
      </c>
      <c r="F490" s="0" t="s">
        <v>28</v>
      </c>
      <c r="I490" s="0" t="n">
        <v>2500</v>
      </c>
      <c r="J490" s="0" t="n">
        <v>0.657894736842105</v>
      </c>
      <c r="K490" s="0" t="s">
        <v>664</v>
      </c>
    </row>
    <row r="491" customFormat="false" ht="15" hidden="false" customHeight="false" outlineLevel="0" collapsed="false">
      <c r="A491" s="0" t="n">
        <v>46</v>
      </c>
      <c r="B491" s="0" t="s">
        <v>625</v>
      </c>
      <c r="C491" s="0" t="s">
        <v>648</v>
      </c>
      <c r="D491" s="0" t="s">
        <v>660</v>
      </c>
      <c r="E491" s="0" t="s">
        <v>60</v>
      </c>
      <c r="F491" s="0" t="s">
        <v>27</v>
      </c>
      <c r="I491" s="0" t="n">
        <v>250</v>
      </c>
      <c r="J491" s="0" t="n">
        <v>0.0657894736842105</v>
      </c>
      <c r="K491" s="0" t="s">
        <v>665</v>
      </c>
    </row>
    <row r="492" customFormat="false" ht="15" hidden="false" customHeight="false" outlineLevel="0" collapsed="false">
      <c r="A492" s="0" t="n">
        <v>46</v>
      </c>
      <c r="B492" s="0" t="s">
        <v>625</v>
      </c>
      <c r="C492" s="0" t="s">
        <v>648</v>
      </c>
      <c r="D492" s="0" t="s">
        <v>660</v>
      </c>
      <c r="E492" s="0" t="s">
        <v>62</v>
      </c>
      <c r="F492" s="0" t="s">
        <v>27</v>
      </c>
      <c r="I492" s="0" t="n">
        <v>100</v>
      </c>
      <c r="J492" s="0" t="n">
        <v>0.0263157894736842</v>
      </c>
      <c r="K492" s="0" t="s">
        <v>666</v>
      </c>
    </row>
    <row r="493" customFormat="false" ht="15" hidden="false" customHeight="false" outlineLevel="0" collapsed="false">
      <c r="A493" s="0" t="n">
        <v>46</v>
      </c>
      <c r="B493" s="0" t="s">
        <v>625</v>
      </c>
      <c r="C493" s="0" t="s">
        <v>648</v>
      </c>
      <c r="D493" s="0" t="s">
        <v>660</v>
      </c>
      <c r="E493" s="0" t="s">
        <v>64</v>
      </c>
      <c r="F493" s="0" t="s">
        <v>27</v>
      </c>
      <c r="I493" s="0" t="n">
        <v>500</v>
      </c>
      <c r="J493" s="0" t="n">
        <v>0.131578947368421</v>
      </c>
      <c r="K493" s="0" t="s">
        <v>667</v>
      </c>
    </row>
    <row r="494" customFormat="false" ht="15" hidden="false" customHeight="false" outlineLevel="0" collapsed="false">
      <c r="A494" s="0" t="n">
        <v>46</v>
      </c>
      <c r="B494" s="0" t="s">
        <v>625</v>
      </c>
      <c r="C494" s="0" t="s">
        <v>648</v>
      </c>
      <c r="D494" s="0" t="s">
        <v>660</v>
      </c>
      <c r="E494" s="0" t="s">
        <v>66</v>
      </c>
      <c r="F494" s="0" t="s">
        <v>27</v>
      </c>
      <c r="I494" s="0" t="n">
        <v>250</v>
      </c>
      <c r="J494" s="0" t="n">
        <v>0.0657894736842105</v>
      </c>
      <c r="K494" s="0" t="s">
        <v>668</v>
      </c>
    </row>
    <row r="495" customFormat="false" ht="15" hidden="false" customHeight="false" outlineLevel="0" collapsed="false">
      <c r="A495" s="0" t="n">
        <v>46</v>
      </c>
      <c r="B495" s="0" t="s">
        <v>625</v>
      </c>
      <c r="C495" s="0" t="s">
        <v>648</v>
      </c>
      <c r="D495" s="0" t="s">
        <v>660</v>
      </c>
      <c r="E495" s="0" t="s">
        <v>68</v>
      </c>
      <c r="F495" s="0" t="s">
        <v>30</v>
      </c>
      <c r="I495" s="0" t="n">
        <v>4000</v>
      </c>
      <c r="J495" s="0" t="n">
        <v>1.05263157894737</v>
      </c>
      <c r="K495" s="0" t="s">
        <v>669</v>
      </c>
    </row>
    <row r="496" customFormat="false" ht="15" hidden="false" customHeight="false" outlineLevel="0" collapsed="false">
      <c r="A496" s="0" t="n">
        <v>47</v>
      </c>
      <c r="B496" s="0" t="s">
        <v>625</v>
      </c>
      <c r="C496" s="0" t="s">
        <v>670</v>
      </c>
      <c r="D496" s="0" t="s">
        <v>670</v>
      </c>
      <c r="E496" s="0" t="s">
        <v>53</v>
      </c>
      <c r="F496" s="0" t="s">
        <v>27</v>
      </c>
      <c r="G496" s="0" t="n">
        <v>0.8</v>
      </c>
      <c r="H496" s="0" t="n">
        <v>3.8</v>
      </c>
      <c r="I496" s="0" t="n">
        <v>11552</v>
      </c>
      <c r="J496" s="0" t="n">
        <v>3.04</v>
      </c>
      <c r="K496" s="0" t="s">
        <v>671</v>
      </c>
      <c r="L496" s="0" t="s">
        <v>672</v>
      </c>
    </row>
    <row r="497" customFormat="false" ht="15" hidden="false" customHeight="false" outlineLevel="0" collapsed="false">
      <c r="A497" s="0" t="n">
        <v>47</v>
      </c>
      <c r="B497" s="0" t="s">
        <v>625</v>
      </c>
      <c r="C497" s="0" t="s">
        <v>670</v>
      </c>
      <c r="D497" s="0" t="s">
        <v>670</v>
      </c>
      <c r="E497" s="0" t="s">
        <v>56</v>
      </c>
      <c r="F497" s="0" t="s">
        <v>28</v>
      </c>
      <c r="I497" s="0" t="n">
        <v>500</v>
      </c>
      <c r="J497" s="0" t="n">
        <v>0.131578947368421</v>
      </c>
      <c r="K497" s="0" t="s">
        <v>673</v>
      </c>
      <c r="L497" s="0" t="s">
        <v>674</v>
      </c>
    </row>
    <row r="498" customFormat="false" ht="15" hidden="false" customHeight="false" outlineLevel="0" collapsed="false">
      <c r="A498" s="0" t="n">
        <v>47</v>
      </c>
      <c r="B498" s="0" t="s">
        <v>625</v>
      </c>
      <c r="C498" s="0" t="s">
        <v>670</v>
      </c>
      <c r="D498" s="0" t="s">
        <v>670</v>
      </c>
      <c r="E498" s="0" t="s">
        <v>58</v>
      </c>
      <c r="F498" s="0" t="s">
        <v>28</v>
      </c>
      <c r="I498" s="0" t="n">
        <v>2500</v>
      </c>
      <c r="J498" s="0" t="n">
        <v>0.657894736842105</v>
      </c>
      <c r="K498" s="0" t="s">
        <v>675</v>
      </c>
      <c r="L498" s="0" t="s">
        <v>676</v>
      </c>
    </row>
    <row r="499" customFormat="false" ht="15" hidden="false" customHeight="false" outlineLevel="0" collapsed="false">
      <c r="A499" s="0" t="n">
        <v>47</v>
      </c>
      <c r="B499" s="0" t="s">
        <v>625</v>
      </c>
      <c r="C499" s="0" t="s">
        <v>670</v>
      </c>
      <c r="D499" s="0" t="s">
        <v>670</v>
      </c>
      <c r="E499" s="0" t="s">
        <v>64</v>
      </c>
      <c r="F499" s="0" t="s">
        <v>27</v>
      </c>
      <c r="I499" s="0" t="n">
        <v>500</v>
      </c>
      <c r="J499" s="0" t="n">
        <v>0.131578947368421</v>
      </c>
      <c r="K499" s="0" t="s">
        <v>677</v>
      </c>
    </row>
    <row r="500" customFormat="false" ht="15" hidden="false" customHeight="false" outlineLevel="0" collapsed="false">
      <c r="A500" s="0" t="n">
        <v>47</v>
      </c>
      <c r="B500" s="0" t="s">
        <v>625</v>
      </c>
      <c r="C500" s="0" t="s">
        <v>670</v>
      </c>
      <c r="D500" s="0" t="s">
        <v>670</v>
      </c>
      <c r="E500" s="0" t="s">
        <v>60</v>
      </c>
      <c r="F500" s="0" t="s">
        <v>27</v>
      </c>
      <c r="I500" s="0" t="n">
        <v>250</v>
      </c>
      <c r="J500" s="0" t="n">
        <v>0.0657894736842105</v>
      </c>
      <c r="K500" s="0" t="s">
        <v>678</v>
      </c>
    </row>
    <row r="501" customFormat="false" ht="15" hidden="false" customHeight="false" outlineLevel="0" collapsed="false">
      <c r="A501" s="0" t="n">
        <v>47</v>
      </c>
      <c r="B501" s="0" t="s">
        <v>625</v>
      </c>
      <c r="C501" s="0" t="s">
        <v>670</v>
      </c>
      <c r="D501" s="0" t="s">
        <v>670</v>
      </c>
      <c r="E501" s="0" t="s">
        <v>62</v>
      </c>
      <c r="F501" s="0" t="s">
        <v>27</v>
      </c>
      <c r="I501" s="0" t="n">
        <v>100</v>
      </c>
      <c r="J501" s="0" t="n">
        <v>0.0263157894736842</v>
      </c>
      <c r="K501" s="0" t="s">
        <v>679</v>
      </c>
    </row>
    <row r="502" customFormat="false" ht="15" hidden="false" customHeight="false" outlineLevel="0" collapsed="false">
      <c r="A502" s="0" t="n">
        <v>47</v>
      </c>
      <c r="B502" s="0" t="s">
        <v>625</v>
      </c>
      <c r="C502" s="0" t="s">
        <v>670</v>
      </c>
      <c r="D502" s="0" t="s">
        <v>670</v>
      </c>
      <c r="E502" s="0" t="s">
        <v>66</v>
      </c>
      <c r="F502" s="0" t="s">
        <v>27</v>
      </c>
      <c r="I502" s="0" t="n">
        <v>250</v>
      </c>
      <c r="J502" s="0" t="n">
        <v>0.0657894736842105</v>
      </c>
      <c r="K502" s="0" t="s">
        <v>680</v>
      </c>
    </row>
    <row r="503" customFormat="false" ht="15" hidden="false" customHeight="false" outlineLevel="0" collapsed="false">
      <c r="A503" s="0" t="n">
        <v>47</v>
      </c>
      <c r="B503" s="0" t="s">
        <v>625</v>
      </c>
      <c r="C503" s="0" t="s">
        <v>670</v>
      </c>
      <c r="D503" s="0" t="s">
        <v>670</v>
      </c>
      <c r="E503" s="0" t="s">
        <v>68</v>
      </c>
      <c r="F503" s="0" t="s">
        <v>30</v>
      </c>
      <c r="I503" s="0" t="n">
        <v>4000</v>
      </c>
      <c r="J503" s="0" t="n">
        <v>1.05263157894737</v>
      </c>
      <c r="K503" s="0" t="s">
        <v>681</v>
      </c>
    </row>
    <row r="504" customFormat="false" ht="15" hidden="false" customHeight="false" outlineLevel="0" collapsed="false">
      <c r="A504" s="0" t="n">
        <v>48</v>
      </c>
      <c r="B504" s="0" t="s">
        <v>625</v>
      </c>
      <c r="C504" s="0" t="s">
        <v>68</v>
      </c>
      <c r="D504" s="0" t="s">
        <v>682</v>
      </c>
      <c r="E504" s="0" t="s">
        <v>53</v>
      </c>
      <c r="F504" s="0" t="s">
        <v>27</v>
      </c>
      <c r="G504" s="0" t="n">
        <v>1</v>
      </c>
      <c r="H504" s="0" t="n">
        <v>4</v>
      </c>
      <c r="I504" s="0" t="n">
        <v>15200</v>
      </c>
      <c r="J504" s="0" t="n">
        <v>4</v>
      </c>
      <c r="K504" s="0" t="s">
        <v>683</v>
      </c>
      <c r="L504" s="0" t="s">
        <v>684</v>
      </c>
    </row>
    <row r="505" customFormat="false" ht="15" hidden="false" customHeight="false" outlineLevel="0" collapsed="false">
      <c r="A505" s="0" t="n">
        <v>48</v>
      </c>
      <c r="B505" s="0" t="s">
        <v>625</v>
      </c>
      <c r="C505" s="0" t="s">
        <v>68</v>
      </c>
      <c r="D505" s="0" t="s">
        <v>682</v>
      </c>
      <c r="E505" s="0" t="s">
        <v>56</v>
      </c>
      <c r="F505" s="0" t="s">
        <v>28</v>
      </c>
      <c r="I505" s="0" t="n">
        <v>500</v>
      </c>
      <c r="J505" s="0" t="n">
        <v>0.131578947368421</v>
      </c>
      <c r="K505" s="0" t="s">
        <v>685</v>
      </c>
    </row>
    <row r="506" customFormat="false" ht="15" hidden="false" customHeight="false" outlineLevel="0" collapsed="false">
      <c r="A506" s="0" t="n">
        <v>48</v>
      </c>
      <c r="B506" s="0" t="s">
        <v>625</v>
      </c>
      <c r="C506" s="0" t="s">
        <v>68</v>
      </c>
      <c r="D506" s="0" t="s">
        <v>682</v>
      </c>
      <c r="E506" s="0" t="s">
        <v>58</v>
      </c>
      <c r="F506" s="0" t="s">
        <v>28</v>
      </c>
      <c r="I506" s="0" t="n">
        <v>2000</v>
      </c>
      <c r="J506" s="0" t="n">
        <v>0.526315789473684</v>
      </c>
      <c r="K506" s="0" t="s">
        <v>686</v>
      </c>
    </row>
    <row r="507" customFormat="false" ht="15" hidden="false" customHeight="false" outlineLevel="0" collapsed="false">
      <c r="A507" s="0" t="n">
        <v>48</v>
      </c>
      <c r="B507" s="0" t="s">
        <v>625</v>
      </c>
      <c r="C507" s="0" t="s">
        <v>68</v>
      </c>
      <c r="D507" s="0" t="s">
        <v>682</v>
      </c>
      <c r="E507" s="0" t="s">
        <v>64</v>
      </c>
      <c r="F507" s="0" t="s">
        <v>27</v>
      </c>
      <c r="I507" s="0" t="n">
        <v>500</v>
      </c>
      <c r="J507" s="0" t="n">
        <v>0.131578947368421</v>
      </c>
      <c r="K507" s="0" t="s">
        <v>687</v>
      </c>
    </row>
    <row r="508" customFormat="false" ht="15" hidden="false" customHeight="false" outlineLevel="0" collapsed="false">
      <c r="A508" s="0" t="n">
        <v>48</v>
      </c>
      <c r="B508" s="0" t="s">
        <v>625</v>
      </c>
      <c r="C508" s="0" t="s">
        <v>68</v>
      </c>
      <c r="D508" s="0" t="s">
        <v>682</v>
      </c>
      <c r="E508" s="0" t="s">
        <v>60</v>
      </c>
      <c r="F508" s="0" t="s">
        <v>27</v>
      </c>
      <c r="I508" s="0" t="n">
        <v>250</v>
      </c>
      <c r="J508" s="0" t="n">
        <v>0.0657894736842105</v>
      </c>
      <c r="K508" s="0" t="s">
        <v>688</v>
      </c>
    </row>
    <row r="509" customFormat="false" ht="15" hidden="false" customHeight="false" outlineLevel="0" collapsed="false">
      <c r="A509" s="0" t="n">
        <v>48</v>
      </c>
      <c r="B509" s="0" t="s">
        <v>625</v>
      </c>
      <c r="C509" s="0" t="s">
        <v>68</v>
      </c>
      <c r="D509" s="0" t="s">
        <v>682</v>
      </c>
      <c r="E509" s="0" t="s">
        <v>62</v>
      </c>
      <c r="F509" s="0" t="s">
        <v>27</v>
      </c>
      <c r="I509" s="0" t="n">
        <v>100</v>
      </c>
      <c r="J509" s="0" t="n">
        <v>0.0263157894736842</v>
      </c>
      <c r="K509" s="0" t="s">
        <v>689</v>
      </c>
    </row>
    <row r="510" customFormat="false" ht="15" hidden="false" customHeight="false" outlineLevel="0" collapsed="false">
      <c r="A510" s="0" t="n">
        <v>48</v>
      </c>
      <c r="B510" s="0" t="s">
        <v>625</v>
      </c>
      <c r="C510" s="0" t="s">
        <v>68</v>
      </c>
      <c r="D510" s="0" t="s">
        <v>682</v>
      </c>
      <c r="E510" s="0" t="s">
        <v>66</v>
      </c>
      <c r="F510" s="0" t="s">
        <v>27</v>
      </c>
      <c r="I510" s="0" t="n">
        <v>300</v>
      </c>
      <c r="J510" s="0" t="n">
        <v>0.0789473684210526</v>
      </c>
      <c r="K510" s="0" t="s">
        <v>690</v>
      </c>
    </row>
    <row r="511" customFormat="false" ht="15" hidden="false" customHeight="false" outlineLevel="0" collapsed="false">
      <c r="A511" s="0" t="n">
        <v>48</v>
      </c>
      <c r="B511" s="0" t="s">
        <v>625</v>
      </c>
      <c r="C511" s="0" t="s">
        <v>68</v>
      </c>
      <c r="D511" s="0" t="s">
        <v>682</v>
      </c>
      <c r="E511" s="0" t="s">
        <v>203</v>
      </c>
      <c r="F511" s="0" t="s">
        <v>29</v>
      </c>
      <c r="I511" s="0" t="n">
        <v>4000</v>
      </c>
      <c r="J511" s="0" t="n">
        <v>1.05263157894737</v>
      </c>
      <c r="K511" s="0" t="s">
        <v>691</v>
      </c>
    </row>
    <row r="512" customFormat="false" ht="15" hidden="false" customHeight="false" outlineLevel="0" collapsed="false">
      <c r="A512" s="0" t="n">
        <v>48</v>
      </c>
      <c r="B512" s="0" t="s">
        <v>625</v>
      </c>
      <c r="C512" s="0" t="s">
        <v>68</v>
      </c>
      <c r="D512" s="0" t="s">
        <v>682</v>
      </c>
      <c r="E512" s="0" t="s">
        <v>68</v>
      </c>
      <c r="F512" s="0" t="s">
        <v>30</v>
      </c>
      <c r="I512" s="0" t="n">
        <v>2000</v>
      </c>
      <c r="J512" s="0" t="n">
        <v>0.526315789473684</v>
      </c>
      <c r="K512" s="0" t="s">
        <v>692</v>
      </c>
    </row>
    <row r="513" customFormat="false" ht="15" hidden="false" customHeight="false" outlineLevel="0" collapsed="false">
      <c r="A513" s="0" t="n">
        <v>49</v>
      </c>
      <c r="B513" s="0" t="s">
        <v>625</v>
      </c>
      <c r="C513" s="0" t="s">
        <v>693</v>
      </c>
      <c r="D513" s="0" t="s">
        <v>693</v>
      </c>
      <c r="E513" s="0" t="s">
        <v>53</v>
      </c>
      <c r="F513" s="0" t="s">
        <v>27</v>
      </c>
      <c r="G513" s="0" t="n">
        <v>0.8</v>
      </c>
      <c r="H513" s="0" t="n">
        <v>4.4</v>
      </c>
      <c r="I513" s="0" t="n">
        <v>13376</v>
      </c>
      <c r="J513" s="0" t="n">
        <v>3.52</v>
      </c>
      <c r="K513" s="0" t="s">
        <v>694</v>
      </c>
      <c r="L513" s="0" t="s">
        <v>695</v>
      </c>
    </row>
    <row r="514" customFormat="false" ht="15" hidden="false" customHeight="false" outlineLevel="0" collapsed="false">
      <c r="A514" s="0" t="n">
        <v>49</v>
      </c>
      <c r="B514" s="0" t="s">
        <v>625</v>
      </c>
      <c r="C514" s="0" t="s">
        <v>693</v>
      </c>
      <c r="D514" s="0" t="s">
        <v>693</v>
      </c>
      <c r="E514" s="0" t="s">
        <v>56</v>
      </c>
      <c r="F514" s="0" t="s">
        <v>28</v>
      </c>
      <c r="I514" s="0" t="n">
        <v>500</v>
      </c>
      <c r="J514" s="0" t="n">
        <v>0.131578947368421</v>
      </c>
      <c r="K514" s="0" t="s">
        <v>696</v>
      </c>
    </row>
    <row r="515" customFormat="false" ht="15" hidden="false" customHeight="false" outlineLevel="0" collapsed="false">
      <c r="A515" s="0" t="n">
        <v>49</v>
      </c>
      <c r="B515" s="0" t="s">
        <v>625</v>
      </c>
      <c r="C515" s="0" t="s">
        <v>693</v>
      </c>
      <c r="D515" s="0" t="s">
        <v>693</v>
      </c>
      <c r="E515" s="0" t="s">
        <v>58</v>
      </c>
      <c r="F515" s="0" t="s">
        <v>28</v>
      </c>
      <c r="I515" s="0" t="n">
        <v>2500</v>
      </c>
      <c r="J515" s="0" t="n">
        <v>0.657894736842105</v>
      </c>
      <c r="K515" s="0" t="s">
        <v>697</v>
      </c>
    </row>
    <row r="516" customFormat="false" ht="15" hidden="false" customHeight="false" outlineLevel="0" collapsed="false">
      <c r="A516" s="0" t="n">
        <v>49</v>
      </c>
      <c r="B516" s="0" t="s">
        <v>625</v>
      </c>
      <c r="C516" s="0" t="s">
        <v>693</v>
      </c>
      <c r="D516" s="0" t="s">
        <v>693</v>
      </c>
      <c r="E516" s="0" t="s">
        <v>64</v>
      </c>
      <c r="F516" s="0" t="s">
        <v>27</v>
      </c>
      <c r="I516" s="0" t="n">
        <v>500</v>
      </c>
      <c r="J516" s="0" t="n">
        <v>0.131578947368421</v>
      </c>
      <c r="K516" s="0" t="s">
        <v>698</v>
      </c>
    </row>
    <row r="517" customFormat="false" ht="15" hidden="false" customHeight="false" outlineLevel="0" collapsed="false">
      <c r="A517" s="0" t="n">
        <v>49</v>
      </c>
      <c r="B517" s="0" t="s">
        <v>625</v>
      </c>
      <c r="C517" s="0" t="s">
        <v>693</v>
      </c>
      <c r="D517" s="0" t="s">
        <v>693</v>
      </c>
      <c r="E517" s="0" t="s">
        <v>60</v>
      </c>
      <c r="F517" s="0" t="s">
        <v>27</v>
      </c>
      <c r="I517" s="0" t="n">
        <v>250</v>
      </c>
      <c r="J517" s="0" t="n">
        <v>0.0657894736842105</v>
      </c>
      <c r="K517" s="0" t="s">
        <v>699</v>
      </c>
    </row>
    <row r="518" customFormat="false" ht="15" hidden="false" customHeight="false" outlineLevel="0" collapsed="false">
      <c r="A518" s="0" t="n">
        <v>49</v>
      </c>
      <c r="B518" s="0" t="s">
        <v>625</v>
      </c>
      <c r="C518" s="0" t="s">
        <v>693</v>
      </c>
      <c r="D518" s="0" t="s">
        <v>693</v>
      </c>
      <c r="E518" s="0" t="s">
        <v>62</v>
      </c>
      <c r="F518" s="0" t="s">
        <v>27</v>
      </c>
      <c r="I518" s="0" t="n">
        <v>100</v>
      </c>
      <c r="J518" s="0" t="n">
        <v>0.0263157894736842</v>
      </c>
      <c r="K518" s="0" t="s">
        <v>700</v>
      </c>
    </row>
    <row r="519" customFormat="false" ht="15" hidden="false" customHeight="false" outlineLevel="0" collapsed="false">
      <c r="A519" s="0" t="n">
        <v>49</v>
      </c>
      <c r="B519" s="0" t="s">
        <v>625</v>
      </c>
      <c r="C519" s="0" t="s">
        <v>693</v>
      </c>
      <c r="D519" s="0" t="s">
        <v>693</v>
      </c>
      <c r="E519" s="0" t="s">
        <v>66</v>
      </c>
      <c r="F519" s="0" t="s">
        <v>27</v>
      </c>
      <c r="I519" s="0" t="n">
        <v>250</v>
      </c>
      <c r="J519" s="0" t="n">
        <v>0.0657894736842105</v>
      </c>
      <c r="K519" s="0" t="s">
        <v>701</v>
      </c>
    </row>
    <row r="520" customFormat="false" ht="15" hidden="false" customHeight="false" outlineLevel="0" collapsed="false">
      <c r="A520" s="0" t="n">
        <v>49</v>
      </c>
      <c r="B520" s="0" t="s">
        <v>625</v>
      </c>
      <c r="C520" s="0" t="s">
        <v>693</v>
      </c>
      <c r="D520" s="0" t="s">
        <v>693</v>
      </c>
      <c r="E520" s="0" t="s">
        <v>68</v>
      </c>
      <c r="F520" s="0" t="s">
        <v>30</v>
      </c>
      <c r="I520" s="0" t="n">
        <v>4000</v>
      </c>
      <c r="J520" s="0" t="n">
        <v>1.05263157894737</v>
      </c>
      <c r="K520" s="0" t="s">
        <v>702</v>
      </c>
    </row>
    <row r="521" customFormat="false" ht="15" hidden="false" customHeight="false" outlineLevel="0" collapsed="false">
      <c r="A521" s="0" t="n">
        <v>50</v>
      </c>
      <c r="B521" s="0" t="s">
        <v>625</v>
      </c>
      <c r="C521" s="0" t="s">
        <v>693</v>
      </c>
      <c r="D521" s="0" t="s">
        <v>703</v>
      </c>
      <c r="E521" s="0" t="s">
        <v>53</v>
      </c>
      <c r="F521" s="0" t="s">
        <v>27</v>
      </c>
      <c r="G521" s="0" t="n">
        <v>1</v>
      </c>
      <c r="H521" s="0" t="n">
        <v>4.4</v>
      </c>
      <c r="I521" s="0" t="n">
        <v>16720</v>
      </c>
      <c r="J521" s="0" t="n">
        <v>4.4</v>
      </c>
      <c r="K521" s="0" t="s">
        <v>704</v>
      </c>
      <c r="L521" s="0" t="s">
        <v>705</v>
      </c>
    </row>
    <row r="522" customFormat="false" ht="15" hidden="false" customHeight="false" outlineLevel="0" collapsed="false">
      <c r="A522" s="0" t="n">
        <v>50</v>
      </c>
      <c r="B522" s="0" t="s">
        <v>625</v>
      </c>
      <c r="C522" s="0" t="s">
        <v>693</v>
      </c>
      <c r="D522" s="0" t="s">
        <v>703</v>
      </c>
      <c r="E522" s="0" t="s">
        <v>56</v>
      </c>
      <c r="F522" s="0" t="s">
        <v>28</v>
      </c>
      <c r="I522" s="0" t="n">
        <v>500</v>
      </c>
      <c r="J522" s="0" t="n">
        <v>0.131578947368421</v>
      </c>
      <c r="K522" s="0" t="s">
        <v>706</v>
      </c>
    </row>
    <row r="523" customFormat="false" ht="15" hidden="false" customHeight="false" outlineLevel="0" collapsed="false">
      <c r="A523" s="0" t="n">
        <v>50</v>
      </c>
      <c r="B523" s="0" t="s">
        <v>625</v>
      </c>
      <c r="C523" s="0" t="s">
        <v>693</v>
      </c>
      <c r="D523" s="0" t="s">
        <v>703</v>
      </c>
      <c r="E523" s="0" t="s">
        <v>58</v>
      </c>
      <c r="F523" s="0" t="s">
        <v>28</v>
      </c>
      <c r="I523" s="0" t="n">
        <v>2500</v>
      </c>
      <c r="J523" s="0" t="n">
        <v>0.657894736842105</v>
      </c>
      <c r="K523" s="0" t="s">
        <v>707</v>
      </c>
    </row>
    <row r="524" customFormat="false" ht="15" hidden="false" customHeight="false" outlineLevel="0" collapsed="false">
      <c r="A524" s="0" t="n">
        <v>50</v>
      </c>
      <c r="B524" s="0" t="s">
        <v>625</v>
      </c>
      <c r="C524" s="0" t="s">
        <v>693</v>
      </c>
      <c r="D524" s="0" t="s">
        <v>703</v>
      </c>
      <c r="E524" s="0" t="s">
        <v>64</v>
      </c>
      <c r="F524" s="0" t="s">
        <v>27</v>
      </c>
      <c r="I524" s="0" t="n">
        <v>500</v>
      </c>
      <c r="J524" s="0" t="n">
        <v>0.131578947368421</v>
      </c>
      <c r="K524" s="0" t="s">
        <v>708</v>
      </c>
    </row>
    <row r="525" customFormat="false" ht="15" hidden="false" customHeight="false" outlineLevel="0" collapsed="false">
      <c r="A525" s="0" t="n">
        <v>50</v>
      </c>
      <c r="B525" s="0" t="s">
        <v>625</v>
      </c>
      <c r="C525" s="0" t="s">
        <v>693</v>
      </c>
      <c r="D525" s="0" t="s">
        <v>703</v>
      </c>
      <c r="E525" s="0" t="s">
        <v>60</v>
      </c>
      <c r="F525" s="0" t="s">
        <v>27</v>
      </c>
      <c r="I525" s="0" t="n">
        <v>250</v>
      </c>
      <c r="J525" s="0" t="n">
        <v>0.0657894736842105</v>
      </c>
      <c r="K525" s="0" t="s">
        <v>709</v>
      </c>
    </row>
    <row r="526" customFormat="false" ht="15" hidden="false" customHeight="false" outlineLevel="0" collapsed="false">
      <c r="A526" s="0" t="n">
        <v>50</v>
      </c>
      <c r="B526" s="0" t="s">
        <v>625</v>
      </c>
      <c r="C526" s="0" t="s">
        <v>693</v>
      </c>
      <c r="D526" s="0" t="s">
        <v>703</v>
      </c>
      <c r="E526" s="0" t="s">
        <v>62</v>
      </c>
      <c r="F526" s="0" t="s">
        <v>27</v>
      </c>
      <c r="I526" s="0" t="n">
        <v>100</v>
      </c>
      <c r="J526" s="0" t="n">
        <v>0.0263157894736842</v>
      </c>
      <c r="K526" s="0" t="s">
        <v>710</v>
      </c>
    </row>
    <row r="527" customFormat="false" ht="15" hidden="false" customHeight="false" outlineLevel="0" collapsed="false">
      <c r="A527" s="0" t="n">
        <v>50</v>
      </c>
      <c r="B527" s="0" t="s">
        <v>625</v>
      </c>
      <c r="C527" s="0" t="s">
        <v>693</v>
      </c>
      <c r="D527" s="0" t="s">
        <v>703</v>
      </c>
      <c r="E527" s="0" t="s">
        <v>66</v>
      </c>
      <c r="F527" s="0" t="s">
        <v>27</v>
      </c>
      <c r="I527" s="0" t="n">
        <v>250</v>
      </c>
      <c r="J527" s="0" t="n">
        <v>0.0657894736842105</v>
      </c>
      <c r="K527" s="0" t="s">
        <v>711</v>
      </c>
    </row>
    <row r="528" customFormat="false" ht="15" hidden="false" customHeight="false" outlineLevel="0" collapsed="false">
      <c r="A528" s="0" t="n">
        <v>50</v>
      </c>
      <c r="B528" s="0" t="s">
        <v>625</v>
      </c>
      <c r="C528" s="0" t="s">
        <v>693</v>
      </c>
      <c r="D528" s="0" t="s">
        <v>703</v>
      </c>
      <c r="E528" s="0" t="s">
        <v>68</v>
      </c>
      <c r="F528" s="0" t="s">
        <v>30</v>
      </c>
      <c r="I528" s="0" t="n">
        <v>4000</v>
      </c>
      <c r="J528" s="0" t="n">
        <v>1.05263157894737</v>
      </c>
      <c r="K528" s="0" t="s">
        <v>712</v>
      </c>
    </row>
    <row r="529" customFormat="false" ht="15" hidden="false" customHeight="false" outlineLevel="0" collapsed="false">
      <c r="A529" s="0" t="n">
        <v>51</v>
      </c>
      <c r="B529" s="0" t="s">
        <v>625</v>
      </c>
      <c r="C529" s="0" t="s">
        <v>713</v>
      </c>
      <c r="D529" s="0" t="s">
        <v>713</v>
      </c>
      <c r="E529" s="0" t="s">
        <v>53</v>
      </c>
      <c r="F529" s="0" t="s">
        <v>27</v>
      </c>
      <c r="G529" s="0" t="n">
        <v>0.8</v>
      </c>
      <c r="H529" s="0" t="n">
        <v>3.9</v>
      </c>
      <c r="I529" s="0" t="n">
        <v>11856</v>
      </c>
      <c r="J529" s="0" t="n">
        <v>3.12</v>
      </c>
      <c r="K529" s="0" t="s">
        <v>714</v>
      </c>
      <c r="L529" s="0" t="s">
        <v>715</v>
      </c>
    </row>
    <row r="530" customFormat="false" ht="15" hidden="false" customHeight="false" outlineLevel="0" collapsed="false">
      <c r="A530" s="0" t="n">
        <v>51</v>
      </c>
      <c r="B530" s="0" t="s">
        <v>625</v>
      </c>
      <c r="C530" s="0" t="s">
        <v>713</v>
      </c>
      <c r="D530" s="0" t="s">
        <v>713</v>
      </c>
      <c r="E530" s="0" t="s">
        <v>56</v>
      </c>
      <c r="F530" s="0" t="s">
        <v>28</v>
      </c>
      <c r="I530" s="0" t="n">
        <v>500</v>
      </c>
      <c r="J530" s="0" t="n">
        <v>0.131578947368421</v>
      </c>
      <c r="K530" s="0" t="s">
        <v>716</v>
      </c>
    </row>
    <row r="531" customFormat="false" ht="15" hidden="false" customHeight="false" outlineLevel="0" collapsed="false">
      <c r="A531" s="0" t="n">
        <v>51</v>
      </c>
      <c r="B531" s="0" t="s">
        <v>625</v>
      </c>
      <c r="C531" s="0" t="s">
        <v>713</v>
      </c>
      <c r="D531" s="0" t="s">
        <v>713</v>
      </c>
      <c r="E531" s="0" t="s">
        <v>58</v>
      </c>
      <c r="F531" s="0" t="s">
        <v>28</v>
      </c>
      <c r="I531" s="0" t="n">
        <v>2500</v>
      </c>
      <c r="J531" s="0" t="n">
        <v>0.657894736842105</v>
      </c>
      <c r="K531" s="0" t="s">
        <v>717</v>
      </c>
    </row>
    <row r="532" customFormat="false" ht="15" hidden="false" customHeight="false" outlineLevel="0" collapsed="false">
      <c r="A532" s="0" t="n">
        <v>51</v>
      </c>
      <c r="B532" s="0" t="s">
        <v>625</v>
      </c>
      <c r="C532" s="0" t="s">
        <v>713</v>
      </c>
      <c r="D532" s="0" t="s">
        <v>713</v>
      </c>
      <c r="E532" s="0" t="s">
        <v>64</v>
      </c>
      <c r="F532" s="0" t="s">
        <v>27</v>
      </c>
      <c r="I532" s="0" t="n">
        <v>500</v>
      </c>
      <c r="J532" s="0" t="n">
        <v>0.131578947368421</v>
      </c>
      <c r="K532" s="0" t="s">
        <v>718</v>
      </c>
    </row>
    <row r="533" customFormat="false" ht="15" hidden="false" customHeight="false" outlineLevel="0" collapsed="false">
      <c r="A533" s="0" t="n">
        <v>51</v>
      </c>
      <c r="B533" s="0" t="s">
        <v>625</v>
      </c>
      <c r="C533" s="0" t="s">
        <v>713</v>
      </c>
      <c r="D533" s="0" t="s">
        <v>713</v>
      </c>
      <c r="E533" s="0" t="s">
        <v>60</v>
      </c>
      <c r="F533" s="0" t="s">
        <v>27</v>
      </c>
      <c r="I533" s="0" t="n">
        <v>250</v>
      </c>
      <c r="J533" s="0" t="n">
        <v>0.0657894736842105</v>
      </c>
      <c r="K533" s="0" t="s">
        <v>719</v>
      </c>
    </row>
    <row r="534" customFormat="false" ht="15" hidden="false" customHeight="false" outlineLevel="0" collapsed="false">
      <c r="A534" s="0" t="n">
        <v>51</v>
      </c>
      <c r="B534" s="0" t="s">
        <v>625</v>
      </c>
      <c r="C534" s="0" t="s">
        <v>713</v>
      </c>
      <c r="D534" s="0" t="s">
        <v>713</v>
      </c>
      <c r="E534" s="0" t="s">
        <v>62</v>
      </c>
      <c r="F534" s="0" t="s">
        <v>27</v>
      </c>
      <c r="I534" s="0" t="n">
        <v>100</v>
      </c>
      <c r="J534" s="0" t="n">
        <v>0.0263157894736842</v>
      </c>
      <c r="K534" s="0" t="s">
        <v>720</v>
      </c>
    </row>
    <row r="535" customFormat="false" ht="15" hidden="false" customHeight="false" outlineLevel="0" collapsed="false">
      <c r="A535" s="0" t="n">
        <v>51</v>
      </c>
      <c r="B535" s="0" t="s">
        <v>625</v>
      </c>
      <c r="C535" s="0" t="s">
        <v>713</v>
      </c>
      <c r="D535" s="0" t="s">
        <v>713</v>
      </c>
      <c r="E535" s="0" t="s">
        <v>66</v>
      </c>
      <c r="F535" s="0" t="s">
        <v>27</v>
      </c>
      <c r="I535" s="0" t="n">
        <v>250</v>
      </c>
      <c r="J535" s="0" t="n">
        <v>0.0657894736842105</v>
      </c>
      <c r="K535" s="0" t="s">
        <v>721</v>
      </c>
    </row>
    <row r="536" customFormat="false" ht="15" hidden="false" customHeight="false" outlineLevel="0" collapsed="false">
      <c r="A536" s="0" t="n">
        <v>51</v>
      </c>
      <c r="B536" s="0" t="s">
        <v>625</v>
      </c>
      <c r="C536" s="0" t="s">
        <v>713</v>
      </c>
      <c r="D536" s="0" t="s">
        <v>713</v>
      </c>
      <c r="E536" s="0" t="s">
        <v>68</v>
      </c>
      <c r="F536" s="0" t="s">
        <v>30</v>
      </c>
      <c r="I536" s="0" t="n">
        <v>4000</v>
      </c>
      <c r="J536" s="0" t="n">
        <v>1.05263157894737</v>
      </c>
      <c r="K536" s="0" t="s">
        <v>722</v>
      </c>
    </row>
    <row r="537" customFormat="false" ht="15" hidden="false" customHeight="false" outlineLevel="0" collapsed="false">
      <c r="A537" s="0" t="n">
        <v>52</v>
      </c>
      <c r="B537" s="0" t="s">
        <v>625</v>
      </c>
      <c r="C537" s="0" t="s">
        <v>713</v>
      </c>
      <c r="D537" s="0" t="s">
        <v>723</v>
      </c>
      <c r="E537" s="0" t="s">
        <v>53</v>
      </c>
      <c r="F537" s="0" t="s">
        <v>27</v>
      </c>
      <c r="G537" s="0" t="n">
        <v>1</v>
      </c>
      <c r="H537" s="0" t="n">
        <v>3.9</v>
      </c>
      <c r="I537" s="0" t="n">
        <v>14820</v>
      </c>
      <c r="J537" s="0" t="n">
        <v>3.9</v>
      </c>
      <c r="K537" s="0" t="s">
        <v>724</v>
      </c>
      <c r="L537" s="0" t="s">
        <v>725</v>
      </c>
    </row>
    <row r="538" customFormat="false" ht="15" hidden="false" customHeight="false" outlineLevel="0" collapsed="false">
      <c r="A538" s="0" t="n">
        <v>52</v>
      </c>
      <c r="B538" s="0" t="s">
        <v>625</v>
      </c>
      <c r="C538" s="0" t="s">
        <v>713</v>
      </c>
      <c r="D538" s="0" t="s">
        <v>723</v>
      </c>
      <c r="E538" s="0" t="s">
        <v>56</v>
      </c>
      <c r="F538" s="0" t="s">
        <v>28</v>
      </c>
      <c r="I538" s="0" t="n">
        <v>500</v>
      </c>
      <c r="J538" s="0" t="n">
        <v>0.131578947368421</v>
      </c>
      <c r="K538" s="0" t="s">
        <v>726</v>
      </c>
    </row>
    <row r="539" customFormat="false" ht="15" hidden="false" customHeight="false" outlineLevel="0" collapsed="false">
      <c r="A539" s="0" t="n">
        <v>52</v>
      </c>
      <c r="B539" s="0" t="s">
        <v>625</v>
      </c>
      <c r="C539" s="0" t="s">
        <v>713</v>
      </c>
      <c r="D539" s="0" t="s">
        <v>723</v>
      </c>
      <c r="E539" s="0" t="s">
        <v>58</v>
      </c>
      <c r="F539" s="0" t="s">
        <v>28</v>
      </c>
      <c r="I539" s="0" t="n">
        <v>2500</v>
      </c>
      <c r="J539" s="0" t="n">
        <v>0.657894736842105</v>
      </c>
      <c r="K539" s="0" t="s">
        <v>727</v>
      </c>
    </row>
    <row r="540" customFormat="false" ht="15" hidden="false" customHeight="false" outlineLevel="0" collapsed="false">
      <c r="A540" s="0" t="n">
        <v>52</v>
      </c>
      <c r="B540" s="0" t="s">
        <v>625</v>
      </c>
      <c r="C540" s="0" t="s">
        <v>713</v>
      </c>
      <c r="D540" s="0" t="s">
        <v>723</v>
      </c>
      <c r="E540" s="0" t="s">
        <v>64</v>
      </c>
      <c r="F540" s="0" t="s">
        <v>27</v>
      </c>
      <c r="I540" s="0" t="n">
        <v>500</v>
      </c>
      <c r="J540" s="0" t="n">
        <v>0.131578947368421</v>
      </c>
      <c r="K540" s="0" t="s">
        <v>728</v>
      </c>
    </row>
    <row r="541" customFormat="false" ht="15" hidden="false" customHeight="false" outlineLevel="0" collapsed="false">
      <c r="A541" s="0" t="n">
        <v>52</v>
      </c>
      <c r="B541" s="0" t="s">
        <v>625</v>
      </c>
      <c r="C541" s="0" t="s">
        <v>713</v>
      </c>
      <c r="D541" s="0" t="s">
        <v>723</v>
      </c>
      <c r="E541" s="0" t="s">
        <v>60</v>
      </c>
      <c r="F541" s="0" t="s">
        <v>27</v>
      </c>
      <c r="I541" s="0" t="n">
        <v>250</v>
      </c>
      <c r="J541" s="0" t="n">
        <v>0.0657894736842105</v>
      </c>
      <c r="K541" s="0" t="s">
        <v>729</v>
      </c>
    </row>
    <row r="542" customFormat="false" ht="15" hidden="false" customHeight="false" outlineLevel="0" collapsed="false">
      <c r="A542" s="0" t="n">
        <v>52</v>
      </c>
      <c r="B542" s="0" t="s">
        <v>625</v>
      </c>
      <c r="C542" s="0" t="s">
        <v>713</v>
      </c>
      <c r="D542" s="0" t="s">
        <v>723</v>
      </c>
      <c r="E542" s="0" t="s">
        <v>62</v>
      </c>
      <c r="F542" s="0" t="s">
        <v>27</v>
      </c>
      <c r="I542" s="0" t="n">
        <v>100</v>
      </c>
      <c r="J542" s="0" t="n">
        <v>0.0263157894736842</v>
      </c>
      <c r="K542" s="0" t="s">
        <v>730</v>
      </c>
    </row>
    <row r="543" customFormat="false" ht="15" hidden="false" customHeight="false" outlineLevel="0" collapsed="false">
      <c r="A543" s="0" t="n">
        <v>52</v>
      </c>
      <c r="B543" s="0" t="s">
        <v>625</v>
      </c>
      <c r="C543" s="0" t="s">
        <v>713</v>
      </c>
      <c r="D543" s="0" t="s">
        <v>723</v>
      </c>
      <c r="E543" s="0" t="s">
        <v>66</v>
      </c>
      <c r="F543" s="0" t="s">
        <v>27</v>
      </c>
      <c r="I543" s="0" t="n">
        <v>250</v>
      </c>
      <c r="J543" s="0" t="n">
        <v>0.0657894736842105</v>
      </c>
      <c r="K543" s="0" t="s">
        <v>731</v>
      </c>
    </row>
    <row r="544" customFormat="false" ht="15" hidden="false" customHeight="false" outlineLevel="0" collapsed="false">
      <c r="A544" s="0" t="n">
        <v>52</v>
      </c>
      <c r="B544" s="0" t="s">
        <v>625</v>
      </c>
      <c r="C544" s="0" t="s">
        <v>713</v>
      </c>
      <c r="D544" s="0" t="s">
        <v>723</v>
      </c>
      <c r="E544" s="0" t="s">
        <v>68</v>
      </c>
      <c r="F544" s="0" t="s">
        <v>30</v>
      </c>
      <c r="I544" s="0" t="n">
        <v>4000</v>
      </c>
      <c r="J544" s="0" t="n">
        <v>1.05263157894737</v>
      </c>
      <c r="K544" s="0" t="s">
        <v>732</v>
      </c>
    </row>
    <row r="545" customFormat="false" ht="15" hidden="false" customHeight="false" outlineLevel="0" collapsed="false">
      <c r="A545" s="0" t="n">
        <v>53</v>
      </c>
      <c r="B545" s="0" t="s">
        <v>733</v>
      </c>
      <c r="C545" s="0" t="s">
        <v>734</v>
      </c>
      <c r="D545" s="0" t="s">
        <v>734</v>
      </c>
      <c r="E545" s="0" t="s">
        <v>735</v>
      </c>
      <c r="F545" s="0" t="s">
        <v>27</v>
      </c>
      <c r="G545" s="0" t="n">
        <v>1</v>
      </c>
      <c r="H545" s="0" t="n">
        <v>2.3</v>
      </c>
      <c r="I545" s="0" t="n">
        <v>8740</v>
      </c>
      <c r="J545" s="0" t="n">
        <v>2.3</v>
      </c>
      <c r="K545" s="0" t="s">
        <v>736</v>
      </c>
      <c r="L545" s="0" t="s">
        <v>737</v>
      </c>
    </row>
    <row r="546" customFormat="false" ht="15" hidden="false" customHeight="false" outlineLevel="0" collapsed="false">
      <c r="A546" s="0" t="n">
        <v>53</v>
      </c>
      <c r="B546" s="0" t="s">
        <v>733</v>
      </c>
      <c r="C546" s="0" t="s">
        <v>734</v>
      </c>
      <c r="D546" s="0" t="s">
        <v>734</v>
      </c>
      <c r="E546" s="0" t="s">
        <v>56</v>
      </c>
      <c r="F546" s="0" t="s">
        <v>28</v>
      </c>
      <c r="I546" s="0" t="n">
        <v>500</v>
      </c>
      <c r="J546" s="0" t="n">
        <v>0.131578947368421</v>
      </c>
      <c r="K546" s="0" t="s">
        <v>738</v>
      </c>
    </row>
    <row r="547" customFormat="false" ht="15" hidden="false" customHeight="false" outlineLevel="0" collapsed="false">
      <c r="A547" s="0" t="n">
        <v>53</v>
      </c>
      <c r="B547" s="0" t="s">
        <v>733</v>
      </c>
      <c r="C547" s="0" t="s">
        <v>734</v>
      </c>
      <c r="D547" s="0" t="s">
        <v>734</v>
      </c>
      <c r="E547" s="0" t="s">
        <v>58</v>
      </c>
      <c r="F547" s="0" t="s">
        <v>28</v>
      </c>
      <c r="I547" s="0" t="n">
        <v>6000</v>
      </c>
      <c r="J547" s="0" t="n">
        <v>1.57894736842105</v>
      </c>
      <c r="K547" s="0" t="s">
        <v>739</v>
      </c>
    </row>
    <row r="548" customFormat="false" ht="15" hidden="false" customHeight="false" outlineLevel="0" collapsed="false">
      <c r="A548" s="0" t="n">
        <v>53</v>
      </c>
      <c r="B548" s="0" t="s">
        <v>733</v>
      </c>
      <c r="C548" s="0" t="s">
        <v>734</v>
      </c>
      <c r="D548" s="0" t="s">
        <v>734</v>
      </c>
      <c r="E548" s="0" t="s">
        <v>740</v>
      </c>
      <c r="F548" s="0" t="s">
        <v>27</v>
      </c>
      <c r="I548" s="0" t="n">
        <v>2500</v>
      </c>
      <c r="J548" s="0" t="n">
        <v>0.657894736842105</v>
      </c>
      <c r="K548" s="0" t="s">
        <v>741</v>
      </c>
    </row>
    <row r="549" customFormat="false" ht="15" hidden="false" customHeight="false" outlineLevel="0" collapsed="false">
      <c r="A549" s="0" t="n">
        <v>53</v>
      </c>
      <c r="B549" s="0" t="s">
        <v>733</v>
      </c>
      <c r="C549" s="0" t="s">
        <v>734</v>
      </c>
      <c r="D549" s="0" t="s">
        <v>734</v>
      </c>
      <c r="E549" s="0" t="s">
        <v>128</v>
      </c>
      <c r="F549" s="0" t="s">
        <v>28</v>
      </c>
      <c r="I549" s="0" t="n">
        <v>0</v>
      </c>
      <c r="J549" s="0" t="n">
        <v>0</v>
      </c>
      <c r="K549" s="0" t="s">
        <v>742</v>
      </c>
    </row>
    <row r="550" customFormat="false" ht="15" hidden="false" customHeight="false" outlineLevel="0" collapsed="false">
      <c r="A550" s="0" t="n">
        <v>53</v>
      </c>
      <c r="B550" s="0" t="s">
        <v>733</v>
      </c>
      <c r="C550" s="0" t="s">
        <v>734</v>
      </c>
      <c r="D550" s="0" t="s">
        <v>734</v>
      </c>
      <c r="E550" s="0" t="s">
        <v>130</v>
      </c>
      <c r="F550" s="0" t="s">
        <v>29</v>
      </c>
      <c r="G550" s="0" t="n">
        <v>1</v>
      </c>
      <c r="H550" s="0" t="n">
        <v>11000</v>
      </c>
      <c r="I550" s="0" t="n">
        <v>11000</v>
      </c>
      <c r="J550" s="0" t="n">
        <v>2.89473684210526</v>
      </c>
      <c r="K550" s="0" t="s">
        <v>743</v>
      </c>
      <c r="L550" s="0" t="s">
        <v>744</v>
      </c>
    </row>
    <row r="551" customFormat="false" ht="15" hidden="false" customHeight="false" outlineLevel="0" collapsed="false">
      <c r="A551" s="0" t="n">
        <v>53</v>
      </c>
      <c r="B551" s="0" t="s">
        <v>733</v>
      </c>
      <c r="C551" s="0" t="s">
        <v>734</v>
      </c>
      <c r="D551" s="0" t="s">
        <v>734</v>
      </c>
      <c r="E551" s="0" t="s">
        <v>158</v>
      </c>
      <c r="F551" s="0" t="s">
        <v>28</v>
      </c>
      <c r="I551" s="0" t="n">
        <v>2000</v>
      </c>
      <c r="J551" s="0" t="n">
        <v>0.526315789473684</v>
      </c>
      <c r="K551" s="0" t="s">
        <v>745</v>
      </c>
    </row>
    <row r="552" customFormat="false" ht="15" hidden="false" customHeight="false" outlineLevel="0" collapsed="false">
      <c r="A552" s="0" t="n">
        <v>53</v>
      </c>
      <c r="B552" s="0" t="s">
        <v>733</v>
      </c>
      <c r="C552" s="0" t="s">
        <v>734</v>
      </c>
      <c r="D552" s="0" t="s">
        <v>734</v>
      </c>
      <c r="E552" s="0" t="s">
        <v>132</v>
      </c>
      <c r="F552" s="0" t="s">
        <v>29</v>
      </c>
      <c r="I552" s="0" t="n">
        <v>0</v>
      </c>
      <c r="J552" s="0" t="n">
        <v>0</v>
      </c>
      <c r="K552" s="0" t="s">
        <v>746</v>
      </c>
    </row>
    <row r="553" customFormat="false" ht="15" hidden="false" customHeight="false" outlineLevel="0" collapsed="false">
      <c r="A553" s="0" t="n">
        <v>53</v>
      </c>
      <c r="B553" s="0" t="s">
        <v>733</v>
      </c>
      <c r="C553" s="0" t="s">
        <v>734</v>
      </c>
      <c r="D553" s="0" t="s">
        <v>734</v>
      </c>
      <c r="E553" s="0" t="s">
        <v>134</v>
      </c>
      <c r="F553" s="0" t="s">
        <v>28</v>
      </c>
      <c r="I553" s="0" t="n">
        <v>0</v>
      </c>
      <c r="J553" s="0" t="n">
        <v>0</v>
      </c>
      <c r="K553" s="0" t="s">
        <v>747</v>
      </c>
    </row>
    <row r="554" customFormat="false" ht="15" hidden="false" customHeight="false" outlineLevel="0" collapsed="false">
      <c r="A554" s="0" t="n">
        <v>53</v>
      </c>
      <c r="B554" s="0" t="s">
        <v>733</v>
      </c>
      <c r="C554" s="0" t="s">
        <v>734</v>
      </c>
      <c r="D554" s="0" t="s">
        <v>734</v>
      </c>
      <c r="E554" s="0" t="s">
        <v>60</v>
      </c>
      <c r="F554" s="0" t="s">
        <v>27</v>
      </c>
      <c r="I554" s="0" t="n">
        <v>200</v>
      </c>
      <c r="J554" s="0" t="n">
        <v>0.0526315789473684</v>
      </c>
      <c r="K554" s="0" t="s">
        <v>748</v>
      </c>
    </row>
    <row r="555" customFormat="false" ht="15" hidden="false" customHeight="false" outlineLevel="0" collapsed="false">
      <c r="A555" s="0" t="n">
        <v>53</v>
      </c>
      <c r="B555" s="0" t="s">
        <v>733</v>
      </c>
      <c r="C555" s="0" t="s">
        <v>734</v>
      </c>
      <c r="D555" s="0" t="s">
        <v>734</v>
      </c>
      <c r="E555" s="0" t="s">
        <v>62</v>
      </c>
      <c r="F555" s="0" t="s">
        <v>27</v>
      </c>
      <c r="I555" s="0" t="n">
        <v>100</v>
      </c>
      <c r="J555" s="0" t="n">
        <v>0.0263157894736842</v>
      </c>
      <c r="K555" s="0" t="s">
        <v>749</v>
      </c>
    </row>
    <row r="556" customFormat="false" ht="15" hidden="false" customHeight="false" outlineLevel="0" collapsed="false">
      <c r="A556" s="0" t="n">
        <v>53</v>
      </c>
      <c r="B556" s="0" t="s">
        <v>733</v>
      </c>
      <c r="C556" s="0" t="s">
        <v>734</v>
      </c>
      <c r="D556" s="0" t="s">
        <v>734</v>
      </c>
      <c r="E556" s="0" t="s">
        <v>66</v>
      </c>
      <c r="F556" s="0" t="s">
        <v>27</v>
      </c>
      <c r="I556" s="0" t="n">
        <v>350</v>
      </c>
      <c r="J556" s="0" t="n">
        <v>0.0921052631578947</v>
      </c>
      <c r="K556" s="0" t="s">
        <v>750</v>
      </c>
    </row>
    <row r="557" customFormat="false" ht="15" hidden="false" customHeight="false" outlineLevel="0" collapsed="false">
      <c r="A557" s="0" t="n">
        <v>53</v>
      </c>
      <c r="B557" s="0" t="s">
        <v>733</v>
      </c>
      <c r="C557" s="0" t="s">
        <v>734</v>
      </c>
      <c r="D557" s="0" t="s">
        <v>734</v>
      </c>
      <c r="E557" s="0" t="s">
        <v>64</v>
      </c>
      <c r="F557" s="0" t="s">
        <v>27</v>
      </c>
      <c r="I557" s="0" t="n">
        <v>70</v>
      </c>
      <c r="J557" s="0" t="n">
        <v>0.018421052631579</v>
      </c>
      <c r="K557" s="0" t="s">
        <v>751</v>
      </c>
    </row>
    <row r="558" customFormat="false" ht="15" hidden="false" customHeight="false" outlineLevel="0" collapsed="false">
      <c r="A558" s="0" t="n">
        <v>53</v>
      </c>
      <c r="B558" s="0" t="s">
        <v>733</v>
      </c>
      <c r="C558" s="0" t="s">
        <v>734</v>
      </c>
      <c r="D558" s="0" t="s">
        <v>734</v>
      </c>
      <c r="E558" s="0" t="s">
        <v>68</v>
      </c>
      <c r="F558" s="0" t="s">
        <v>30</v>
      </c>
      <c r="I558" s="0" t="n">
        <v>4000</v>
      </c>
      <c r="J558" s="0" t="n">
        <v>1.05263157894737</v>
      </c>
      <c r="K558" s="0" t="s">
        <v>752</v>
      </c>
    </row>
    <row r="559" customFormat="false" ht="15" hidden="false" customHeight="false" outlineLevel="0" collapsed="false">
      <c r="A559" s="0" t="n">
        <v>54</v>
      </c>
      <c r="B559" s="0" t="s">
        <v>733</v>
      </c>
      <c r="C559" s="0" t="s">
        <v>753</v>
      </c>
      <c r="D559" s="0" t="s">
        <v>753</v>
      </c>
      <c r="E559" s="0" t="s">
        <v>53</v>
      </c>
      <c r="F559" s="0" t="s">
        <v>27</v>
      </c>
      <c r="G559" s="0" t="n">
        <v>1</v>
      </c>
      <c r="H559" s="0" t="n">
        <v>4</v>
      </c>
      <c r="I559" s="0" t="n">
        <v>15200</v>
      </c>
      <c r="J559" s="0" t="n">
        <v>4</v>
      </c>
      <c r="K559" s="0" t="s">
        <v>754</v>
      </c>
      <c r="L559" s="0" t="s">
        <v>755</v>
      </c>
    </row>
    <row r="560" customFormat="false" ht="15" hidden="false" customHeight="false" outlineLevel="0" collapsed="false">
      <c r="A560" s="0" t="n">
        <v>54</v>
      </c>
      <c r="B560" s="0" t="s">
        <v>733</v>
      </c>
      <c r="C560" s="0" t="s">
        <v>753</v>
      </c>
      <c r="D560" s="0" t="s">
        <v>753</v>
      </c>
      <c r="E560" s="0" t="s">
        <v>56</v>
      </c>
      <c r="F560" s="0" t="s">
        <v>28</v>
      </c>
      <c r="I560" s="0" t="n">
        <v>700</v>
      </c>
      <c r="J560" s="0" t="n">
        <v>0.18421052631579</v>
      </c>
      <c r="K560" s="0" t="s">
        <v>756</v>
      </c>
    </row>
    <row r="561" customFormat="false" ht="15" hidden="false" customHeight="false" outlineLevel="0" collapsed="false">
      <c r="A561" s="0" t="n">
        <v>54</v>
      </c>
      <c r="B561" s="0" t="s">
        <v>733</v>
      </c>
      <c r="C561" s="0" t="s">
        <v>753</v>
      </c>
      <c r="D561" s="0" t="s">
        <v>753</v>
      </c>
      <c r="E561" s="0" t="s">
        <v>58</v>
      </c>
      <c r="F561" s="0" t="s">
        <v>28</v>
      </c>
      <c r="I561" s="0" t="n">
        <v>6000</v>
      </c>
      <c r="J561" s="0" t="n">
        <v>1.57894736842105</v>
      </c>
      <c r="K561" s="0" t="s">
        <v>757</v>
      </c>
    </row>
    <row r="562" customFormat="false" ht="15" hidden="false" customHeight="false" outlineLevel="0" collapsed="false">
      <c r="A562" s="0" t="n">
        <v>54</v>
      </c>
      <c r="B562" s="0" t="s">
        <v>733</v>
      </c>
      <c r="C562" s="0" t="s">
        <v>753</v>
      </c>
      <c r="D562" s="0" t="s">
        <v>753</v>
      </c>
      <c r="E562" s="0" t="s">
        <v>740</v>
      </c>
      <c r="F562" s="0" t="s">
        <v>27</v>
      </c>
      <c r="I562" s="0" t="n">
        <v>2500</v>
      </c>
      <c r="J562" s="0" t="n">
        <v>0.657894736842105</v>
      </c>
      <c r="K562" s="0" t="s">
        <v>758</v>
      </c>
    </row>
    <row r="563" customFormat="false" ht="15" hidden="false" customHeight="false" outlineLevel="0" collapsed="false">
      <c r="A563" s="0" t="n">
        <v>54</v>
      </c>
      <c r="B563" s="0" t="s">
        <v>733</v>
      </c>
      <c r="C563" s="0" t="s">
        <v>753</v>
      </c>
      <c r="D563" s="0" t="s">
        <v>753</v>
      </c>
      <c r="E563" s="0" t="s">
        <v>128</v>
      </c>
      <c r="F563" s="0" t="s">
        <v>28</v>
      </c>
      <c r="I563" s="0" t="n">
        <v>1500</v>
      </c>
      <c r="J563" s="0" t="n">
        <v>0.394736842105263</v>
      </c>
      <c r="K563" s="0" t="s">
        <v>759</v>
      </c>
    </row>
    <row r="564" customFormat="false" ht="15" hidden="false" customHeight="false" outlineLevel="0" collapsed="false">
      <c r="A564" s="0" t="n">
        <v>54</v>
      </c>
      <c r="B564" s="0" t="s">
        <v>733</v>
      </c>
      <c r="C564" s="0" t="s">
        <v>753</v>
      </c>
      <c r="D564" s="0" t="s">
        <v>753</v>
      </c>
      <c r="E564" s="0" t="s">
        <v>203</v>
      </c>
      <c r="F564" s="0" t="s">
        <v>29</v>
      </c>
      <c r="I564" s="0" t="n">
        <v>2500</v>
      </c>
      <c r="J564" s="0" t="n">
        <v>0.657894736842105</v>
      </c>
      <c r="K564" s="0" t="s">
        <v>760</v>
      </c>
    </row>
    <row r="565" customFormat="false" ht="15" hidden="false" customHeight="false" outlineLevel="0" collapsed="false">
      <c r="A565" s="0" t="n">
        <v>54</v>
      </c>
      <c r="B565" s="0" t="s">
        <v>733</v>
      </c>
      <c r="C565" s="0" t="s">
        <v>753</v>
      </c>
      <c r="D565" s="0" t="s">
        <v>753</v>
      </c>
      <c r="E565" s="0" t="s">
        <v>158</v>
      </c>
      <c r="F565" s="0" t="s">
        <v>28</v>
      </c>
      <c r="I565" s="0" t="n">
        <v>2000</v>
      </c>
      <c r="J565" s="0" t="n">
        <v>0.526315789473684</v>
      </c>
      <c r="K565" s="0" t="s">
        <v>761</v>
      </c>
    </row>
    <row r="566" customFormat="false" ht="15" hidden="false" customHeight="false" outlineLevel="0" collapsed="false">
      <c r="A566" s="0" t="n">
        <v>54</v>
      </c>
      <c r="B566" s="0" t="s">
        <v>733</v>
      </c>
      <c r="C566" s="0" t="s">
        <v>753</v>
      </c>
      <c r="D566" s="0" t="s">
        <v>753</v>
      </c>
      <c r="E566" s="0" t="s">
        <v>132</v>
      </c>
      <c r="F566" s="0" t="s">
        <v>29</v>
      </c>
      <c r="I566" s="0" t="n">
        <v>200</v>
      </c>
      <c r="J566" s="0" t="n">
        <v>0.0526315789473684</v>
      </c>
      <c r="K566" s="0" t="s">
        <v>762</v>
      </c>
    </row>
    <row r="567" customFormat="false" ht="15" hidden="false" customHeight="false" outlineLevel="0" collapsed="false">
      <c r="A567" s="0" t="n">
        <v>54</v>
      </c>
      <c r="B567" s="0" t="s">
        <v>733</v>
      </c>
      <c r="C567" s="0" t="s">
        <v>753</v>
      </c>
      <c r="D567" s="0" t="s">
        <v>753</v>
      </c>
      <c r="E567" s="0" t="s">
        <v>134</v>
      </c>
      <c r="F567" s="0" t="s">
        <v>28</v>
      </c>
      <c r="I567" s="0" t="n">
        <v>200</v>
      </c>
      <c r="J567" s="0" t="n">
        <v>0.0526315789473684</v>
      </c>
      <c r="K567" s="0" t="s">
        <v>763</v>
      </c>
    </row>
    <row r="568" customFormat="false" ht="15" hidden="false" customHeight="false" outlineLevel="0" collapsed="false">
      <c r="A568" s="0" t="n">
        <v>54</v>
      </c>
      <c r="B568" s="0" t="s">
        <v>733</v>
      </c>
      <c r="C568" s="0" t="s">
        <v>753</v>
      </c>
      <c r="D568" s="0" t="s">
        <v>753</v>
      </c>
      <c r="E568" s="0" t="s">
        <v>60</v>
      </c>
      <c r="F568" s="0" t="s">
        <v>27</v>
      </c>
      <c r="I568" s="0" t="n">
        <v>200</v>
      </c>
      <c r="J568" s="0" t="n">
        <v>0.0526315789473684</v>
      </c>
      <c r="K568" s="0" t="s">
        <v>764</v>
      </c>
    </row>
    <row r="569" customFormat="false" ht="15" hidden="false" customHeight="false" outlineLevel="0" collapsed="false">
      <c r="A569" s="0" t="n">
        <v>54</v>
      </c>
      <c r="B569" s="0" t="s">
        <v>733</v>
      </c>
      <c r="C569" s="0" t="s">
        <v>753</v>
      </c>
      <c r="D569" s="0" t="s">
        <v>753</v>
      </c>
      <c r="E569" s="0" t="s">
        <v>62</v>
      </c>
      <c r="F569" s="0" t="s">
        <v>27</v>
      </c>
      <c r="I569" s="0" t="n">
        <v>100</v>
      </c>
      <c r="J569" s="0" t="n">
        <v>0.0263157894736842</v>
      </c>
      <c r="K569" s="0" t="s">
        <v>765</v>
      </c>
    </row>
    <row r="570" customFormat="false" ht="15" hidden="false" customHeight="false" outlineLevel="0" collapsed="false">
      <c r="A570" s="0" t="n">
        <v>54</v>
      </c>
      <c r="B570" s="0" t="s">
        <v>733</v>
      </c>
      <c r="C570" s="0" t="s">
        <v>753</v>
      </c>
      <c r="D570" s="0" t="s">
        <v>753</v>
      </c>
      <c r="E570" s="0" t="s">
        <v>66</v>
      </c>
      <c r="F570" s="0" t="s">
        <v>27</v>
      </c>
      <c r="I570" s="0" t="n">
        <v>250</v>
      </c>
      <c r="J570" s="0" t="n">
        <v>0.0657894736842105</v>
      </c>
      <c r="K570" s="0" t="s">
        <v>766</v>
      </c>
    </row>
    <row r="571" customFormat="false" ht="15" hidden="false" customHeight="false" outlineLevel="0" collapsed="false">
      <c r="A571" s="0" t="n">
        <v>54</v>
      </c>
      <c r="B571" s="0" t="s">
        <v>733</v>
      </c>
      <c r="C571" s="0" t="s">
        <v>753</v>
      </c>
      <c r="D571" s="0" t="s">
        <v>753</v>
      </c>
      <c r="E571" s="0" t="s">
        <v>64</v>
      </c>
      <c r="F571" s="0" t="s">
        <v>27</v>
      </c>
      <c r="I571" s="0" t="n">
        <v>70</v>
      </c>
      <c r="J571" s="0" t="n">
        <v>0.018421052631579</v>
      </c>
      <c r="K571" s="0" t="s">
        <v>767</v>
      </c>
    </row>
    <row r="572" customFormat="false" ht="15" hidden="false" customHeight="false" outlineLevel="0" collapsed="false">
      <c r="A572" s="0" t="n">
        <v>54</v>
      </c>
      <c r="B572" s="0" t="s">
        <v>733</v>
      </c>
      <c r="C572" s="0" t="s">
        <v>753</v>
      </c>
      <c r="D572" s="0" t="s">
        <v>753</v>
      </c>
      <c r="E572" s="0" t="s">
        <v>68</v>
      </c>
      <c r="F572" s="0" t="s">
        <v>30</v>
      </c>
      <c r="I572" s="0" t="n">
        <v>3700</v>
      </c>
      <c r="J572" s="0" t="n">
        <v>0.973684210526316</v>
      </c>
      <c r="K572" s="0" t="s">
        <v>768</v>
      </c>
    </row>
    <row r="573" customFormat="false" ht="15" hidden="false" customHeight="false" outlineLevel="0" collapsed="false">
      <c r="A573" s="0" t="n">
        <v>55</v>
      </c>
      <c r="B573" s="0" t="s">
        <v>769</v>
      </c>
      <c r="C573" s="0" t="s">
        <v>770</v>
      </c>
      <c r="D573" s="0" t="s">
        <v>296</v>
      </c>
      <c r="E573" s="0" t="s">
        <v>53</v>
      </c>
      <c r="F573" s="0" t="s">
        <v>27</v>
      </c>
      <c r="G573" s="0" t="n">
        <v>0.8</v>
      </c>
      <c r="H573" s="0" t="n">
        <v>5.31</v>
      </c>
      <c r="I573" s="0" t="n">
        <v>16142.4</v>
      </c>
      <c r="J573" s="0" t="n">
        <v>4.248</v>
      </c>
      <c r="K573" s="0" t="s">
        <v>771</v>
      </c>
      <c r="L573" s="0" t="s">
        <v>772</v>
      </c>
    </row>
    <row r="574" customFormat="false" ht="15" hidden="false" customHeight="false" outlineLevel="0" collapsed="false">
      <c r="A574" s="0" t="n">
        <v>55</v>
      </c>
      <c r="B574" s="0" t="s">
        <v>769</v>
      </c>
      <c r="C574" s="0" t="s">
        <v>770</v>
      </c>
      <c r="D574" s="0" t="s">
        <v>296</v>
      </c>
      <c r="E574" s="0" t="s">
        <v>56</v>
      </c>
      <c r="F574" s="0" t="s">
        <v>28</v>
      </c>
      <c r="I574" s="0" t="n">
        <v>1000</v>
      </c>
      <c r="J574" s="0" t="n">
        <v>0.263157894736842</v>
      </c>
      <c r="K574" s="0" t="s">
        <v>773</v>
      </c>
    </row>
    <row r="575" customFormat="false" ht="15" hidden="false" customHeight="false" outlineLevel="0" collapsed="false">
      <c r="A575" s="0" t="n">
        <v>55</v>
      </c>
      <c r="B575" s="0" t="s">
        <v>769</v>
      </c>
      <c r="C575" s="0" t="s">
        <v>770</v>
      </c>
      <c r="D575" s="0" t="s">
        <v>296</v>
      </c>
      <c r="E575" s="0" t="s">
        <v>58</v>
      </c>
      <c r="F575" s="0" t="s">
        <v>28</v>
      </c>
      <c r="I575" s="0" t="n">
        <v>2500</v>
      </c>
      <c r="J575" s="0" t="n">
        <v>0.657894736842105</v>
      </c>
      <c r="K575" s="0" t="s">
        <v>774</v>
      </c>
    </row>
    <row r="576" customFormat="false" ht="15" hidden="false" customHeight="false" outlineLevel="0" collapsed="false">
      <c r="A576" s="0" t="n">
        <v>55</v>
      </c>
      <c r="B576" s="0" t="s">
        <v>769</v>
      </c>
      <c r="C576" s="0" t="s">
        <v>770</v>
      </c>
      <c r="D576" s="0" t="s">
        <v>296</v>
      </c>
      <c r="E576" s="0" t="s">
        <v>128</v>
      </c>
      <c r="F576" s="0" t="s">
        <v>28</v>
      </c>
      <c r="I576" s="0" t="n">
        <v>0</v>
      </c>
      <c r="J576" s="0" t="n">
        <v>0</v>
      </c>
      <c r="K576" s="0" t="s">
        <v>775</v>
      </c>
    </row>
    <row r="577" customFormat="false" ht="15" hidden="false" customHeight="false" outlineLevel="0" collapsed="false">
      <c r="A577" s="0" t="n">
        <v>55</v>
      </c>
      <c r="B577" s="0" t="s">
        <v>769</v>
      </c>
      <c r="C577" s="0" t="s">
        <v>770</v>
      </c>
      <c r="D577" s="0" t="s">
        <v>296</v>
      </c>
      <c r="E577" s="0" t="s">
        <v>158</v>
      </c>
      <c r="F577" s="0" t="s">
        <v>28</v>
      </c>
      <c r="I577" s="0" t="n">
        <v>1000</v>
      </c>
      <c r="J577" s="0" t="n">
        <v>0.263157894736842</v>
      </c>
      <c r="K577" s="0" t="s">
        <v>776</v>
      </c>
    </row>
    <row r="578" customFormat="false" ht="15" hidden="false" customHeight="false" outlineLevel="0" collapsed="false">
      <c r="A578" s="0" t="n">
        <v>55</v>
      </c>
      <c r="B578" s="0" t="s">
        <v>769</v>
      </c>
      <c r="C578" s="0" t="s">
        <v>770</v>
      </c>
      <c r="D578" s="0" t="s">
        <v>296</v>
      </c>
      <c r="E578" s="0" t="s">
        <v>132</v>
      </c>
      <c r="F578" s="0" t="s">
        <v>29</v>
      </c>
      <c r="I578" s="0" t="n">
        <v>0</v>
      </c>
      <c r="J578" s="0" t="n">
        <v>0</v>
      </c>
      <c r="K578" s="0" t="s">
        <v>777</v>
      </c>
    </row>
    <row r="579" customFormat="false" ht="15" hidden="false" customHeight="false" outlineLevel="0" collapsed="false">
      <c r="A579" s="0" t="n">
        <v>55</v>
      </c>
      <c r="B579" s="0" t="s">
        <v>769</v>
      </c>
      <c r="C579" s="0" t="s">
        <v>770</v>
      </c>
      <c r="D579" s="0" t="s">
        <v>296</v>
      </c>
      <c r="E579" s="0" t="s">
        <v>134</v>
      </c>
      <c r="F579" s="0" t="s">
        <v>28</v>
      </c>
      <c r="I579" s="0" t="n">
        <v>0</v>
      </c>
      <c r="J579" s="0" t="n">
        <v>0</v>
      </c>
      <c r="K579" s="0" t="s">
        <v>778</v>
      </c>
    </row>
    <row r="580" customFormat="false" ht="15" hidden="false" customHeight="false" outlineLevel="0" collapsed="false">
      <c r="A580" s="0" t="n">
        <v>55</v>
      </c>
      <c r="B580" s="0" t="s">
        <v>769</v>
      </c>
      <c r="C580" s="0" t="s">
        <v>770</v>
      </c>
      <c r="D580" s="0" t="s">
        <v>296</v>
      </c>
      <c r="E580" s="0" t="s">
        <v>60</v>
      </c>
      <c r="F580" s="0" t="s">
        <v>27</v>
      </c>
      <c r="I580" s="0" t="n">
        <v>200</v>
      </c>
      <c r="J580" s="0" t="n">
        <v>0.0526315789473684</v>
      </c>
      <c r="K580" s="0" t="s">
        <v>779</v>
      </c>
    </row>
    <row r="581" customFormat="false" ht="15" hidden="false" customHeight="false" outlineLevel="0" collapsed="false">
      <c r="A581" s="0" t="n">
        <v>55</v>
      </c>
      <c r="B581" s="0" t="s">
        <v>769</v>
      </c>
      <c r="C581" s="0" t="s">
        <v>770</v>
      </c>
      <c r="D581" s="0" t="s">
        <v>296</v>
      </c>
      <c r="E581" s="0" t="s">
        <v>62</v>
      </c>
      <c r="F581" s="0" t="s">
        <v>27</v>
      </c>
      <c r="I581" s="0" t="n">
        <v>100</v>
      </c>
      <c r="J581" s="0" t="n">
        <v>0.0263157894736842</v>
      </c>
      <c r="K581" s="0" t="s">
        <v>780</v>
      </c>
    </row>
    <row r="582" customFormat="false" ht="15" hidden="false" customHeight="false" outlineLevel="0" collapsed="false">
      <c r="A582" s="0" t="n">
        <v>55</v>
      </c>
      <c r="B582" s="0" t="s">
        <v>769</v>
      </c>
      <c r="C582" s="0" t="s">
        <v>770</v>
      </c>
      <c r="D582" s="0" t="s">
        <v>296</v>
      </c>
      <c r="E582" s="0" t="s">
        <v>66</v>
      </c>
      <c r="F582" s="0" t="s">
        <v>27</v>
      </c>
      <c r="I582" s="0" t="n">
        <v>350</v>
      </c>
      <c r="J582" s="0" t="n">
        <v>0.0921052631578947</v>
      </c>
      <c r="K582" s="0" t="s">
        <v>781</v>
      </c>
    </row>
    <row r="583" customFormat="false" ht="15" hidden="false" customHeight="false" outlineLevel="0" collapsed="false">
      <c r="A583" s="0" t="n">
        <v>55</v>
      </c>
      <c r="B583" s="0" t="s">
        <v>769</v>
      </c>
      <c r="C583" s="0" t="s">
        <v>770</v>
      </c>
      <c r="D583" s="0" t="s">
        <v>296</v>
      </c>
      <c r="E583" s="0" t="s">
        <v>64</v>
      </c>
      <c r="F583" s="0" t="s">
        <v>27</v>
      </c>
      <c r="I583" s="0" t="n">
        <v>750</v>
      </c>
      <c r="J583" s="0" t="n">
        <v>0.197368421052632</v>
      </c>
      <c r="K583" s="0" t="s">
        <v>782</v>
      </c>
    </row>
    <row r="584" customFormat="false" ht="15" hidden="false" customHeight="false" outlineLevel="0" collapsed="false">
      <c r="A584" s="0" t="n">
        <v>55</v>
      </c>
      <c r="B584" s="0" t="s">
        <v>769</v>
      </c>
      <c r="C584" s="0" t="s">
        <v>770</v>
      </c>
      <c r="D584" s="0" t="s">
        <v>296</v>
      </c>
      <c r="E584" s="0" t="s">
        <v>68</v>
      </c>
      <c r="F584" s="0" t="s">
        <v>30</v>
      </c>
      <c r="I584" s="0" t="n">
        <v>4000</v>
      </c>
      <c r="J584" s="0" t="n">
        <v>1.05263157894737</v>
      </c>
      <c r="K584" s="0" t="s">
        <v>783</v>
      </c>
    </row>
    <row r="585" customFormat="false" ht="15" hidden="false" customHeight="false" outlineLevel="0" collapsed="false">
      <c r="A585" s="0" t="n">
        <v>56</v>
      </c>
      <c r="B585" s="0" t="s">
        <v>769</v>
      </c>
      <c r="C585" s="0" t="s">
        <v>68</v>
      </c>
      <c r="D585" s="0" t="s">
        <v>349</v>
      </c>
      <c r="E585" s="0" t="s">
        <v>53</v>
      </c>
      <c r="F585" s="0" t="s">
        <v>27</v>
      </c>
      <c r="G585" s="0" t="n">
        <v>1.1</v>
      </c>
      <c r="H585" s="0" t="n">
        <v>1.9</v>
      </c>
      <c r="I585" s="0" t="n">
        <v>7942</v>
      </c>
      <c r="J585" s="0" t="n">
        <v>2.09</v>
      </c>
      <c r="K585" s="0" t="s">
        <v>784</v>
      </c>
      <c r="L585" s="0" t="s">
        <v>785</v>
      </c>
    </row>
    <row r="586" customFormat="false" ht="15" hidden="false" customHeight="false" outlineLevel="0" collapsed="false">
      <c r="A586" s="0" t="n">
        <v>56</v>
      </c>
      <c r="B586" s="0" t="s">
        <v>769</v>
      </c>
      <c r="C586" s="0" t="s">
        <v>68</v>
      </c>
      <c r="D586" s="0" t="s">
        <v>349</v>
      </c>
      <c r="E586" s="0" t="s">
        <v>56</v>
      </c>
      <c r="F586" s="0" t="s">
        <v>28</v>
      </c>
      <c r="I586" s="0" t="n">
        <v>700</v>
      </c>
      <c r="J586" s="0" t="n">
        <v>0.18421052631579</v>
      </c>
      <c r="K586" s="0" t="s">
        <v>786</v>
      </c>
    </row>
    <row r="587" customFormat="false" ht="15" hidden="false" customHeight="false" outlineLevel="0" collapsed="false">
      <c r="A587" s="0" t="n">
        <v>56</v>
      </c>
      <c r="B587" s="0" t="s">
        <v>769</v>
      </c>
      <c r="C587" s="0" t="s">
        <v>68</v>
      </c>
      <c r="D587" s="0" t="s">
        <v>349</v>
      </c>
      <c r="E587" s="0" t="s">
        <v>58</v>
      </c>
      <c r="F587" s="0" t="s">
        <v>28</v>
      </c>
      <c r="I587" s="0" t="n">
        <v>2500</v>
      </c>
      <c r="J587" s="0" t="n">
        <v>0.657894736842105</v>
      </c>
      <c r="K587" s="0" t="s">
        <v>787</v>
      </c>
    </row>
    <row r="588" customFormat="false" ht="15" hidden="false" customHeight="false" outlineLevel="0" collapsed="false">
      <c r="A588" s="0" t="n">
        <v>56</v>
      </c>
      <c r="B588" s="0" t="s">
        <v>769</v>
      </c>
      <c r="C588" s="0" t="s">
        <v>68</v>
      </c>
      <c r="D588" s="0" t="s">
        <v>349</v>
      </c>
      <c r="E588" s="0" t="s">
        <v>128</v>
      </c>
      <c r="F588" s="0" t="s">
        <v>28</v>
      </c>
      <c r="I588" s="0" t="n">
        <v>1000</v>
      </c>
      <c r="J588" s="0" t="n">
        <v>0.263157894736842</v>
      </c>
      <c r="K588" s="0" t="s">
        <v>788</v>
      </c>
    </row>
    <row r="589" customFormat="false" ht="15" hidden="false" customHeight="false" outlineLevel="0" collapsed="false">
      <c r="A589" s="0" t="n">
        <v>56</v>
      </c>
      <c r="B589" s="0" t="s">
        <v>769</v>
      </c>
      <c r="C589" s="0" t="s">
        <v>68</v>
      </c>
      <c r="D589" s="0" t="s">
        <v>349</v>
      </c>
      <c r="E589" s="0" t="s">
        <v>203</v>
      </c>
      <c r="F589" s="0" t="s">
        <v>29</v>
      </c>
      <c r="I589" s="0" t="n">
        <v>4500</v>
      </c>
      <c r="J589" s="0" t="n">
        <v>1.18421052631579</v>
      </c>
      <c r="K589" s="0" t="s">
        <v>789</v>
      </c>
    </row>
    <row r="590" customFormat="false" ht="15" hidden="false" customHeight="false" outlineLevel="0" collapsed="false">
      <c r="A590" s="0" t="n">
        <v>56</v>
      </c>
      <c r="B590" s="0" t="s">
        <v>769</v>
      </c>
      <c r="C590" s="0" t="s">
        <v>68</v>
      </c>
      <c r="D590" s="0" t="s">
        <v>349</v>
      </c>
      <c r="E590" s="0" t="s">
        <v>158</v>
      </c>
      <c r="F590" s="0" t="s">
        <v>28</v>
      </c>
      <c r="I590" s="0" t="n">
        <v>1000</v>
      </c>
      <c r="J590" s="0" t="n">
        <v>0.263157894736842</v>
      </c>
      <c r="K590" s="0" t="s">
        <v>790</v>
      </c>
    </row>
    <row r="591" customFormat="false" ht="15" hidden="false" customHeight="false" outlineLevel="0" collapsed="false">
      <c r="A591" s="0" t="n">
        <v>56</v>
      </c>
      <c r="B591" s="0" t="s">
        <v>769</v>
      </c>
      <c r="C591" s="0" t="s">
        <v>68</v>
      </c>
      <c r="D591" s="0" t="s">
        <v>349</v>
      </c>
      <c r="E591" s="0" t="s">
        <v>132</v>
      </c>
      <c r="F591" s="0" t="s">
        <v>29</v>
      </c>
      <c r="I591" s="0" t="n">
        <v>0</v>
      </c>
      <c r="J591" s="0" t="n">
        <v>0</v>
      </c>
      <c r="K591" s="0" t="s">
        <v>791</v>
      </c>
    </row>
    <row r="592" customFormat="false" ht="15" hidden="false" customHeight="false" outlineLevel="0" collapsed="false">
      <c r="A592" s="0" t="n">
        <v>56</v>
      </c>
      <c r="B592" s="0" t="s">
        <v>769</v>
      </c>
      <c r="C592" s="0" t="s">
        <v>68</v>
      </c>
      <c r="D592" s="0" t="s">
        <v>349</v>
      </c>
      <c r="E592" s="0" t="s">
        <v>134</v>
      </c>
      <c r="F592" s="0" t="s">
        <v>28</v>
      </c>
      <c r="I592" s="0" t="n">
        <v>0</v>
      </c>
      <c r="J592" s="0" t="n">
        <v>0</v>
      </c>
      <c r="K592" s="0" t="s">
        <v>792</v>
      </c>
    </row>
    <row r="593" customFormat="false" ht="15" hidden="false" customHeight="false" outlineLevel="0" collapsed="false">
      <c r="A593" s="0" t="n">
        <v>56</v>
      </c>
      <c r="B593" s="0" t="s">
        <v>769</v>
      </c>
      <c r="C593" s="0" t="s">
        <v>68</v>
      </c>
      <c r="D593" s="0" t="s">
        <v>349</v>
      </c>
      <c r="E593" s="0" t="s">
        <v>60</v>
      </c>
      <c r="F593" s="0" t="s">
        <v>27</v>
      </c>
      <c r="I593" s="0" t="n">
        <v>0</v>
      </c>
      <c r="J593" s="0" t="n">
        <v>0</v>
      </c>
      <c r="K593" s="0" t="s">
        <v>793</v>
      </c>
    </row>
    <row r="594" customFormat="false" ht="15" hidden="false" customHeight="false" outlineLevel="0" collapsed="false">
      <c r="A594" s="0" t="n">
        <v>56</v>
      </c>
      <c r="B594" s="0" t="s">
        <v>769</v>
      </c>
      <c r="C594" s="0" t="s">
        <v>68</v>
      </c>
      <c r="D594" s="0" t="s">
        <v>349</v>
      </c>
      <c r="E594" s="0" t="s">
        <v>62</v>
      </c>
      <c r="F594" s="0" t="s">
        <v>27</v>
      </c>
      <c r="I594" s="0" t="n">
        <v>100</v>
      </c>
      <c r="J594" s="0" t="n">
        <v>0.0263157894736842</v>
      </c>
      <c r="K594" s="0" t="s">
        <v>794</v>
      </c>
    </row>
    <row r="595" customFormat="false" ht="15" hidden="false" customHeight="false" outlineLevel="0" collapsed="false">
      <c r="A595" s="0" t="n">
        <v>56</v>
      </c>
      <c r="B595" s="0" t="s">
        <v>769</v>
      </c>
      <c r="C595" s="0" t="s">
        <v>68</v>
      </c>
      <c r="D595" s="0" t="s">
        <v>349</v>
      </c>
      <c r="E595" s="0" t="s">
        <v>66</v>
      </c>
      <c r="F595" s="0" t="s">
        <v>27</v>
      </c>
      <c r="I595" s="0" t="n">
        <v>350</v>
      </c>
      <c r="J595" s="0" t="n">
        <v>0.0921052631578947</v>
      </c>
      <c r="K595" s="0" t="s">
        <v>795</v>
      </c>
    </row>
    <row r="596" customFormat="false" ht="15" hidden="false" customHeight="false" outlineLevel="0" collapsed="false">
      <c r="A596" s="0" t="n">
        <v>56</v>
      </c>
      <c r="B596" s="0" t="s">
        <v>769</v>
      </c>
      <c r="C596" s="0" t="s">
        <v>68</v>
      </c>
      <c r="D596" s="0" t="s">
        <v>349</v>
      </c>
      <c r="E596" s="0" t="s">
        <v>64</v>
      </c>
      <c r="F596" s="0" t="s">
        <v>27</v>
      </c>
      <c r="I596" s="0" t="n">
        <v>250</v>
      </c>
      <c r="J596" s="0" t="n">
        <v>0.0657894736842105</v>
      </c>
      <c r="K596" s="0" t="s">
        <v>796</v>
      </c>
    </row>
    <row r="597" customFormat="false" ht="15" hidden="false" customHeight="false" outlineLevel="0" collapsed="false">
      <c r="A597" s="0" t="n">
        <v>56</v>
      </c>
      <c r="B597" s="0" t="s">
        <v>769</v>
      </c>
      <c r="C597" s="0" t="s">
        <v>68</v>
      </c>
      <c r="D597" s="0" t="s">
        <v>349</v>
      </c>
      <c r="E597" s="0" t="s">
        <v>68</v>
      </c>
      <c r="F597" s="0" t="s">
        <v>30</v>
      </c>
      <c r="I597" s="0" t="n">
        <v>2700</v>
      </c>
      <c r="J597" s="0" t="n">
        <v>0.710526315789474</v>
      </c>
      <c r="K597" s="0" t="s">
        <v>797</v>
      </c>
    </row>
    <row r="598" customFormat="false" ht="15" hidden="false" customHeight="false" outlineLevel="0" collapsed="false">
      <c r="A598" s="0" t="n">
        <v>57</v>
      </c>
      <c r="B598" s="0" t="s">
        <v>769</v>
      </c>
      <c r="C598" s="0" t="s">
        <v>798</v>
      </c>
      <c r="D598" s="0" t="s">
        <v>296</v>
      </c>
      <c r="E598" s="0" t="s">
        <v>53</v>
      </c>
      <c r="F598" s="0" t="s">
        <v>27</v>
      </c>
      <c r="G598" s="0" t="n">
        <v>0.8</v>
      </c>
      <c r="H598" s="0" t="n">
        <v>5.31</v>
      </c>
      <c r="I598" s="0" t="n">
        <v>16142.4</v>
      </c>
      <c r="J598" s="0" t="n">
        <v>4.248</v>
      </c>
      <c r="K598" s="0" t="s">
        <v>799</v>
      </c>
      <c r="L598" s="0" t="s">
        <v>772</v>
      </c>
    </row>
    <row r="599" customFormat="false" ht="15" hidden="false" customHeight="false" outlineLevel="0" collapsed="false">
      <c r="A599" s="0" t="n">
        <v>57</v>
      </c>
      <c r="B599" s="0" t="s">
        <v>769</v>
      </c>
      <c r="C599" s="0" t="s">
        <v>798</v>
      </c>
      <c r="D599" s="0" t="s">
        <v>296</v>
      </c>
      <c r="E599" s="0" t="s">
        <v>56</v>
      </c>
      <c r="F599" s="0" t="s">
        <v>28</v>
      </c>
      <c r="I599" s="0" t="n">
        <v>1000</v>
      </c>
      <c r="J599" s="0" t="n">
        <v>0.263157894736842</v>
      </c>
      <c r="K599" s="0" t="s">
        <v>800</v>
      </c>
    </row>
    <row r="600" customFormat="false" ht="15" hidden="false" customHeight="false" outlineLevel="0" collapsed="false">
      <c r="A600" s="0" t="n">
        <v>57</v>
      </c>
      <c r="B600" s="0" t="s">
        <v>769</v>
      </c>
      <c r="C600" s="0" t="s">
        <v>798</v>
      </c>
      <c r="D600" s="0" t="s">
        <v>296</v>
      </c>
      <c r="E600" s="0" t="s">
        <v>58</v>
      </c>
      <c r="F600" s="0" t="s">
        <v>28</v>
      </c>
      <c r="I600" s="0" t="n">
        <v>2500</v>
      </c>
      <c r="J600" s="0" t="n">
        <v>0.657894736842105</v>
      </c>
      <c r="K600" s="0" t="s">
        <v>801</v>
      </c>
    </row>
    <row r="601" customFormat="false" ht="15" hidden="false" customHeight="false" outlineLevel="0" collapsed="false">
      <c r="A601" s="0" t="n">
        <v>57</v>
      </c>
      <c r="B601" s="0" t="s">
        <v>769</v>
      </c>
      <c r="C601" s="0" t="s">
        <v>798</v>
      </c>
      <c r="D601" s="0" t="s">
        <v>296</v>
      </c>
      <c r="E601" s="0" t="s">
        <v>128</v>
      </c>
      <c r="F601" s="0" t="s">
        <v>28</v>
      </c>
      <c r="I601" s="0" t="n">
        <v>1000</v>
      </c>
      <c r="J601" s="0" t="n">
        <v>0.263157894736842</v>
      </c>
      <c r="K601" s="0" t="s">
        <v>802</v>
      </c>
    </row>
    <row r="602" customFormat="false" ht="15" hidden="false" customHeight="false" outlineLevel="0" collapsed="false">
      <c r="A602" s="0" t="n">
        <v>57</v>
      </c>
      <c r="B602" s="0" t="s">
        <v>769</v>
      </c>
      <c r="C602" s="0" t="s">
        <v>798</v>
      </c>
      <c r="D602" s="0" t="s">
        <v>296</v>
      </c>
      <c r="E602" s="0" t="s">
        <v>130</v>
      </c>
      <c r="F602" s="0" t="s">
        <v>29</v>
      </c>
      <c r="I602" s="0" t="n">
        <v>1000</v>
      </c>
      <c r="J602" s="0" t="n">
        <v>0.263157894736842</v>
      </c>
      <c r="K602" s="0" t="s">
        <v>803</v>
      </c>
    </row>
    <row r="603" customFormat="false" ht="15" hidden="false" customHeight="false" outlineLevel="0" collapsed="false">
      <c r="A603" s="0" t="n">
        <v>57</v>
      </c>
      <c r="B603" s="0" t="s">
        <v>769</v>
      </c>
      <c r="C603" s="0" t="s">
        <v>798</v>
      </c>
      <c r="D603" s="0" t="s">
        <v>296</v>
      </c>
      <c r="E603" s="0" t="s">
        <v>158</v>
      </c>
      <c r="F603" s="0" t="s">
        <v>28</v>
      </c>
      <c r="I603" s="0" t="n">
        <v>1000</v>
      </c>
      <c r="J603" s="0" t="n">
        <v>0.263157894736842</v>
      </c>
      <c r="K603" s="0" t="s">
        <v>804</v>
      </c>
    </row>
    <row r="604" customFormat="false" ht="15" hidden="false" customHeight="false" outlineLevel="0" collapsed="false">
      <c r="A604" s="0" t="n">
        <v>57</v>
      </c>
      <c r="B604" s="0" t="s">
        <v>769</v>
      </c>
      <c r="C604" s="0" t="s">
        <v>798</v>
      </c>
      <c r="D604" s="0" t="s">
        <v>296</v>
      </c>
      <c r="E604" s="0" t="s">
        <v>132</v>
      </c>
      <c r="F604" s="0" t="s">
        <v>29</v>
      </c>
      <c r="I604" s="0" t="n">
        <v>200</v>
      </c>
      <c r="J604" s="0" t="n">
        <v>0.0526315789473684</v>
      </c>
      <c r="K604" s="0" t="s">
        <v>805</v>
      </c>
    </row>
    <row r="605" customFormat="false" ht="15" hidden="false" customHeight="false" outlineLevel="0" collapsed="false">
      <c r="A605" s="0" t="n">
        <v>57</v>
      </c>
      <c r="B605" s="0" t="s">
        <v>769</v>
      </c>
      <c r="C605" s="0" t="s">
        <v>798</v>
      </c>
      <c r="D605" s="0" t="s">
        <v>296</v>
      </c>
      <c r="E605" s="0" t="s">
        <v>134</v>
      </c>
      <c r="F605" s="0" t="s">
        <v>28</v>
      </c>
      <c r="I605" s="0" t="n">
        <v>200</v>
      </c>
      <c r="J605" s="0" t="n">
        <v>0.0526315789473684</v>
      </c>
      <c r="K605" s="0" t="s">
        <v>806</v>
      </c>
    </row>
    <row r="606" customFormat="false" ht="15" hidden="false" customHeight="false" outlineLevel="0" collapsed="false">
      <c r="A606" s="0" t="n">
        <v>57</v>
      </c>
      <c r="B606" s="0" t="s">
        <v>769</v>
      </c>
      <c r="C606" s="0" t="s">
        <v>798</v>
      </c>
      <c r="D606" s="0" t="s">
        <v>296</v>
      </c>
      <c r="E606" s="0" t="s">
        <v>60</v>
      </c>
      <c r="F606" s="0" t="s">
        <v>27</v>
      </c>
      <c r="I606" s="0" t="n">
        <v>200</v>
      </c>
      <c r="J606" s="0" t="n">
        <v>0.0526315789473684</v>
      </c>
      <c r="K606" s="0" t="s">
        <v>807</v>
      </c>
    </row>
    <row r="607" customFormat="false" ht="15" hidden="false" customHeight="false" outlineLevel="0" collapsed="false">
      <c r="A607" s="0" t="n">
        <v>57</v>
      </c>
      <c r="B607" s="0" t="s">
        <v>769</v>
      </c>
      <c r="C607" s="0" t="s">
        <v>798</v>
      </c>
      <c r="D607" s="0" t="s">
        <v>296</v>
      </c>
      <c r="E607" s="0" t="s">
        <v>62</v>
      </c>
      <c r="F607" s="0" t="s">
        <v>27</v>
      </c>
      <c r="I607" s="0" t="n">
        <v>100</v>
      </c>
      <c r="J607" s="0" t="n">
        <v>0.0263157894736842</v>
      </c>
      <c r="K607" s="0" t="s">
        <v>808</v>
      </c>
    </row>
    <row r="608" customFormat="false" ht="15" hidden="false" customHeight="false" outlineLevel="0" collapsed="false">
      <c r="A608" s="0" t="n">
        <v>57</v>
      </c>
      <c r="B608" s="0" t="s">
        <v>769</v>
      </c>
      <c r="C608" s="0" t="s">
        <v>798</v>
      </c>
      <c r="D608" s="0" t="s">
        <v>296</v>
      </c>
      <c r="E608" s="0" t="s">
        <v>66</v>
      </c>
      <c r="F608" s="0" t="s">
        <v>27</v>
      </c>
      <c r="I608" s="0" t="n">
        <v>350</v>
      </c>
      <c r="J608" s="0" t="n">
        <v>0.0921052631578947</v>
      </c>
      <c r="K608" s="0" t="s">
        <v>809</v>
      </c>
    </row>
    <row r="609" customFormat="false" ht="15" hidden="false" customHeight="false" outlineLevel="0" collapsed="false">
      <c r="A609" s="0" t="n">
        <v>57</v>
      </c>
      <c r="B609" s="0" t="s">
        <v>769</v>
      </c>
      <c r="C609" s="0" t="s">
        <v>798</v>
      </c>
      <c r="D609" s="0" t="s">
        <v>296</v>
      </c>
      <c r="E609" s="0" t="s">
        <v>64</v>
      </c>
      <c r="F609" s="0" t="s">
        <v>27</v>
      </c>
      <c r="I609" s="0" t="n">
        <v>750</v>
      </c>
      <c r="J609" s="0" t="n">
        <v>0.197368421052632</v>
      </c>
      <c r="K609" s="0" t="s">
        <v>810</v>
      </c>
    </row>
    <row r="610" customFormat="false" ht="15" hidden="false" customHeight="false" outlineLevel="0" collapsed="false">
      <c r="A610" s="0" t="n">
        <v>57</v>
      </c>
      <c r="B610" s="0" t="s">
        <v>769</v>
      </c>
      <c r="C610" s="0" t="s">
        <v>798</v>
      </c>
      <c r="D610" s="0" t="s">
        <v>296</v>
      </c>
      <c r="E610" s="0" t="s">
        <v>68</v>
      </c>
      <c r="F610" s="0" t="s">
        <v>30</v>
      </c>
      <c r="I610" s="0" t="n">
        <v>4000</v>
      </c>
      <c r="J610" s="0" t="n">
        <v>1.05263157894737</v>
      </c>
      <c r="K610" s="0" t="s">
        <v>811</v>
      </c>
    </row>
    <row r="611" customFormat="false" ht="15" hidden="false" customHeight="false" outlineLevel="0" collapsed="false">
      <c r="A611" s="0" t="n">
        <v>58</v>
      </c>
      <c r="B611" s="0" t="s">
        <v>769</v>
      </c>
      <c r="C611" s="0" t="s">
        <v>68</v>
      </c>
      <c r="D611" s="0" t="s">
        <v>349</v>
      </c>
      <c r="E611" s="0" t="s">
        <v>53</v>
      </c>
      <c r="F611" s="0" t="s">
        <v>27</v>
      </c>
      <c r="G611" s="0" t="n">
        <v>2</v>
      </c>
      <c r="H611" s="0" t="n">
        <v>5.31</v>
      </c>
      <c r="I611" s="0" t="n">
        <v>40356</v>
      </c>
      <c r="J611" s="0" t="n">
        <v>10.62</v>
      </c>
      <c r="K611" s="0" t="s">
        <v>812</v>
      </c>
      <c r="L611" s="0" t="s">
        <v>813</v>
      </c>
    </row>
    <row r="612" customFormat="false" ht="15" hidden="false" customHeight="false" outlineLevel="0" collapsed="false">
      <c r="A612" s="0" t="n">
        <v>58</v>
      </c>
      <c r="B612" s="0" t="s">
        <v>769</v>
      </c>
      <c r="C612" s="0" t="s">
        <v>68</v>
      </c>
      <c r="D612" s="0" t="s">
        <v>349</v>
      </c>
      <c r="E612" s="0" t="s">
        <v>56</v>
      </c>
      <c r="F612" s="0" t="s">
        <v>28</v>
      </c>
      <c r="I612" s="0" t="n">
        <v>1000</v>
      </c>
      <c r="J612" s="0" t="n">
        <v>0.263157894736842</v>
      </c>
      <c r="K612" s="0" t="s">
        <v>814</v>
      </c>
    </row>
    <row r="613" customFormat="false" ht="15" hidden="false" customHeight="false" outlineLevel="0" collapsed="false">
      <c r="A613" s="0" t="n">
        <v>58</v>
      </c>
      <c r="B613" s="0" t="s">
        <v>769</v>
      </c>
      <c r="C613" s="0" t="s">
        <v>68</v>
      </c>
      <c r="D613" s="0" t="s">
        <v>349</v>
      </c>
      <c r="E613" s="0" t="s">
        <v>58</v>
      </c>
      <c r="F613" s="0" t="s">
        <v>28</v>
      </c>
      <c r="I613" s="0" t="n">
        <v>2500</v>
      </c>
      <c r="J613" s="0" t="n">
        <v>0.657894736842105</v>
      </c>
      <c r="K613" s="0" t="s">
        <v>815</v>
      </c>
    </row>
    <row r="614" customFormat="false" ht="15" hidden="false" customHeight="false" outlineLevel="0" collapsed="false">
      <c r="A614" s="0" t="n">
        <v>58</v>
      </c>
      <c r="B614" s="0" t="s">
        <v>769</v>
      </c>
      <c r="C614" s="0" t="s">
        <v>68</v>
      </c>
      <c r="D614" s="0" t="s">
        <v>349</v>
      </c>
      <c r="E614" s="0" t="s">
        <v>128</v>
      </c>
      <c r="F614" s="0" t="s">
        <v>28</v>
      </c>
      <c r="I614" s="0" t="n">
        <v>1000</v>
      </c>
      <c r="J614" s="0" t="n">
        <v>0.263157894736842</v>
      </c>
      <c r="K614" s="0" t="s">
        <v>816</v>
      </c>
    </row>
    <row r="615" customFormat="false" ht="15" hidden="false" customHeight="false" outlineLevel="0" collapsed="false">
      <c r="A615" s="0" t="n">
        <v>58</v>
      </c>
      <c r="B615" s="0" t="s">
        <v>769</v>
      </c>
      <c r="C615" s="0" t="s">
        <v>68</v>
      </c>
      <c r="D615" s="0" t="s">
        <v>349</v>
      </c>
      <c r="E615" s="0" t="s">
        <v>130</v>
      </c>
      <c r="F615" s="0" t="s">
        <v>29</v>
      </c>
      <c r="I615" s="0" t="n">
        <v>1000</v>
      </c>
      <c r="J615" s="0" t="n">
        <v>0.263157894736842</v>
      </c>
      <c r="K615" s="0" t="s">
        <v>817</v>
      </c>
    </row>
    <row r="616" customFormat="false" ht="15" hidden="false" customHeight="false" outlineLevel="0" collapsed="false">
      <c r="A616" s="0" t="n">
        <v>58</v>
      </c>
      <c r="B616" s="0" t="s">
        <v>769</v>
      </c>
      <c r="C616" s="0" t="s">
        <v>68</v>
      </c>
      <c r="D616" s="0" t="s">
        <v>349</v>
      </c>
      <c r="E616" s="0" t="s">
        <v>158</v>
      </c>
      <c r="F616" s="0" t="s">
        <v>28</v>
      </c>
      <c r="I616" s="0" t="n">
        <v>1000</v>
      </c>
      <c r="J616" s="0" t="n">
        <v>0.263157894736842</v>
      </c>
      <c r="K616" s="0" t="s">
        <v>818</v>
      </c>
    </row>
    <row r="617" customFormat="false" ht="15" hidden="false" customHeight="false" outlineLevel="0" collapsed="false">
      <c r="A617" s="0" t="n">
        <v>58</v>
      </c>
      <c r="B617" s="0" t="s">
        <v>769</v>
      </c>
      <c r="C617" s="0" t="s">
        <v>68</v>
      </c>
      <c r="D617" s="0" t="s">
        <v>349</v>
      </c>
      <c r="E617" s="0" t="s">
        <v>132</v>
      </c>
      <c r="F617" s="0" t="s">
        <v>29</v>
      </c>
      <c r="I617" s="0" t="n">
        <v>200</v>
      </c>
      <c r="J617" s="0" t="n">
        <v>0.0526315789473684</v>
      </c>
      <c r="K617" s="0" t="s">
        <v>819</v>
      </c>
    </row>
    <row r="618" customFormat="false" ht="15" hidden="false" customHeight="false" outlineLevel="0" collapsed="false">
      <c r="A618" s="0" t="n">
        <v>58</v>
      </c>
      <c r="B618" s="0" t="s">
        <v>769</v>
      </c>
      <c r="C618" s="0" t="s">
        <v>68</v>
      </c>
      <c r="D618" s="0" t="s">
        <v>349</v>
      </c>
      <c r="E618" s="0" t="s">
        <v>134</v>
      </c>
      <c r="F618" s="0" t="s">
        <v>28</v>
      </c>
      <c r="I618" s="0" t="n">
        <v>200</v>
      </c>
      <c r="J618" s="0" t="n">
        <v>0.0526315789473684</v>
      </c>
      <c r="K618" s="0" t="s">
        <v>820</v>
      </c>
    </row>
    <row r="619" customFormat="false" ht="15" hidden="false" customHeight="false" outlineLevel="0" collapsed="false">
      <c r="A619" s="0" t="n">
        <v>58</v>
      </c>
      <c r="B619" s="0" t="s">
        <v>769</v>
      </c>
      <c r="C619" s="0" t="s">
        <v>68</v>
      </c>
      <c r="D619" s="0" t="s">
        <v>349</v>
      </c>
      <c r="E619" s="0" t="s">
        <v>60</v>
      </c>
      <c r="F619" s="0" t="s">
        <v>27</v>
      </c>
      <c r="I619" s="0" t="n">
        <v>200</v>
      </c>
      <c r="J619" s="0" t="n">
        <v>0.0526315789473684</v>
      </c>
      <c r="K619" s="0" t="s">
        <v>821</v>
      </c>
    </row>
    <row r="620" customFormat="false" ht="15" hidden="false" customHeight="false" outlineLevel="0" collapsed="false">
      <c r="A620" s="0" t="n">
        <v>58</v>
      </c>
      <c r="B620" s="0" t="s">
        <v>769</v>
      </c>
      <c r="C620" s="0" t="s">
        <v>68</v>
      </c>
      <c r="D620" s="0" t="s">
        <v>349</v>
      </c>
      <c r="E620" s="0" t="s">
        <v>62</v>
      </c>
      <c r="F620" s="0" t="s">
        <v>27</v>
      </c>
      <c r="I620" s="0" t="n">
        <v>100</v>
      </c>
      <c r="J620" s="0" t="n">
        <v>0.0263157894736842</v>
      </c>
      <c r="K620" s="0" t="s">
        <v>822</v>
      </c>
    </row>
    <row r="621" customFormat="false" ht="15" hidden="false" customHeight="false" outlineLevel="0" collapsed="false">
      <c r="A621" s="0" t="n">
        <v>58</v>
      </c>
      <c r="B621" s="0" t="s">
        <v>769</v>
      </c>
      <c r="C621" s="0" t="s">
        <v>68</v>
      </c>
      <c r="D621" s="0" t="s">
        <v>349</v>
      </c>
      <c r="E621" s="0" t="s">
        <v>66</v>
      </c>
      <c r="F621" s="0" t="s">
        <v>27</v>
      </c>
      <c r="I621" s="0" t="n">
        <v>350</v>
      </c>
      <c r="J621" s="0" t="n">
        <v>0.0921052631578947</v>
      </c>
      <c r="K621" s="0" t="s">
        <v>823</v>
      </c>
    </row>
    <row r="622" customFormat="false" ht="15" hidden="false" customHeight="false" outlineLevel="0" collapsed="false">
      <c r="A622" s="0" t="n">
        <v>58</v>
      </c>
      <c r="B622" s="0" t="s">
        <v>769</v>
      </c>
      <c r="C622" s="0" t="s">
        <v>68</v>
      </c>
      <c r="D622" s="0" t="s">
        <v>349</v>
      </c>
      <c r="E622" s="0" t="s">
        <v>64</v>
      </c>
      <c r="F622" s="0" t="s">
        <v>27</v>
      </c>
      <c r="I622" s="0" t="n">
        <v>750</v>
      </c>
      <c r="J622" s="0" t="n">
        <v>0.197368421052632</v>
      </c>
      <c r="K622" s="0" t="s">
        <v>824</v>
      </c>
    </row>
    <row r="623" customFormat="false" ht="15" hidden="false" customHeight="false" outlineLevel="0" collapsed="false">
      <c r="A623" s="0" t="n">
        <v>58</v>
      </c>
      <c r="B623" s="0" t="s">
        <v>769</v>
      </c>
      <c r="C623" s="0" t="s">
        <v>68</v>
      </c>
      <c r="D623" s="0" t="s">
        <v>349</v>
      </c>
      <c r="E623" s="0" t="s">
        <v>68</v>
      </c>
      <c r="F623" s="0" t="s">
        <v>30</v>
      </c>
      <c r="I623" s="0" t="n">
        <v>4000</v>
      </c>
      <c r="J623" s="0" t="n">
        <v>1.05263157894737</v>
      </c>
      <c r="K623" s="0" t="s">
        <v>825</v>
      </c>
    </row>
    <row r="624" customFormat="false" ht="15" hidden="false" customHeight="false" outlineLevel="0" collapsed="false">
      <c r="A624" s="0" t="n">
        <v>59</v>
      </c>
      <c r="B624" s="0" t="s">
        <v>826</v>
      </c>
      <c r="C624" s="0" t="s">
        <v>827</v>
      </c>
      <c r="D624" s="0" t="s">
        <v>296</v>
      </c>
      <c r="E624" s="0" t="s">
        <v>828</v>
      </c>
      <c r="F624" s="0" t="s">
        <v>27</v>
      </c>
      <c r="G624" s="0" t="n">
        <v>1.7</v>
      </c>
      <c r="H624" s="0" t="n">
        <v>4</v>
      </c>
      <c r="I624" s="0" t="n">
        <v>25840</v>
      </c>
      <c r="J624" s="0" t="n">
        <v>6.8</v>
      </c>
      <c r="K624" s="0" t="s">
        <v>829</v>
      </c>
      <c r="L624" s="0" t="s">
        <v>830</v>
      </c>
    </row>
    <row r="625" customFormat="false" ht="15" hidden="false" customHeight="false" outlineLevel="0" collapsed="false">
      <c r="A625" s="0" t="n">
        <v>59</v>
      </c>
      <c r="B625" s="0" t="s">
        <v>826</v>
      </c>
      <c r="C625" s="0" t="s">
        <v>827</v>
      </c>
      <c r="D625" s="0" t="s">
        <v>296</v>
      </c>
      <c r="E625" s="0" t="s">
        <v>56</v>
      </c>
      <c r="F625" s="0" t="s">
        <v>28</v>
      </c>
      <c r="I625" s="0" t="n">
        <v>1000</v>
      </c>
      <c r="J625" s="0" t="n">
        <v>0.263157894736842</v>
      </c>
      <c r="K625" s="0" t="s">
        <v>831</v>
      </c>
    </row>
    <row r="626" customFormat="false" ht="15" hidden="false" customHeight="false" outlineLevel="0" collapsed="false">
      <c r="A626" s="0" t="n">
        <v>59</v>
      </c>
      <c r="B626" s="0" t="s">
        <v>826</v>
      </c>
      <c r="C626" s="0" t="s">
        <v>827</v>
      </c>
      <c r="D626" s="0" t="s">
        <v>296</v>
      </c>
      <c r="E626" s="0" t="s">
        <v>58</v>
      </c>
      <c r="F626" s="0" t="s">
        <v>28</v>
      </c>
      <c r="I626" s="0" t="n">
        <v>4500</v>
      </c>
      <c r="J626" s="0" t="n">
        <v>1.18421052631579</v>
      </c>
      <c r="K626" s="0" t="s">
        <v>832</v>
      </c>
    </row>
    <row r="627" customFormat="false" ht="15" hidden="false" customHeight="false" outlineLevel="0" collapsed="false">
      <c r="A627" s="0" t="n">
        <v>59</v>
      </c>
      <c r="B627" s="0" t="s">
        <v>826</v>
      </c>
      <c r="C627" s="0" t="s">
        <v>827</v>
      </c>
      <c r="D627" s="0" t="s">
        <v>296</v>
      </c>
      <c r="E627" s="0" t="s">
        <v>128</v>
      </c>
      <c r="F627" s="0" t="s">
        <v>28</v>
      </c>
      <c r="I627" s="0" t="n">
        <v>0</v>
      </c>
      <c r="J627" s="0" t="n">
        <v>0</v>
      </c>
      <c r="K627" s="0" t="s">
        <v>833</v>
      </c>
    </row>
    <row r="628" customFormat="false" ht="15" hidden="false" customHeight="false" outlineLevel="0" collapsed="false">
      <c r="A628" s="0" t="n">
        <v>59</v>
      </c>
      <c r="B628" s="0" t="s">
        <v>826</v>
      </c>
      <c r="C628" s="0" t="s">
        <v>827</v>
      </c>
      <c r="D628" s="0" t="s">
        <v>296</v>
      </c>
      <c r="E628" s="0" t="s">
        <v>158</v>
      </c>
      <c r="F628" s="0" t="s">
        <v>28</v>
      </c>
      <c r="I628" s="0" t="n">
        <v>0</v>
      </c>
      <c r="J628" s="0" t="n">
        <v>0</v>
      </c>
      <c r="K628" s="0" t="s">
        <v>834</v>
      </c>
    </row>
    <row r="629" customFormat="false" ht="15" hidden="false" customHeight="false" outlineLevel="0" collapsed="false">
      <c r="A629" s="0" t="n">
        <v>59</v>
      </c>
      <c r="B629" s="0" t="s">
        <v>826</v>
      </c>
      <c r="C629" s="0" t="s">
        <v>827</v>
      </c>
      <c r="D629" s="0" t="s">
        <v>296</v>
      </c>
      <c r="E629" s="0" t="s">
        <v>132</v>
      </c>
      <c r="F629" s="0" t="s">
        <v>29</v>
      </c>
      <c r="I629" s="0" t="n">
        <v>0</v>
      </c>
      <c r="J629" s="0" t="n">
        <v>0</v>
      </c>
      <c r="K629" s="0" t="s">
        <v>835</v>
      </c>
    </row>
    <row r="630" customFormat="false" ht="15" hidden="false" customHeight="false" outlineLevel="0" collapsed="false">
      <c r="A630" s="0" t="n">
        <v>59</v>
      </c>
      <c r="B630" s="0" t="s">
        <v>826</v>
      </c>
      <c r="C630" s="0" t="s">
        <v>827</v>
      </c>
      <c r="D630" s="0" t="s">
        <v>296</v>
      </c>
      <c r="E630" s="0" t="s">
        <v>134</v>
      </c>
      <c r="F630" s="0" t="s">
        <v>28</v>
      </c>
      <c r="I630" s="0" t="n">
        <v>0</v>
      </c>
      <c r="J630" s="0" t="n">
        <v>0</v>
      </c>
      <c r="K630" s="0" t="s">
        <v>836</v>
      </c>
    </row>
    <row r="631" customFormat="false" ht="15" hidden="false" customHeight="false" outlineLevel="0" collapsed="false">
      <c r="A631" s="0" t="n">
        <v>59</v>
      </c>
      <c r="B631" s="0" t="s">
        <v>826</v>
      </c>
      <c r="C631" s="0" t="s">
        <v>827</v>
      </c>
      <c r="D631" s="0" t="s">
        <v>296</v>
      </c>
      <c r="E631" s="0" t="s">
        <v>60</v>
      </c>
      <c r="F631" s="0" t="s">
        <v>27</v>
      </c>
      <c r="I631" s="0" t="n">
        <v>200</v>
      </c>
      <c r="J631" s="0" t="n">
        <v>0.0526315789473684</v>
      </c>
      <c r="K631" s="0" t="s">
        <v>837</v>
      </c>
    </row>
    <row r="632" customFormat="false" ht="15" hidden="false" customHeight="false" outlineLevel="0" collapsed="false">
      <c r="A632" s="0" t="n">
        <v>59</v>
      </c>
      <c r="B632" s="0" t="s">
        <v>826</v>
      </c>
      <c r="C632" s="0" t="s">
        <v>827</v>
      </c>
      <c r="D632" s="0" t="s">
        <v>296</v>
      </c>
      <c r="E632" s="0" t="s">
        <v>62</v>
      </c>
      <c r="F632" s="0" t="s">
        <v>27</v>
      </c>
      <c r="I632" s="0" t="n">
        <v>100</v>
      </c>
      <c r="J632" s="0" t="n">
        <v>0.0263157894736842</v>
      </c>
      <c r="K632" s="0" t="s">
        <v>838</v>
      </c>
    </row>
    <row r="633" customFormat="false" ht="15" hidden="false" customHeight="false" outlineLevel="0" collapsed="false">
      <c r="A633" s="0" t="n">
        <v>59</v>
      </c>
      <c r="B633" s="0" t="s">
        <v>826</v>
      </c>
      <c r="C633" s="0" t="s">
        <v>827</v>
      </c>
      <c r="D633" s="0" t="s">
        <v>296</v>
      </c>
      <c r="E633" s="0" t="s">
        <v>66</v>
      </c>
      <c r="F633" s="0" t="s">
        <v>27</v>
      </c>
      <c r="I633" s="0" t="n">
        <v>300</v>
      </c>
      <c r="J633" s="0" t="n">
        <v>0.0789473684210526</v>
      </c>
      <c r="K633" s="0" t="s">
        <v>839</v>
      </c>
    </row>
    <row r="634" customFormat="false" ht="15" hidden="false" customHeight="false" outlineLevel="0" collapsed="false">
      <c r="A634" s="0" t="n">
        <v>59</v>
      </c>
      <c r="B634" s="0" t="s">
        <v>826</v>
      </c>
      <c r="C634" s="0" t="s">
        <v>827</v>
      </c>
      <c r="D634" s="0" t="s">
        <v>296</v>
      </c>
      <c r="E634" s="0" t="s">
        <v>64</v>
      </c>
      <c r="F634" s="0" t="s">
        <v>27</v>
      </c>
      <c r="I634" s="0" t="n">
        <v>750</v>
      </c>
      <c r="J634" s="0" t="n">
        <v>0.197368421052632</v>
      </c>
      <c r="K634" s="0" t="s">
        <v>840</v>
      </c>
    </row>
    <row r="635" customFormat="false" ht="15" hidden="false" customHeight="false" outlineLevel="0" collapsed="false">
      <c r="A635" s="0" t="n">
        <v>59</v>
      </c>
      <c r="B635" s="0" t="s">
        <v>826</v>
      </c>
      <c r="C635" s="0" t="s">
        <v>827</v>
      </c>
      <c r="D635" s="0" t="s">
        <v>296</v>
      </c>
      <c r="E635" s="0" t="s">
        <v>68</v>
      </c>
      <c r="F635" s="0" t="s">
        <v>30</v>
      </c>
      <c r="I635" s="0" t="n">
        <v>4000</v>
      </c>
      <c r="J635" s="0" t="n">
        <v>1.05263157894737</v>
      </c>
      <c r="K635" s="0" t="s">
        <v>841</v>
      </c>
    </row>
    <row r="636" customFormat="false" ht="15" hidden="false" customHeight="false" outlineLevel="0" collapsed="false">
      <c r="A636" s="0" t="n">
        <v>60</v>
      </c>
      <c r="B636" s="0" t="s">
        <v>826</v>
      </c>
      <c r="C636" s="0" t="s">
        <v>827</v>
      </c>
      <c r="D636" s="0" t="s">
        <v>296</v>
      </c>
      <c r="E636" s="0" t="s">
        <v>828</v>
      </c>
      <c r="F636" s="0" t="s">
        <v>27</v>
      </c>
      <c r="G636" s="0" t="n">
        <v>1.8</v>
      </c>
      <c r="H636" s="0" t="n">
        <v>2.9</v>
      </c>
      <c r="I636" s="0" t="n">
        <v>19836</v>
      </c>
      <c r="J636" s="0" t="n">
        <v>5.22</v>
      </c>
      <c r="K636" s="0" t="s">
        <v>842</v>
      </c>
      <c r="L636" s="0" t="s">
        <v>843</v>
      </c>
    </row>
    <row r="637" customFormat="false" ht="15" hidden="false" customHeight="false" outlineLevel="0" collapsed="false">
      <c r="A637" s="0" t="n">
        <v>60</v>
      </c>
      <c r="B637" s="0" t="s">
        <v>826</v>
      </c>
      <c r="C637" s="0" t="s">
        <v>827</v>
      </c>
      <c r="D637" s="0" t="s">
        <v>296</v>
      </c>
      <c r="E637" s="0" t="s">
        <v>56</v>
      </c>
      <c r="F637" s="0" t="s">
        <v>28</v>
      </c>
      <c r="I637" s="0" t="n">
        <v>700</v>
      </c>
      <c r="J637" s="0" t="n">
        <v>0.18421052631579</v>
      </c>
      <c r="K637" s="0" t="s">
        <v>844</v>
      </c>
    </row>
    <row r="638" customFormat="false" ht="15" hidden="false" customHeight="false" outlineLevel="0" collapsed="false">
      <c r="A638" s="0" t="n">
        <v>60</v>
      </c>
      <c r="B638" s="0" t="s">
        <v>826</v>
      </c>
      <c r="C638" s="0" t="s">
        <v>827</v>
      </c>
      <c r="D638" s="0" t="s">
        <v>296</v>
      </c>
      <c r="E638" s="0" t="s">
        <v>58</v>
      </c>
      <c r="F638" s="0" t="s">
        <v>28</v>
      </c>
      <c r="I638" s="0" t="n">
        <v>3000</v>
      </c>
      <c r="J638" s="0" t="n">
        <v>0.789473684210526</v>
      </c>
      <c r="K638" s="0" t="s">
        <v>845</v>
      </c>
    </row>
    <row r="639" customFormat="false" ht="15" hidden="false" customHeight="false" outlineLevel="0" collapsed="false">
      <c r="A639" s="0" t="n">
        <v>60</v>
      </c>
      <c r="B639" s="0" t="s">
        <v>826</v>
      </c>
      <c r="C639" s="0" t="s">
        <v>827</v>
      </c>
      <c r="D639" s="0" t="s">
        <v>296</v>
      </c>
      <c r="E639" s="0" t="s">
        <v>128</v>
      </c>
      <c r="F639" s="0" t="s">
        <v>28</v>
      </c>
      <c r="I639" s="0" t="n">
        <v>3000</v>
      </c>
      <c r="J639" s="0" t="n">
        <v>0.789473684210526</v>
      </c>
      <c r="K639" s="0" t="s">
        <v>846</v>
      </c>
    </row>
    <row r="640" customFormat="false" ht="15" hidden="false" customHeight="false" outlineLevel="0" collapsed="false">
      <c r="A640" s="0" t="n">
        <v>60</v>
      </c>
      <c r="B640" s="0" t="s">
        <v>826</v>
      </c>
      <c r="C640" s="0" t="s">
        <v>827</v>
      </c>
      <c r="D640" s="0" t="s">
        <v>296</v>
      </c>
      <c r="E640" s="0" t="s">
        <v>847</v>
      </c>
      <c r="F640" s="0" t="s">
        <v>29</v>
      </c>
      <c r="G640" s="0" t="n">
        <v>1.8</v>
      </c>
      <c r="H640" s="0" t="n">
        <v>13000</v>
      </c>
      <c r="I640" s="0" t="n">
        <v>23400</v>
      </c>
      <c r="J640" s="0" t="n">
        <v>6.15789473684211</v>
      </c>
      <c r="K640" s="0" t="s">
        <v>848</v>
      </c>
      <c r="L640" s="0" t="s">
        <v>849</v>
      </c>
    </row>
    <row r="641" customFormat="false" ht="15" hidden="false" customHeight="false" outlineLevel="0" collapsed="false">
      <c r="A641" s="0" t="n">
        <v>60</v>
      </c>
      <c r="B641" s="0" t="s">
        <v>826</v>
      </c>
      <c r="C641" s="0" t="s">
        <v>827</v>
      </c>
      <c r="D641" s="0" t="s">
        <v>296</v>
      </c>
      <c r="E641" s="0" t="s">
        <v>850</v>
      </c>
      <c r="F641" s="0" t="s">
        <v>31</v>
      </c>
      <c r="I641" s="0" t="n">
        <v>1000</v>
      </c>
      <c r="J641" s="0" t="n">
        <v>0.263157894736842</v>
      </c>
      <c r="K641" s="0" t="s">
        <v>851</v>
      </c>
    </row>
    <row r="642" customFormat="false" ht="15" hidden="false" customHeight="false" outlineLevel="0" collapsed="false">
      <c r="A642" s="0" t="n">
        <v>60</v>
      </c>
      <c r="B642" s="0" t="s">
        <v>826</v>
      </c>
      <c r="C642" s="0" t="s">
        <v>827</v>
      </c>
      <c r="D642" s="0" t="s">
        <v>296</v>
      </c>
      <c r="E642" s="0" t="s">
        <v>158</v>
      </c>
      <c r="F642" s="0" t="s">
        <v>28</v>
      </c>
      <c r="I642" s="0" t="n">
        <v>2000</v>
      </c>
      <c r="J642" s="0" t="n">
        <v>0.526315789473684</v>
      </c>
      <c r="K642" s="0" t="s">
        <v>852</v>
      </c>
    </row>
    <row r="643" customFormat="false" ht="15" hidden="false" customHeight="false" outlineLevel="0" collapsed="false">
      <c r="A643" s="0" t="n">
        <v>60</v>
      </c>
      <c r="B643" s="0" t="s">
        <v>826</v>
      </c>
      <c r="C643" s="0" t="s">
        <v>827</v>
      </c>
      <c r="D643" s="0" t="s">
        <v>296</v>
      </c>
      <c r="E643" s="0" t="s">
        <v>60</v>
      </c>
      <c r="F643" s="0" t="s">
        <v>27</v>
      </c>
      <c r="I643" s="0" t="n">
        <v>200</v>
      </c>
      <c r="J643" s="0" t="n">
        <v>0.0526315789473684</v>
      </c>
      <c r="K643" s="0" t="s">
        <v>853</v>
      </c>
    </row>
    <row r="644" customFormat="false" ht="15" hidden="false" customHeight="false" outlineLevel="0" collapsed="false">
      <c r="A644" s="0" t="n">
        <v>60</v>
      </c>
      <c r="B644" s="0" t="s">
        <v>826</v>
      </c>
      <c r="C644" s="0" t="s">
        <v>827</v>
      </c>
      <c r="D644" s="0" t="s">
        <v>296</v>
      </c>
      <c r="E644" s="0" t="s">
        <v>62</v>
      </c>
      <c r="F644" s="0" t="s">
        <v>27</v>
      </c>
      <c r="I644" s="0" t="n">
        <v>100</v>
      </c>
      <c r="J644" s="0" t="n">
        <v>0.0263157894736842</v>
      </c>
      <c r="K644" s="0" t="s">
        <v>854</v>
      </c>
    </row>
    <row r="645" customFormat="false" ht="15" hidden="false" customHeight="false" outlineLevel="0" collapsed="false">
      <c r="A645" s="0" t="n">
        <v>60</v>
      </c>
      <c r="B645" s="0" t="s">
        <v>826</v>
      </c>
      <c r="C645" s="0" t="s">
        <v>827</v>
      </c>
      <c r="D645" s="0" t="s">
        <v>296</v>
      </c>
      <c r="E645" s="0" t="s">
        <v>66</v>
      </c>
      <c r="F645" s="0" t="s">
        <v>27</v>
      </c>
      <c r="I645" s="0" t="n">
        <v>300</v>
      </c>
      <c r="J645" s="0" t="n">
        <v>0.0789473684210526</v>
      </c>
      <c r="K645" s="0" t="s">
        <v>855</v>
      </c>
    </row>
    <row r="646" customFormat="false" ht="15" hidden="false" customHeight="false" outlineLevel="0" collapsed="false">
      <c r="A646" s="0" t="n">
        <v>60</v>
      </c>
      <c r="B646" s="0" t="s">
        <v>826</v>
      </c>
      <c r="C646" s="0" t="s">
        <v>827</v>
      </c>
      <c r="D646" s="0" t="s">
        <v>296</v>
      </c>
      <c r="E646" s="0" t="s">
        <v>64</v>
      </c>
      <c r="F646" s="0" t="s">
        <v>27</v>
      </c>
      <c r="I646" s="0" t="n">
        <v>750</v>
      </c>
      <c r="J646" s="0" t="n">
        <v>0.197368421052632</v>
      </c>
      <c r="K646" s="0" t="s">
        <v>856</v>
      </c>
    </row>
    <row r="647" customFormat="false" ht="15" hidden="false" customHeight="false" outlineLevel="0" collapsed="false">
      <c r="A647" s="0" t="n">
        <v>60</v>
      </c>
      <c r="B647" s="0" t="s">
        <v>826</v>
      </c>
      <c r="C647" s="0" t="s">
        <v>827</v>
      </c>
      <c r="D647" s="0" t="s">
        <v>296</v>
      </c>
      <c r="E647" s="0" t="s">
        <v>68</v>
      </c>
      <c r="F647" s="0" t="s">
        <v>30</v>
      </c>
      <c r="I647" s="0" t="n">
        <v>4000</v>
      </c>
      <c r="J647" s="0" t="n">
        <v>1.05263157894737</v>
      </c>
      <c r="K647" s="0" t="s">
        <v>857</v>
      </c>
    </row>
    <row r="648" customFormat="false" ht="15" hidden="false" customHeight="false" outlineLevel="0" collapsed="false">
      <c r="A648" s="0" t="n">
        <v>61</v>
      </c>
      <c r="B648" s="0" t="s">
        <v>826</v>
      </c>
      <c r="C648" s="0" t="s">
        <v>68</v>
      </c>
      <c r="D648" s="0" t="s">
        <v>311</v>
      </c>
      <c r="E648" s="0" t="s">
        <v>828</v>
      </c>
      <c r="F648" s="0" t="s">
        <v>27</v>
      </c>
      <c r="G648" s="0" t="n">
        <v>1.5</v>
      </c>
      <c r="H648" s="0" t="n">
        <v>4</v>
      </c>
      <c r="I648" s="0" t="n">
        <v>22800</v>
      </c>
      <c r="J648" s="0" t="n">
        <v>6</v>
      </c>
      <c r="K648" s="0" t="s">
        <v>858</v>
      </c>
      <c r="L648" s="0" t="s">
        <v>859</v>
      </c>
    </row>
    <row r="649" customFormat="false" ht="15" hidden="false" customHeight="false" outlineLevel="0" collapsed="false">
      <c r="A649" s="0" t="n">
        <v>61</v>
      </c>
      <c r="B649" s="0" t="s">
        <v>826</v>
      </c>
      <c r="C649" s="0" t="s">
        <v>68</v>
      </c>
      <c r="D649" s="0" t="s">
        <v>311</v>
      </c>
      <c r="E649" s="0" t="s">
        <v>56</v>
      </c>
      <c r="F649" s="0" t="s">
        <v>28</v>
      </c>
      <c r="I649" s="0" t="n">
        <v>1000</v>
      </c>
      <c r="J649" s="0" t="n">
        <v>0.263157894736842</v>
      </c>
      <c r="K649" s="0" t="s">
        <v>860</v>
      </c>
    </row>
    <row r="650" customFormat="false" ht="15" hidden="false" customHeight="false" outlineLevel="0" collapsed="false">
      <c r="A650" s="0" t="n">
        <v>61</v>
      </c>
      <c r="B650" s="0" t="s">
        <v>826</v>
      </c>
      <c r="C650" s="0" t="s">
        <v>68</v>
      </c>
      <c r="D650" s="0" t="s">
        <v>311</v>
      </c>
      <c r="E650" s="0" t="s">
        <v>58</v>
      </c>
      <c r="F650" s="0" t="s">
        <v>28</v>
      </c>
      <c r="I650" s="0" t="n">
        <v>4000</v>
      </c>
      <c r="J650" s="0" t="n">
        <v>1.05263157894737</v>
      </c>
      <c r="K650" s="0" t="s">
        <v>861</v>
      </c>
    </row>
    <row r="651" customFormat="false" ht="15" hidden="false" customHeight="false" outlineLevel="0" collapsed="false">
      <c r="A651" s="0" t="n">
        <v>61</v>
      </c>
      <c r="B651" s="0" t="s">
        <v>826</v>
      </c>
      <c r="C651" s="0" t="s">
        <v>68</v>
      </c>
      <c r="D651" s="0" t="s">
        <v>311</v>
      </c>
      <c r="E651" s="0" t="s">
        <v>128</v>
      </c>
      <c r="F651" s="0" t="s">
        <v>28</v>
      </c>
      <c r="I651" s="0" t="n">
        <v>0</v>
      </c>
      <c r="J651" s="0" t="n">
        <v>0</v>
      </c>
      <c r="K651" s="0" t="s">
        <v>862</v>
      </c>
    </row>
    <row r="652" customFormat="false" ht="15" hidden="false" customHeight="false" outlineLevel="0" collapsed="false">
      <c r="A652" s="0" t="n">
        <v>61</v>
      </c>
      <c r="B652" s="0" t="s">
        <v>826</v>
      </c>
      <c r="C652" s="0" t="s">
        <v>68</v>
      </c>
      <c r="D652" s="0" t="s">
        <v>311</v>
      </c>
      <c r="E652" s="0" t="s">
        <v>158</v>
      </c>
      <c r="F652" s="0" t="s">
        <v>28</v>
      </c>
      <c r="I652" s="0" t="n">
        <v>0</v>
      </c>
      <c r="J652" s="0" t="n">
        <v>0</v>
      </c>
      <c r="K652" s="0" t="s">
        <v>863</v>
      </c>
      <c r="L652" s="0" t="s">
        <v>864</v>
      </c>
    </row>
    <row r="653" customFormat="false" ht="15" hidden="false" customHeight="false" outlineLevel="0" collapsed="false">
      <c r="A653" s="0" t="n">
        <v>61</v>
      </c>
      <c r="B653" s="0" t="s">
        <v>826</v>
      </c>
      <c r="C653" s="0" t="s">
        <v>68</v>
      </c>
      <c r="D653" s="0" t="s">
        <v>311</v>
      </c>
      <c r="E653" s="0" t="s">
        <v>132</v>
      </c>
      <c r="F653" s="0" t="s">
        <v>29</v>
      </c>
      <c r="I653" s="0" t="n">
        <v>0</v>
      </c>
      <c r="J653" s="0" t="n">
        <v>0</v>
      </c>
      <c r="K653" s="0" t="s">
        <v>865</v>
      </c>
      <c r="L653" s="0" t="s">
        <v>866</v>
      </c>
    </row>
    <row r="654" customFormat="false" ht="15" hidden="false" customHeight="false" outlineLevel="0" collapsed="false">
      <c r="A654" s="0" t="n">
        <v>61</v>
      </c>
      <c r="B654" s="0" t="s">
        <v>826</v>
      </c>
      <c r="C654" s="0" t="s">
        <v>68</v>
      </c>
      <c r="D654" s="0" t="s">
        <v>311</v>
      </c>
      <c r="E654" s="0" t="s">
        <v>134</v>
      </c>
      <c r="F654" s="0" t="s">
        <v>28</v>
      </c>
      <c r="I654" s="0" t="n">
        <v>0</v>
      </c>
      <c r="J654" s="0" t="n">
        <v>0</v>
      </c>
      <c r="K654" s="0" t="s">
        <v>867</v>
      </c>
      <c r="L654" s="0" t="s">
        <v>868</v>
      </c>
    </row>
    <row r="655" customFormat="false" ht="15" hidden="false" customHeight="false" outlineLevel="0" collapsed="false">
      <c r="A655" s="0" t="n">
        <v>61</v>
      </c>
      <c r="B655" s="0" t="s">
        <v>826</v>
      </c>
      <c r="C655" s="0" t="s">
        <v>68</v>
      </c>
      <c r="D655" s="0" t="s">
        <v>311</v>
      </c>
      <c r="E655" s="0" t="s">
        <v>60</v>
      </c>
      <c r="F655" s="0" t="s">
        <v>27</v>
      </c>
      <c r="I655" s="0" t="n">
        <v>200</v>
      </c>
      <c r="J655" s="0" t="n">
        <v>0.0526315789473684</v>
      </c>
      <c r="K655" s="0" t="s">
        <v>869</v>
      </c>
    </row>
    <row r="656" customFormat="false" ht="15" hidden="false" customHeight="false" outlineLevel="0" collapsed="false">
      <c r="A656" s="0" t="n">
        <v>61</v>
      </c>
      <c r="B656" s="0" t="s">
        <v>826</v>
      </c>
      <c r="C656" s="0" t="s">
        <v>68</v>
      </c>
      <c r="D656" s="0" t="s">
        <v>311</v>
      </c>
      <c r="E656" s="0" t="s">
        <v>62</v>
      </c>
      <c r="F656" s="0" t="s">
        <v>27</v>
      </c>
      <c r="I656" s="0" t="n">
        <v>100</v>
      </c>
      <c r="J656" s="0" t="n">
        <v>0.0263157894736842</v>
      </c>
      <c r="K656" s="0" t="s">
        <v>870</v>
      </c>
    </row>
    <row r="657" customFormat="false" ht="15" hidden="false" customHeight="false" outlineLevel="0" collapsed="false">
      <c r="A657" s="0" t="n">
        <v>61</v>
      </c>
      <c r="B657" s="0" t="s">
        <v>826</v>
      </c>
      <c r="C657" s="0" t="s">
        <v>68</v>
      </c>
      <c r="D657" s="0" t="s">
        <v>311</v>
      </c>
      <c r="E657" s="0" t="s">
        <v>66</v>
      </c>
      <c r="F657" s="0" t="s">
        <v>27</v>
      </c>
      <c r="I657" s="0" t="n">
        <v>300</v>
      </c>
      <c r="J657" s="0" t="n">
        <v>0.0789473684210526</v>
      </c>
      <c r="K657" s="0" t="s">
        <v>871</v>
      </c>
      <c r="L657" s="0" t="s">
        <v>872</v>
      </c>
    </row>
    <row r="658" customFormat="false" ht="15" hidden="false" customHeight="false" outlineLevel="0" collapsed="false">
      <c r="A658" s="0" t="n">
        <v>61</v>
      </c>
      <c r="B658" s="0" t="s">
        <v>826</v>
      </c>
      <c r="C658" s="0" t="s">
        <v>68</v>
      </c>
      <c r="D658" s="0" t="s">
        <v>311</v>
      </c>
      <c r="E658" s="0" t="s">
        <v>64</v>
      </c>
      <c r="F658" s="0" t="s">
        <v>27</v>
      </c>
      <c r="I658" s="0" t="n">
        <v>750</v>
      </c>
      <c r="J658" s="0" t="n">
        <v>0.197368421052632</v>
      </c>
      <c r="K658" s="0" t="s">
        <v>873</v>
      </c>
      <c r="L658" s="0" t="s">
        <v>874</v>
      </c>
    </row>
    <row r="659" customFormat="false" ht="15" hidden="false" customHeight="false" outlineLevel="0" collapsed="false">
      <c r="A659" s="0" t="n">
        <v>61</v>
      </c>
      <c r="B659" s="0" t="s">
        <v>826</v>
      </c>
      <c r="C659" s="0" t="s">
        <v>68</v>
      </c>
      <c r="D659" s="0" t="s">
        <v>311</v>
      </c>
      <c r="E659" s="0" t="s">
        <v>68</v>
      </c>
      <c r="F659" s="0" t="s">
        <v>30</v>
      </c>
      <c r="I659" s="0" t="n">
        <v>4000</v>
      </c>
      <c r="J659" s="0" t="n">
        <v>1.05263157894737</v>
      </c>
      <c r="K659" s="0" t="s">
        <v>875</v>
      </c>
      <c r="L659" s="0" t="s">
        <v>876</v>
      </c>
    </row>
    <row r="660" customFormat="false" ht="15" hidden="false" customHeight="false" outlineLevel="0" collapsed="false">
      <c r="A660" s="0" t="n">
        <v>62</v>
      </c>
      <c r="B660" s="0" t="s">
        <v>826</v>
      </c>
      <c r="C660" s="0" t="s">
        <v>68</v>
      </c>
      <c r="D660" s="0" t="s">
        <v>311</v>
      </c>
      <c r="E660" s="0" t="s">
        <v>828</v>
      </c>
      <c r="F660" s="0" t="s">
        <v>27</v>
      </c>
      <c r="G660" s="0" t="n">
        <v>1.5</v>
      </c>
      <c r="H660" s="0" t="n">
        <v>2.9</v>
      </c>
      <c r="I660" s="0" t="n">
        <v>16530</v>
      </c>
      <c r="J660" s="0" t="n">
        <v>4.35</v>
      </c>
      <c r="K660" s="0" t="s">
        <v>877</v>
      </c>
      <c r="L660" s="0" t="s">
        <v>878</v>
      </c>
    </row>
    <row r="661" customFormat="false" ht="15" hidden="false" customHeight="false" outlineLevel="0" collapsed="false">
      <c r="A661" s="0" t="n">
        <v>62</v>
      </c>
      <c r="B661" s="0" t="s">
        <v>826</v>
      </c>
      <c r="C661" s="0" t="s">
        <v>68</v>
      </c>
      <c r="D661" s="0" t="s">
        <v>311</v>
      </c>
      <c r="E661" s="0" t="s">
        <v>56</v>
      </c>
      <c r="F661" s="0" t="s">
        <v>28</v>
      </c>
      <c r="I661" s="0" t="n">
        <v>700</v>
      </c>
      <c r="J661" s="0" t="n">
        <v>0.18421052631579</v>
      </c>
      <c r="K661" s="0" t="s">
        <v>879</v>
      </c>
    </row>
    <row r="662" customFormat="false" ht="15" hidden="false" customHeight="false" outlineLevel="0" collapsed="false">
      <c r="A662" s="0" t="n">
        <v>62</v>
      </c>
      <c r="B662" s="0" t="s">
        <v>826</v>
      </c>
      <c r="C662" s="0" t="s">
        <v>68</v>
      </c>
      <c r="D662" s="0" t="s">
        <v>311</v>
      </c>
      <c r="E662" s="0" t="s">
        <v>58</v>
      </c>
      <c r="F662" s="0" t="s">
        <v>28</v>
      </c>
      <c r="I662" s="0" t="n">
        <v>3000</v>
      </c>
      <c r="J662" s="0" t="n">
        <v>0.789473684210526</v>
      </c>
      <c r="K662" s="0" t="s">
        <v>880</v>
      </c>
    </row>
    <row r="663" customFormat="false" ht="15" hidden="false" customHeight="false" outlineLevel="0" collapsed="false">
      <c r="A663" s="0" t="n">
        <v>62</v>
      </c>
      <c r="B663" s="0" t="s">
        <v>826</v>
      </c>
      <c r="C663" s="0" t="s">
        <v>68</v>
      </c>
      <c r="D663" s="0" t="s">
        <v>311</v>
      </c>
      <c r="E663" s="0" t="s">
        <v>128</v>
      </c>
      <c r="F663" s="0" t="s">
        <v>28</v>
      </c>
      <c r="I663" s="0" t="n">
        <v>1000</v>
      </c>
      <c r="J663" s="0" t="n">
        <v>0.263157894736842</v>
      </c>
      <c r="K663" s="0" t="s">
        <v>881</v>
      </c>
    </row>
    <row r="664" customFormat="false" ht="15" hidden="false" customHeight="false" outlineLevel="0" collapsed="false">
      <c r="A664" s="0" t="n">
        <v>62</v>
      </c>
      <c r="B664" s="0" t="s">
        <v>826</v>
      </c>
      <c r="C664" s="0" t="s">
        <v>68</v>
      </c>
      <c r="D664" s="0" t="s">
        <v>311</v>
      </c>
      <c r="E664" s="0" t="s">
        <v>847</v>
      </c>
      <c r="F664" s="0" t="s">
        <v>29</v>
      </c>
      <c r="G664" s="0" t="n">
        <v>1.5</v>
      </c>
      <c r="H664" s="0" t="n">
        <v>13000</v>
      </c>
      <c r="I664" s="0" t="n">
        <v>19500</v>
      </c>
      <c r="J664" s="0" t="n">
        <v>5.13157894736842</v>
      </c>
      <c r="K664" s="0" t="s">
        <v>882</v>
      </c>
      <c r="L664" s="0" t="s">
        <v>883</v>
      </c>
    </row>
    <row r="665" customFormat="false" ht="15" hidden="false" customHeight="false" outlineLevel="0" collapsed="false">
      <c r="A665" s="0" t="n">
        <v>62</v>
      </c>
      <c r="B665" s="0" t="s">
        <v>826</v>
      </c>
      <c r="C665" s="0" t="s">
        <v>68</v>
      </c>
      <c r="D665" s="0" t="s">
        <v>311</v>
      </c>
      <c r="E665" s="0" t="s">
        <v>850</v>
      </c>
      <c r="F665" s="0" t="s">
        <v>31</v>
      </c>
      <c r="I665" s="0" t="n">
        <v>1000</v>
      </c>
      <c r="J665" s="0" t="n">
        <v>0.263157894736842</v>
      </c>
      <c r="K665" s="0" t="s">
        <v>884</v>
      </c>
    </row>
    <row r="666" customFormat="false" ht="15" hidden="false" customHeight="false" outlineLevel="0" collapsed="false">
      <c r="A666" s="0" t="n">
        <v>62</v>
      </c>
      <c r="B666" s="0" t="s">
        <v>826</v>
      </c>
      <c r="C666" s="0" t="s">
        <v>68</v>
      </c>
      <c r="D666" s="0" t="s">
        <v>311</v>
      </c>
      <c r="E666" s="0" t="s">
        <v>158</v>
      </c>
      <c r="F666" s="0" t="s">
        <v>28</v>
      </c>
      <c r="I666" s="0" t="n">
        <v>2000</v>
      </c>
      <c r="J666" s="0" t="n">
        <v>0.526315789473684</v>
      </c>
      <c r="K666" s="0" t="s">
        <v>885</v>
      </c>
      <c r="L666" s="0" t="s">
        <v>886</v>
      </c>
    </row>
    <row r="667" customFormat="false" ht="15" hidden="false" customHeight="false" outlineLevel="0" collapsed="false">
      <c r="A667" s="0" t="n">
        <v>62</v>
      </c>
      <c r="B667" s="0" t="s">
        <v>826</v>
      </c>
      <c r="C667" s="0" t="s">
        <v>68</v>
      </c>
      <c r="D667" s="0" t="s">
        <v>311</v>
      </c>
      <c r="E667" s="0" t="s">
        <v>60</v>
      </c>
      <c r="F667" s="0" t="s">
        <v>27</v>
      </c>
      <c r="I667" s="0" t="n">
        <v>200</v>
      </c>
      <c r="J667" s="0" t="n">
        <v>0.0526315789473684</v>
      </c>
      <c r="K667" s="0" t="s">
        <v>887</v>
      </c>
    </row>
    <row r="668" customFormat="false" ht="15" hidden="false" customHeight="false" outlineLevel="0" collapsed="false">
      <c r="A668" s="0" t="n">
        <v>62</v>
      </c>
      <c r="B668" s="0" t="s">
        <v>826</v>
      </c>
      <c r="C668" s="0" t="s">
        <v>68</v>
      </c>
      <c r="D668" s="0" t="s">
        <v>311</v>
      </c>
      <c r="E668" s="0" t="s">
        <v>62</v>
      </c>
      <c r="F668" s="0" t="s">
        <v>27</v>
      </c>
      <c r="I668" s="0" t="n">
        <v>100</v>
      </c>
      <c r="J668" s="0" t="n">
        <v>0.0263157894736842</v>
      </c>
      <c r="K668" s="0" t="s">
        <v>888</v>
      </c>
    </row>
    <row r="669" customFormat="false" ht="15" hidden="false" customHeight="false" outlineLevel="0" collapsed="false">
      <c r="A669" s="0" t="n">
        <v>62</v>
      </c>
      <c r="B669" s="0" t="s">
        <v>826</v>
      </c>
      <c r="C669" s="0" t="s">
        <v>68</v>
      </c>
      <c r="D669" s="0" t="s">
        <v>311</v>
      </c>
      <c r="E669" s="0" t="s">
        <v>66</v>
      </c>
      <c r="F669" s="0" t="s">
        <v>27</v>
      </c>
      <c r="I669" s="0" t="n">
        <v>300</v>
      </c>
      <c r="J669" s="0" t="n">
        <v>0.0789473684210526</v>
      </c>
      <c r="K669" s="0" t="s">
        <v>889</v>
      </c>
      <c r="L669" s="0" t="s">
        <v>890</v>
      </c>
    </row>
    <row r="670" customFormat="false" ht="15" hidden="false" customHeight="false" outlineLevel="0" collapsed="false">
      <c r="A670" s="0" t="n">
        <v>62</v>
      </c>
      <c r="B670" s="0" t="s">
        <v>826</v>
      </c>
      <c r="C670" s="0" t="s">
        <v>68</v>
      </c>
      <c r="D670" s="0" t="s">
        <v>311</v>
      </c>
      <c r="E670" s="0" t="s">
        <v>64</v>
      </c>
      <c r="F670" s="0" t="s">
        <v>27</v>
      </c>
      <c r="I670" s="0" t="n">
        <v>750</v>
      </c>
      <c r="J670" s="0" t="n">
        <v>0.197368421052632</v>
      </c>
      <c r="K670" s="0" t="s">
        <v>891</v>
      </c>
      <c r="L670" s="0" t="s">
        <v>892</v>
      </c>
    </row>
    <row r="671" customFormat="false" ht="15" hidden="false" customHeight="false" outlineLevel="0" collapsed="false">
      <c r="A671" s="0" t="n">
        <v>62</v>
      </c>
      <c r="B671" s="0" t="s">
        <v>826</v>
      </c>
      <c r="C671" s="0" t="s">
        <v>68</v>
      </c>
      <c r="D671" s="0" t="s">
        <v>311</v>
      </c>
      <c r="E671" s="0" t="s">
        <v>68</v>
      </c>
      <c r="F671" s="0" t="s">
        <v>30</v>
      </c>
      <c r="I671" s="0" t="n">
        <v>4000</v>
      </c>
      <c r="J671" s="0" t="n">
        <v>1.05263157894737</v>
      </c>
      <c r="K671" s="0" t="s">
        <v>893</v>
      </c>
      <c r="L671" s="0" t="s">
        <v>894</v>
      </c>
    </row>
    <row r="672" customFormat="false" ht="15" hidden="false" customHeight="false" outlineLevel="0" collapsed="false">
      <c r="A672" s="0" t="n">
        <v>63</v>
      </c>
      <c r="B672" s="0" t="s">
        <v>826</v>
      </c>
      <c r="C672" s="0" t="s">
        <v>68</v>
      </c>
      <c r="D672" s="0" t="s">
        <v>349</v>
      </c>
      <c r="E672" s="0" t="s">
        <v>828</v>
      </c>
      <c r="F672" s="0" t="s">
        <v>27</v>
      </c>
      <c r="G672" s="0" t="n">
        <v>2</v>
      </c>
      <c r="H672" s="0" t="n">
        <v>4</v>
      </c>
      <c r="I672" s="0" t="n">
        <v>30400</v>
      </c>
      <c r="J672" s="0" t="n">
        <v>8</v>
      </c>
      <c r="K672" s="0" t="s">
        <v>895</v>
      </c>
      <c r="L672" s="0" t="s">
        <v>896</v>
      </c>
    </row>
    <row r="673" customFormat="false" ht="15" hidden="false" customHeight="false" outlineLevel="0" collapsed="false">
      <c r="A673" s="0" t="n">
        <v>63</v>
      </c>
      <c r="B673" s="0" t="s">
        <v>826</v>
      </c>
      <c r="C673" s="0" t="s">
        <v>68</v>
      </c>
      <c r="D673" s="0" t="s">
        <v>349</v>
      </c>
      <c r="E673" s="0" t="s">
        <v>56</v>
      </c>
      <c r="F673" s="0" t="s">
        <v>28</v>
      </c>
      <c r="I673" s="0" t="n">
        <v>700</v>
      </c>
      <c r="J673" s="0" t="n">
        <v>0.18421052631579</v>
      </c>
      <c r="K673" s="0" t="s">
        <v>897</v>
      </c>
    </row>
    <row r="674" customFormat="false" ht="15" hidden="false" customHeight="false" outlineLevel="0" collapsed="false">
      <c r="A674" s="0" t="n">
        <v>63</v>
      </c>
      <c r="B674" s="0" t="s">
        <v>826</v>
      </c>
      <c r="C674" s="0" t="s">
        <v>68</v>
      </c>
      <c r="D674" s="0" t="s">
        <v>349</v>
      </c>
      <c r="E674" s="0" t="s">
        <v>58</v>
      </c>
      <c r="F674" s="0" t="s">
        <v>28</v>
      </c>
      <c r="I674" s="0" t="n">
        <v>3500</v>
      </c>
      <c r="J674" s="0" t="n">
        <v>0.921052631578947</v>
      </c>
      <c r="K674" s="0" t="s">
        <v>898</v>
      </c>
    </row>
    <row r="675" customFormat="false" ht="15" hidden="false" customHeight="false" outlineLevel="0" collapsed="false">
      <c r="A675" s="0" t="n">
        <v>63</v>
      </c>
      <c r="B675" s="0" t="s">
        <v>826</v>
      </c>
      <c r="C675" s="0" t="s">
        <v>68</v>
      </c>
      <c r="D675" s="0" t="s">
        <v>349</v>
      </c>
      <c r="E675" s="0" t="s">
        <v>128</v>
      </c>
      <c r="F675" s="0" t="s">
        <v>28</v>
      </c>
      <c r="I675" s="0" t="n">
        <v>0</v>
      </c>
      <c r="J675" s="0" t="n">
        <v>0</v>
      </c>
      <c r="K675" s="0" t="s">
        <v>899</v>
      </c>
    </row>
    <row r="676" customFormat="false" ht="15" hidden="false" customHeight="false" outlineLevel="0" collapsed="false">
      <c r="A676" s="0" t="n">
        <v>63</v>
      </c>
      <c r="B676" s="0" t="s">
        <v>826</v>
      </c>
      <c r="C676" s="0" t="s">
        <v>68</v>
      </c>
      <c r="D676" s="0" t="s">
        <v>349</v>
      </c>
      <c r="E676" s="0" t="s">
        <v>203</v>
      </c>
      <c r="F676" s="0" t="s">
        <v>29</v>
      </c>
      <c r="I676" s="0" t="n">
        <v>2000</v>
      </c>
      <c r="J676" s="0" t="n">
        <v>0.526315789473684</v>
      </c>
      <c r="K676" s="0" t="s">
        <v>900</v>
      </c>
    </row>
    <row r="677" customFormat="false" ht="15" hidden="false" customHeight="false" outlineLevel="0" collapsed="false">
      <c r="A677" s="0" t="n">
        <v>63</v>
      </c>
      <c r="B677" s="0" t="s">
        <v>826</v>
      </c>
      <c r="C677" s="0" t="s">
        <v>68</v>
      </c>
      <c r="D677" s="0" t="s">
        <v>349</v>
      </c>
      <c r="E677" s="0" t="s">
        <v>158</v>
      </c>
      <c r="F677" s="0" t="s">
        <v>28</v>
      </c>
      <c r="I677" s="0" t="n">
        <v>1000</v>
      </c>
      <c r="J677" s="0" t="n">
        <v>0.263157894736842</v>
      </c>
      <c r="K677" s="0" t="s">
        <v>901</v>
      </c>
    </row>
    <row r="678" customFormat="false" ht="15" hidden="false" customHeight="false" outlineLevel="0" collapsed="false">
      <c r="A678" s="0" t="n">
        <v>63</v>
      </c>
      <c r="B678" s="0" t="s">
        <v>826</v>
      </c>
      <c r="C678" s="0" t="s">
        <v>68</v>
      </c>
      <c r="D678" s="0" t="s">
        <v>349</v>
      </c>
      <c r="E678" s="0" t="s">
        <v>132</v>
      </c>
      <c r="F678" s="0" t="s">
        <v>29</v>
      </c>
      <c r="I678" s="0" t="n">
        <v>200</v>
      </c>
      <c r="J678" s="0" t="n">
        <v>0.0526315789473684</v>
      </c>
      <c r="K678" s="0" t="s">
        <v>902</v>
      </c>
    </row>
    <row r="679" customFormat="false" ht="15" hidden="false" customHeight="false" outlineLevel="0" collapsed="false">
      <c r="A679" s="0" t="n">
        <v>63</v>
      </c>
      <c r="B679" s="0" t="s">
        <v>826</v>
      </c>
      <c r="C679" s="0" t="s">
        <v>68</v>
      </c>
      <c r="D679" s="0" t="s">
        <v>349</v>
      </c>
      <c r="E679" s="0" t="s">
        <v>134</v>
      </c>
      <c r="F679" s="0" t="s">
        <v>28</v>
      </c>
      <c r="I679" s="0" t="n">
        <v>200</v>
      </c>
      <c r="J679" s="0" t="n">
        <v>0.0526315789473684</v>
      </c>
      <c r="K679" s="0" t="s">
        <v>903</v>
      </c>
    </row>
    <row r="680" customFormat="false" ht="15" hidden="false" customHeight="false" outlineLevel="0" collapsed="false">
      <c r="A680" s="0" t="n">
        <v>63</v>
      </c>
      <c r="B680" s="0" t="s">
        <v>826</v>
      </c>
      <c r="C680" s="0" t="s">
        <v>68</v>
      </c>
      <c r="D680" s="0" t="s">
        <v>349</v>
      </c>
      <c r="E680" s="0" t="s">
        <v>60</v>
      </c>
      <c r="F680" s="0" t="s">
        <v>27</v>
      </c>
      <c r="I680" s="0" t="n">
        <v>200</v>
      </c>
      <c r="J680" s="0" t="n">
        <v>0.0526315789473684</v>
      </c>
      <c r="K680" s="0" t="s">
        <v>904</v>
      </c>
    </row>
    <row r="681" customFormat="false" ht="15" hidden="false" customHeight="false" outlineLevel="0" collapsed="false">
      <c r="A681" s="0" t="n">
        <v>63</v>
      </c>
      <c r="B681" s="0" t="s">
        <v>826</v>
      </c>
      <c r="C681" s="0" t="s">
        <v>68</v>
      </c>
      <c r="D681" s="0" t="s">
        <v>349</v>
      </c>
      <c r="E681" s="0" t="s">
        <v>62</v>
      </c>
      <c r="F681" s="0" t="s">
        <v>27</v>
      </c>
      <c r="I681" s="0" t="n">
        <v>100</v>
      </c>
      <c r="J681" s="0" t="n">
        <v>0.0263157894736842</v>
      </c>
      <c r="K681" s="0" t="s">
        <v>905</v>
      </c>
    </row>
    <row r="682" customFormat="false" ht="15" hidden="false" customHeight="false" outlineLevel="0" collapsed="false">
      <c r="A682" s="0" t="n">
        <v>63</v>
      </c>
      <c r="B682" s="0" t="s">
        <v>826</v>
      </c>
      <c r="C682" s="0" t="s">
        <v>68</v>
      </c>
      <c r="D682" s="0" t="s">
        <v>349</v>
      </c>
      <c r="E682" s="0" t="s">
        <v>66</v>
      </c>
      <c r="F682" s="0" t="s">
        <v>27</v>
      </c>
      <c r="I682" s="0" t="n">
        <v>300</v>
      </c>
      <c r="J682" s="0" t="n">
        <v>0.0789473684210526</v>
      </c>
      <c r="K682" s="0" t="s">
        <v>906</v>
      </c>
    </row>
    <row r="683" customFormat="false" ht="15" hidden="false" customHeight="false" outlineLevel="0" collapsed="false">
      <c r="A683" s="0" t="n">
        <v>63</v>
      </c>
      <c r="B683" s="0" t="s">
        <v>826</v>
      </c>
      <c r="C683" s="0" t="s">
        <v>68</v>
      </c>
      <c r="D683" s="0" t="s">
        <v>349</v>
      </c>
      <c r="E683" s="0" t="s">
        <v>64</v>
      </c>
      <c r="F683" s="0" t="s">
        <v>27</v>
      </c>
      <c r="I683" s="0" t="n">
        <v>500</v>
      </c>
      <c r="J683" s="0" t="n">
        <v>0.131578947368421</v>
      </c>
      <c r="K683" s="0" t="s">
        <v>907</v>
      </c>
    </row>
    <row r="684" customFormat="false" ht="15" hidden="false" customHeight="false" outlineLevel="0" collapsed="false">
      <c r="A684" s="0" t="n">
        <v>63</v>
      </c>
      <c r="B684" s="0" t="s">
        <v>826</v>
      </c>
      <c r="C684" s="0" t="s">
        <v>68</v>
      </c>
      <c r="D684" s="0" t="s">
        <v>349</v>
      </c>
      <c r="E684" s="0" t="s">
        <v>68</v>
      </c>
      <c r="F684" s="0" t="s">
        <v>30</v>
      </c>
      <c r="I684" s="0" t="n">
        <v>3000</v>
      </c>
      <c r="J684" s="0" t="n">
        <v>0.789473684210526</v>
      </c>
      <c r="K684" s="0" t="s">
        <v>908</v>
      </c>
    </row>
    <row r="685" customFormat="false" ht="15" hidden="false" customHeight="false" outlineLevel="0" collapsed="false">
      <c r="A685" s="0" t="n">
        <v>64</v>
      </c>
      <c r="B685" s="0" t="s">
        <v>826</v>
      </c>
      <c r="C685" s="0" t="s">
        <v>132</v>
      </c>
      <c r="D685" s="0" t="s">
        <v>349</v>
      </c>
      <c r="E685" s="0" t="s">
        <v>828</v>
      </c>
      <c r="F685" s="0" t="s">
        <v>27</v>
      </c>
      <c r="G685" s="0" t="n">
        <v>1</v>
      </c>
      <c r="H685" s="0" t="n">
        <v>2</v>
      </c>
      <c r="I685" s="0" t="n">
        <v>7600</v>
      </c>
      <c r="J685" s="0" t="n">
        <v>2</v>
      </c>
      <c r="K685" s="0" t="s">
        <v>909</v>
      </c>
      <c r="L685" s="0" t="s">
        <v>910</v>
      </c>
    </row>
    <row r="686" customFormat="false" ht="15" hidden="false" customHeight="false" outlineLevel="0" collapsed="false">
      <c r="A686" s="0" t="n">
        <v>64</v>
      </c>
      <c r="B686" s="0" t="s">
        <v>826</v>
      </c>
      <c r="C686" s="0" t="s">
        <v>132</v>
      </c>
      <c r="D686" s="0" t="s">
        <v>349</v>
      </c>
      <c r="E686" s="0" t="s">
        <v>56</v>
      </c>
      <c r="F686" s="0" t="s">
        <v>28</v>
      </c>
      <c r="I686" s="0" t="n">
        <v>700</v>
      </c>
      <c r="J686" s="0" t="n">
        <v>0.18421052631579</v>
      </c>
      <c r="K686" s="0" t="s">
        <v>911</v>
      </c>
    </row>
    <row r="687" customFormat="false" ht="15" hidden="false" customHeight="false" outlineLevel="0" collapsed="false">
      <c r="A687" s="0" t="n">
        <v>64</v>
      </c>
      <c r="B687" s="0" t="s">
        <v>826</v>
      </c>
      <c r="C687" s="0" t="s">
        <v>132</v>
      </c>
      <c r="D687" s="0" t="s">
        <v>349</v>
      </c>
      <c r="E687" s="0" t="s">
        <v>58</v>
      </c>
      <c r="F687" s="0" t="s">
        <v>28</v>
      </c>
      <c r="I687" s="0" t="n">
        <v>3000</v>
      </c>
      <c r="J687" s="0" t="n">
        <v>0.789473684210526</v>
      </c>
      <c r="K687" s="0" t="s">
        <v>912</v>
      </c>
    </row>
    <row r="688" customFormat="false" ht="15" hidden="false" customHeight="false" outlineLevel="0" collapsed="false">
      <c r="A688" s="0" t="n">
        <v>64</v>
      </c>
      <c r="B688" s="0" t="s">
        <v>826</v>
      </c>
      <c r="C688" s="0" t="s">
        <v>132</v>
      </c>
      <c r="D688" s="0" t="s">
        <v>349</v>
      </c>
      <c r="E688" s="0" t="s">
        <v>128</v>
      </c>
      <c r="F688" s="0" t="s">
        <v>28</v>
      </c>
      <c r="I688" s="0" t="n">
        <v>3000</v>
      </c>
      <c r="J688" s="0" t="n">
        <v>0.789473684210526</v>
      </c>
      <c r="K688" s="0" t="s">
        <v>913</v>
      </c>
    </row>
    <row r="689" customFormat="false" ht="15" hidden="false" customHeight="false" outlineLevel="0" collapsed="false">
      <c r="A689" s="0" t="n">
        <v>64</v>
      </c>
      <c r="B689" s="0" t="s">
        <v>826</v>
      </c>
      <c r="C689" s="0" t="s">
        <v>132</v>
      </c>
      <c r="D689" s="0" t="s">
        <v>349</v>
      </c>
      <c r="E689" s="0" t="s">
        <v>203</v>
      </c>
      <c r="F689" s="0" t="s">
        <v>29</v>
      </c>
      <c r="I689" s="0" t="n">
        <v>11000</v>
      </c>
      <c r="J689" s="0" t="n">
        <v>2.89473684210526</v>
      </c>
      <c r="K689" s="0" t="s">
        <v>914</v>
      </c>
    </row>
    <row r="690" customFormat="false" ht="15" hidden="false" customHeight="false" outlineLevel="0" collapsed="false">
      <c r="A690" s="0" t="n">
        <v>64</v>
      </c>
      <c r="B690" s="0" t="s">
        <v>826</v>
      </c>
      <c r="C690" s="0" t="s">
        <v>132</v>
      </c>
      <c r="D690" s="0" t="s">
        <v>349</v>
      </c>
      <c r="E690" s="0" t="s">
        <v>850</v>
      </c>
      <c r="F690" s="0" t="s">
        <v>31</v>
      </c>
      <c r="I690" s="0" t="n">
        <v>1000</v>
      </c>
      <c r="J690" s="0" t="n">
        <v>0.263157894736842</v>
      </c>
      <c r="K690" s="0" t="s">
        <v>915</v>
      </c>
    </row>
    <row r="691" customFormat="false" ht="15" hidden="false" customHeight="false" outlineLevel="0" collapsed="false">
      <c r="A691" s="0" t="n">
        <v>64</v>
      </c>
      <c r="B691" s="0" t="s">
        <v>826</v>
      </c>
      <c r="C691" s="0" t="s">
        <v>132</v>
      </c>
      <c r="D691" s="0" t="s">
        <v>349</v>
      </c>
      <c r="E691" s="0" t="s">
        <v>60</v>
      </c>
      <c r="F691" s="0" t="s">
        <v>27</v>
      </c>
      <c r="I691" s="0" t="n">
        <v>200</v>
      </c>
      <c r="J691" s="0" t="n">
        <v>0.0526315789473684</v>
      </c>
      <c r="K691" s="0" t="s">
        <v>916</v>
      </c>
    </row>
    <row r="692" customFormat="false" ht="15" hidden="false" customHeight="false" outlineLevel="0" collapsed="false">
      <c r="A692" s="0" t="n">
        <v>64</v>
      </c>
      <c r="B692" s="0" t="s">
        <v>826</v>
      </c>
      <c r="C692" s="0" t="s">
        <v>132</v>
      </c>
      <c r="D692" s="0" t="s">
        <v>349</v>
      </c>
      <c r="E692" s="0" t="s">
        <v>740</v>
      </c>
      <c r="F692" s="0" t="s">
        <v>27</v>
      </c>
      <c r="I692" s="0" t="n">
        <v>0</v>
      </c>
      <c r="J692" s="0" t="n">
        <v>0</v>
      </c>
      <c r="K692" s="0" t="s">
        <v>917</v>
      </c>
    </row>
    <row r="693" customFormat="false" ht="15" hidden="false" customHeight="false" outlineLevel="0" collapsed="false">
      <c r="A693" s="0" t="n">
        <v>64</v>
      </c>
      <c r="B693" s="0" t="s">
        <v>826</v>
      </c>
      <c r="C693" s="0" t="s">
        <v>132</v>
      </c>
      <c r="D693" s="0" t="s">
        <v>349</v>
      </c>
      <c r="E693" s="0" t="s">
        <v>66</v>
      </c>
      <c r="F693" s="0" t="s">
        <v>27</v>
      </c>
      <c r="I693" s="0" t="n">
        <v>300</v>
      </c>
      <c r="J693" s="0" t="n">
        <v>0.0789473684210526</v>
      </c>
      <c r="K693" s="0" t="s">
        <v>918</v>
      </c>
    </row>
    <row r="694" customFormat="false" ht="15" hidden="false" customHeight="false" outlineLevel="0" collapsed="false">
      <c r="A694" s="0" t="n">
        <v>64</v>
      </c>
      <c r="B694" s="0" t="s">
        <v>826</v>
      </c>
      <c r="C694" s="0" t="s">
        <v>132</v>
      </c>
      <c r="D694" s="0" t="s">
        <v>349</v>
      </c>
      <c r="E694" s="0" t="s">
        <v>64</v>
      </c>
      <c r="F694" s="0" t="s">
        <v>27</v>
      </c>
      <c r="I694" s="0" t="n">
        <v>750</v>
      </c>
      <c r="J694" s="0" t="n">
        <v>0.197368421052632</v>
      </c>
      <c r="K694" s="0" t="s">
        <v>919</v>
      </c>
    </row>
    <row r="695" customFormat="false" ht="15" hidden="false" customHeight="false" outlineLevel="0" collapsed="false">
      <c r="A695" s="0" t="n">
        <v>64</v>
      </c>
      <c r="B695" s="0" t="s">
        <v>826</v>
      </c>
      <c r="C695" s="0" t="s">
        <v>132</v>
      </c>
      <c r="D695" s="0" t="s">
        <v>349</v>
      </c>
      <c r="E695" s="0" t="s">
        <v>68</v>
      </c>
      <c r="F695" s="0" t="s">
        <v>30</v>
      </c>
      <c r="I695" s="0" t="n">
        <v>4000</v>
      </c>
      <c r="J695" s="0" t="n">
        <v>1.05263157894737</v>
      </c>
      <c r="K695" s="0" t="s">
        <v>920</v>
      </c>
    </row>
    <row r="696" customFormat="false" ht="15" hidden="false" customHeight="false" outlineLevel="0" collapsed="false">
      <c r="A696" s="0" t="n">
        <v>65</v>
      </c>
      <c r="B696" s="0" t="s">
        <v>826</v>
      </c>
      <c r="C696" s="0" t="s">
        <v>921</v>
      </c>
      <c r="D696" s="0" t="s">
        <v>296</v>
      </c>
      <c r="E696" s="0" t="s">
        <v>828</v>
      </c>
      <c r="F696" s="0" t="s">
        <v>27</v>
      </c>
      <c r="G696" s="0" t="n">
        <v>1.8</v>
      </c>
      <c r="H696" s="0" t="n">
        <v>4</v>
      </c>
      <c r="I696" s="0" t="n">
        <v>27360</v>
      </c>
      <c r="J696" s="0" t="n">
        <v>7.2</v>
      </c>
      <c r="K696" s="0" t="s">
        <v>922</v>
      </c>
      <c r="L696" s="0" t="s">
        <v>923</v>
      </c>
    </row>
    <row r="697" customFormat="false" ht="15" hidden="false" customHeight="false" outlineLevel="0" collapsed="false">
      <c r="A697" s="0" t="n">
        <v>65</v>
      </c>
      <c r="B697" s="0" t="s">
        <v>826</v>
      </c>
      <c r="C697" s="0" t="s">
        <v>921</v>
      </c>
      <c r="D697" s="0" t="s">
        <v>296</v>
      </c>
      <c r="E697" s="0" t="s">
        <v>56</v>
      </c>
      <c r="F697" s="0" t="s">
        <v>28</v>
      </c>
      <c r="I697" s="0" t="n">
        <v>700</v>
      </c>
      <c r="J697" s="0" t="n">
        <v>0.18421052631579</v>
      </c>
      <c r="K697" s="0" t="s">
        <v>924</v>
      </c>
    </row>
    <row r="698" customFormat="false" ht="15" hidden="false" customHeight="false" outlineLevel="0" collapsed="false">
      <c r="A698" s="0" t="n">
        <v>65</v>
      </c>
      <c r="B698" s="0" t="s">
        <v>826</v>
      </c>
      <c r="C698" s="0" t="s">
        <v>921</v>
      </c>
      <c r="D698" s="0" t="s">
        <v>296</v>
      </c>
      <c r="E698" s="0" t="s">
        <v>58</v>
      </c>
      <c r="F698" s="0" t="s">
        <v>28</v>
      </c>
      <c r="I698" s="0" t="n">
        <v>3000</v>
      </c>
      <c r="J698" s="0" t="n">
        <v>0.789473684210526</v>
      </c>
      <c r="K698" s="0" t="s">
        <v>925</v>
      </c>
    </row>
    <row r="699" customFormat="false" ht="15" hidden="false" customHeight="false" outlineLevel="0" collapsed="false">
      <c r="A699" s="0" t="n">
        <v>65</v>
      </c>
      <c r="B699" s="0" t="s">
        <v>826</v>
      </c>
      <c r="C699" s="0" t="s">
        <v>921</v>
      </c>
      <c r="D699" s="0" t="s">
        <v>296</v>
      </c>
      <c r="E699" s="0" t="s">
        <v>128</v>
      </c>
      <c r="F699" s="0" t="s">
        <v>28</v>
      </c>
      <c r="I699" s="0" t="n">
        <v>500</v>
      </c>
      <c r="J699" s="0" t="n">
        <v>0.131578947368421</v>
      </c>
      <c r="K699" s="0" t="s">
        <v>926</v>
      </c>
    </row>
    <row r="700" customFormat="false" ht="15" hidden="false" customHeight="false" outlineLevel="0" collapsed="false">
      <c r="A700" s="0" t="n">
        <v>65</v>
      </c>
      <c r="B700" s="0" t="s">
        <v>826</v>
      </c>
      <c r="C700" s="0" t="s">
        <v>921</v>
      </c>
      <c r="D700" s="0" t="s">
        <v>296</v>
      </c>
      <c r="E700" s="0" t="s">
        <v>130</v>
      </c>
      <c r="F700" s="0" t="s">
        <v>29</v>
      </c>
      <c r="I700" s="0" t="n">
        <v>3000</v>
      </c>
      <c r="J700" s="0" t="n">
        <v>0.789473684210526</v>
      </c>
      <c r="K700" s="0" t="s">
        <v>927</v>
      </c>
    </row>
    <row r="701" customFormat="false" ht="15" hidden="false" customHeight="false" outlineLevel="0" collapsed="false">
      <c r="A701" s="0" t="n">
        <v>65</v>
      </c>
      <c r="B701" s="0" t="s">
        <v>826</v>
      </c>
      <c r="C701" s="0" t="s">
        <v>921</v>
      </c>
      <c r="D701" s="0" t="s">
        <v>296</v>
      </c>
      <c r="E701" s="0" t="s">
        <v>850</v>
      </c>
      <c r="F701" s="0" t="s">
        <v>31</v>
      </c>
      <c r="I701" s="0" t="n">
        <v>1000</v>
      </c>
      <c r="J701" s="0" t="n">
        <v>0.263157894736842</v>
      </c>
      <c r="K701" s="0" t="s">
        <v>928</v>
      </c>
    </row>
    <row r="702" customFormat="false" ht="15" hidden="false" customHeight="false" outlineLevel="0" collapsed="false">
      <c r="A702" s="0" t="n">
        <v>65</v>
      </c>
      <c r="B702" s="0" t="s">
        <v>826</v>
      </c>
      <c r="C702" s="0" t="s">
        <v>921</v>
      </c>
      <c r="D702" s="0" t="s">
        <v>296</v>
      </c>
      <c r="E702" s="0" t="s">
        <v>158</v>
      </c>
      <c r="F702" s="0" t="s">
        <v>28</v>
      </c>
      <c r="I702" s="0" t="n">
        <v>1000</v>
      </c>
      <c r="J702" s="0" t="n">
        <v>0.263157894736842</v>
      </c>
      <c r="K702" s="0" t="s">
        <v>929</v>
      </c>
    </row>
    <row r="703" customFormat="false" ht="15" hidden="false" customHeight="false" outlineLevel="0" collapsed="false">
      <c r="A703" s="0" t="n">
        <v>65</v>
      </c>
      <c r="B703" s="0" t="s">
        <v>826</v>
      </c>
      <c r="C703" s="0" t="s">
        <v>921</v>
      </c>
      <c r="D703" s="0" t="s">
        <v>296</v>
      </c>
      <c r="E703" s="0" t="s">
        <v>132</v>
      </c>
      <c r="F703" s="0" t="s">
        <v>29</v>
      </c>
      <c r="I703" s="0" t="n">
        <v>200</v>
      </c>
      <c r="J703" s="0" t="n">
        <v>0.0526315789473684</v>
      </c>
      <c r="K703" s="0" t="s">
        <v>930</v>
      </c>
    </row>
    <row r="704" customFormat="false" ht="15" hidden="false" customHeight="false" outlineLevel="0" collapsed="false">
      <c r="A704" s="0" t="n">
        <v>65</v>
      </c>
      <c r="B704" s="0" t="s">
        <v>826</v>
      </c>
      <c r="C704" s="0" t="s">
        <v>921</v>
      </c>
      <c r="D704" s="0" t="s">
        <v>296</v>
      </c>
      <c r="E704" s="0" t="s">
        <v>134</v>
      </c>
      <c r="F704" s="0" t="s">
        <v>28</v>
      </c>
      <c r="I704" s="0" t="n">
        <v>200</v>
      </c>
      <c r="J704" s="0" t="n">
        <v>0.0526315789473684</v>
      </c>
      <c r="K704" s="0" t="s">
        <v>931</v>
      </c>
    </row>
    <row r="705" customFormat="false" ht="15" hidden="false" customHeight="false" outlineLevel="0" collapsed="false">
      <c r="A705" s="0" t="n">
        <v>65</v>
      </c>
      <c r="B705" s="0" t="s">
        <v>826</v>
      </c>
      <c r="C705" s="0" t="s">
        <v>921</v>
      </c>
      <c r="D705" s="0" t="s">
        <v>296</v>
      </c>
      <c r="E705" s="0" t="s">
        <v>60</v>
      </c>
      <c r="F705" s="0" t="s">
        <v>27</v>
      </c>
      <c r="I705" s="0" t="n">
        <v>200</v>
      </c>
      <c r="J705" s="0" t="n">
        <v>0.0526315789473684</v>
      </c>
      <c r="K705" s="0" t="s">
        <v>932</v>
      </c>
    </row>
    <row r="706" customFormat="false" ht="15" hidden="false" customHeight="false" outlineLevel="0" collapsed="false">
      <c r="A706" s="0" t="n">
        <v>65</v>
      </c>
      <c r="B706" s="0" t="s">
        <v>826</v>
      </c>
      <c r="C706" s="0" t="s">
        <v>921</v>
      </c>
      <c r="D706" s="0" t="s">
        <v>296</v>
      </c>
      <c r="E706" s="0" t="s">
        <v>62</v>
      </c>
      <c r="F706" s="0" t="s">
        <v>27</v>
      </c>
      <c r="I706" s="0" t="n">
        <v>100</v>
      </c>
      <c r="J706" s="0" t="n">
        <v>0.0263157894736842</v>
      </c>
      <c r="K706" s="0" t="s">
        <v>933</v>
      </c>
    </row>
    <row r="707" customFormat="false" ht="15" hidden="false" customHeight="false" outlineLevel="0" collapsed="false">
      <c r="A707" s="0" t="n">
        <v>65</v>
      </c>
      <c r="B707" s="0" t="s">
        <v>826</v>
      </c>
      <c r="C707" s="0" t="s">
        <v>921</v>
      </c>
      <c r="D707" s="0" t="s">
        <v>296</v>
      </c>
      <c r="E707" s="0" t="s">
        <v>66</v>
      </c>
      <c r="F707" s="0" t="s">
        <v>27</v>
      </c>
      <c r="I707" s="0" t="n">
        <v>300</v>
      </c>
      <c r="J707" s="0" t="n">
        <v>0.0789473684210526</v>
      </c>
      <c r="K707" s="0" t="s">
        <v>934</v>
      </c>
    </row>
    <row r="708" customFormat="false" ht="15" hidden="false" customHeight="false" outlineLevel="0" collapsed="false">
      <c r="A708" s="0" t="n">
        <v>65</v>
      </c>
      <c r="B708" s="0" t="s">
        <v>826</v>
      </c>
      <c r="C708" s="0" t="s">
        <v>921</v>
      </c>
      <c r="D708" s="0" t="s">
        <v>296</v>
      </c>
      <c r="E708" s="0" t="s">
        <v>64</v>
      </c>
      <c r="F708" s="0" t="s">
        <v>27</v>
      </c>
      <c r="I708" s="0" t="n">
        <v>750</v>
      </c>
      <c r="J708" s="0" t="n">
        <v>0.197368421052632</v>
      </c>
      <c r="K708" s="0" t="s">
        <v>935</v>
      </c>
    </row>
    <row r="709" customFormat="false" ht="15" hidden="false" customHeight="false" outlineLevel="0" collapsed="false">
      <c r="A709" s="0" t="n">
        <v>65</v>
      </c>
      <c r="B709" s="0" t="s">
        <v>826</v>
      </c>
      <c r="C709" s="0" t="s">
        <v>921</v>
      </c>
      <c r="D709" s="0" t="s">
        <v>296</v>
      </c>
      <c r="E709" s="0" t="s">
        <v>68</v>
      </c>
      <c r="F709" s="0" t="s">
        <v>30</v>
      </c>
      <c r="I709" s="0" t="n">
        <v>4000</v>
      </c>
      <c r="J709" s="0" t="n">
        <v>1.05263157894737</v>
      </c>
      <c r="K709" s="0" t="s">
        <v>936</v>
      </c>
    </row>
    <row r="710" customFormat="false" ht="15" hidden="false" customHeight="false" outlineLevel="0" collapsed="false">
      <c r="A710" s="0" t="n">
        <v>66</v>
      </c>
      <c r="B710" s="0" t="s">
        <v>826</v>
      </c>
      <c r="C710" s="0" t="s">
        <v>68</v>
      </c>
      <c r="D710" s="0" t="s">
        <v>311</v>
      </c>
      <c r="E710" s="0" t="s">
        <v>828</v>
      </c>
      <c r="F710" s="0" t="s">
        <v>27</v>
      </c>
      <c r="G710" s="0" t="n">
        <v>1.5</v>
      </c>
      <c r="H710" s="0" t="n">
        <v>4</v>
      </c>
      <c r="I710" s="0" t="n">
        <v>22800</v>
      </c>
      <c r="J710" s="0" t="n">
        <v>6</v>
      </c>
      <c r="K710" s="0" t="s">
        <v>937</v>
      </c>
      <c r="L710" s="0" t="s">
        <v>859</v>
      </c>
    </row>
    <row r="711" customFormat="false" ht="15" hidden="false" customHeight="false" outlineLevel="0" collapsed="false">
      <c r="A711" s="0" t="n">
        <v>66</v>
      </c>
      <c r="B711" s="0" t="s">
        <v>826</v>
      </c>
      <c r="C711" s="0" t="s">
        <v>68</v>
      </c>
      <c r="D711" s="0" t="s">
        <v>311</v>
      </c>
      <c r="E711" s="0" t="s">
        <v>56</v>
      </c>
      <c r="F711" s="0" t="s">
        <v>28</v>
      </c>
      <c r="I711" s="0" t="n">
        <v>700</v>
      </c>
      <c r="J711" s="0" t="n">
        <v>0.18421052631579</v>
      </c>
      <c r="K711" s="0" t="s">
        <v>938</v>
      </c>
    </row>
    <row r="712" customFormat="false" ht="15" hidden="false" customHeight="false" outlineLevel="0" collapsed="false">
      <c r="A712" s="0" t="n">
        <v>66</v>
      </c>
      <c r="B712" s="0" t="s">
        <v>826</v>
      </c>
      <c r="C712" s="0" t="s">
        <v>68</v>
      </c>
      <c r="D712" s="0" t="s">
        <v>311</v>
      </c>
      <c r="E712" s="0" t="s">
        <v>58</v>
      </c>
      <c r="F712" s="0" t="s">
        <v>28</v>
      </c>
      <c r="I712" s="0" t="n">
        <v>3000</v>
      </c>
      <c r="J712" s="0" t="n">
        <v>0.789473684210526</v>
      </c>
      <c r="K712" s="0" t="s">
        <v>939</v>
      </c>
    </row>
    <row r="713" customFormat="false" ht="15" hidden="false" customHeight="false" outlineLevel="0" collapsed="false">
      <c r="A713" s="0" t="n">
        <v>66</v>
      </c>
      <c r="B713" s="0" t="s">
        <v>826</v>
      </c>
      <c r="C713" s="0" t="s">
        <v>68</v>
      </c>
      <c r="D713" s="0" t="s">
        <v>311</v>
      </c>
      <c r="E713" s="0" t="s">
        <v>128</v>
      </c>
      <c r="F713" s="0" t="s">
        <v>28</v>
      </c>
      <c r="I713" s="0" t="n">
        <v>1000</v>
      </c>
      <c r="J713" s="0" t="n">
        <v>0.263157894736842</v>
      </c>
      <c r="K713" s="0" t="s">
        <v>940</v>
      </c>
    </row>
    <row r="714" customFormat="false" ht="15" hidden="false" customHeight="false" outlineLevel="0" collapsed="false">
      <c r="A714" s="0" t="n">
        <v>66</v>
      </c>
      <c r="B714" s="0" t="s">
        <v>826</v>
      </c>
      <c r="C714" s="0" t="s">
        <v>68</v>
      </c>
      <c r="D714" s="0" t="s">
        <v>311</v>
      </c>
      <c r="E714" s="0" t="s">
        <v>130</v>
      </c>
      <c r="F714" s="0" t="s">
        <v>29</v>
      </c>
      <c r="I714" s="0" t="n">
        <v>3500</v>
      </c>
      <c r="J714" s="0" t="n">
        <v>0.921052631578947</v>
      </c>
      <c r="K714" s="0" t="s">
        <v>941</v>
      </c>
    </row>
    <row r="715" customFormat="false" ht="15" hidden="false" customHeight="false" outlineLevel="0" collapsed="false">
      <c r="A715" s="0" t="n">
        <v>66</v>
      </c>
      <c r="B715" s="0" t="s">
        <v>826</v>
      </c>
      <c r="C715" s="0" t="s">
        <v>68</v>
      </c>
      <c r="D715" s="0" t="s">
        <v>311</v>
      </c>
      <c r="E715" s="0" t="s">
        <v>850</v>
      </c>
      <c r="F715" s="0" t="s">
        <v>31</v>
      </c>
      <c r="I715" s="0" t="n">
        <v>1000</v>
      </c>
      <c r="J715" s="0" t="n">
        <v>0.263157894736842</v>
      </c>
      <c r="K715" s="0" t="s">
        <v>942</v>
      </c>
    </row>
    <row r="716" customFormat="false" ht="15" hidden="false" customHeight="false" outlineLevel="0" collapsed="false">
      <c r="A716" s="0" t="n">
        <v>66</v>
      </c>
      <c r="B716" s="0" t="s">
        <v>826</v>
      </c>
      <c r="C716" s="0" t="s">
        <v>68</v>
      </c>
      <c r="D716" s="0" t="s">
        <v>311</v>
      </c>
      <c r="E716" s="0" t="s">
        <v>158</v>
      </c>
      <c r="F716" s="0" t="s">
        <v>28</v>
      </c>
      <c r="I716" s="0" t="n">
        <v>1000</v>
      </c>
      <c r="J716" s="0" t="n">
        <v>0.263157894736842</v>
      </c>
      <c r="K716" s="0" t="s">
        <v>943</v>
      </c>
      <c r="L716" s="0" t="s">
        <v>944</v>
      </c>
    </row>
    <row r="717" customFormat="false" ht="15" hidden="false" customHeight="false" outlineLevel="0" collapsed="false">
      <c r="A717" s="0" t="n">
        <v>66</v>
      </c>
      <c r="B717" s="0" t="s">
        <v>826</v>
      </c>
      <c r="C717" s="0" t="s">
        <v>68</v>
      </c>
      <c r="D717" s="0" t="s">
        <v>311</v>
      </c>
      <c r="E717" s="0" t="s">
        <v>132</v>
      </c>
      <c r="F717" s="0" t="s">
        <v>29</v>
      </c>
      <c r="I717" s="0" t="n">
        <v>200</v>
      </c>
      <c r="J717" s="0" t="n">
        <v>0.0526315789473684</v>
      </c>
      <c r="K717" s="0" t="s">
        <v>945</v>
      </c>
      <c r="L717" s="0" t="s">
        <v>946</v>
      </c>
    </row>
    <row r="718" customFormat="false" ht="15" hidden="false" customHeight="false" outlineLevel="0" collapsed="false">
      <c r="A718" s="0" t="n">
        <v>66</v>
      </c>
      <c r="B718" s="0" t="s">
        <v>826</v>
      </c>
      <c r="C718" s="0" t="s">
        <v>68</v>
      </c>
      <c r="D718" s="0" t="s">
        <v>311</v>
      </c>
      <c r="E718" s="0" t="s">
        <v>134</v>
      </c>
      <c r="F718" s="0" t="s">
        <v>28</v>
      </c>
      <c r="I718" s="0" t="n">
        <v>200</v>
      </c>
      <c r="J718" s="0" t="n">
        <v>0.0526315789473684</v>
      </c>
      <c r="K718" s="0" t="s">
        <v>947</v>
      </c>
      <c r="L718" s="0" t="s">
        <v>948</v>
      </c>
    </row>
    <row r="719" customFormat="false" ht="15" hidden="false" customHeight="false" outlineLevel="0" collapsed="false">
      <c r="A719" s="0" t="n">
        <v>66</v>
      </c>
      <c r="B719" s="0" t="s">
        <v>826</v>
      </c>
      <c r="C719" s="0" t="s">
        <v>68</v>
      </c>
      <c r="D719" s="0" t="s">
        <v>311</v>
      </c>
      <c r="E719" s="0" t="s">
        <v>60</v>
      </c>
      <c r="F719" s="0" t="s">
        <v>27</v>
      </c>
      <c r="I719" s="0" t="n">
        <v>200</v>
      </c>
      <c r="J719" s="0" t="n">
        <v>0.0526315789473684</v>
      </c>
      <c r="K719" s="0" t="s">
        <v>949</v>
      </c>
    </row>
    <row r="720" customFormat="false" ht="15" hidden="false" customHeight="false" outlineLevel="0" collapsed="false">
      <c r="A720" s="0" t="n">
        <v>66</v>
      </c>
      <c r="B720" s="0" t="s">
        <v>826</v>
      </c>
      <c r="C720" s="0" t="s">
        <v>68</v>
      </c>
      <c r="D720" s="0" t="s">
        <v>311</v>
      </c>
      <c r="E720" s="0" t="s">
        <v>62</v>
      </c>
      <c r="F720" s="0" t="s">
        <v>27</v>
      </c>
      <c r="I720" s="0" t="n">
        <v>100</v>
      </c>
      <c r="J720" s="0" t="n">
        <v>0.0263157894736842</v>
      </c>
      <c r="K720" s="0" t="s">
        <v>950</v>
      </c>
    </row>
    <row r="721" customFormat="false" ht="15" hidden="false" customHeight="false" outlineLevel="0" collapsed="false">
      <c r="A721" s="0" t="n">
        <v>66</v>
      </c>
      <c r="B721" s="0" t="s">
        <v>826</v>
      </c>
      <c r="C721" s="0" t="s">
        <v>68</v>
      </c>
      <c r="D721" s="0" t="s">
        <v>311</v>
      </c>
      <c r="E721" s="0" t="s">
        <v>66</v>
      </c>
      <c r="F721" s="0" t="s">
        <v>27</v>
      </c>
      <c r="I721" s="0" t="n">
        <v>300</v>
      </c>
      <c r="J721" s="0" t="n">
        <v>0.0789473684210526</v>
      </c>
      <c r="K721" s="0" t="s">
        <v>951</v>
      </c>
      <c r="L721" s="0" t="s">
        <v>952</v>
      </c>
    </row>
    <row r="722" customFormat="false" ht="15" hidden="false" customHeight="false" outlineLevel="0" collapsed="false">
      <c r="A722" s="0" t="n">
        <v>66</v>
      </c>
      <c r="B722" s="0" t="s">
        <v>826</v>
      </c>
      <c r="C722" s="0" t="s">
        <v>68</v>
      </c>
      <c r="D722" s="0" t="s">
        <v>311</v>
      </c>
      <c r="E722" s="0" t="s">
        <v>64</v>
      </c>
      <c r="F722" s="0" t="s">
        <v>27</v>
      </c>
      <c r="I722" s="0" t="n">
        <v>750</v>
      </c>
      <c r="J722" s="0" t="n">
        <v>0.197368421052632</v>
      </c>
      <c r="K722" s="0" t="s">
        <v>953</v>
      </c>
      <c r="L722" s="0" t="s">
        <v>954</v>
      </c>
    </row>
    <row r="723" customFormat="false" ht="15" hidden="false" customHeight="false" outlineLevel="0" collapsed="false">
      <c r="A723" s="0" t="n">
        <v>66</v>
      </c>
      <c r="B723" s="0" t="s">
        <v>826</v>
      </c>
      <c r="C723" s="0" t="s">
        <v>68</v>
      </c>
      <c r="D723" s="0" t="s">
        <v>311</v>
      </c>
      <c r="E723" s="0" t="s">
        <v>68</v>
      </c>
      <c r="F723" s="0" t="s">
        <v>30</v>
      </c>
      <c r="I723" s="0" t="n">
        <v>4000</v>
      </c>
      <c r="J723" s="0" t="n">
        <v>1.05263157894737</v>
      </c>
      <c r="K723" s="0" t="s">
        <v>955</v>
      </c>
      <c r="L723" s="0" t="s">
        <v>956</v>
      </c>
    </row>
    <row r="724" customFormat="false" ht="15" hidden="false" customHeight="false" outlineLevel="0" collapsed="false">
      <c r="A724" s="0" t="n">
        <v>67</v>
      </c>
      <c r="B724" s="0" t="s">
        <v>826</v>
      </c>
      <c r="C724" s="0" t="s">
        <v>68</v>
      </c>
      <c r="D724" s="0" t="s">
        <v>349</v>
      </c>
      <c r="E724" s="0" t="s">
        <v>828</v>
      </c>
      <c r="F724" s="0" t="s">
        <v>27</v>
      </c>
      <c r="G724" s="0" t="n">
        <v>2</v>
      </c>
      <c r="H724" s="0" t="n">
        <v>4</v>
      </c>
      <c r="I724" s="0" t="n">
        <v>30400</v>
      </c>
      <c r="J724" s="0" t="n">
        <v>8</v>
      </c>
      <c r="K724" s="0" t="s">
        <v>957</v>
      </c>
      <c r="L724" s="0" t="s">
        <v>896</v>
      </c>
    </row>
    <row r="725" customFormat="false" ht="15" hidden="false" customHeight="false" outlineLevel="0" collapsed="false">
      <c r="A725" s="0" t="n">
        <v>67</v>
      </c>
      <c r="B725" s="0" t="s">
        <v>826</v>
      </c>
      <c r="C725" s="0" t="s">
        <v>68</v>
      </c>
      <c r="D725" s="0" t="s">
        <v>349</v>
      </c>
      <c r="E725" s="0" t="s">
        <v>56</v>
      </c>
      <c r="F725" s="0" t="s">
        <v>28</v>
      </c>
      <c r="I725" s="0" t="n">
        <v>700</v>
      </c>
      <c r="J725" s="0" t="n">
        <v>0.18421052631579</v>
      </c>
      <c r="K725" s="0" t="s">
        <v>958</v>
      </c>
    </row>
    <row r="726" customFormat="false" ht="15" hidden="false" customHeight="false" outlineLevel="0" collapsed="false">
      <c r="A726" s="0" t="n">
        <v>67</v>
      </c>
      <c r="B726" s="0" t="s">
        <v>826</v>
      </c>
      <c r="C726" s="0" t="s">
        <v>68</v>
      </c>
      <c r="D726" s="0" t="s">
        <v>349</v>
      </c>
      <c r="E726" s="0" t="s">
        <v>58</v>
      </c>
      <c r="F726" s="0" t="s">
        <v>28</v>
      </c>
      <c r="I726" s="0" t="n">
        <v>3000</v>
      </c>
      <c r="J726" s="0" t="n">
        <v>0.789473684210526</v>
      </c>
      <c r="K726" s="0" t="s">
        <v>959</v>
      </c>
    </row>
    <row r="727" customFormat="false" ht="15" hidden="false" customHeight="false" outlineLevel="0" collapsed="false">
      <c r="A727" s="0" t="n">
        <v>67</v>
      </c>
      <c r="B727" s="0" t="s">
        <v>826</v>
      </c>
      <c r="C727" s="0" t="s">
        <v>68</v>
      </c>
      <c r="D727" s="0" t="s">
        <v>349</v>
      </c>
      <c r="E727" s="0" t="s">
        <v>128</v>
      </c>
      <c r="F727" s="0" t="s">
        <v>28</v>
      </c>
      <c r="I727" s="0" t="n">
        <v>1000</v>
      </c>
      <c r="J727" s="0" t="n">
        <v>0.263157894736842</v>
      </c>
      <c r="K727" s="0" t="s">
        <v>960</v>
      </c>
    </row>
    <row r="728" customFormat="false" ht="15" hidden="false" customHeight="false" outlineLevel="0" collapsed="false">
      <c r="A728" s="0" t="n">
        <v>67</v>
      </c>
      <c r="B728" s="0" t="s">
        <v>826</v>
      </c>
      <c r="C728" s="0" t="s">
        <v>68</v>
      </c>
      <c r="D728" s="0" t="s">
        <v>349</v>
      </c>
      <c r="E728" s="0" t="s">
        <v>130</v>
      </c>
      <c r="F728" s="0" t="s">
        <v>29</v>
      </c>
      <c r="I728" s="0" t="n">
        <v>4000</v>
      </c>
      <c r="J728" s="0" t="n">
        <v>1.05263157894737</v>
      </c>
      <c r="K728" s="0" t="s">
        <v>961</v>
      </c>
    </row>
    <row r="729" customFormat="false" ht="15" hidden="false" customHeight="false" outlineLevel="0" collapsed="false">
      <c r="A729" s="0" t="n">
        <v>67</v>
      </c>
      <c r="B729" s="0" t="s">
        <v>826</v>
      </c>
      <c r="C729" s="0" t="s">
        <v>68</v>
      </c>
      <c r="D729" s="0" t="s">
        <v>349</v>
      </c>
      <c r="E729" s="0" t="s">
        <v>850</v>
      </c>
      <c r="F729" s="0" t="s">
        <v>31</v>
      </c>
      <c r="I729" s="0" t="n">
        <v>1000</v>
      </c>
      <c r="J729" s="0" t="n">
        <v>0.263157894736842</v>
      </c>
      <c r="K729" s="0" t="s">
        <v>962</v>
      </c>
    </row>
    <row r="730" customFormat="false" ht="15" hidden="false" customHeight="false" outlineLevel="0" collapsed="false">
      <c r="A730" s="0" t="n">
        <v>67</v>
      </c>
      <c r="B730" s="0" t="s">
        <v>826</v>
      </c>
      <c r="C730" s="0" t="s">
        <v>68</v>
      </c>
      <c r="D730" s="0" t="s">
        <v>349</v>
      </c>
      <c r="E730" s="0" t="s">
        <v>132</v>
      </c>
      <c r="F730" s="0" t="s">
        <v>29</v>
      </c>
      <c r="I730" s="0" t="n">
        <v>200</v>
      </c>
      <c r="J730" s="0" t="n">
        <v>0.0526315789473684</v>
      </c>
      <c r="K730" s="0" t="s">
        <v>963</v>
      </c>
    </row>
    <row r="731" customFormat="false" ht="15" hidden="false" customHeight="false" outlineLevel="0" collapsed="false">
      <c r="A731" s="0" t="n">
        <v>67</v>
      </c>
      <c r="B731" s="0" t="s">
        <v>826</v>
      </c>
      <c r="C731" s="0" t="s">
        <v>68</v>
      </c>
      <c r="D731" s="0" t="s">
        <v>349</v>
      </c>
      <c r="E731" s="0" t="s">
        <v>134</v>
      </c>
      <c r="F731" s="0" t="s">
        <v>28</v>
      </c>
      <c r="I731" s="0" t="n">
        <v>200</v>
      </c>
      <c r="J731" s="0" t="n">
        <v>0.0526315789473684</v>
      </c>
      <c r="K731" s="0" t="s">
        <v>964</v>
      </c>
    </row>
    <row r="732" customFormat="false" ht="15" hidden="false" customHeight="false" outlineLevel="0" collapsed="false">
      <c r="A732" s="0" t="n">
        <v>67</v>
      </c>
      <c r="B732" s="0" t="s">
        <v>826</v>
      </c>
      <c r="C732" s="0" t="s">
        <v>68</v>
      </c>
      <c r="D732" s="0" t="s">
        <v>349</v>
      </c>
      <c r="E732" s="0" t="s">
        <v>60</v>
      </c>
      <c r="F732" s="0" t="s">
        <v>27</v>
      </c>
      <c r="I732" s="0" t="n">
        <v>200</v>
      </c>
      <c r="J732" s="0" t="n">
        <v>0.0526315789473684</v>
      </c>
      <c r="K732" s="0" t="s">
        <v>965</v>
      </c>
    </row>
    <row r="733" customFormat="false" ht="15" hidden="false" customHeight="false" outlineLevel="0" collapsed="false">
      <c r="A733" s="0" t="n">
        <v>67</v>
      </c>
      <c r="B733" s="0" t="s">
        <v>826</v>
      </c>
      <c r="C733" s="0" t="s">
        <v>68</v>
      </c>
      <c r="D733" s="0" t="s">
        <v>349</v>
      </c>
      <c r="E733" s="0" t="s">
        <v>62</v>
      </c>
      <c r="F733" s="0" t="s">
        <v>27</v>
      </c>
      <c r="I733" s="0" t="n">
        <v>100</v>
      </c>
      <c r="J733" s="0" t="n">
        <v>0.0263157894736842</v>
      </c>
      <c r="K733" s="0" t="s">
        <v>966</v>
      </c>
    </row>
    <row r="734" customFormat="false" ht="15" hidden="false" customHeight="false" outlineLevel="0" collapsed="false">
      <c r="A734" s="0" t="n">
        <v>67</v>
      </c>
      <c r="B734" s="0" t="s">
        <v>826</v>
      </c>
      <c r="C734" s="0" t="s">
        <v>68</v>
      </c>
      <c r="D734" s="0" t="s">
        <v>349</v>
      </c>
      <c r="E734" s="0" t="s">
        <v>66</v>
      </c>
      <c r="F734" s="0" t="s">
        <v>27</v>
      </c>
      <c r="I734" s="0" t="n">
        <v>300</v>
      </c>
      <c r="J734" s="0" t="n">
        <v>0.0789473684210526</v>
      </c>
      <c r="K734" s="0" t="s">
        <v>967</v>
      </c>
    </row>
    <row r="735" customFormat="false" ht="15" hidden="false" customHeight="false" outlineLevel="0" collapsed="false">
      <c r="A735" s="0" t="n">
        <v>67</v>
      </c>
      <c r="B735" s="0" t="s">
        <v>826</v>
      </c>
      <c r="C735" s="0" t="s">
        <v>68</v>
      </c>
      <c r="D735" s="0" t="s">
        <v>349</v>
      </c>
      <c r="E735" s="0" t="s">
        <v>64</v>
      </c>
      <c r="F735" s="0" t="s">
        <v>27</v>
      </c>
      <c r="I735" s="0" t="n">
        <v>750</v>
      </c>
      <c r="J735" s="0" t="n">
        <v>0.197368421052632</v>
      </c>
      <c r="K735" s="0" t="s">
        <v>968</v>
      </c>
    </row>
    <row r="736" customFormat="false" ht="15" hidden="false" customHeight="false" outlineLevel="0" collapsed="false">
      <c r="A736" s="0" t="n">
        <v>67</v>
      </c>
      <c r="B736" s="0" t="s">
        <v>826</v>
      </c>
      <c r="C736" s="0" t="s">
        <v>68</v>
      </c>
      <c r="D736" s="0" t="s">
        <v>349</v>
      </c>
      <c r="E736" s="0" t="s">
        <v>68</v>
      </c>
      <c r="F736" s="0" t="s">
        <v>30</v>
      </c>
      <c r="I736" s="0" t="n">
        <v>4000</v>
      </c>
      <c r="J736" s="0" t="n">
        <v>1.05263157894737</v>
      </c>
      <c r="K736" s="0" t="s">
        <v>969</v>
      </c>
    </row>
    <row r="737" customFormat="false" ht="15" hidden="false" customHeight="false" outlineLevel="0" collapsed="false">
      <c r="A737" s="0" t="n">
        <v>68</v>
      </c>
      <c r="B737" s="0" t="s">
        <v>970</v>
      </c>
      <c r="C737" s="0" t="s">
        <v>971</v>
      </c>
      <c r="D737" s="0" t="s">
        <v>972</v>
      </c>
      <c r="E737" s="0" t="s">
        <v>973</v>
      </c>
      <c r="F737" s="0" t="s">
        <v>27</v>
      </c>
      <c r="G737" s="0" t="n">
        <v>2</v>
      </c>
      <c r="H737" s="0" t="n">
        <v>5.5</v>
      </c>
      <c r="I737" s="0" t="n">
        <v>41800</v>
      </c>
      <c r="J737" s="0" t="n">
        <v>11</v>
      </c>
      <c r="K737" s="0" t="s">
        <v>974</v>
      </c>
      <c r="L737" s="0" t="s">
        <v>975</v>
      </c>
    </row>
    <row r="738" customFormat="false" ht="15" hidden="false" customHeight="false" outlineLevel="0" collapsed="false">
      <c r="A738" s="0" t="n">
        <v>68</v>
      </c>
      <c r="B738" s="0" t="s">
        <v>970</v>
      </c>
      <c r="C738" s="0" t="s">
        <v>971</v>
      </c>
      <c r="D738" s="0" t="s">
        <v>972</v>
      </c>
      <c r="E738" s="0" t="s">
        <v>56</v>
      </c>
      <c r="F738" s="0" t="s">
        <v>28</v>
      </c>
      <c r="I738" s="0" t="n">
        <v>700</v>
      </c>
      <c r="J738" s="0" t="n">
        <v>0.18421052631579</v>
      </c>
      <c r="K738" s="0" t="s">
        <v>976</v>
      </c>
    </row>
    <row r="739" customFormat="false" ht="15" hidden="false" customHeight="false" outlineLevel="0" collapsed="false">
      <c r="A739" s="0" t="n">
        <v>68</v>
      </c>
      <c r="B739" s="0" t="s">
        <v>970</v>
      </c>
      <c r="C739" s="0" t="s">
        <v>971</v>
      </c>
      <c r="D739" s="0" t="s">
        <v>972</v>
      </c>
      <c r="E739" s="0" t="s">
        <v>58</v>
      </c>
      <c r="F739" s="0" t="s">
        <v>28</v>
      </c>
      <c r="I739" s="0" t="n">
        <v>10000</v>
      </c>
      <c r="J739" s="0" t="n">
        <v>2.63157894736842</v>
      </c>
      <c r="K739" s="0" t="s">
        <v>977</v>
      </c>
    </row>
    <row r="740" customFormat="false" ht="15" hidden="false" customHeight="false" outlineLevel="0" collapsed="false">
      <c r="A740" s="0" t="n">
        <v>68</v>
      </c>
      <c r="B740" s="0" t="s">
        <v>970</v>
      </c>
      <c r="C740" s="0" t="s">
        <v>971</v>
      </c>
      <c r="D740" s="0" t="s">
        <v>972</v>
      </c>
      <c r="E740" s="0" t="s">
        <v>978</v>
      </c>
      <c r="F740" s="0" t="s">
        <v>27</v>
      </c>
      <c r="I740" s="0" t="n">
        <v>2800</v>
      </c>
      <c r="J740" s="0" t="n">
        <v>0.736842105263158</v>
      </c>
      <c r="K740" s="0" t="s">
        <v>979</v>
      </c>
    </row>
    <row r="741" customFormat="false" ht="15" hidden="false" customHeight="false" outlineLevel="0" collapsed="false">
      <c r="A741" s="0" t="n">
        <v>68</v>
      </c>
      <c r="B741" s="0" t="s">
        <v>970</v>
      </c>
      <c r="C741" s="0" t="s">
        <v>971</v>
      </c>
      <c r="D741" s="0" t="s">
        <v>972</v>
      </c>
      <c r="E741" s="0" t="s">
        <v>740</v>
      </c>
      <c r="F741" s="0" t="s">
        <v>27</v>
      </c>
      <c r="I741" s="0" t="n">
        <v>3000</v>
      </c>
      <c r="J741" s="0" t="n">
        <v>0.789473684210526</v>
      </c>
      <c r="K741" s="0" t="s">
        <v>980</v>
      </c>
    </row>
    <row r="742" customFormat="false" ht="15" hidden="false" customHeight="false" outlineLevel="0" collapsed="false">
      <c r="A742" s="0" t="n">
        <v>68</v>
      </c>
      <c r="B742" s="0" t="s">
        <v>970</v>
      </c>
      <c r="C742" s="0" t="s">
        <v>971</v>
      </c>
      <c r="D742" s="0" t="s">
        <v>972</v>
      </c>
      <c r="E742" s="0" t="s">
        <v>850</v>
      </c>
      <c r="F742" s="0" t="s">
        <v>31</v>
      </c>
      <c r="I742" s="0" t="n">
        <v>0</v>
      </c>
      <c r="J742" s="0" t="n">
        <v>0</v>
      </c>
      <c r="K742" s="0" t="s">
        <v>981</v>
      </c>
    </row>
    <row r="743" customFormat="false" ht="15" hidden="false" customHeight="false" outlineLevel="0" collapsed="false">
      <c r="A743" s="0" t="n">
        <v>68</v>
      </c>
      <c r="B743" s="0" t="s">
        <v>970</v>
      </c>
      <c r="C743" s="0" t="s">
        <v>971</v>
      </c>
      <c r="D743" s="0" t="s">
        <v>972</v>
      </c>
      <c r="E743" s="0" t="s">
        <v>158</v>
      </c>
      <c r="F743" s="0" t="s">
        <v>28</v>
      </c>
      <c r="I743" s="0" t="n">
        <v>1000</v>
      </c>
      <c r="J743" s="0" t="n">
        <v>0.263157894736842</v>
      </c>
      <c r="K743" s="0" t="s">
        <v>982</v>
      </c>
    </row>
    <row r="744" customFormat="false" ht="15" hidden="false" customHeight="false" outlineLevel="0" collapsed="false">
      <c r="A744" s="0" t="n">
        <v>68</v>
      </c>
      <c r="B744" s="0" t="s">
        <v>970</v>
      </c>
      <c r="C744" s="0" t="s">
        <v>971</v>
      </c>
      <c r="D744" s="0" t="s">
        <v>972</v>
      </c>
      <c r="E744" s="0" t="s">
        <v>132</v>
      </c>
      <c r="F744" s="0" t="s">
        <v>29</v>
      </c>
      <c r="I744" s="0" t="n">
        <v>0</v>
      </c>
      <c r="J744" s="0" t="n">
        <v>0</v>
      </c>
      <c r="K744" s="0" t="s">
        <v>983</v>
      </c>
    </row>
    <row r="745" customFormat="false" ht="15" hidden="false" customHeight="false" outlineLevel="0" collapsed="false">
      <c r="A745" s="0" t="n">
        <v>68</v>
      </c>
      <c r="B745" s="0" t="s">
        <v>970</v>
      </c>
      <c r="C745" s="0" t="s">
        <v>971</v>
      </c>
      <c r="D745" s="0" t="s">
        <v>972</v>
      </c>
      <c r="E745" s="0" t="s">
        <v>134</v>
      </c>
      <c r="F745" s="0" t="s">
        <v>28</v>
      </c>
      <c r="I745" s="0" t="n">
        <v>0</v>
      </c>
      <c r="J745" s="0" t="n">
        <v>0</v>
      </c>
      <c r="K745" s="0" t="s">
        <v>984</v>
      </c>
    </row>
    <row r="746" customFormat="false" ht="15" hidden="false" customHeight="false" outlineLevel="0" collapsed="false">
      <c r="A746" s="0" t="n">
        <v>68</v>
      </c>
      <c r="B746" s="0" t="s">
        <v>970</v>
      </c>
      <c r="C746" s="0" t="s">
        <v>971</v>
      </c>
      <c r="D746" s="0" t="s">
        <v>972</v>
      </c>
      <c r="E746" s="0" t="s">
        <v>60</v>
      </c>
      <c r="F746" s="0" t="s">
        <v>27</v>
      </c>
      <c r="I746" s="0" t="n">
        <v>0</v>
      </c>
      <c r="J746" s="0" t="n">
        <v>0</v>
      </c>
      <c r="K746" s="0" t="s">
        <v>985</v>
      </c>
    </row>
    <row r="747" customFormat="false" ht="15" hidden="false" customHeight="false" outlineLevel="0" collapsed="false">
      <c r="A747" s="0" t="n">
        <v>68</v>
      </c>
      <c r="B747" s="0" t="s">
        <v>970</v>
      </c>
      <c r="C747" s="0" t="s">
        <v>971</v>
      </c>
      <c r="D747" s="0" t="s">
        <v>972</v>
      </c>
      <c r="E747" s="0" t="s">
        <v>62</v>
      </c>
      <c r="F747" s="0" t="s">
        <v>27</v>
      </c>
      <c r="I747" s="0" t="n">
        <v>0</v>
      </c>
      <c r="J747" s="0" t="n">
        <v>0</v>
      </c>
      <c r="K747" s="0" t="s">
        <v>986</v>
      </c>
    </row>
    <row r="748" customFormat="false" ht="15" hidden="false" customHeight="false" outlineLevel="0" collapsed="false">
      <c r="A748" s="0" t="n">
        <v>68</v>
      </c>
      <c r="B748" s="0" t="s">
        <v>970</v>
      </c>
      <c r="C748" s="0" t="s">
        <v>971</v>
      </c>
      <c r="D748" s="0" t="s">
        <v>972</v>
      </c>
      <c r="E748" s="0" t="s">
        <v>66</v>
      </c>
      <c r="F748" s="0" t="s">
        <v>27</v>
      </c>
      <c r="I748" s="0" t="n">
        <v>300</v>
      </c>
      <c r="J748" s="0" t="n">
        <v>0.0789473684210526</v>
      </c>
      <c r="K748" s="0" t="s">
        <v>987</v>
      </c>
    </row>
    <row r="749" customFormat="false" ht="15" hidden="false" customHeight="false" outlineLevel="0" collapsed="false">
      <c r="A749" s="0" t="n">
        <v>68</v>
      </c>
      <c r="B749" s="0" t="s">
        <v>970</v>
      </c>
      <c r="C749" s="0" t="s">
        <v>971</v>
      </c>
      <c r="D749" s="0" t="s">
        <v>972</v>
      </c>
      <c r="E749" s="0" t="s">
        <v>64</v>
      </c>
      <c r="F749" s="0" t="s">
        <v>27</v>
      </c>
      <c r="I749" s="0" t="n">
        <v>750</v>
      </c>
      <c r="J749" s="0" t="n">
        <v>0.197368421052632</v>
      </c>
      <c r="K749" s="0" t="s">
        <v>988</v>
      </c>
    </row>
    <row r="750" customFormat="false" ht="15" hidden="false" customHeight="false" outlineLevel="0" collapsed="false">
      <c r="A750" s="0" t="n">
        <v>68</v>
      </c>
      <c r="B750" s="0" t="s">
        <v>970</v>
      </c>
      <c r="C750" s="0" t="s">
        <v>971</v>
      </c>
      <c r="D750" s="0" t="s">
        <v>972</v>
      </c>
      <c r="E750" s="0" t="s">
        <v>68</v>
      </c>
      <c r="F750" s="0" t="s">
        <v>30</v>
      </c>
      <c r="I750" s="0" t="n">
        <v>3700</v>
      </c>
      <c r="J750" s="0" t="n">
        <v>0.973684210526316</v>
      </c>
      <c r="K750" s="0" t="s">
        <v>989</v>
      </c>
    </row>
    <row r="751" customFormat="false" ht="15" hidden="false" customHeight="false" outlineLevel="0" collapsed="false">
      <c r="A751" s="0" t="n">
        <v>69</v>
      </c>
      <c r="B751" s="0" t="s">
        <v>990</v>
      </c>
      <c r="C751" s="0" t="s">
        <v>991</v>
      </c>
      <c r="D751" s="0" t="s">
        <v>296</v>
      </c>
      <c r="E751" s="0" t="s">
        <v>828</v>
      </c>
      <c r="F751" s="0" t="s">
        <v>27</v>
      </c>
      <c r="G751" s="0" t="n">
        <v>1.1</v>
      </c>
      <c r="H751" s="0" t="n">
        <v>3</v>
      </c>
      <c r="I751" s="0" t="n">
        <v>13200</v>
      </c>
      <c r="J751" s="0" t="n">
        <v>3.3</v>
      </c>
      <c r="K751" s="0" t="s">
        <v>992</v>
      </c>
      <c r="L751" s="0" t="s">
        <v>993</v>
      </c>
    </row>
    <row r="752" customFormat="false" ht="15" hidden="false" customHeight="false" outlineLevel="0" collapsed="false">
      <c r="A752" s="0" t="n">
        <v>69</v>
      </c>
      <c r="B752" s="0" t="s">
        <v>990</v>
      </c>
      <c r="C752" s="0" t="s">
        <v>991</v>
      </c>
      <c r="D752" s="0" t="s">
        <v>296</v>
      </c>
      <c r="E752" s="0" t="s">
        <v>56</v>
      </c>
      <c r="F752" s="0" t="s">
        <v>28</v>
      </c>
      <c r="I752" s="0" t="n">
        <v>7000</v>
      </c>
      <c r="J752" s="0" t="n">
        <v>1.75</v>
      </c>
      <c r="K752" s="0" t="s">
        <v>994</v>
      </c>
    </row>
    <row r="753" customFormat="false" ht="15" hidden="false" customHeight="false" outlineLevel="0" collapsed="false">
      <c r="A753" s="0" t="n">
        <v>69</v>
      </c>
      <c r="B753" s="0" t="s">
        <v>990</v>
      </c>
      <c r="C753" s="0" t="s">
        <v>991</v>
      </c>
      <c r="D753" s="0" t="s">
        <v>296</v>
      </c>
      <c r="E753" s="0" t="s">
        <v>58</v>
      </c>
      <c r="F753" s="0" t="s">
        <v>28</v>
      </c>
      <c r="I753" s="0" t="n">
        <v>3500</v>
      </c>
      <c r="J753" s="0" t="n">
        <v>0.875</v>
      </c>
      <c r="K753" s="0" t="s">
        <v>995</v>
      </c>
    </row>
    <row r="754" customFormat="false" ht="15" hidden="false" customHeight="false" outlineLevel="0" collapsed="false">
      <c r="A754" s="0" t="n">
        <v>69</v>
      </c>
      <c r="B754" s="0" t="s">
        <v>990</v>
      </c>
      <c r="C754" s="0" t="s">
        <v>991</v>
      </c>
      <c r="D754" s="0" t="s">
        <v>296</v>
      </c>
      <c r="E754" s="0" t="s">
        <v>128</v>
      </c>
      <c r="F754" s="0" t="s">
        <v>28</v>
      </c>
      <c r="I754" s="0" t="n">
        <v>1000</v>
      </c>
      <c r="J754" s="0" t="n">
        <v>0.25</v>
      </c>
      <c r="K754" s="0" t="s">
        <v>996</v>
      </c>
    </row>
    <row r="755" customFormat="false" ht="15" hidden="false" customHeight="false" outlineLevel="0" collapsed="false">
      <c r="A755" s="0" t="n">
        <v>69</v>
      </c>
      <c r="B755" s="0" t="s">
        <v>990</v>
      </c>
      <c r="C755" s="0" t="s">
        <v>991</v>
      </c>
      <c r="D755" s="0" t="s">
        <v>296</v>
      </c>
      <c r="E755" s="0" t="s">
        <v>132</v>
      </c>
      <c r="F755" s="0" t="s">
        <v>29</v>
      </c>
      <c r="I755" s="0" t="n">
        <v>200</v>
      </c>
      <c r="J755" s="0" t="n">
        <v>0.05</v>
      </c>
      <c r="K755" s="0" t="s">
        <v>997</v>
      </c>
    </row>
    <row r="756" customFormat="false" ht="15" hidden="false" customHeight="false" outlineLevel="0" collapsed="false">
      <c r="A756" s="0" t="n">
        <v>69</v>
      </c>
      <c r="B756" s="0" t="s">
        <v>990</v>
      </c>
      <c r="C756" s="0" t="s">
        <v>991</v>
      </c>
      <c r="D756" s="0" t="s">
        <v>296</v>
      </c>
      <c r="E756" s="0" t="s">
        <v>203</v>
      </c>
      <c r="F756" s="0" t="s">
        <v>29</v>
      </c>
      <c r="I756" s="0" t="n">
        <v>1500</v>
      </c>
      <c r="J756" s="0" t="n">
        <v>0.375</v>
      </c>
      <c r="K756" s="0" t="s">
        <v>998</v>
      </c>
    </row>
    <row r="757" customFormat="false" ht="15" hidden="false" customHeight="false" outlineLevel="0" collapsed="false">
      <c r="A757" s="0" t="n">
        <v>69</v>
      </c>
      <c r="B757" s="0" t="s">
        <v>990</v>
      </c>
      <c r="C757" s="0" t="s">
        <v>991</v>
      </c>
      <c r="D757" s="0" t="s">
        <v>296</v>
      </c>
      <c r="E757" s="0" t="s">
        <v>134</v>
      </c>
      <c r="F757" s="0" t="s">
        <v>28</v>
      </c>
      <c r="I757" s="0" t="n">
        <v>200</v>
      </c>
      <c r="J757" s="0" t="n">
        <v>0.05</v>
      </c>
      <c r="K757" s="0" t="s">
        <v>999</v>
      </c>
    </row>
    <row r="758" customFormat="false" ht="15" hidden="false" customHeight="false" outlineLevel="0" collapsed="false">
      <c r="A758" s="0" t="n">
        <v>69</v>
      </c>
      <c r="B758" s="0" t="s">
        <v>990</v>
      </c>
      <c r="C758" s="0" t="s">
        <v>991</v>
      </c>
      <c r="D758" s="0" t="s">
        <v>296</v>
      </c>
      <c r="E758" s="0" t="s">
        <v>60</v>
      </c>
      <c r="F758" s="0" t="s">
        <v>27</v>
      </c>
      <c r="I758" s="0" t="n">
        <v>200</v>
      </c>
      <c r="J758" s="0" t="n">
        <v>0.05</v>
      </c>
      <c r="K758" s="0" t="s">
        <v>1000</v>
      </c>
    </row>
    <row r="759" customFormat="false" ht="15" hidden="false" customHeight="false" outlineLevel="0" collapsed="false">
      <c r="A759" s="0" t="n">
        <v>69</v>
      </c>
      <c r="B759" s="0" t="s">
        <v>990</v>
      </c>
      <c r="C759" s="0" t="s">
        <v>991</v>
      </c>
      <c r="D759" s="0" t="s">
        <v>296</v>
      </c>
      <c r="E759" s="0" t="s">
        <v>62</v>
      </c>
      <c r="F759" s="0" t="s">
        <v>27</v>
      </c>
      <c r="I759" s="0" t="n">
        <v>100</v>
      </c>
      <c r="J759" s="0" t="n">
        <v>0.025</v>
      </c>
      <c r="K759" s="0" t="s">
        <v>1001</v>
      </c>
    </row>
    <row r="760" customFormat="false" ht="15" hidden="false" customHeight="false" outlineLevel="0" collapsed="false">
      <c r="A760" s="0" t="n">
        <v>69</v>
      </c>
      <c r="B760" s="0" t="s">
        <v>990</v>
      </c>
      <c r="C760" s="0" t="s">
        <v>991</v>
      </c>
      <c r="D760" s="0" t="s">
        <v>296</v>
      </c>
      <c r="E760" s="0" t="s">
        <v>66</v>
      </c>
      <c r="F760" s="0" t="s">
        <v>27</v>
      </c>
      <c r="I760" s="0" t="n">
        <v>300</v>
      </c>
      <c r="J760" s="0" t="n">
        <v>0.075</v>
      </c>
      <c r="K760" s="0" t="s">
        <v>1002</v>
      </c>
    </row>
    <row r="761" customFormat="false" ht="15" hidden="false" customHeight="false" outlineLevel="0" collapsed="false">
      <c r="A761" s="0" t="n">
        <v>69</v>
      </c>
      <c r="B761" s="0" t="s">
        <v>990</v>
      </c>
      <c r="C761" s="0" t="s">
        <v>991</v>
      </c>
      <c r="D761" s="0" t="s">
        <v>296</v>
      </c>
      <c r="E761" s="0" t="s">
        <v>64</v>
      </c>
      <c r="F761" s="0" t="s">
        <v>27</v>
      </c>
      <c r="I761" s="0" t="n">
        <v>750</v>
      </c>
      <c r="J761" s="0" t="n">
        <v>0.1875</v>
      </c>
      <c r="K761" s="0" t="s">
        <v>1003</v>
      </c>
    </row>
    <row r="762" customFormat="false" ht="15" hidden="false" customHeight="false" outlineLevel="0" collapsed="false">
      <c r="A762" s="0" t="n">
        <v>69</v>
      </c>
      <c r="B762" s="0" t="s">
        <v>990</v>
      </c>
      <c r="C762" s="0" t="s">
        <v>991</v>
      </c>
      <c r="D762" s="0" t="s">
        <v>296</v>
      </c>
      <c r="E762" s="0" t="s">
        <v>68</v>
      </c>
      <c r="F762" s="0" t="s">
        <v>30</v>
      </c>
      <c r="I762" s="0" t="n">
        <v>4000</v>
      </c>
      <c r="J762" s="0" t="n">
        <v>1</v>
      </c>
      <c r="K762" s="0" t="s">
        <v>1004</v>
      </c>
    </row>
    <row r="763" customFormat="false" ht="15" hidden="false" customHeight="false" outlineLevel="0" collapsed="false">
      <c r="A763" s="0" t="n">
        <v>70</v>
      </c>
      <c r="B763" s="0" t="s">
        <v>990</v>
      </c>
      <c r="C763" s="0" t="s">
        <v>68</v>
      </c>
      <c r="D763" s="0" t="s">
        <v>1005</v>
      </c>
      <c r="E763" s="0" t="s">
        <v>828</v>
      </c>
      <c r="F763" s="0" t="s">
        <v>27</v>
      </c>
      <c r="G763" s="0" t="n">
        <v>0.6</v>
      </c>
      <c r="H763" s="0" t="n">
        <v>3</v>
      </c>
      <c r="I763" s="0" t="n">
        <v>7200</v>
      </c>
      <c r="J763" s="0" t="n">
        <v>1.8</v>
      </c>
      <c r="K763" s="0" t="s">
        <v>1006</v>
      </c>
      <c r="L763" s="0" t="s">
        <v>1007</v>
      </c>
    </row>
    <row r="764" customFormat="false" ht="15" hidden="false" customHeight="false" outlineLevel="0" collapsed="false">
      <c r="A764" s="0" t="n">
        <v>70</v>
      </c>
      <c r="B764" s="0" t="s">
        <v>990</v>
      </c>
      <c r="C764" s="0" t="s">
        <v>68</v>
      </c>
      <c r="D764" s="0" t="s">
        <v>1005</v>
      </c>
      <c r="E764" s="0" t="s">
        <v>56</v>
      </c>
      <c r="F764" s="0" t="s">
        <v>28</v>
      </c>
      <c r="I764" s="0" t="n">
        <v>700</v>
      </c>
      <c r="J764" s="0" t="n">
        <v>0.175</v>
      </c>
      <c r="K764" s="0" t="s">
        <v>1008</v>
      </c>
    </row>
    <row r="765" customFormat="false" ht="15" hidden="false" customHeight="false" outlineLevel="0" collapsed="false">
      <c r="A765" s="0" t="n">
        <v>70</v>
      </c>
      <c r="B765" s="0" t="s">
        <v>990</v>
      </c>
      <c r="C765" s="0" t="s">
        <v>68</v>
      </c>
      <c r="D765" s="0" t="s">
        <v>1005</v>
      </c>
      <c r="E765" s="0" t="s">
        <v>58</v>
      </c>
      <c r="F765" s="0" t="s">
        <v>28</v>
      </c>
      <c r="I765" s="0" t="n">
        <v>2500</v>
      </c>
      <c r="J765" s="0" t="n">
        <v>0.625</v>
      </c>
      <c r="K765" s="0" t="s">
        <v>1009</v>
      </c>
    </row>
    <row r="766" customFormat="false" ht="15" hidden="false" customHeight="false" outlineLevel="0" collapsed="false">
      <c r="A766" s="0" t="n">
        <v>70</v>
      </c>
      <c r="B766" s="0" t="s">
        <v>990</v>
      </c>
      <c r="C766" s="0" t="s">
        <v>68</v>
      </c>
      <c r="D766" s="0" t="s">
        <v>1005</v>
      </c>
      <c r="E766" s="0" t="s">
        <v>128</v>
      </c>
      <c r="F766" s="0" t="s">
        <v>28</v>
      </c>
      <c r="I766" s="0" t="n">
        <v>1000</v>
      </c>
      <c r="J766" s="0" t="n">
        <v>0.25</v>
      </c>
      <c r="K766" s="0" t="s">
        <v>1010</v>
      </c>
    </row>
    <row r="767" customFormat="false" ht="15" hidden="false" customHeight="false" outlineLevel="0" collapsed="false">
      <c r="A767" s="0" t="n">
        <v>70</v>
      </c>
      <c r="B767" s="0" t="s">
        <v>990</v>
      </c>
      <c r="C767" s="0" t="s">
        <v>68</v>
      </c>
      <c r="D767" s="0" t="s">
        <v>1005</v>
      </c>
      <c r="E767" s="0" t="s">
        <v>203</v>
      </c>
      <c r="F767" s="0" t="s">
        <v>29</v>
      </c>
      <c r="I767" s="0" t="n">
        <v>1000</v>
      </c>
      <c r="J767" s="0" t="n">
        <v>0.25</v>
      </c>
      <c r="K767" s="0" t="s">
        <v>1011</v>
      </c>
    </row>
    <row r="768" customFormat="false" ht="15" hidden="false" customHeight="false" outlineLevel="0" collapsed="false">
      <c r="A768" s="0" t="n">
        <v>70</v>
      </c>
      <c r="B768" s="0" t="s">
        <v>990</v>
      </c>
      <c r="C768" s="0" t="s">
        <v>68</v>
      </c>
      <c r="D768" s="0" t="s">
        <v>1005</v>
      </c>
      <c r="E768" s="0" t="s">
        <v>132</v>
      </c>
      <c r="F768" s="0" t="s">
        <v>29</v>
      </c>
      <c r="I768" s="0" t="n">
        <v>200</v>
      </c>
      <c r="J768" s="0" t="n">
        <v>0.05</v>
      </c>
      <c r="K768" s="0" t="s">
        <v>1012</v>
      </c>
      <c r="L768" s="0" t="s">
        <v>866</v>
      </c>
    </row>
    <row r="769" customFormat="false" ht="15" hidden="false" customHeight="false" outlineLevel="0" collapsed="false">
      <c r="A769" s="0" t="n">
        <v>70</v>
      </c>
      <c r="B769" s="0" t="s">
        <v>990</v>
      </c>
      <c r="C769" s="0" t="s">
        <v>68</v>
      </c>
      <c r="D769" s="0" t="s">
        <v>1005</v>
      </c>
      <c r="E769" s="0" t="s">
        <v>134</v>
      </c>
      <c r="F769" s="0" t="s">
        <v>28</v>
      </c>
      <c r="I769" s="0" t="n">
        <v>500</v>
      </c>
      <c r="J769" s="0" t="n">
        <v>0.125</v>
      </c>
      <c r="K769" s="0" t="s">
        <v>1013</v>
      </c>
    </row>
    <row r="770" customFormat="false" ht="15" hidden="false" customHeight="false" outlineLevel="0" collapsed="false">
      <c r="A770" s="0" t="n">
        <v>70</v>
      </c>
      <c r="B770" s="0" t="s">
        <v>990</v>
      </c>
      <c r="C770" s="0" t="s">
        <v>68</v>
      </c>
      <c r="D770" s="0" t="s">
        <v>1005</v>
      </c>
      <c r="E770" s="0" t="s">
        <v>60</v>
      </c>
      <c r="F770" s="0" t="s">
        <v>27</v>
      </c>
      <c r="I770" s="0" t="n">
        <v>200</v>
      </c>
      <c r="J770" s="0" t="n">
        <v>0.05</v>
      </c>
      <c r="K770" s="0" t="s">
        <v>1014</v>
      </c>
    </row>
    <row r="771" customFormat="false" ht="15" hidden="false" customHeight="false" outlineLevel="0" collapsed="false">
      <c r="A771" s="0" t="n">
        <v>70</v>
      </c>
      <c r="B771" s="0" t="s">
        <v>990</v>
      </c>
      <c r="C771" s="0" t="s">
        <v>68</v>
      </c>
      <c r="D771" s="0" t="s">
        <v>1005</v>
      </c>
      <c r="E771" s="0" t="s">
        <v>64</v>
      </c>
      <c r="F771" s="0" t="s">
        <v>27</v>
      </c>
      <c r="I771" s="0" t="n">
        <v>500</v>
      </c>
      <c r="J771" s="0" t="n">
        <v>0.125</v>
      </c>
      <c r="K771" s="0" t="s">
        <v>1015</v>
      </c>
    </row>
    <row r="772" customFormat="false" ht="15" hidden="false" customHeight="false" outlineLevel="0" collapsed="false">
      <c r="A772" s="0" t="n">
        <v>70</v>
      </c>
      <c r="B772" s="0" t="s">
        <v>990</v>
      </c>
      <c r="C772" s="0" t="s">
        <v>68</v>
      </c>
      <c r="D772" s="0" t="s">
        <v>1005</v>
      </c>
      <c r="E772" s="0" t="s">
        <v>66</v>
      </c>
      <c r="F772" s="0" t="s">
        <v>27</v>
      </c>
      <c r="I772" s="0" t="n">
        <v>300</v>
      </c>
      <c r="J772" s="0" t="n">
        <v>0.075</v>
      </c>
      <c r="K772" s="0" t="s">
        <v>1016</v>
      </c>
      <c r="L772" s="0" t="s">
        <v>874</v>
      </c>
    </row>
    <row r="773" customFormat="false" ht="15" hidden="false" customHeight="false" outlineLevel="0" collapsed="false">
      <c r="A773" s="0" t="n">
        <v>70</v>
      </c>
      <c r="B773" s="0" t="s">
        <v>990</v>
      </c>
      <c r="C773" s="0" t="s">
        <v>68</v>
      </c>
      <c r="D773" s="0" t="s">
        <v>1005</v>
      </c>
      <c r="E773" s="0" t="s">
        <v>158</v>
      </c>
      <c r="F773" s="0" t="s">
        <v>28</v>
      </c>
      <c r="I773" s="0" t="n">
        <v>2000</v>
      </c>
      <c r="J773" s="0" t="n">
        <v>0.5</v>
      </c>
      <c r="K773" s="0" t="s">
        <v>1017</v>
      </c>
    </row>
    <row r="774" customFormat="false" ht="15" hidden="false" customHeight="false" outlineLevel="0" collapsed="false">
      <c r="A774" s="0" t="n">
        <v>70</v>
      </c>
      <c r="B774" s="0" t="s">
        <v>990</v>
      </c>
      <c r="C774" s="0" t="s">
        <v>68</v>
      </c>
      <c r="D774" s="0" t="s">
        <v>1005</v>
      </c>
      <c r="E774" s="0" t="s">
        <v>68</v>
      </c>
      <c r="F774" s="0" t="s">
        <v>30</v>
      </c>
      <c r="I774" s="0" t="n">
        <v>2000</v>
      </c>
      <c r="J774" s="0" t="n">
        <v>0.5</v>
      </c>
      <c r="K774" s="0" t="s">
        <v>1018</v>
      </c>
    </row>
    <row r="775" customFormat="false" ht="15" hidden="false" customHeight="false" outlineLevel="0" collapsed="false">
      <c r="A775" s="0" t="n">
        <v>71</v>
      </c>
      <c r="B775" s="0" t="s">
        <v>990</v>
      </c>
      <c r="C775" s="0" t="s">
        <v>1019</v>
      </c>
      <c r="D775" s="0" t="s">
        <v>1019</v>
      </c>
      <c r="E775" s="0" t="s">
        <v>828</v>
      </c>
      <c r="F775" s="0" t="s">
        <v>27</v>
      </c>
      <c r="G775" s="0" t="n">
        <v>1.25</v>
      </c>
      <c r="H775" s="0" t="n">
        <v>3</v>
      </c>
      <c r="I775" s="0" t="n">
        <v>15000</v>
      </c>
      <c r="J775" s="0" t="n">
        <v>3.75</v>
      </c>
      <c r="K775" s="0" t="s">
        <v>1020</v>
      </c>
      <c r="L775" s="0" t="s">
        <v>1021</v>
      </c>
    </row>
    <row r="776" customFormat="false" ht="15" hidden="false" customHeight="false" outlineLevel="0" collapsed="false">
      <c r="A776" s="0" t="n">
        <v>71</v>
      </c>
      <c r="B776" s="0" t="s">
        <v>990</v>
      </c>
      <c r="C776" s="0" t="s">
        <v>1019</v>
      </c>
      <c r="D776" s="0" t="s">
        <v>1019</v>
      </c>
      <c r="E776" s="0" t="s">
        <v>56</v>
      </c>
      <c r="F776" s="0" t="s">
        <v>28</v>
      </c>
      <c r="I776" s="0" t="n">
        <v>1000</v>
      </c>
      <c r="J776" s="0" t="n">
        <v>0.25</v>
      </c>
      <c r="K776" s="0" t="s">
        <v>1022</v>
      </c>
    </row>
    <row r="777" customFormat="false" ht="15" hidden="false" customHeight="false" outlineLevel="0" collapsed="false">
      <c r="A777" s="0" t="n">
        <v>71</v>
      </c>
      <c r="B777" s="0" t="s">
        <v>990</v>
      </c>
      <c r="C777" s="0" t="s">
        <v>1019</v>
      </c>
      <c r="D777" s="0" t="s">
        <v>1019</v>
      </c>
      <c r="E777" s="0" t="s">
        <v>58</v>
      </c>
      <c r="F777" s="0" t="s">
        <v>28</v>
      </c>
      <c r="I777" s="0" t="n">
        <v>4000</v>
      </c>
      <c r="J777" s="0" t="n">
        <v>1</v>
      </c>
      <c r="K777" s="0" t="s">
        <v>1023</v>
      </c>
    </row>
    <row r="778" customFormat="false" ht="15" hidden="false" customHeight="false" outlineLevel="0" collapsed="false">
      <c r="A778" s="0" t="n">
        <v>71</v>
      </c>
      <c r="B778" s="0" t="s">
        <v>990</v>
      </c>
      <c r="C778" s="0" t="s">
        <v>1019</v>
      </c>
      <c r="D778" s="0" t="s">
        <v>1019</v>
      </c>
      <c r="E778" s="0" t="s">
        <v>128</v>
      </c>
      <c r="F778" s="0" t="s">
        <v>28</v>
      </c>
      <c r="I778" s="0" t="n">
        <v>1000</v>
      </c>
      <c r="J778" s="0" t="n">
        <v>0.25</v>
      </c>
      <c r="K778" s="0" t="s">
        <v>1024</v>
      </c>
    </row>
    <row r="779" customFormat="false" ht="15" hidden="false" customHeight="false" outlineLevel="0" collapsed="false">
      <c r="A779" s="0" t="n">
        <v>71</v>
      </c>
      <c r="B779" s="0" t="s">
        <v>990</v>
      </c>
      <c r="C779" s="0" t="s">
        <v>1019</v>
      </c>
      <c r="D779" s="0" t="s">
        <v>1019</v>
      </c>
      <c r="E779" s="0" t="s">
        <v>203</v>
      </c>
      <c r="F779" s="0" t="s">
        <v>29</v>
      </c>
      <c r="I779" s="0" t="n">
        <v>2500</v>
      </c>
      <c r="J779" s="0" t="n">
        <v>0.625</v>
      </c>
      <c r="K779" s="0" t="s">
        <v>1025</v>
      </c>
    </row>
    <row r="780" customFormat="false" ht="15" hidden="false" customHeight="false" outlineLevel="0" collapsed="false">
      <c r="A780" s="0" t="n">
        <v>71</v>
      </c>
      <c r="B780" s="0" t="s">
        <v>990</v>
      </c>
      <c r="C780" s="0" t="s">
        <v>1019</v>
      </c>
      <c r="D780" s="0" t="s">
        <v>1019</v>
      </c>
      <c r="E780" s="0" t="s">
        <v>132</v>
      </c>
      <c r="F780" s="0" t="s">
        <v>29</v>
      </c>
      <c r="I780" s="0" t="n">
        <v>200</v>
      </c>
      <c r="J780" s="0" t="n">
        <v>0.05</v>
      </c>
      <c r="K780" s="0" t="s">
        <v>1026</v>
      </c>
    </row>
    <row r="781" customFormat="false" ht="15" hidden="false" customHeight="false" outlineLevel="0" collapsed="false">
      <c r="A781" s="0" t="n">
        <v>71</v>
      </c>
      <c r="B781" s="0" t="s">
        <v>990</v>
      </c>
      <c r="C781" s="0" t="s">
        <v>1019</v>
      </c>
      <c r="D781" s="0" t="s">
        <v>1019</v>
      </c>
      <c r="E781" s="0" t="s">
        <v>134</v>
      </c>
      <c r="F781" s="0" t="s">
        <v>28</v>
      </c>
      <c r="I781" s="0" t="n">
        <v>200</v>
      </c>
      <c r="J781" s="0" t="n">
        <v>0.05</v>
      </c>
      <c r="K781" s="0" t="s">
        <v>1027</v>
      </c>
    </row>
    <row r="782" customFormat="false" ht="15" hidden="false" customHeight="false" outlineLevel="0" collapsed="false">
      <c r="A782" s="0" t="n">
        <v>71</v>
      </c>
      <c r="B782" s="0" t="s">
        <v>990</v>
      </c>
      <c r="C782" s="0" t="s">
        <v>1019</v>
      </c>
      <c r="D782" s="0" t="s">
        <v>1019</v>
      </c>
      <c r="E782" s="0" t="s">
        <v>60</v>
      </c>
      <c r="F782" s="0" t="s">
        <v>27</v>
      </c>
      <c r="I782" s="0" t="n">
        <v>200</v>
      </c>
      <c r="J782" s="0" t="n">
        <v>0.05</v>
      </c>
      <c r="K782" s="0" t="s">
        <v>1028</v>
      </c>
    </row>
    <row r="783" customFormat="false" ht="15" hidden="false" customHeight="false" outlineLevel="0" collapsed="false">
      <c r="A783" s="0" t="n">
        <v>71</v>
      </c>
      <c r="B783" s="0" t="s">
        <v>990</v>
      </c>
      <c r="C783" s="0" t="s">
        <v>1019</v>
      </c>
      <c r="D783" s="0" t="s">
        <v>1019</v>
      </c>
      <c r="E783" s="0" t="s">
        <v>62</v>
      </c>
      <c r="F783" s="0" t="s">
        <v>27</v>
      </c>
      <c r="I783" s="0" t="n">
        <v>100</v>
      </c>
      <c r="J783" s="0" t="n">
        <v>0.025</v>
      </c>
      <c r="K783" s="0" t="s">
        <v>1029</v>
      </c>
    </row>
    <row r="784" customFormat="false" ht="15" hidden="false" customHeight="false" outlineLevel="0" collapsed="false">
      <c r="A784" s="0" t="n">
        <v>71</v>
      </c>
      <c r="B784" s="0" t="s">
        <v>990</v>
      </c>
      <c r="C784" s="0" t="s">
        <v>1019</v>
      </c>
      <c r="D784" s="0" t="s">
        <v>1019</v>
      </c>
      <c r="E784" s="0" t="s">
        <v>66</v>
      </c>
      <c r="F784" s="0" t="s">
        <v>27</v>
      </c>
      <c r="I784" s="0" t="n">
        <v>300</v>
      </c>
      <c r="J784" s="0" t="n">
        <v>0.075</v>
      </c>
      <c r="K784" s="0" t="s">
        <v>1030</v>
      </c>
    </row>
    <row r="785" customFormat="false" ht="15" hidden="false" customHeight="false" outlineLevel="0" collapsed="false">
      <c r="A785" s="0" t="n">
        <v>71</v>
      </c>
      <c r="B785" s="0" t="s">
        <v>990</v>
      </c>
      <c r="C785" s="0" t="s">
        <v>1019</v>
      </c>
      <c r="D785" s="0" t="s">
        <v>1019</v>
      </c>
      <c r="E785" s="0" t="s">
        <v>64</v>
      </c>
      <c r="F785" s="0" t="s">
        <v>27</v>
      </c>
      <c r="I785" s="0" t="n">
        <v>750</v>
      </c>
      <c r="J785" s="0" t="n">
        <v>0.1875</v>
      </c>
      <c r="K785" s="0" t="s">
        <v>1031</v>
      </c>
    </row>
    <row r="786" customFormat="false" ht="15" hidden="false" customHeight="false" outlineLevel="0" collapsed="false">
      <c r="A786" s="0" t="n">
        <v>71</v>
      </c>
      <c r="B786" s="0" t="s">
        <v>990</v>
      </c>
      <c r="C786" s="0" t="s">
        <v>1019</v>
      </c>
      <c r="D786" s="0" t="s">
        <v>1019</v>
      </c>
      <c r="E786" s="0" t="s">
        <v>68</v>
      </c>
      <c r="F786" s="0" t="s">
        <v>30</v>
      </c>
      <c r="I786" s="0" t="n">
        <v>4000</v>
      </c>
      <c r="J786" s="0" t="n">
        <v>1</v>
      </c>
      <c r="K786" s="0" t="s">
        <v>1032</v>
      </c>
    </row>
    <row r="787" customFormat="false" ht="15" hidden="false" customHeight="false" outlineLevel="0" collapsed="false">
      <c r="A787" s="0" t="n">
        <v>72</v>
      </c>
      <c r="B787" s="0" t="s">
        <v>1033</v>
      </c>
      <c r="C787" s="0" t="s">
        <v>68</v>
      </c>
      <c r="D787" s="0" t="s">
        <v>1034</v>
      </c>
      <c r="E787" s="0" t="s">
        <v>1035</v>
      </c>
      <c r="F787" s="0" t="s">
        <v>27</v>
      </c>
      <c r="I787" s="0" t="n">
        <v>16720</v>
      </c>
      <c r="J787" s="0" t="n">
        <v>4.4</v>
      </c>
      <c r="K787" s="0" t="s">
        <v>1036</v>
      </c>
      <c r="L787" s="0" t="s">
        <v>1037</v>
      </c>
    </row>
    <row r="788" customFormat="false" ht="15" hidden="false" customHeight="false" outlineLevel="0" collapsed="false">
      <c r="A788" s="0" t="n">
        <v>72</v>
      </c>
      <c r="B788" s="0" t="s">
        <v>1033</v>
      </c>
      <c r="C788" s="0" t="s">
        <v>68</v>
      </c>
      <c r="D788" s="0" t="s">
        <v>1034</v>
      </c>
      <c r="E788" s="0" t="s">
        <v>56</v>
      </c>
      <c r="F788" s="0" t="s">
        <v>28</v>
      </c>
      <c r="I788" s="0" t="n">
        <v>500</v>
      </c>
      <c r="J788" s="0" t="n">
        <v>0.131578947368421</v>
      </c>
      <c r="K788" s="0" t="s">
        <v>1038</v>
      </c>
    </row>
    <row r="789" customFormat="false" ht="15" hidden="false" customHeight="false" outlineLevel="0" collapsed="false">
      <c r="A789" s="0" t="n">
        <v>72</v>
      </c>
      <c r="B789" s="0" t="s">
        <v>1033</v>
      </c>
      <c r="C789" s="0" t="s">
        <v>68</v>
      </c>
      <c r="D789" s="0" t="s">
        <v>1034</v>
      </c>
      <c r="E789" s="0" t="s">
        <v>58</v>
      </c>
      <c r="F789" s="0" t="s">
        <v>28</v>
      </c>
      <c r="I789" s="0" t="n">
        <v>3000</v>
      </c>
      <c r="J789" s="0" t="n">
        <v>0.789473684210526</v>
      </c>
      <c r="K789" s="0" t="s">
        <v>1039</v>
      </c>
    </row>
    <row r="790" customFormat="false" ht="15" hidden="false" customHeight="false" outlineLevel="0" collapsed="false">
      <c r="A790" s="0" t="n">
        <v>72</v>
      </c>
      <c r="B790" s="0" t="s">
        <v>1033</v>
      </c>
      <c r="C790" s="0" t="s">
        <v>68</v>
      </c>
      <c r="D790" s="0" t="s">
        <v>1034</v>
      </c>
      <c r="E790" s="0" t="s">
        <v>128</v>
      </c>
      <c r="F790" s="0" t="s">
        <v>28</v>
      </c>
      <c r="I790" s="0" t="n">
        <v>500</v>
      </c>
      <c r="J790" s="0" t="n">
        <v>0.131578947368421</v>
      </c>
      <c r="K790" s="0" t="s">
        <v>1040</v>
      </c>
    </row>
    <row r="791" customFormat="false" ht="15" hidden="false" customHeight="false" outlineLevel="0" collapsed="false">
      <c r="A791" s="0" t="n">
        <v>72</v>
      </c>
      <c r="B791" s="0" t="s">
        <v>1033</v>
      </c>
      <c r="C791" s="0" t="s">
        <v>68</v>
      </c>
      <c r="D791" s="0" t="s">
        <v>1034</v>
      </c>
      <c r="E791" s="0" t="s">
        <v>203</v>
      </c>
      <c r="F791" s="0" t="s">
        <v>29</v>
      </c>
      <c r="I791" s="0" t="n">
        <v>3000</v>
      </c>
      <c r="J791" s="0" t="n">
        <v>0.789473684210526</v>
      </c>
      <c r="K791" s="0" t="s">
        <v>1041</v>
      </c>
    </row>
    <row r="792" customFormat="false" ht="15" hidden="false" customHeight="false" outlineLevel="0" collapsed="false">
      <c r="A792" s="0" t="n">
        <v>72</v>
      </c>
      <c r="B792" s="0" t="s">
        <v>1033</v>
      </c>
      <c r="C792" s="0" t="s">
        <v>68</v>
      </c>
      <c r="D792" s="0" t="s">
        <v>1034</v>
      </c>
      <c r="E792" s="0" t="s">
        <v>850</v>
      </c>
      <c r="F792" s="0" t="s">
        <v>31</v>
      </c>
      <c r="I792" s="0" t="n">
        <v>1000</v>
      </c>
      <c r="J792" s="0" t="n">
        <v>0.263157894736842</v>
      </c>
      <c r="K792" s="0" t="s">
        <v>1042</v>
      </c>
    </row>
    <row r="793" customFormat="false" ht="15" hidden="false" customHeight="false" outlineLevel="0" collapsed="false">
      <c r="A793" s="0" t="n">
        <v>72</v>
      </c>
      <c r="B793" s="0" t="s">
        <v>1033</v>
      </c>
      <c r="C793" s="0" t="s">
        <v>68</v>
      </c>
      <c r="D793" s="0" t="s">
        <v>1034</v>
      </c>
      <c r="E793" s="0" t="s">
        <v>132</v>
      </c>
      <c r="F793" s="0" t="s">
        <v>29</v>
      </c>
      <c r="I793" s="0" t="n">
        <v>200</v>
      </c>
      <c r="J793" s="0" t="n">
        <v>0.0526315789473684</v>
      </c>
      <c r="K793" s="0" t="s">
        <v>1043</v>
      </c>
    </row>
    <row r="794" customFormat="false" ht="15" hidden="false" customHeight="false" outlineLevel="0" collapsed="false">
      <c r="A794" s="0" t="n">
        <v>72</v>
      </c>
      <c r="B794" s="0" t="s">
        <v>1033</v>
      </c>
      <c r="C794" s="0" t="s">
        <v>68</v>
      </c>
      <c r="D794" s="0" t="s">
        <v>1034</v>
      </c>
      <c r="E794" s="0" t="s">
        <v>134</v>
      </c>
      <c r="F794" s="0" t="s">
        <v>28</v>
      </c>
      <c r="I794" s="0" t="n">
        <v>200</v>
      </c>
      <c r="J794" s="0" t="n">
        <v>0.0526315789473684</v>
      </c>
      <c r="K794" s="0" t="s">
        <v>1044</v>
      </c>
    </row>
    <row r="795" customFormat="false" ht="15" hidden="false" customHeight="false" outlineLevel="0" collapsed="false">
      <c r="A795" s="0" t="n">
        <v>72</v>
      </c>
      <c r="B795" s="0" t="s">
        <v>1033</v>
      </c>
      <c r="C795" s="0" t="s">
        <v>68</v>
      </c>
      <c r="D795" s="0" t="s">
        <v>1034</v>
      </c>
      <c r="E795" s="0" t="s">
        <v>60</v>
      </c>
      <c r="F795" s="0" t="s">
        <v>27</v>
      </c>
      <c r="I795" s="0" t="n">
        <v>200</v>
      </c>
      <c r="J795" s="0" t="n">
        <v>0.0526315789473684</v>
      </c>
      <c r="K795" s="0" t="s">
        <v>1045</v>
      </c>
    </row>
    <row r="796" customFormat="false" ht="15" hidden="false" customHeight="false" outlineLevel="0" collapsed="false">
      <c r="A796" s="0" t="n">
        <v>72</v>
      </c>
      <c r="B796" s="0" t="s">
        <v>1033</v>
      </c>
      <c r="C796" s="0" t="s">
        <v>68</v>
      </c>
      <c r="D796" s="0" t="s">
        <v>1034</v>
      </c>
      <c r="E796" s="0" t="s">
        <v>62</v>
      </c>
      <c r="F796" s="0" t="s">
        <v>27</v>
      </c>
      <c r="I796" s="0" t="n">
        <v>100</v>
      </c>
      <c r="J796" s="0" t="n">
        <v>0.0263157894736842</v>
      </c>
      <c r="K796" s="0" t="s">
        <v>1046</v>
      </c>
    </row>
    <row r="797" customFormat="false" ht="15" hidden="false" customHeight="false" outlineLevel="0" collapsed="false">
      <c r="A797" s="0" t="n">
        <v>72</v>
      </c>
      <c r="B797" s="0" t="s">
        <v>1033</v>
      </c>
      <c r="C797" s="0" t="s">
        <v>68</v>
      </c>
      <c r="D797" s="0" t="s">
        <v>1034</v>
      </c>
      <c r="E797" s="0" t="s">
        <v>66</v>
      </c>
      <c r="F797" s="0" t="s">
        <v>27</v>
      </c>
      <c r="I797" s="0" t="n">
        <v>300</v>
      </c>
      <c r="J797" s="0" t="n">
        <v>0.0789473684210526</v>
      </c>
      <c r="K797" s="0" t="s">
        <v>1047</v>
      </c>
      <c r="L797" s="0" t="s">
        <v>647</v>
      </c>
    </row>
    <row r="798" customFormat="false" ht="15" hidden="false" customHeight="false" outlineLevel="0" collapsed="false">
      <c r="A798" s="0" t="n">
        <v>72</v>
      </c>
      <c r="B798" s="0" t="s">
        <v>1033</v>
      </c>
      <c r="C798" s="0" t="s">
        <v>68</v>
      </c>
      <c r="D798" s="0" t="s">
        <v>1034</v>
      </c>
      <c r="E798" s="0" t="s">
        <v>64</v>
      </c>
      <c r="F798" s="0" t="s">
        <v>27</v>
      </c>
      <c r="I798" s="0" t="n">
        <v>750</v>
      </c>
      <c r="J798" s="0" t="n">
        <v>0.197368421052632</v>
      </c>
      <c r="K798" s="0" t="s">
        <v>1048</v>
      </c>
    </row>
    <row r="799" customFormat="false" ht="15" hidden="false" customHeight="false" outlineLevel="0" collapsed="false">
      <c r="A799" s="0" t="n">
        <v>72</v>
      </c>
      <c r="B799" s="0" t="s">
        <v>1033</v>
      </c>
      <c r="C799" s="0" t="s">
        <v>68</v>
      </c>
      <c r="D799" s="0" t="s">
        <v>1034</v>
      </c>
      <c r="E799" s="0" t="s">
        <v>68</v>
      </c>
      <c r="F799" s="0" t="s">
        <v>30</v>
      </c>
      <c r="I799" s="0" t="n">
        <v>4000</v>
      </c>
      <c r="J799" s="0" t="n">
        <v>1.05263157894737</v>
      </c>
      <c r="K799" s="0" t="s">
        <v>1049</v>
      </c>
      <c r="L799" s="0" t="s">
        <v>874</v>
      </c>
    </row>
    <row r="800" customFormat="false" ht="15" hidden="false" customHeight="false" outlineLevel="0" collapsed="false">
      <c r="A800" s="0" t="n">
        <v>73</v>
      </c>
      <c r="B800" s="0" t="s">
        <v>1033</v>
      </c>
      <c r="C800" s="0" t="s">
        <v>68</v>
      </c>
      <c r="D800" s="0" t="s">
        <v>1033</v>
      </c>
      <c r="E800" s="0" t="s">
        <v>1035</v>
      </c>
      <c r="F800" s="0" t="s">
        <v>27</v>
      </c>
      <c r="I800" s="0" t="n">
        <v>13680</v>
      </c>
      <c r="J800" s="0" t="n">
        <v>3.6</v>
      </c>
      <c r="K800" s="0" t="s">
        <v>1050</v>
      </c>
      <c r="L800" s="0" t="s">
        <v>1051</v>
      </c>
    </row>
    <row r="801" customFormat="false" ht="15" hidden="false" customHeight="false" outlineLevel="0" collapsed="false">
      <c r="A801" s="0" t="n">
        <v>73</v>
      </c>
      <c r="B801" s="0" t="s">
        <v>1033</v>
      </c>
      <c r="C801" s="0" t="s">
        <v>68</v>
      </c>
      <c r="D801" s="0" t="s">
        <v>1033</v>
      </c>
      <c r="E801" s="0" t="s">
        <v>56</v>
      </c>
      <c r="F801" s="0" t="s">
        <v>28</v>
      </c>
      <c r="I801" s="0" t="n">
        <v>500</v>
      </c>
      <c r="J801" s="0" t="n">
        <v>0.131578947368421</v>
      </c>
      <c r="K801" s="0" t="s">
        <v>1052</v>
      </c>
    </row>
    <row r="802" customFormat="false" ht="15" hidden="false" customHeight="false" outlineLevel="0" collapsed="false">
      <c r="A802" s="0" t="n">
        <v>73</v>
      </c>
      <c r="B802" s="0" t="s">
        <v>1033</v>
      </c>
      <c r="C802" s="0" t="s">
        <v>68</v>
      </c>
      <c r="D802" s="0" t="s">
        <v>1033</v>
      </c>
      <c r="E802" s="0" t="s">
        <v>58</v>
      </c>
      <c r="F802" s="0" t="s">
        <v>28</v>
      </c>
      <c r="I802" s="0" t="n">
        <v>3000</v>
      </c>
      <c r="J802" s="0" t="n">
        <v>0.789473684210526</v>
      </c>
      <c r="K802" s="0" t="s">
        <v>1053</v>
      </c>
    </row>
    <row r="803" customFormat="false" ht="15" hidden="false" customHeight="false" outlineLevel="0" collapsed="false">
      <c r="A803" s="0" t="n">
        <v>73</v>
      </c>
      <c r="B803" s="0" t="s">
        <v>1033</v>
      </c>
      <c r="C803" s="0" t="s">
        <v>68</v>
      </c>
      <c r="D803" s="0" t="s">
        <v>1033</v>
      </c>
      <c r="E803" s="0" t="s">
        <v>128</v>
      </c>
      <c r="F803" s="0" t="s">
        <v>28</v>
      </c>
      <c r="I803" s="0" t="n">
        <v>500</v>
      </c>
      <c r="J803" s="0" t="n">
        <v>0.131578947368421</v>
      </c>
      <c r="K803" s="0" t="s">
        <v>1054</v>
      </c>
    </row>
    <row r="804" customFormat="false" ht="15" hidden="false" customHeight="false" outlineLevel="0" collapsed="false">
      <c r="A804" s="0" t="n">
        <v>73</v>
      </c>
      <c r="B804" s="0" t="s">
        <v>1033</v>
      </c>
      <c r="C804" s="0" t="s">
        <v>68</v>
      </c>
      <c r="D804" s="0" t="s">
        <v>1033</v>
      </c>
      <c r="E804" s="0" t="s">
        <v>203</v>
      </c>
      <c r="F804" s="0" t="s">
        <v>29</v>
      </c>
      <c r="I804" s="0" t="n">
        <v>3000</v>
      </c>
      <c r="J804" s="0" t="n">
        <v>0.789473684210526</v>
      </c>
      <c r="K804" s="0" t="s">
        <v>1055</v>
      </c>
    </row>
    <row r="805" customFormat="false" ht="15" hidden="false" customHeight="false" outlineLevel="0" collapsed="false">
      <c r="A805" s="0" t="n">
        <v>73</v>
      </c>
      <c r="B805" s="0" t="s">
        <v>1033</v>
      </c>
      <c r="C805" s="0" t="s">
        <v>68</v>
      </c>
      <c r="D805" s="0" t="s">
        <v>1033</v>
      </c>
      <c r="E805" s="0" t="s">
        <v>850</v>
      </c>
      <c r="F805" s="0" t="s">
        <v>31</v>
      </c>
      <c r="I805" s="0" t="n">
        <v>1000</v>
      </c>
      <c r="J805" s="0" t="n">
        <v>0.263157894736842</v>
      </c>
      <c r="K805" s="0" t="s">
        <v>1056</v>
      </c>
    </row>
    <row r="806" customFormat="false" ht="15" hidden="false" customHeight="false" outlineLevel="0" collapsed="false">
      <c r="A806" s="0" t="n">
        <v>73</v>
      </c>
      <c r="B806" s="0" t="s">
        <v>1033</v>
      </c>
      <c r="C806" s="0" t="s">
        <v>68</v>
      </c>
      <c r="D806" s="0" t="s">
        <v>1033</v>
      </c>
      <c r="E806" s="0" t="s">
        <v>132</v>
      </c>
      <c r="F806" s="0" t="s">
        <v>29</v>
      </c>
      <c r="I806" s="0" t="n">
        <v>200</v>
      </c>
      <c r="J806" s="0" t="n">
        <v>0.0526315789473684</v>
      </c>
      <c r="K806" s="0" t="s">
        <v>1057</v>
      </c>
    </row>
    <row r="807" customFormat="false" ht="15" hidden="false" customHeight="false" outlineLevel="0" collapsed="false">
      <c r="A807" s="0" t="n">
        <v>73</v>
      </c>
      <c r="B807" s="0" t="s">
        <v>1033</v>
      </c>
      <c r="C807" s="0" t="s">
        <v>68</v>
      </c>
      <c r="D807" s="0" t="s">
        <v>1033</v>
      </c>
      <c r="E807" s="0" t="s">
        <v>134</v>
      </c>
      <c r="F807" s="0" t="s">
        <v>28</v>
      </c>
      <c r="I807" s="0" t="n">
        <v>200</v>
      </c>
      <c r="J807" s="0" t="n">
        <v>0.0526315789473684</v>
      </c>
      <c r="K807" s="0" t="s">
        <v>1058</v>
      </c>
    </row>
    <row r="808" customFormat="false" ht="15" hidden="false" customHeight="false" outlineLevel="0" collapsed="false">
      <c r="A808" s="0" t="n">
        <v>73</v>
      </c>
      <c r="B808" s="0" t="s">
        <v>1033</v>
      </c>
      <c r="C808" s="0" t="s">
        <v>68</v>
      </c>
      <c r="D808" s="0" t="s">
        <v>1033</v>
      </c>
      <c r="E808" s="0" t="s">
        <v>60</v>
      </c>
      <c r="F808" s="0" t="s">
        <v>27</v>
      </c>
      <c r="I808" s="0" t="n">
        <v>200</v>
      </c>
      <c r="J808" s="0" t="n">
        <v>0.0526315789473684</v>
      </c>
      <c r="K808" s="0" t="s">
        <v>1059</v>
      </c>
    </row>
    <row r="809" customFormat="false" ht="15" hidden="false" customHeight="false" outlineLevel="0" collapsed="false">
      <c r="A809" s="0" t="n">
        <v>73</v>
      </c>
      <c r="B809" s="0" t="s">
        <v>1033</v>
      </c>
      <c r="C809" s="0" t="s">
        <v>68</v>
      </c>
      <c r="D809" s="0" t="s">
        <v>1033</v>
      </c>
      <c r="E809" s="0" t="s">
        <v>62</v>
      </c>
      <c r="F809" s="0" t="s">
        <v>27</v>
      </c>
      <c r="I809" s="0" t="n">
        <v>100</v>
      </c>
      <c r="J809" s="0" t="n">
        <v>0.0263157894736842</v>
      </c>
      <c r="K809" s="0" t="s">
        <v>1060</v>
      </c>
    </row>
    <row r="810" customFormat="false" ht="15" hidden="false" customHeight="false" outlineLevel="0" collapsed="false">
      <c r="A810" s="0" t="n">
        <v>73</v>
      </c>
      <c r="B810" s="0" t="s">
        <v>1033</v>
      </c>
      <c r="C810" s="0" t="s">
        <v>68</v>
      </c>
      <c r="D810" s="0" t="s">
        <v>1033</v>
      </c>
      <c r="E810" s="0" t="s">
        <v>66</v>
      </c>
      <c r="F810" s="0" t="s">
        <v>27</v>
      </c>
      <c r="I810" s="0" t="n">
        <v>300</v>
      </c>
      <c r="J810" s="0" t="n">
        <v>0.0789473684210526</v>
      </c>
      <c r="K810" s="0" t="s">
        <v>1061</v>
      </c>
      <c r="L810" s="0" t="s">
        <v>1062</v>
      </c>
    </row>
    <row r="811" customFormat="false" ht="15" hidden="false" customHeight="false" outlineLevel="0" collapsed="false">
      <c r="A811" s="0" t="n">
        <v>73</v>
      </c>
      <c r="B811" s="0" t="s">
        <v>1033</v>
      </c>
      <c r="C811" s="0" t="s">
        <v>68</v>
      </c>
      <c r="D811" s="0" t="s">
        <v>1033</v>
      </c>
      <c r="E811" s="0" t="s">
        <v>64</v>
      </c>
      <c r="F811" s="0" t="s">
        <v>27</v>
      </c>
      <c r="I811" s="0" t="n">
        <v>750</v>
      </c>
      <c r="J811" s="0" t="n">
        <v>0.197368421052632</v>
      </c>
      <c r="K811" s="0" t="s">
        <v>1063</v>
      </c>
    </row>
    <row r="812" customFormat="false" ht="15" hidden="false" customHeight="false" outlineLevel="0" collapsed="false">
      <c r="A812" s="0" t="n">
        <v>73</v>
      </c>
      <c r="B812" s="0" t="s">
        <v>1033</v>
      </c>
      <c r="C812" s="0" t="s">
        <v>68</v>
      </c>
      <c r="D812" s="0" t="s">
        <v>1033</v>
      </c>
      <c r="E812" s="0" t="s">
        <v>68</v>
      </c>
      <c r="F812" s="0" t="s">
        <v>30</v>
      </c>
      <c r="I812" s="0" t="n">
        <v>4000</v>
      </c>
      <c r="J812" s="0" t="n">
        <v>1.05263157894737</v>
      </c>
      <c r="K812" s="0" t="s">
        <v>1064</v>
      </c>
      <c r="L812" s="0" t="s">
        <v>1065</v>
      </c>
    </row>
    <row r="813" customFormat="false" ht="15" hidden="false" customHeight="false" outlineLevel="0" collapsed="false">
      <c r="A813" s="0" t="n">
        <v>74</v>
      </c>
      <c r="B813" s="0" t="s">
        <v>1033</v>
      </c>
      <c r="C813" s="0" t="s">
        <v>1066</v>
      </c>
      <c r="D813" s="0" t="s">
        <v>1066</v>
      </c>
      <c r="E813" s="0" t="s">
        <v>1035</v>
      </c>
      <c r="F813" s="0" t="s">
        <v>27</v>
      </c>
      <c r="I813" s="0" t="n">
        <v>18240</v>
      </c>
      <c r="J813" s="0" t="n">
        <v>4.8</v>
      </c>
      <c r="K813" s="0" t="s">
        <v>1067</v>
      </c>
      <c r="L813" s="0" t="s">
        <v>111</v>
      </c>
    </row>
    <row r="814" customFormat="false" ht="15" hidden="false" customHeight="false" outlineLevel="0" collapsed="false">
      <c r="A814" s="0" t="n">
        <v>74</v>
      </c>
      <c r="B814" s="0" t="s">
        <v>1033</v>
      </c>
      <c r="C814" s="0" t="s">
        <v>1066</v>
      </c>
      <c r="D814" s="0" t="s">
        <v>1066</v>
      </c>
      <c r="E814" s="0" t="s">
        <v>56</v>
      </c>
      <c r="F814" s="0" t="s">
        <v>28</v>
      </c>
      <c r="I814" s="0" t="n">
        <v>500</v>
      </c>
      <c r="J814" s="0" t="n">
        <v>0.131578947368421</v>
      </c>
      <c r="K814" s="0" t="s">
        <v>1068</v>
      </c>
    </row>
    <row r="815" customFormat="false" ht="15" hidden="false" customHeight="false" outlineLevel="0" collapsed="false">
      <c r="A815" s="0" t="n">
        <v>74</v>
      </c>
      <c r="B815" s="0" t="s">
        <v>1033</v>
      </c>
      <c r="C815" s="0" t="s">
        <v>1066</v>
      </c>
      <c r="D815" s="0" t="s">
        <v>1066</v>
      </c>
      <c r="E815" s="0" t="s">
        <v>58</v>
      </c>
      <c r="F815" s="0" t="s">
        <v>28</v>
      </c>
      <c r="I815" s="0" t="n">
        <v>3000</v>
      </c>
      <c r="J815" s="0" t="n">
        <v>0.789473684210526</v>
      </c>
      <c r="K815" s="0" t="s">
        <v>1069</v>
      </c>
    </row>
    <row r="816" customFormat="false" ht="15" hidden="false" customHeight="false" outlineLevel="0" collapsed="false">
      <c r="A816" s="0" t="n">
        <v>74</v>
      </c>
      <c r="B816" s="0" t="s">
        <v>1033</v>
      </c>
      <c r="C816" s="0" t="s">
        <v>1066</v>
      </c>
      <c r="D816" s="0" t="s">
        <v>1066</v>
      </c>
      <c r="E816" s="0" t="s">
        <v>203</v>
      </c>
      <c r="F816" s="0" t="s">
        <v>29</v>
      </c>
      <c r="I816" s="0" t="n">
        <v>4000</v>
      </c>
      <c r="J816" s="0" t="n">
        <v>1.05263157894737</v>
      </c>
      <c r="K816" s="0" t="s">
        <v>1070</v>
      </c>
    </row>
    <row r="817" customFormat="false" ht="15" hidden="false" customHeight="false" outlineLevel="0" collapsed="false">
      <c r="A817" s="0" t="n">
        <v>74</v>
      </c>
      <c r="B817" s="0" t="s">
        <v>1033</v>
      </c>
      <c r="C817" s="0" t="s">
        <v>1066</v>
      </c>
      <c r="D817" s="0" t="s">
        <v>1066</v>
      </c>
      <c r="E817" s="0" t="s">
        <v>128</v>
      </c>
      <c r="F817" s="0" t="s">
        <v>28</v>
      </c>
      <c r="I817" s="0" t="n">
        <v>500</v>
      </c>
      <c r="J817" s="0" t="n">
        <v>0.131578947368421</v>
      </c>
      <c r="K817" s="0" t="s">
        <v>1071</v>
      </c>
    </row>
    <row r="818" customFormat="false" ht="15" hidden="false" customHeight="false" outlineLevel="0" collapsed="false">
      <c r="A818" s="0" t="n">
        <v>74</v>
      </c>
      <c r="B818" s="0" t="s">
        <v>1033</v>
      </c>
      <c r="C818" s="0" t="s">
        <v>1066</v>
      </c>
      <c r="D818" s="0" t="s">
        <v>1066</v>
      </c>
      <c r="E818" s="0" t="s">
        <v>850</v>
      </c>
      <c r="F818" s="0" t="s">
        <v>31</v>
      </c>
      <c r="I818" s="0" t="n">
        <v>1000</v>
      </c>
      <c r="J818" s="0" t="n">
        <v>0.263157894736842</v>
      </c>
      <c r="K818" s="0" t="s">
        <v>1072</v>
      </c>
    </row>
    <row r="819" customFormat="false" ht="15" hidden="false" customHeight="false" outlineLevel="0" collapsed="false">
      <c r="A819" s="0" t="n">
        <v>74</v>
      </c>
      <c r="B819" s="0" t="s">
        <v>1033</v>
      </c>
      <c r="C819" s="0" t="s">
        <v>1066</v>
      </c>
      <c r="D819" s="0" t="s">
        <v>1066</v>
      </c>
      <c r="E819" s="0" t="s">
        <v>132</v>
      </c>
      <c r="F819" s="0" t="s">
        <v>29</v>
      </c>
      <c r="I819" s="0" t="n">
        <v>200</v>
      </c>
      <c r="J819" s="0" t="n">
        <v>0.0526315789473684</v>
      </c>
      <c r="K819" s="0" t="s">
        <v>1073</v>
      </c>
    </row>
    <row r="820" customFormat="false" ht="15" hidden="false" customHeight="false" outlineLevel="0" collapsed="false">
      <c r="A820" s="0" t="n">
        <v>74</v>
      </c>
      <c r="B820" s="0" t="s">
        <v>1033</v>
      </c>
      <c r="C820" s="0" t="s">
        <v>1066</v>
      </c>
      <c r="D820" s="0" t="s">
        <v>1066</v>
      </c>
      <c r="E820" s="0" t="s">
        <v>134</v>
      </c>
      <c r="F820" s="0" t="s">
        <v>28</v>
      </c>
      <c r="I820" s="0" t="n">
        <v>200</v>
      </c>
      <c r="J820" s="0" t="n">
        <v>0.0526315789473684</v>
      </c>
      <c r="K820" s="0" t="s">
        <v>1074</v>
      </c>
    </row>
    <row r="821" customFormat="false" ht="15" hidden="false" customHeight="false" outlineLevel="0" collapsed="false">
      <c r="A821" s="0" t="n">
        <v>74</v>
      </c>
      <c r="B821" s="0" t="s">
        <v>1033</v>
      </c>
      <c r="C821" s="0" t="s">
        <v>1066</v>
      </c>
      <c r="D821" s="0" t="s">
        <v>1066</v>
      </c>
      <c r="E821" s="0" t="s">
        <v>60</v>
      </c>
      <c r="F821" s="0" t="s">
        <v>27</v>
      </c>
      <c r="I821" s="0" t="n">
        <v>200</v>
      </c>
      <c r="J821" s="0" t="n">
        <v>0.0526315789473684</v>
      </c>
      <c r="K821" s="0" t="s">
        <v>1075</v>
      </c>
    </row>
    <row r="822" customFormat="false" ht="15" hidden="false" customHeight="false" outlineLevel="0" collapsed="false">
      <c r="A822" s="0" t="n">
        <v>74</v>
      </c>
      <c r="B822" s="0" t="s">
        <v>1033</v>
      </c>
      <c r="C822" s="0" t="s">
        <v>1066</v>
      </c>
      <c r="D822" s="0" t="s">
        <v>1066</v>
      </c>
      <c r="E822" s="0" t="s">
        <v>62</v>
      </c>
      <c r="F822" s="0" t="s">
        <v>27</v>
      </c>
      <c r="I822" s="0" t="n">
        <v>100</v>
      </c>
      <c r="J822" s="0" t="n">
        <v>0.0263157894736842</v>
      </c>
      <c r="K822" s="0" t="s">
        <v>1076</v>
      </c>
    </row>
    <row r="823" customFormat="false" ht="15" hidden="false" customHeight="false" outlineLevel="0" collapsed="false">
      <c r="A823" s="0" t="n">
        <v>74</v>
      </c>
      <c r="B823" s="0" t="s">
        <v>1033</v>
      </c>
      <c r="C823" s="0" t="s">
        <v>1066</v>
      </c>
      <c r="D823" s="0" t="s">
        <v>1066</v>
      </c>
      <c r="E823" s="0" t="s">
        <v>66</v>
      </c>
      <c r="F823" s="0" t="s">
        <v>27</v>
      </c>
      <c r="I823" s="0" t="n">
        <v>350</v>
      </c>
      <c r="J823" s="0" t="n">
        <v>0.0921052631578947</v>
      </c>
      <c r="K823" s="0" t="s">
        <v>1077</v>
      </c>
      <c r="L823" s="0" t="s">
        <v>123</v>
      </c>
    </row>
    <row r="824" customFormat="false" ht="15" hidden="false" customHeight="false" outlineLevel="0" collapsed="false">
      <c r="A824" s="0" t="n">
        <v>74</v>
      </c>
      <c r="B824" s="0" t="s">
        <v>1033</v>
      </c>
      <c r="C824" s="0" t="s">
        <v>1066</v>
      </c>
      <c r="D824" s="0" t="s">
        <v>1066</v>
      </c>
      <c r="E824" s="0" t="s">
        <v>64</v>
      </c>
      <c r="F824" s="0" t="s">
        <v>27</v>
      </c>
      <c r="I824" s="0" t="n">
        <v>750</v>
      </c>
      <c r="J824" s="0" t="n">
        <v>0.197368421052632</v>
      </c>
      <c r="K824" s="0" t="s">
        <v>1078</v>
      </c>
    </row>
    <row r="825" customFormat="false" ht="15" hidden="false" customHeight="false" outlineLevel="0" collapsed="false">
      <c r="A825" s="0" t="n">
        <v>74</v>
      </c>
      <c r="B825" s="0" t="s">
        <v>1033</v>
      </c>
      <c r="C825" s="0" t="s">
        <v>1066</v>
      </c>
      <c r="D825" s="0" t="s">
        <v>1066</v>
      </c>
      <c r="E825" s="0" t="s">
        <v>68</v>
      </c>
      <c r="F825" s="0" t="s">
        <v>30</v>
      </c>
      <c r="I825" s="0" t="n">
        <v>4000</v>
      </c>
      <c r="J825" s="0" t="n">
        <v>1.05263157894737</v>
      </c>
      <c r="K825" s="0" t="s">
        <v>1079</v>
      </c>
      <c r="L825" s="0" t="s">
        <v>1080</v>
      </c>
    </row>
    <row r="826" customFormat="false" ht="15" hidden="false" customHeight="false" outlineLevel="0" collapsed="false">
      <c r="A826" s="0" t="n">
        <v>75</v>
      </c>
      <c r="B826" s="0" t="s">
        <v>1081</v>
      </c>
      <c r="D826" s="0" t="s">
        <v>1082</v>
      </c>
      <c r="E826" s="0" t="s">
        <v>53</v>
      </c>
      <c r="F826" s="0" t="s">
        <v>27</v>
      </c>
      <c r="G826" s="0" t="n">
        <v>0.9</v>
      </c>
      <c r="H826" s="0" t="n">
        <v>1.8</v>
      </c>
      <c r="I826" s="0" t="n">
        <v>6480</v>
      </c>
      <c r="J826" s="0" t="n">
        <v>1.62</v>
      </c>
      <c r="K826" s="0" t="s">
        <v>1083</v>
      </c>
      <c r="L826" s="0" t="s">
        <v>1084</v>
      </c>
    </row>
    <row r="827" customFormat="false" ht="15" hidden="false" customHeight="false" outlineLevel="0" collapsed="false">
      <c r="A827" s="0" t="n">
        <v>75</v>
      </c>
      <c r="B827" s="0" t="s">
        <v>1081</v>
      </c>
      <c r="D827" s="0" t="s">
        <v>1082</v>
      </c>
      <c r="E827" s="0" t="s">
        <v>56</v>
      </c>
      <c r="F827" s="0" t="s">
        <v>28</v>
      </c>
      <c r="I827" s="0" t="n">
        <v>500</v>
      </c>
      <c r="J827" s="0" t="n">
        <v>0.125</v>
      </c>
      <c r="K827" s="0" t="s">
        <v>1085</v>
      </c>
    </row>
    <row r="828" customFormat="false" ht="15" hidden="false" customHeight="false" outlineLevel="0" collapsed="false">
      <c r="A828" s="0" t="n">
        <v>75</v>
      </c>
      <c r="B828" s="0" t="s">
        <v>1081</v>
      </c>
      <c r="D828" s="0" t="s">
        <v>1082</v>
      </c>
      <c r="E828" s="0" t="s">
        <v>58</v>
      </c>
      <c r="F828" s="0" t="s">
        <v>28</v>
      </c>
      <c r="I828" s="0" t="n">
        <v>2000</v>
      </c>
      <c r="J828" s="0" t="n">
        <v>0.5</v>
      </c>
      <c r="K828" s="0" t="s">
        <v>1086</v>
      </c>
    </row>
    <row r="829" customFormat="false" ht="15" hidden="false" customHeight="false" outlineLevel="0" collapsed="false">
      <c r="A829" s="0" t="n">
        <v>75</v>
      </c>
      <c r="B829" s="0" t="s">
        <v>1081</v>
      </c>
      <c r="D829" s="0" t="s">
        <v>1082</v>
      </c>
      <c r="E829" s="0" t="s">
        <v>203</v>
      </c>
      <c r="F829" s="0" t="s">
        <v>29</v>
      </c>
      <c r="I829" s="0" t="n">
        <v>500</v>
      </c>
      <c r="J829" s="0" t="n">
        <v>0.125</v>
      </c>
      <c r="K829" s="0" t="s">
        <v>1087</v>
      </c>
    </row>
    <row r="830" customFormat="false" ht="15" hidden="false" customHeight="false" outlineLevel="0" collapsed="false">
      <c r="A830" s="0" t="n">
        <v>75</v>
      </c>
      <c r="B830" s="0" t="s">
        <v>1081</v>
      </c>
      <c r="D830" s="0" t="s">
        <v>1082</v>
      </c>
      <c r="E830" s="0" t="s">
        <v>128</v>
      </c>
      <c r="F830" s="0" t="s">
        <v>28</v>
      </c>
      <c r="I830" s="0" t="n">
        <v>500</v>
      </c>
      <c r="J830" s="0" t="n">
        <v>0.125</v>
      </c>
      <c r="K830" s="0" t="s">
        <v>1088</v>
      </c>
    </row>
    <row r="831" customFormat="false" ht="15" hidden="false" customHeight="false" outlineLevel="0" collapsed="false">
      <c r="A831" s="0" t="n">
        <v>75</v>
      </c>
      <c r="B831" s="0" t="s">
        <v>1081</v>
      </c>
      <c r="D831" s="0" t="s">
        <v>1082</v>
      </c>
      <c r="E831" s="0" t="s">
        <v>158</v>
      </c>
      <c r="F831" s="0" t="s">
        <v>28</v>
      </c>
      <c r="I831" s="0" t="n">
        <v>0</v>
      </c>
      <c r="J831" s="0" t="n">
        <v>0</v>
      </c>
      <c r="K831" s="0" t="s">
        <v>1089</v>
      </c>
    </row>
    <row r="832" customFormat="false" ht="15" hidden="false" customHeight="false" outlineLevel="0" collapsed="false">
      <c r="A832" s="0" t="n">
        <v>75</v>
      </c>
      <c r="B832" s="0" t="s">
        <v>1081</v>
      </c>
      <c r="D832" s="0" t="s">
        <v>1082</v>
      </c>
      <c r="E832" s="0" t="s">
        <v>132</v>
      </c>
      <c r="F832" s="0" t="s">
        <v>29</v>
      </c>
      <c r="I832" s="0" t="n">
        <v>200</v>
      </c>
      <c r="J832" s="0" t="n">
        <v>0.05</v>
      </c>
      <c r="K832" s="0" t="s">
        <v>1090</v>
      </c>
    </row>
    <row r="833" customFormat="false" ht="15" hidden="false" customHeight="false" outlineLevel="0" collapsed="false">
      <c r="A833" s="0" t="n">
        <v>75</v>
      </c>
      <c r="B833" s="0" t="s">
        <v>1081</v>
      </c>
      <c r="D833" s="0" t="s">
        <v>1082</v>
      </c>
      <c r="E833" s="0" t="s">
        <v>134</v>
      </c>
      <c r="F833" s="0" t="s">
        <v>28</v>
      </c>
      <c r="I833" s="0" t="n">
        <v>50</v>
      </c>
      <c r="J833" s="0" t="n">
        <v>0.0125</v>
      </c>
      <c r="K833" s="0" t="s">
        <v>1091</v>
      </c>
    </row>
    <row r="834" customFormat="false" ht="15" hidden="false" customHeight="false" outlineLevel="0" collapsed="false">
      <c r="A834" s="0" t="n">
        <v>75</v>
      </c>
      <c r="B834" s="0" t="s">
        <v>1081</v>
      </c>
      <c r="D834" s="0" t="s">
        <v>1082</v>
      </c>
      <c r="E834" s="0" t="s">
        <v>60</v>
      </c>
      <c r="F834" s="0" t="s">
        <v>27</v>
      </c>
      <c r="I834" s="0" t="n">
        <v>200</v>
      </c>
      <c r="J834" s="0" t="n">
        <v>0.05</v>
      </c>
      <c r="K834" s="0" t="s">
        <v>1092</v>
      </c>
    </row>
    <row r="835" customFormat="false" ht="15" hidden="false" customHeight="false" outlineLevel="0" collapsed="false">
      <c r="A835" s="0" t="n">
        <v>75</v>
      </c>
      <c r="B835" s="0" t="s">
        <v>1081</v>
      </c>
      <c r="D835" s="0" t="s">
        <v>1082</v>
      </c>
      <c r="E835" s="0" t="s">
        <v>62</v>
      </c>
      <c r="F835" s="0" t="s">
        <v>27</v>
      </c>
      <c r="I835" s="0" t="n">
        <v>100</v>
      </c>
      <c r="J835" s="0" t="n">
        <v>0.025</v>
      </c>
      <c r="K835" s="0" t="s">
        <v>1093</v>
      </c>
    </row>
    <row r="836" customFormat="false" ht="15" hidden="false" customHeight="false" outlineLevel="0" collapsed="false">
      <c r="A836" s="0" t="n">
        <v>75</v>
      </c>
      <c r="B836" s="0" t="s">
        <v>1081</v>
      </c>
      <c r="D836" s="0" t="s">
        <v>1082</v>
      </c>
      <c r="E836" s="0" t="s">
        <v>66</v>
      </c>
      <c r="F836" s="0" t="s">
        <v>27</v>
      </c>
      <c r="I836" s="0" t="n">
        <v>250</v>
      </c>
      <c r="J836" s="0" t="n">
        <v>0.0625</v>
      </c>
      <c r="K836" s="0" t="s">
        <v>1094</v>
      </c>
    </row>
    <row r="837" customFormat="false" ht="15" hidden="false" customHeight="false" outlineLevel="0" collapsed="false">
      <c r="A837" s="0" t="n">
        <v>75</v>
      </c>
      <c r="B837" s="0" t="s">
        <v>1081</v>
      </c>
      <c r="D837" s="0" t="s">
        <v>1082</v>
      </c>
      <c r="E837" s="0" t="s">
        <v>64</v>
      </c>
      <c r="F837" s="0" t="s">
        <v>27</v>
      </c>
      <c r="I837" s="0" t="n">
        <v>500</v>
      </c>
      <c r="J837" s="0" t="n">
        <v>0.125</v>
      </c>
      <c r="K837" s="0" t="s">
        <v>1095</v>
      </c>
    </row>
    <row r="838" customFormat="false" ht="15" hidden="false" customHeight="false" outlineLevel="0" collapsed="false">
      <c r="A838" s="0" t="n">
        <v>75</v>
      </c>
      <c r="B838" s="0" t="s">
        <v>1081</v>
      </c>
      <c r="D838" s="0" t="s">
        <v>1082</v>
      </c>
      <c r="E838" s="0" t="s">
        <v>68</v>
      </c>
      <c r="F838" s="0" t="s">
        <v>30</v>
      </c>
      <c r="I838" s="0" t="n">
        <v>2000</v>
      </c>
      <c r="J838" s="0" t="n">
        <v>0.5</v>
      </c>
      <c r="K838" s="0" t="s">
        <v>1096</v>
      </c>
    </row>
    <row r="839" customFormat="false" ht="15" hidden="false" customHeight="false" outlineLevel="0" collapsed="false">
      <c r="A839" s="0" t="n">
        <v>76</v>
      </c>
      <c r="B839" s="0" t="s">
        <v>1081</v>
      </c>
      <c r="D839" s="0" t="s">
        <v>1082</v>
      </c>
      <c r="E839" s="0" t="s">
        <v>53</v>
      </c>
      <c r="F839" s="0" t="s">
        <v>27</v>
      </c>
      <c r="G839" s="0" t="n">
        <v>1.1</v>
      </c>
      <c r="H839" s="0" t="n">
        <v>1.6</v>
      </c>
      <c r="I839" s="0" t="n">
        <v>7040</v>
      </c>
      <c r="J839" s="0" t="n">
        <v>1.76</v>
      </c>
      <c r="K839" s="0" t="s">
        <v>1097</v>
      </c>
      <c r="L839" s="0" t="s">
        <v>1098</v>
      </c>
    </row>
    <row r="840" customFormat="false" ht="15" hidden="false" customHeight="false" outlineLevel="0" collapsed="false">
      <c r="A840" s="0" t="n">
        <v>76</v>
      </c>
      <c r="B840" s="0" t="s">
        <v>1081</v>
      </c>
      <c r="D840" s="0" t="s">
        <v>1082</v>
      </c>
      <c r="E840" s="0" t="s">
        <v>56</v>
      </c>
      <c r="F840" s="0" t="s">
        <v>28</v>
      </c>
      <c r="I840" s="0" t="n">
        <v>700</v>
      </c>
      <c r="J840" s="0" t="n">
        <v>0.175</v>
      </c>
      <c r="K840" s="0" t="s">
        <v>1099</v>
      </c>
    </row>
    <row r="841" customFormat="false" ht="15" hidden="false" customHeight="false" outlineLevel="0" collapsed="false">
      <c r="A841" s="0" t="n">
        <v>76</v>
      </c>
      <c r="B841" s="0" t="s">
        <v>1081</v>
      </c>
      <c r="D841" s="0" t="s">
        <v>1082</v>
      </c>
      <c r="E841" s="0" t="s">
        <v>58</v>
      </c>
      <c r="F841" s="0" t="s">
        <v>28</v>
      </c>
      <c r="I841" s="0" t="n">
        <v>2500</v>
      </c>
      <c r="J841" s="0" t="n">
        <v>0.625</v>
      </c>
      <c r="K841" s="0" t="s">
        <v>1100</v>
      </c>
    </row>
    <row r="842" customFormat="false" ht="15" hidden="false" customHeight="false" outlineLevel="0" collapsed="false">
      <c r="A842" s="0" t="n">
        <v>76</v>
      </c>
      <c r="B842" s="0" t="s">
        <v>1081</v>
      </c>
      <c r="D842" s="0" t="s">
        <v>1082</v>
      </c>
      <c r="E842" s="0" t="s">
        <v>128</v>
      </c>
      <c r="F842" s="0" t="s">
        <v>28</v>
      </c>
      <c r="I842" s="0" t="n">
        <v>2000</v>
      </c>
      <c r="J842" s="0" t="n">
        <v>0.5</v>
      </c>
      <c r="K842" s="0" t="s">
        <v>1101</v>
      </c>
    </row>
    <row r="843" customFormat="false" ht="15" hidden="false" customHeight="false" outlineLevel="0" collapsed="false">
      <c r="A843" s="0" t="n">
        <v>76</v>
      </c>
      <c r="B843" s="0" t="s">
        <v>1081</v>
      </c>
      <c r="D843" s="0" t="s">
        <v>1082</v>
      </c>
      <c r="E843" s="0" t="s">
        <v>379</v>
      </c>
      <c r="F843" s="0" t="s">
        <v>29</v>
      </c>
      <c r="G843" s="0" t="n">
        <v>1.3</v>
      </c>
      <c r="H843" s="0" t="n">
        <v>11000</v>
      </c>
      <c r="I843" s="0" t="n">
        <v>14300</v>
      </c>
      <c r="J843" s="0" t="n">
        <v>3.575</v>
      </c>
      <c r="K843" s="0" t="s">
        <v>1102</v>
      </c>
      <c r="L843" s="0" t="s">
        <v>355</v>
      </c>
    </row>
    <row r="844" customFormat="false" ht="15" hidden="false" customHeight="false" outlineLevel="0" collapsed="false">
      <c r="A844" s="0" t="n">
        <v>76</v>
      </c>
      <c r="B844" s="0" t="s">
        <v>1081</v>
      </c>
      <c r="D844" s="0" t="s">
        <v>1082</v>
      </c>
      <c r="E844" s="0" t="s">
        <v>158</v>
      </c>
      <c r="F844" s="0" t="s">
        <v>28</v>
      </c>
      <c r="I844" s="0" t="n">
        <v>1000</v>
      </c>
      <c r="J844" s="0" t="n">
        <v>0.25</v>
      </c>
      <c r="K844" s="0" t="s">
        <v>1103</v>
      </c>
    </row>
    <row r="845" customFormat="false" ht="15" hidden="false" customHeight="false" outlineLevel="0" collapsed="false">
      <c r="A845" s="0" t="n">
        <v>76</v>
      </c>
      <c r="B845" s="0" t="s">
        <v>1081</v>
      </c>
      <c r="D845" s="0" t="s">
        <v>1082</v>
      </c>
      <c r="E845" s="0" t="s">
        <v>132</v>
      </c>
      <c r="F845" s="0" t="s">
        <v>29</v>
      </c>
      <c r="I845" s="0" t="n">
        <v>300</v>
      </c>
      <c r="J845" s="0" t="n">
        <v>0.075</v>
      </c>
      <c r="K845" s="0" t="s">
        <v>1104</v>
      </c>
    </row>
    <row r="846" customFormat="false" ht="15" hidden="false" customHeight="false" outlineLevel="0" collapsed="false">
      <c r="A846" s="0" t="n">
        <v>76</v>
      </c>
      <c r="B846" s="0" t="s">
        <v>1081</v>
      </c>
      <c r="D846" s="0" t="s">
        <v>1082</v>
      </c>
      <c r="E846" s="0" t="s">
        <v>134</v>
      </c>
      <c r="F846" s="0" t="s">
        <v>28</v>
      </c>
      <c r="I846" s="0" t="n">
        <v>200</v>
      </c>
      <c r="J846" s="0" t="n">
        <v>0.05</v>
      </c>
      <c r="K846" s="0" t="s">
        <v>1105</v>
      </c>
    </row>
    <row r="847" customFormat="false" ht="15" hidden="false" customHeight="false" outlineLevel="0" collapsed="false">
      <c r="A847" s="0" t="n">
        <v>76</v>
      </c>
      <c r="B847" s="0" t="s">
        <v>1081</v>
      </c>
      <c r="D847" s="0" t="s">
        <v>1082</v>
      </c>
      <c r="E847" s="0" t="s">
        <v>60</v>
      </c>
      <c r="F847" s="0" t="s">
        <v>27</v>
      </c>
      <c r="I847" s="0" t="n">
        <v>200</v>
      </c>
      <c r="J847" s="0" t="n">
        <v>0.05</v>
      </c>
      <c r="K847" s="0" t="s">
        <v>1106</v>
      </c>
    </row>
    <row r="848" customFormat="false" ht="15" hidden="false" customHeight="false" outlineLevel="0" collapsed="false">
      <c r="A848" s="0" t="n">
        <v>76</v>
      </c>
      <c r="B848" s="0" t="s">
        <v>1081</v>
      </c>
      <c r="D848" s="0" t="s">
        <v>1082</v>
      </c>
      <c r="E848" s="0" t="s">
        <v>62</v>
      </c>
      <c r="F848" s="0" t="s">
        <v>27</v>
      </c>
      <c r="I848" s="0" t="n">
        <v>100</v>
      </c>
      <c r="J848" s="0" t="n">
        <v>0.025</v>
      </c>
      <c r="K848" s="0" t="s">
        <v>1107</v>
      </c>
    </row>
    <row r="849" customFormat="false" ht="15" hidden="false" customHeight="false" outlineLevel="0" collapsed="false">
      <c r="A849" s="0" t="n">
        <v>76</v>
      </c>
      <c r="B849" s="0" t="s">
        <v>1081</v>
      </c>
      <c r="D849" s="0" t="s">
        <v>1082</v>
      </c>
      <c r="E849" s="0" t="s">
        <v>66</v>
      </c>
      <c r="F849" s="0" t="s">
        <v>27</v>
      </c>
      <c r="I849" s="0" t="n">
        <v>350</v>
      </c>
      <c r="J849" s="0" t="n">
        <v>0.0875</v>
      </c>
      <c r="K849" s="0" t="s">
        <v>1108</v>
      </c>
    </row>
    <row r="850" customFormat="false" ht="15" hidden="false" customHeight="false" outlineLevel="0" collapsed="false">
      <c r="A850" s="0" t="n">
        <v>76</v>
      </c>
      <c r="B850" s="0" t="s">
        <v>1081</v>
      </c>
      <c r="D850" s="0" t="s">
        <v>1082</v>
      </c>
      <c r="E850" s="0" t="s">
        <v>64</v>
      </c>
      <c r="F850" s="0" t="s">
        <v>27</v>
      </c>
      <c r="I850" s="0" t="n">
        <v>750</v>
      </c>
      <c r="J850" s="0" t="n">
        <v>0.1875</v>
      </c>
      <c r="K850" s="0" t="s">
        <v>1109</v>
      </c>
    </row>
    <row r="851" customFormat="false" ht="15" hidden="false" customHeight="false" outlineLevel="0" collapsed="false">
      <c r="A851" s="0" t="n">
        <v>76</v>
      </c>
      <c r="B851" s="0" t="s">
        <v>1081</v>
      </c>
      <c r="D851" s="0" t="s">
        <v>1082</v>
      </c>
      <c r="E851" s="0" t="s">
        <v>68</v>
      </c>
      <c r="F851" s="0" t="s">
        <v>30</v>
      </c>
      <c r="I851" s="0" t="n">
        <v>4000</v>
      </c>
      <c r="J851" s="0" t="n">
        <v>1</v>
      </c>
      <c r="K851" s="0" t="s">
        <v>1110</v>
      </c>
    </row>
    <row r="852" customFormat="false" ht="15" hidden="false" customHeight="false" outlineLevel="0" collapsed="false">
      <c r="A852" s="0" t="n">
        <v>77</v>
      </c>
      <c r="B852" s="0" t="s">
        <v>1081</v>
      </c>
      <c r="D852" s="0" t="s">
        <v>1111</v>
      </c>
      <c r="E852" s="0" t="s">
        <v>53</v>
      </c>
      <c r="F852" s="0" t="s">
        <v>27</v>
      </c>
      <c r="G852" s="0" t="n">
        <v>0.9</v>
      </c>
      <c r="H852" s="0" t="n">
        <v>4</v>
      </c>
      <c r="I852" s="0" t="n">
        <v>14400</v>
      </c>
      <c r="J852" s="0" t="n">
        <v>3.6</v>
      </c>
      <c r="K852" s="0" t="s">
        <v>1112</v>
      </c>
      <c r="L852" s="0" t="s">
        <v>1113</v>
      </c>
    </row>
    <row r="853" customFormat="false" ht="15" hidden="false" customHeight="false" outlineLevel="0" collapsed="false">
      <c r="A853" s="0" t="n">
        <v>77</v>
      </c>
      <c r="B853" s="0" t="s">
        <v>1081</v>
      </c>
      <c r="D853" s="0" t="s">
        <v>1111</v>
      </c>
      <c r="E853" s="0" t="s">
        <v>56</v>
      </c>
      <c r="F853" s="0" t="s">
        <v>28</v>
      </c>
      <c r="I853" s="0" t="n">
        <v>700</v>
      </c>
      <c r="J853" s="0" t="n">
        <v>0.175</v>
      </c>
      <c r="K853" s="0" t="s">
        <v>1114</v>
      </c>
    </row>
    <row r="854" customFormat="false" ht="15" hidden="false" customHeight="false" outlineLevel="0" collapsed="false">
      <c r="A854" s="0" t="n">
        <v>77</v>
      </c>
      <c r="B854" s="0" t="s">
        <v>1081</v>
      </c>
      <c r="D854" s="0" t="s">
        <v>1111</v>
      </c>
      <c r="E854" s="0" t="s">
        <v>58</v>
      </c>
      <c r="F854" s="0" t="s">
        <v>28</v>
      </c>
      <c r="I854" s="0" t="n">
        <v>2500</v>
      </c>
      <c r="J854" s="0" t="n">
        <v>0.625</v>
      </c>
      <c r="K854" s="0" t="s">
        <v>1115</v>
      </c>
    </row>
    <row r="855" customFormat="false" ht="15" hidden="false" customHeight="false" outlineLevel="0" collapsed="false">
      <c r="A855" s="0" t="n">
        <v>77</v>
      </c>
      <c r="B855" s="0" t="s">
        <v>1081</v>
      </c>
      <c r="D855" s="0" t="s">
        <v>1111</v>
      </c>
      <c r="E855" s="0" t="s">
        <v>203</v>
      </c>
      <c r="F855" s="0" t="s">
        <v>29</v>
      </c>
      <c r="I855" s="0" t="n">
        <v>5000</v>
      </c>
      <c r="J855" s="0" t="n">
        <v>1.25</v>
      </c>
      <c r="K855" s="0" t="s">
        <v>1116</v>
      </c>
    </row>
    <row r="856" customFormat="false" ht="15" hidden="false" customHeight="false" outlineLevel="0" collapsed="false">
      <c r="A856" s="0" t="n">
        <v>77</v>
      </c>
      <c r="B856" s="0" t="s">
        <v>1081</v>
      </c>
      <c r="D856" s="0" t="s">
        <v>1111</v>
      </c>
      <c r="E856" s="0" t="s">
        <v>128</v>
      </c>
      <c r="F856" s="0" t="s">
        <v>28</v>
      </c>
      <c r="I856" s="0" t="n">
        <v>500</v>
      </c>
      <c r="J856" s="0" t="n">
        <v>0.125</v>
      </c>
      <c r="K856" s="0" t="s">
        <v>1117</v>
      </c>
    </row>
    <row r="857" customFormat="false" ht="15" hidden="false" customHeight="false" outlineLevel="0" collapsed="false">
      <c r="A857" s="0" t="n">
        <v>77</v>
      </c>
      <c r="B857" s="0" t="s">
        <v>1081</v>
      </c>
      <c r="D857" s="0" t="s">
        <v>1111</v>
      </c>
      <c r="E857" s="0" t="s">
        <v>158</v>
      </c>
      <c r="F857" s="0" t="s">
        <v>28</v>
      </c>
      <c r="I857" s="0" t="n">
        <v>0</v>
      </c>
      <c r="J857" s="0" t="n">
        <v>0</v>
      </c>
      <c r="K857" s="0" t="s">
        <v>1118</v>
      </c>
    </row>
    <row r="858" customFormat="false" ht="15" hidden="false" customHeight="false" outlineLevel="0" collapsed="false">
      <c r="A858" s="0" t="n">
        <v>77</v>
      </c>
      <c r="B858" s="0" t="s">
        <v>1081</v>
      </c>
      <c r="D858" s="0" t="s">
        <v>1111</v>
      </c>
      <c r="E858" s="0" t="s">
        <v>132</v>
      </c>
      <c r="F858" s="0" t="s">
        <v>29</v>
      </c>
      <c r="I858" s="0" t="n">
        <v>200</v>
      </c>
      <c r="J858" s="0" t="n">
        <v>0.05</v>
      </c>
      <c r="K858" s="0" t="s">
        <v>1119</v>
      </c>
    </row>
    <row r="859" customFormat="false" ht="15" hidden="false" customHeight="false" outlineLevel="0" collapsed="false">
      <c r="A859" s="0" t="n">
        <v>77</v>
      </c>
      <c r="B859" s="0" t="s">
        <v>1081</v>
      </c>
      <c r="D859" s="0" t="s">
        <v>1111</v>
      </c>
      <c r="E859" s="0" t="s">
        <v>134</v>
      </c>
      <c r="F859" s="0" t="s">
        <v>28</v>
      </c>
      <c r="I859" s="0" t="n">
        <v>200</v>
      </c>
      <c r="J859" s="0" t="n">
        <v>0.05</v>
      </c>
      <c r="K859" s="0" t="s">
        <v>1120</v>
      </c>
    </row>
    <row r="860" customFormat="false" ht="15" hidden="false" customHeight="false" outlineLevel="0" collapsed="false">
      <c r="A860" s="0" t="n">
        <v>77</v>
      </c>
      <c r="B860" s="0" t="s">
        <v>1081</v>
      </c>
      <c r="D860" s="0" t="s">
        <v>1111</v>
      </c>
      <c r="E860" s="0" t="s">
        <v>60</v>
      </c>
      <c r="F860" s="0" t="s">
        <v>27</v>
      </c>
      <c r="I860" s="0" t="n">
        <v>200</v>
      </c>
      <c r="J860" s="0" t="n">
        <v>0.05</v>
      </c>
      <c r="K860" s="0" t="s">
        <v>1121</v>
      </c>
    </row>
    <row r="861" customFormat="false" ht="15" hidden="false" customHeight="false" outlineLevel="0" collapsed="false">
      <c r="A861" s="0" t="n">
        <v>77</v>
      </c>
      <c r="B861" s="0" t="s">
        <v>1081</v>
      </c>
      <c r="D861" s="0" t="s">
        <v>1111</v>
      </c>
      <c r="E861" s="0" t="s">
        <v>62</v>
      </c>
      <c r="F861" s="0" t="s">
        <v>27</v>
      </c>
      <c r="I861" s="0" t="n">
        <v>100</v>
      </c>
      <c r="J861" s="0" t="n">
        <v>0.025</v>
      </c>
      <c r="K861" s="0" t="s">
        <v>1122</v>
      </c>
    </row>
    <row r="862" customFormat="false" ht="15" hidden="false" customHeight="false" outlineLevel="0" collapsed="false">
      <c r="A862" s="0" t="n">
        <v>77</v>
      </c>
      <c r="B862" s="0" t="s">
        <v>1081</v>
      </c>
      <c r="D862" s="0" t="s">
        <v>1111</v>
      </c>
      <c r="E862" s="0" t="s">
        <v>66</v>
      </c>
      <c r="F862" s="0" t="s">
        <v>27</v>
      </c>
      <c r="I862" s="0" t="n">
        <v>350</v>
      </c>
      <c r="J862" s="0" t="n">
        <v>0.0875</v>
      </c>
      <c r="K862" s="0" t="s">
        <v>1123</v>
      </c>
    </row>
    <row r="863" customFormat="false" ht="15" hidden="false" customHeight="false" outlineLevel="0" collapsed="false">
      <c r="A863" s="0" t="n">
        <v>77</v>
      </c>
      <c r="B863" s="0" t="s">
        <v>1081</v>
      </c>
      <c r="D863" s="0" t="s">
        <v>1111</v>
      </c>
      <c r="E863" s="0" t="s">
        <v>64</v>
      </c>
      <c r="F863" s="0" t="s">
        <v>27</v>
      </c>
      <c r="I863" s="0" t="n">
        <v>500</v>
      </c>
      <c r="J863" s="0" t="n">
        <v>0.125</v>
      </c>
      <c r="K863" s="0" t="s">
        <v>1124</v>
      </c>
    </row>
    <row r="864" customFormat="false" ht="15" hidden="false" customHeight="false" outlineLevel="0" collapsed="false">
      <c r="A864" s="0" t="n">
        <v>77</v>
      </c>
      <c r="B864" s="0" t="s">
        <v>1081</v>
      </c>
      <c r="D864" s="0" t="s">
        <v>1111</v>
      </c>
      <c r="E864" s="0" t="s">
        <v>68</v>
      </c>
      <c r="F864" s="0" t="s">
        <v>30</v>
      </c>
      <c r="I864" s="0" t="n">
        <v>4000</v>
      </c>
      <c r="J864" s="0" t="n">
        <v>1</v>
      </c>
      <c r="K864" s="0" t="s">
        <v>1125</v>
      </c>
    </row>
    <row r="865" customFormat="false" ht="15" hidden="false" customHeight="false" outlineLevel="0" collapsed="false">
      <c r="A865" s="0" t="n">
        <v>78</v>
      </c>
      <c r="B865" s="0" t="s">
        <v>1081</v>
      </c>
      <c r="D865" s="0" t="s">
        <v>1082</v>
      </c>
      <c r="E865" s="0" t="s">
        <v>53</v>
      </c>
      <c r="F865" s="0" t="s">
        <v>27</v>
      </c>
      <c r="G865" s="0" t="n">
        <v>1.2</v>
      </c>
      <c r="H865" s="0" t="n">
        <v>4</v>
      </c>
      <c r="I865" s="0" t="n">
        <v>19200</v>
      </c>
      <c r="J865" s="0" t="n">
        <v>4.8</v>
      </c>
      <c r="K865" s="0" t="s">
        <v>1126</v>
      </c>
      <c r="L865" s="0" t="s">
        <v>1127</v>
      </c>
    </row>
    <row r="866" customFormat="false" ht="15" hidden="false" customHeight="false" outlineLevel="0" collapsed="false">
      <c r="A866" s="0" t="n">
        <v>78</v>
      </c>
      <c r="B866" s="0" t="s">
        <v>1081</v>
      </c>
      <c r="D866" s="0" t="s">
        <v>1082</v>
      </c>
      <c r="E866" s="0" t="s">
        <v>56</v>
      </c>
      <c r="F866" s="0" t="s">
        <v>28</v>
      </c>
      <c r="I866" s="0" t="n">
        <v>700</v>
      </c>
      <c r="J866" s="0" t="n">
        <v>0.175</v>
      </c>
      <c r="K866" s="0" t="s">
        <v>1128</v>
      </c>
    </row>
    <row r="867" customFormat="false" ht="15" hidden="false" customHeight="false" outlineLevel="0" collapsed="false">
      <c r="A867" s="0" t="n">
        <v>78</v>
      </c>
      <c r="B867" s="0" t="s">
        <v>1081</v>
      </c>
      <c r="D867" s="0" t="s">
        <v>1082</v>
      </c>
      <c r="E867" s="0" t="s">
        <v>58</v>
      </c>
      <c r="F867" s="0" t="s">
        <v>28</v>
      </c>
      <c r="I867" s="0" t="n">
        <v>2500</v>
      </c>
      <c r="J867" s="0" t="n">
        <v>0.625</v>
      </c>
      <c r="K867" s="0" t="s">
        <v>1129</v>
      </c>
    </row>
    <row r="868" customFormat="false" ht="15" hidden="false" customHeight="false" outlineLevel="0" collapsed="false">
      <c r="A868" s="0" t="n">
        <v>78</v>
      </c>
      <c r="B868" s="0" t="s">
        <v>1081</v>
      </c>
      <c r="D868" s="0" t="s">
        <v>1082</v>
      </c>
      <c r="E868" s="0" t="s">
        <v>128</v>
      </c>
      <c r="F868" s="0" t="s">
        <v>28</v>
      </c>
      <c r="I868" s="0" t="n">
        <v>3000</v>
      </c>
      <c r="J868" s="0" t="n">
        <v>0.75</v>
      </c>
      <c r="K868" s="0" t="s">
        <v>1130</v>
      </c>
    </row>
    <row r="869" customFormat="false" ht="15" hidden="false" customHeight="false" outlineLevel="0" collapsed="false">
      <c r="A869" s="0" t="n">
        <v>78</v>
      </c>
      <c r="B869" s="0" t="s">
        <v>1081</v>
      </c>
      <c r="D869" s="0" t="s">
        <v>1082</v>
      </c>
      <c r="E869" s="0" t="s">
        <v>379</v>
      </c>
      <c r="F869" s="0" t="s">
        <v>29</v>
      </c>
      <c r="G869" s="0" t="n">
        <v>15000</v>
      </c>
      <c r="H869" s="0" t="n">
        <v>1.1</v>
      </c>
      <c r="I869" s="0" t="n">
        <v>13636.3636363636</v>
      </c>
      <c r="J869" s="0" t="n">
        <v>3.40909090909091</v>
      </c>
      <c r="K869" s="0" t="s">
        <v>1131</v>
      </c>
      <c r="L869" s="0" t="s">
        <v>1132</v>
      </c>
    </row>
    <row r="870" customFormat="false" ht="15" hidden="false" customHeight="false" outlineLevel="0" collapsed="false">
      <c r="A870" s="0" t="n">
        <v>78</v>
      </c>
      <c r="B870" s="0" t="s">
        <v>1081</v>
      </c>
      <c r="D870" s="0" t="s">
        <v>1082</v>
      </c>
      <c r="E870" s="0" t="s">
        <v>158</v>
      </c>
      <c r="F870" s="0" t="s">
        <v>28</v>
      </c>
      <c r="I870" s="0" t="n">
        <v>2000</v>
      </c>
      <c r="J870" s="0" t="n">
        <v>0.5</v>
      </c>
      <c r="K870" s="0" t="s">
        <v>1133</v>
      </c>
    </row>
    <row r="871" customFormat="false" ht="15" hidden="false" customHeight="false" outlineLevel="0" collapsed="false">
      <c r="A871" s="0" t="n">
        <v>78</v>
      </c>
      <c r="B871" s="0" t="s">
        <v>1081</v>
      </c>
      <c r="D871" s="0" t="s">
        <v>1082</v>
      </c>
      <c r="E871" s="0" t="s">
        <v>132</v>
      </c>
      <c r="F871" s="0" t="s">
        <v>29</v>
      </c>
      <c r="I871" s="0" t="n">
        <v>0</v>
      </c>
      <c r="J871" s="0" t="n">
        <v>0</v>
      </c>
      <c r="K871" s="0" t="s">
        <v>1134</v>
      </c>
    </row>
    <row r="872" customFormat="false" ht="15" hidden="false" customHeight="false" outlineLevel="0" collapsed="false">
      <c r="A872" s="0" t="n">
        <v>78</v>
      </c>
      <c r="B872" s="0" t="s">
        <v>1081</v>
      </c>
      <c r="D872" s="0" t="s">
        <v>1082</v>
      </c>
      <c r="E872" s="0" t="s">
        <v>134</v>
      </c>
      <c r="F872" s="0" t="s">
        <v>28</v>
      </c>
      <c r="I872" s="0" t="n">
        <v>0</v>
      </c>
      <c r="J872" s="0" t="n">
        <v>0</v>
      </c>
      <c r="K872" s="0" t="s">
        <v>1135</v>
      </c>
    </row>
    <row r="873" customFormat="false" ht="15" hidden="false" customHeight="false" outlineLevel="0" collapsed="false">
      <c r="A873" s="0" t="n">
        <v>78</v>
      </c>
      <c r="B873" s="0" t="s">
        <v>1081</v>
      </c>
      <c r="D873" s="0" t="s">
        <v>1082</v>
      </c>
      <c r="E873" s="0" t="s">
        <v>60</v>
      </c>
      <c r="F873" s="0" t="s">
        <v>27</v>
      </c>
      <c r="I873" s="0" t="n">
        <v>200</v>
      </c>
      <c r="J873" s="0" t="n">
        <v>0.05</v>
      </c>
      <c r="K873" s="0" t="s">
        <v>1136</v>
      </c>
    </row>
    <row r="874" customFormat="false" ht="15" hidden="false" customHeight="false" outlineLevel="0" collapsed="false">
      <c r="A874" s="0" t="n">
        <v>78</v>
      </c>
      <c r="B874" s="0" t="s">
        <v>1081</v>
      </c>
      <c r="D874" s="0" t="s">
        <v>1082</v>
      </c>
      <c r="E874" s="0" t="s">
        <v>62</v>
      </c>
      <c r="F874" s="0" t="s">
        <v>27</v>
      </c>
      <c r="I874" s="0" t="n">
        <v>100</v>
      </c>
      <c r="J874" s="0" t="n">
        <v>0.025</v>
      </c>
      <c r="K874" s="0" t="s">
        <v>1137</v>
      </c>
    </row>
    <row r="875" customFormat="false" ht="15" hidden="false" customHeight="false" outlineLevel="0" collapsed="false">
      <c r="A875" s="0" t="n">
        <v>78</v>
      </c>
      <c r="B875" s="0" t="s">
        <v>1081</v>
      </c>
      <c r="D875" s="0" t="s">
        <v>1082</v>
      </c>
      <c r="E875" s="0" t="s">
        <v>66</v>
      </c>
      <c r="F875" s="0" t="s">
        <v>27</v>
      </c>
      <c r="I875" s="0" t="n">
        <v>350</v>
      </c>
      <c r="J875" s="0" t="n">
        <v>0.0875</v>
      </c>
      <c r="K875" s="0" t="s">
        <v>1138</v>
      </c>
      <c r="L875" s="0" t="s">
        <v>1139</v>
      </c>
    </row>
    <row r="876" customFormat="false" ht="15" hidden="false" customHeight="false" outlineLevel="0" collapsed="false">
      <c r="A876" s="0" t="n">
        <v>78</v>
      </c>
      <c r="B876" s="0" t="s">
        <v>1081</v>
      </c>
      <c r="D876" s="0" t="s">
        <v>1082</v>
      </c>
      <c r="E876" s="0" t="s">
        <v>64</v>
      </c>
      <c r="F876" s="0" t="s">
        <v>27</v>
      </c>
      <c r="I876" s="0" t="n">
        <v>750</v>
      </c>
      <c r="J876" s="0" t="n">
        <v>0.1875</v>
      </c>
      <c r="K876" s="0" t="s">
        <v>1140</v>
      </c>
      <c r="L876" s="0" t="s">
        <v>1141</v>
      </c>
    </row>
    <row r="877" customFormat="false" ht="15" hidden="false" customHeight="false" outlineLevel="0" collapsed="false">
      <c r="A877" s="0" t="n">
        <v>78</v>
      </c>
      <c r="B877" s="0" t="s">
        <v>1081</v>
      </c>
      <c r="D877" s="0" t="s">
        <v>1082</v>
      </c>
      <c r="E877" s="0" t="s">
        <v>68</v>
      </c>
      <c r="F877" s="0" t="s">
        <v>30</v>
      </c>
      <c r="I877" s="0" t="n">
        <v>4000</v>
      </c>
      <c r="J877" s="0" t="n">
        <v>1</v>
      </c>
      <c r="K877" s="0" t="s">
        <v>1142</v>
      </c>
      <c r="L877" s="0" t="s">
        <v>1143</v>
      </c>
    </row>
    <row r="878" customFormat="false" ht="15" hidden="false" customHeight="false" outlineLevel="0" collapsed="false">
      <c r="A878" s="0" t="n">
        <v>79</v>
      </c>
      <c r="B878" s="0" t="s">
        <v>1081</v>
      </c>
      <c r="D878" s="0" t="s">
        <v>1082</v>
      </c>
      <c r="E878" s="0" t="s">
        <v>53</v>
      </c>
      <c r="F878" s="0" t="s">
        <v>27</v>
      </c>
      <c r="G878" s="0" t="n">
        <v>1</v>
      </c>
      <c r="H878" s="0" t="n">
        <v>2.3</v>
      </c>
      <c r="I878" s="0" t="n">
        <v>9200</v>
      </c>
      <c r="J878" s="0" t="n">
        <v>2.3</v>
      </c>
      <c r="K878" s="0" t="s">
        <v>1144</v>
      </c>
      <c r="L878" s="0" t="s">
        <v>1145</v>
      </c>
    </row>
    <row r="879" customFormat="false" ht="15" hidden="false" customHeight="false" outlineLevel="0" collapsed="false">
      <c r="A879" s="0" t="n">
        <v>79</v>
      </c>
      <c r="B879" s="0" t="s">
        <v>1081</v>
      </c>
      <c r="D879" s="0" t="s">
        <v>1082</v>
      </c>
      <c r="E879" s="0" t="s">
        <v>56</v>
      </c>
      <c r="F879" s="0" t="s">
        <v>28</v>
      </c>
      <c r="I879" s="0" t="n">
        <v>500</v>
      </c>
      <c r="J879" s="0" t="n">
        <v>0.125</v>
      </c>
      <c r="K879" s="0" t="s">
        <v>1146</v>
      </c>
    </row>
    <row r="880" customFormat="false" ht="15" hidden="false" customHeight="false" outlineLevel="0" collapsed="false">
      <c r="A880" s="0" t="n">
        <v>79</v>
      </c>
      <c r="B880" s="0" t="s">
        <v>1081</v>
      </c>
      <c r="D880" s="0" t="s">
        <v>1082</v>
      </c>
      <c r="E880" s="0" t="s">
        <v>58</v>
      </c>
      <c r="F880" s="0" t="s">
        <v>28</v>
      </c>
      <c r="I880" s="0" t="n">
        <v>2500</v>
      </c>
      <c r="J880" s="0" t="n">
        <v>0.625</v>
      </c>
      <c r="K880" s="0" t="s">
        <v>1147</v>
      </c>
    </row>
    <row r="881" customFormat="false" ht="15" hidden="false" customHeight="false" outlineLevel="0" collapsed="false">
      <c r="A881" s="0" t="n">
        <v>79</v>
      </c>
      <c r="B881" s="0" t="s">
        <v>1081</v>
      </c>
      <c r="D881" s="0" t="s">
        <v>1082</v>
      </c>
      <c r="E881" s="0" t="s">
        <v>203</v>
      </c>
      <c r="F881" s="0" t="s">
        <v>29</v>
      </c>
      <c r="I881" s="0" t="n">
        <v>1000</v>
      </c>
      <c r="J881" s="0" t="n">
        <v>0.25</v>
      </c>
      <c r="K881" s="0" t="s">
        <v>1148</v>
      </c>
    </row>
    <row r="882" customFormat="false" ht="15" hidden="false" customHeight="false" outlineLevel="0" collapsed="false">
      <c r="A882" s="0" t="n">
        <v>79</v>
      </c>
      <c r="B882" s="0" t="s">
        <v>1081</v>
      </c>
      <c r="D882" s="0" t="s">
        <v>1082</v>
      </c>
      <c r="E882" s="0" t="s">
        <v>128</v>
      </c>
      <c r="F882" s="0" t="s">
        <v>28</v>
      </c>
      <c r="I882" s="0" t="n">
        <v>500</v>
      </c>
      <c r="J882" s="0" t="n">
        <v>0.125</v>
      </c>
      <c r="K882" s="0" t="s">
        <v>1149</v>
      </c>
    </row>
    <row r="883" customFormat="false" ht="15" hidden="false" customHeight="false" outlineLevel="0" collapsed="false">
      <c r="A883" s="0" t="n">
        <v>79</v>
      </c>
      <c r="B883" s="0" t="s">
        <v>1081</v>
      </c>
      <c r="D883" s="0" t="s">
        <v>1082</v>
      </c>
      <c r="E883" s="0" t="s">
        <v>158</v>
      </c>
      <c r="F883" s="0" t="s">
        <v>28</v>
      </c>
      <c r="I883" s="0" t="n">
        <v>0</v>
      </c>
      <c r="J883" s="0" t="n">
        <v>0</v>
      </c>
      <c r="K883" s="0" t="s">
        <v>1150</v>
      </c>
    </row>
    <row r="884" customFormat="false" ht="15" hidden="false" customHeight="false" outlineLevel="0" collapsed="false">
      <c r="A884" s="0" t="n">
        <v>79</v>
      </c>
      <c r="B884" s="0" t="s">
        <v>1081</v>
      </c>
      <c r="D884" s="0" t="s">
        <v>1082</v>
      </c>
      <c r="E884" s="0" t="s">
        <v>132</v>
      </c>
      <c r="F884" s="0" t="s">
        <v>29</v>
      </c>
      <c r="I884" s="0" t="n">
        <v>0</v>
      </c>
      <c r="J884" s="0" t="n">
        <v>0</v>
      </c>
      <c r="K884" s="0" t="s">
        <v>1151</v>
      </c>
    </row>
    <row r="885" customFormat="false" ht="15" hidden="false" customHeight="false" outlineLevel="0" collapsed="false">
      <c r="A885" s="0" t="n">
        <v>79</v>
      </c>
      <c r="B885" s="0" t="s">
        <v>1081</v>
      </c>
      <c r="D885" s="0" t="s">
        <v>1082</v>
      </c>
      <c r="E885" s="0" t="s">
        <v>134</v>
      </c>
      <c r="F885" s="0" t="s">
        <v>28</v>
      </c>
      <c r="I885" s="0" t="n">
        <v>0</v>
      </c>
      <c r="J885" s="0" t="n">
        <v>0</v>
      </c>
      <c r="K885" s="0" t="s">
        <v>1152</v>
      </c>
    </row>
    <row r="886" customFormat="false" ht="15" hidden="false" customHeight="false" outlineLevel="0" collapsed="false">
      <c r="A886" s="0" t="n">
        <v>79</v>
      </c>
      <c r="B886" s="0" t="s">
        <v>1081</v>
      </c>
      <c r="D886" s="0" t="s">
        <v>1082</v>
      </c>
      <c r="E886" s="0" t="s">
        <v>60</v>
      </c>
      <c r="F886" s="0" t="s">
        <v>27</v>
      </c>
      <c r="I886" s="0" t="n">
        <v>0</v>
      </c>
      <c r="J886" s="0" t="n">
        <v>0</v>
      </c>
      <c r="K886" s="0" t="s">
        <v>1153</v>
      </c>
    </row>
    <row r="887" customFormat="false" ht="15" hidden="false" customHeight="false" outlineLevel="0" collapsed="false">
      <c r="A887" s="0" t="n">
        <v>79</v>
      </c>
      <c r="B887" s="0" t="s">
        <v>1081</v>
      </c>
      <c r="D887" s="0" t="s">
        <v>1082</v>
      </c>
      <c r="E887" s="0" t="s">
        <v>62</v>
      </c>
      <c r="F887" s="0" t="s">
        <v>27</v>
      </c>
      <c r="I887" s="0" t="n">
        <v>0</v>
      </c>
      <c r="J887" s="0" t="n">
        <v>0</v>
      </c>
      <c r="K887" s="0" t="s">
        <v>1154</v>
      </c>
    </row>
    <row r="888" customFormat="false" ht="15" hidden="false" customHeight="false" outlineLevel="0" collapsed="false">
      <c r="A888" s="0" t="n">
        <v>79</v>
      </c>
      <c r="B888" s="0" t="s">
        <v>1081</v>
      </c>
      <c r="D888" s="0" t="s">
        <v>1082</v>
      </c>
      <c r="E888" s="0" t="s">
        <v>66</v>
      </c>
      <c r="F888" s="0" t="s">
        <v>27</v>
      </c>
      <c r="I888" s="0" t="n">
        <v>250</v>
      </c>
      <c r="J888" s="0" t="n">
        <v>0.0625</v>
      </c>
      <c r="K888" s="0" t="s">
        <v>1155</v>
      </c>
      <c r="L888" s="0" t="s">
        <v>1156</v>
      </c>
    </row>
    <row r="889" customFormat="false" ht="15" hidden="false" customHeight="false" outlineLevel="0" collapsed="false">
      <c r="A889" s="0" t="n">
        <v>79</v>
      </c>
      <c r="B889" s="0" t="s">
        <v>1081</v>
      </c>
      <c r="D889" s="0" t="s">
        <v>1082</v>
      </c>
      <c r="E889" s="0" t="s">
        <v>64</v>
      </c>
      <c r="F889" s="0" t="s">
        <v>27</v>
      </c>
      <c r="I889" s="0" t="n">
        <v>50</v>
      </c>
      <c r="J889" s="0" t="n">
        <v>0.0125</v>
      </c>
      <c r="K889" s="0" t="s">
        <v>1157</v>
      </c>
    </row>
    <row r="890" customFormat="false" ht="15" hidden="false" customHeight="false" outlineLevel="0" collapsed="false">
      <c r="A890" s="0" t="n">
        <v>79</v>
      </c>
      <c r="B890" s="0" t="s">
        <v>1081</v>
      </c>
      <c r="D890" s="0" t="s">
        <v>1082</v>
      </c>
      <c r="E890" s="0" t="s">
        <v>68</v>
      </c>
      <c r="F890" s="0" t="s">
        <v>30</v>
      </c>
      <c r="I890" s="0" t="n">
        <v>2000</v>
      </c>
      <c r="J890" s="0" t="n">
        <v>0.5</v>
      </c>
      <c r="K890" s="0" t="s">
        <v>1158</v>
      </c>
      <c r="L890" s="0" t="s">
        <v>1159</v>
      </c>
    </row>
    <row r="891" customFormat="false" ht="15" hidden="false" customHeight="false" outlineLevel="0" collapsed="false">
      <c r="A891" s="0" t="n">
        <v>80</v>
      </c>
      <c r="B891" s="0" t="s">
        <v>1081</v>
      </c>
      <c r="D891" s="0" t="s">
        <v>1082</v>
      </c>
      <c r="E891" s="0" t="s">
        <v>53</v>
      </c>
      <c r="F891" s="0" t="s">
        <v>27</v>
      </c>
      <c r="G891" s="0" t="n">
        <v>1</v>
      </c>
      <c r="H891" s="0" t="n">
        <v>5.31</v>
      </c>
      <c r="I891" s="0" t="n">
        <v>21240</v>
      </c>
      <c r="J891" s="0" t="n">
        <v>5.31</v>
      </c>
      <c r="K891" s="0" t="s">
        <v>1160</v>
      </c>
      <c r="L891" s="0" t="s">
        <v>1161</v>
      </c>
    </row>
    <row r="892" customFormat="false" ht="15" hidden="false" customHeight="false" outlineLevel="0" collapsed="false">
      <c r="A892" s="0" t="n">
        <v>80</v>
      </c>
      <c r="B892" s="0" t="s">
        <v>1081</v>
      </c>
      <c r="D892" s="0" t="s">
        <v>1082</v>
      </c>
      <c r="E892" s="0" t="s">
        <v>56</v>
      </c>
      <c r="F892" s="0" t="s">
        <v>28</v>
      </c>
      <c r="I892" s="0" t="n">
        <v>700</v>
      </c>
      <c r="J892" s="0" t="n">
        <v>0.175</v>
      </c>
      <c r="K892" s="0" t="s">
        <v>1162</v>
      </c>
    </row>
    <row r="893" customFormat="false" ht="15" hidden="false" customHeight="false" outlineLevel="0" collapsed="false">
      <c r="A893" s="0" t="n">
        <v>80</v>
      </c>
      <c r="B893" s="0" t="s">
        <v>1081</v>
      </c>
      <c r="D893" s="0" t="s">
        <v>1082</v>
      </c>
      <c r="E893" s="0" t="s">
        <v>58</v>
      </c>
      <c r="F893" s="0" t="s">
        <v>28</v>
      </c>
      <c r="I893" s="0" t="n">
        <v>2500</v>
      </c>
      <c r="J893" s="0" t="n">
        <v>0.625</v>
      </c>
      <c r="K893" s="0" t="s">
        <v>1163</v>
      </c>
    </row>
    <row r="894" customFormat="false" ht="15" hidden="false" customHeight="false" outlineLevel="0" collapsed="false">
      <c r="A894" s="0" t="n">
        <v>80</v>
      </c>
      <c r="B894" s="0" t="s">
        <v>1081</v>
      </c>
      <c r="D894" s="0" t="s">
        <v>1082</v>
      </c>
      <c r="E894" s="0" t="s">
        <v>128</v>
      </c>
      <c r="F894" s="0" t="s">
        <v>28</v>
      </c>
      <c r="I894" s="0" t="n">
        <v>1000</v>
      </c>
      <c r="J894" s="0" t="n">
        <v>0.25</v>
      </c>
      <c r="K894" s="0" t="s">
        <v>1164</v>
      </c>
    </row>
    <row r="895" customFormat="false" ht="15" hidden="false" customHeight="false" outlineLevel="0" collapsed="false">
      <c r="A895" s="0" t="n">
        <v>80</v>
      </c>
      <c r="B895" s="0" t="s">
        <v>1081</v>
      </c>
      <c r="D895" s="0" t="s">
        <v>1082</v>
      </c>
      <c r="E895" s="0" t="s">
        <v>130</v>
      </c>
      <c r="F895" s="0" t="s">
        <v>29</v>
      </c>
      <c r="I895" s="0" t="n">
        <v>1500</v>
      </c>
      <c r="J895" s="0" t="n">
        <v>0.375</v>
      </c>
      <c r="K895" s="0" t="s">
        <v>1165</v>
      </c>
    </row>
    <row r="896" customFormat="false" ht="15" hidden="false" customHeight="false" outlineLevel="0" collapsed="false">
      <c r="A896" s="0" t="n">
        <v>80</v>
      </c>
      <c r="B896" s="0" t="s">
        <v>1081</v>
      </c>
      <c r="D896" s="0" t="s">
        <v>1082</v>
      </c>
      <c r="E896" s="0" t="s">
        <v>158</v>
      </c>
      <c r="F896" s="0" t="s">
        <v>28</v>
      </c>
      <c r="I896" s="0" t="n">
        <v>2000</v>
      </c>
      <c r="J896" s="0" t="n">
        <v>0.5</v>
      </c>
      <c r="K896" s="0" t="s">
        <v>1166</v>
      </c>
      <c r="L896" s="0" t="s">
        <v>1167</v>
      </c>
    </row>
    <row r="897" customFormat="false" ht="15" hidden="false" customHeight="false" outlineLevel="0" collapsed="false">
      <c r="A897" s="0" t="n">
        <v>80</v>
      </c>
      <c r="B897" s="0" t="s">
        <v>1081</v>
      </c>
      <c r="D897" s="0" t="s">
        <v>1082</v>
      </c>
      <c r="E897" s="0" t="s">
        <v>132</v>
      </c>
      <c r="F897" s="0" t="s">
        <v>29</v>
      </c>
      <c r="I897" s="0" t="n">
        <v>0</v>
      </c>
      <c r="J897" s="0" t="n">
        <v>0</v>
      </c>
      <c r="K897" s="0" t="s">
        <v>1168</v>
      </c>
      <c r="L897" s="0" t="s">
        <v>1169</v>
      </c>
    </row>
    <row r="898" customFormat="false" ht="15" hidden="false" customHeight="false" outlineLevel="0" collapsed="false">
      <c r="A898" s="0" t="n">
        <v>80</v>
      </c>
      <c r="B898" s="0" t="s">
        <v>1081</v>
      </c>
      <c r="D898" s="0" t="s">
        <v>1082</v>
      </c>
      <c r="E898" s="0" t="s">
        <v>134</v>
      </c>
      <c r="F898" s="0" t="s">
        <v>28</v>
      </c>
      <c r="I898" s="0" t="n">
        <v>0</v>
      </c>
      <c r="J898" s="0" t="n">
        <v>0</v>
      </c>
      <c r="K898" s="0" t="s">
        <v>1170</v>
      </c>
      <c r="L898" s="0" t="s">
        <v>1171</v>
      </c>
    </row>
    <row r="899" customFormat="false" ht="15" hidden="false" customHeight="false" outlineLevel="0" collapsed="false">
      <c r="A899" s="0" t="n">
        <v>80</v>
      </c>
      <c r="B899" s="0" t="s">
        <v>1081</v>
      </c>
      <c r="D899" s="0" t="s">
        <v>1082</v>
      </c>
      <c r="E899" s="0" t="s">
        <v>60</v>
      </c>
      <c r="F899" s="0" t="s">
        <v>27</v>
      </c>
      <c r="I899" s="0" t="n">
        <v>200</v>
      </c>
      <c r="J899" s="0" t="n">
        <v>0.05</v>
      </c>
      <c r="K899" s="0" t="s">
        <v>1172</v>
      </c>
    </row>
    <row r="900" customFormat="false" ht="15" hidden="false" customHeight="false" outlineLevel="0" collapsed="false">
      <c r="A900" s="0" t="n">
        <v>80</v>
      </c>
      <c r="B900" s="0" t="s">
        <v>1081</v>
      </c>
      <c r="D900" s="0" t="s">
        <v>1082</v>
      </c>
      <c r="E900" s="0" t="s">
        <v>62</v>
      </c>
      <c r="F900" s="0" t="s">
        <v>27</v>
      </c>
      <c r="I900" s="0" t="n">
        <v>100</v>
      </c>
      <c r="J900" s="0" t="n">
        <v>0.025</v>
      </c>
      <c r="K900" s="0" t="s">
        <v>1173</v>
      </c>
    </row>
    <row r="901" customFormat="false" ht="15" hidden="false" customHeight="false" outlineLevel="0" collapsed="false">
      <c r="A901" s="0" t="n">
        <v>80</v>
      </c>
      <c r="B901" s="0" t="s">
        <v>1081</v>
      </c>
      <c r="D901" s="0" t="s">
        <v>1082</v>
      </c>
      <c r="E901" s="0" t="s">
        <v>66</v>
      </c>
      <c r="F901" s="0" t="s">
        <v>27</v>
      </c>
      <c r="I901" s="0" t="n">
        <v>350</v>
      </c>
      <c r="J901" s="0" t="n">
        <v>0.0875</v>
      </c>
      <c r="K901" s="0" t="s">
        <v>1174</v>
      </c>
      <c r="L901" s="0" t="s">
        <v>1175</v>
      </c>
    </row>
    <row r="902" customFormat="false" ht="15" hidden="false" customHeight="false" outlineLevel="0" collapsed="false">
      <c r="A902" s="0" t="n">
        <v>80</v>
      </c>
      <c r="B902" s="0" t="s">
        <v>1081</v>
      </c>
      <c r="D902" s="0" t="s">
        <v>1082</v>
      </c>
      <c r="E902" s="0" t="s">
        <v>64</v>
      </c>
      <c r="F902" s="0" t="s">
        <v>27</v>
      </c>
      <c r="I902" s="0" t="n">
        <v>750</v>
      </c>
      <c r="J902" s="0" t="n">
        <v>0.1875</v>
      </c>
      <c r="K902" s="0" t="s">
        <v>1176</v>
      </c>
      <c r="L902" s="0" t="s">
        <v>1177</v>
      </c>
    </row>
    <row r="903" customFormat="false" ht="15" hidden="false" customHeight="false" outlineLevel="0" collapsed="false">
      <c r="A903" s="0" t="n">
        <v>80</v>
      </c>
      <c r="B903" s="0" t="s">
        <v>1081</v>
      </c>
      <c r="D903" s="0" t="s">
        <v>1082</v>
      </c>
      <c r="E903" s="0" t="s">
        <v>68</v>
      </c>
      <c r="F903" s="0" t="s">
        <v>30</v>
      </c>
      <c r="I903" s="0" t="n">
        <v>4000</v>
      </c>
      <c r="J903" s="0" t="n">
        <v>1</v>
      </c>
      <c r="K903" s="0" t="s">
        <v>1178</v>
      </c>
      <c r="L903" s="0" t="s">
        <v>1179</v>
      </c>
    </row>
    <row r="904" customFormat="false" ht="15" hidden="false" customHeight="false" outlineLevel="0" collapsed="false">
      <c r="A904" s="0" t="n">
        <v>81</v>
      </c>
      <c r="B904" s="0" t="s">
        <v>1081</v>
      </c>
      <c r="D904" s="0" t="s">
        <v>1082</v>
      </c>
      <c r="E904" s="0" t="s">
        <v>53</v>
      </c>
      <c r="F904" s="0" t="s">
        <v>27</v>
      </c>
      <c r="G904" s="0" t="n">
        <v>1</v>
      </c>
      <c r="H904" s="0" t="n">
        <v>3</v>
      </c>
      <c r="I904" s="0" t="n">
        <v>12000</v>
      </c>
      <c r="J904" s="0" t="n">
        <v>3</v>
      </c>
      <c r="K904" s="0" t="s">
        <v>1180</v>
      </c>
      <c r="L904" s="0" t="s">
        <v>1181</v>
      </c>
    </row>
    <row r="905" customFormat="false" ht="15" hidden="false" customHeight="false" outlineLevel="0" collapsed="false">
      <c r="A905" s="0" t="n">
        <v>81</v>
      </c>
      <c r="B905" s="0" t="s">
        <v>1081</v>
      </c>
      <c r="D905" s="0" t="s">
        <v>1082</v>
      </c>
      <c r="E905" s="0" t="s">
        <v>56</v>
      </c>
      <c r="F905" s="0" t="s">
        <v>28</v>
      </c>
      <c r="I905" s="0" t="n">
        <v>700</v>
      </c>
      <c r="J905" s="0" t="n">
        <v>0.175</v>
      </c>
      <c r="K905" s="0" t="s">
        <v>1182</v>
      </c>
    </row>
    <row r="906" customFormat="false" ht="15" hidden="false" customHeight="false" outlineLevel="0" collapsed="false">
      <c r="A906" s="0" t="n">
        <v>81</v>
      </c>
      <c r="B906" s="0" t="s">
        <v>1081</v>
      </c>
      <c r="D906" s="0" t="s">
        <v>1082</v>
      </c>
      <c r="E906" s="0" t="s">
        <v>58</v>
      </c>
      <c r="F906" s="0" t="s">
        <v>28</v>
      </c>
      <c r="I906" s="0" t="n">
        <v>2500</v>
      </c>
      <c r="J906" s="0" t="n">
        <v>0.625</v>
      </c>
      <c r="K906" s="0" t="s">
        <v>1183</v>
      </c>
    </row>
    <row r="907" customFormat="false" ht="15" hidden="false" customHeight="false" outlineLevel="0" collapsed="false">
      <c r="A907" s="0" t="n">
        <v>81</v>
      </c>
      <c r="B907" s="0" t="s">
        <v>1081</v>
      </c>
      <c r="D907" s="0" t="s">
        <v>1082</v>
      </c>
      <c r="E907" s="0" t="s">
        <v>1184</v>
      </c>
      <c r="F907" s="0" t="s">
        <v>31</v>
      </c>
      <c r="G907" s="0" t="n">
        <v>15000</v>
      </c>
      <c r="H907" s="0" t="n">
        <v>1.3</v>
      </c>
      <c r="I907" s="0" t="n">
        <v>11538.4615384615</v>
      </c>
      <c r="J907" s="0" t="n">
        <v>2.88461538461538</v>
      </c>
      <c r="K907" s="0" t="s">
        <v>1185</v>
      </c>
      <c r="L907" s="0" t="s">
        <v>1186</v>
      </c>
    </row>
    <row r="908" customFormat="false" ht="15" hidden="false" customHeight="false" outlineLevel="0" collapsed="false">
      <c r="A908" s="0" t="n">
        <v>81</v>
      </c>
      <c r="B908" s="0" t="s">
        <v>1081</v>
      </c>
      <c r="D908" s="0" t="s">
        <v>1082</v>
      </c>
      <c r="E908" s="0" t="s">
        <v>128</v>
      </c>
      <c r="F908" s="0" t="s">
        <v>28</v>
      </c>
      <c r="I908" s="0" t="n">
        <v>3000</v>
      </c>
      <c r="J908" s="0" t="n">
        <v>0.75</v>
      </c>
      <c r="K908" s="0" t="s">
        <v>1187</v>
      </c>
    </row>
    <row r="909" customFormat="false" ht="15" hidden="false" customHeight="false" outlineLevel="0" collapsed="false">
      <c r="A909" s="0" t="n">
        <v>81</v>
      </c>
      <c r="B909" s="0" t="s">
        <v>1081</v>
      </c>
      <c r="D909" s="0" t="s">
        <v>1082</v>
      </c>
      <c r="E909" s="0" t="s">
        <v>203</v>
      </c>
      <c r="F909" s="0" t="s">
        <v>29</v>
      </c>
      <c r="I909" s="0" t="n">
        <v>0</v>
      </c>
      <c r="J909" s="0" t="n">
        <v>0</v>
      </c>
      <c r="K909" s="0" t="s">
        <v>1188</v>
      </c>
    </row>
    <row r="910" customFormat="false" ht="15" hidden="false" customHeight="false" outlineLevel="0" collapsed="false">
      <c r="A910" s="0" t="n">
        <v>81</v>
      </c>
      <c r="B910" s="0" t="s">
        <v>1081</v>
      </c>
      <c r="D910" s="0" t="s">
        <v>1082</v>
      </c>
      <c r="E910" s="0" t="s">
        <v>158</v>
      </c>
      <c r="F910" s="0" t="s">
        <v>28</v>
      </c>
      <c r="I910" s="0" t="n">
        <v>2000</v>
      </c>
      <c r="J910" s="0" t="n">
        <v>0.5</v>
      </c>
      <c r="K910" s="0" t="s">
        <v>1189</v>
      </c>
    </row>
    <row r="911" customFormat="false" ht="15" hidden="false" customHeight="false" outlineLevel="0" collapsed="false">
      <c r="A911" s="0" t="n">
        <v>81</v>
      </c>
      <c r="B911" s="0" t="s">
        <v>1081</v>
      </c>
      <c r="D911" s="0" t="s">
        <v>1082</v>
      </c>
      <c r="E911" s="0" t="s">
        <v>132</v>
      </c>
      <c r="F911" s="0" t="s">
        <v>29</v>
      </c>
      <c r="I911" s="0" t="n">
        <v>0</v>
      </c>
      <c r="J911" s="0" t="n">
        <v>0</v>
      </c>
      <c r="K911" s="0" t="s">
        <v>1190</v>
      </c>
    </row>
    <row r="912" customFormat="false" ht="15" hidden="false" customHeight="false" outlineLevel="0" collapsed="false">
      <c r="A912" s="0" t="n">
        <v>81</v>
      </c>
      <c r="B912" s="0" t="s">
        <v>1081</v>
      </c>
      <c r="D912" s="0" t="s">
        <v>1082</v>
      </c>
      <c r="E912" s="0" t="s">
        <v>134</v>
      </c>
      <c r="F912" s="0" t="s">
        <v>28</v>
      </c>
      <c r="I912" s="0" t="n">
        <v>0</v>
      </c>
      <c r="J912" s="0" t="n">
        <v>0</v>
      </c>
      <c r="K912" s="0" t="s">
        <v>1191</v>
      </c>
    </row>
    <row r="913" customFormat="false" ht="15" hidden="false" customHeight="false" outlineLevel="0" collapsed="false">
      <c r="A913" s="0" t="n">
        <v>81</v>
      </c>
      <c r="B913" s="0" t="s">
        <v>1081</v>
      </c>
      <c r="D913" s="0" t="s">
        <v>1082</v>
      </c>
      <c r="E913" s="0" t="s">
        <v>60</v>
      </c>
      <c r="F913" s="0" t="s">
        <v>27</v>
      </c>
      <c r="I913" s="0" t="n">
        <v>200</v>
      </c>
      <c r="J913" s="0" t="n">
        <v>0.05</v>
      </c>
      <c r="K913" s="0" t="s">
        <v>1192</v>
      </c>
    </row>
    <row r="914" customFormat="false" ht="15" hidden="false" customHeight="false" outlineLevel="0" collapsed="false">
      <c r="A914" s="0" t="n">
        <v>81</v>
      </c>
      <c r="B914" s="0" t="s">
        <v>1081</v>
      </c>
      <c r="D914" s="0" t="s">
        <v>1082</v>
      </c>
      <c r="E914" s="0" t="s">
        <v>62</v>
      </c>
      <c r="F914" s="0" t="s">
        <v>27</v>
      </c>
      <c r="I914" s="0" t="n">
        <v>100</v>
      </c>
      <c r="J914" s="0" t="n">
        <v>0.025</v>
      </c>
      <c r="K914" s="0" t="s">
        <v>1193</v>
      </c>
    </row>
    <row r="915" customFormat="false" ht="15" hidden="false" customHeight="false" outlineLevel="0" collapsed="false">
      <c r="A915" s="0" t="n">
        <v>81</v>
      </c>
      <c r="B915" s="0" t="s">
        <v>1081</v>
      </c>
      <c r="D915" s="0" t="s">
        <v>1082</v>
      </c>
      <c r="E915" s="0" t="s">
        <v>66</v>
      </c>
      <c r="F915" s="0" t="s">
        <v>27</v>
      </c>
      <c r="I915" s="0" t="n">
        <v>350</v>
      </c>
      <c r="J915" s="0" t="n">
        <v>0.0875</v>
      </c>
      <c r="K915" s="0" t="s">
        <v>1194</v>
      </c>
    </row>
    <row r="916" customFormat="false" ht="15" hidden="false" customHeight="false" outlineLevel="0" collapsed="false">
      <c r="A916" s="0" t="n">
        <v>81</v>
      </c>
      <c r="B916" s="0" t="s">
        <v>1081</v>
      </c>
      <c r="D916" s="0" t="s">
        <v>1082</v>
      </c>
      <c r="E916" s="0" t="s">
        <v>64</v>
      </c>
      <c r="F916" s="0" t="s">
        <v>27</v>
      </c>
      <c r="I916" s="0" t="n">
        <v>750</v>
      </c>
      <c r="J916" s="0" t="n">
        <v>0.1875</v>
      </c>
      <c r="K916" s="0" t="s">
        <v>1195</v>
      </c>
    </row>
    <row r="917" customFormat="false" ht="15" hidden="false" customHeight="false" outlineLevel="0" collapsed="false">
      <c r="A917" s="0" t="n">
        <v>81</v>
      </c>
      <c r="B917" s="0" t="s">
        <v>1081</v>
      </c>
      <c r="D917" s="0" t="s">
        <v>1082</v>
      </c>
      <c r="E917" s="0" t="s">
        <v>68</v>
      </c>
      <c r="F917" s="0" t="s">
        <v>30</v>
      </c>
      <c r="I917" s="0" t="n">
        <v>4000</v>
      </c>
      <c r="J917" s="0" t="n">
        <v>1</v>
      </c>
      <c r="K917" s="0" t="s">
        <v>1196</v>
      </c>
    </row>
    <row r="918" customFormat="false" ht="15" hidden="false" customHeight="false" outlineLevel="0" collapsed="false">
      <c r="A918" s="0" t="n">
        <v>82</v>
      </c>
      <c r="B918" s="0" t="s">
        <v>1081</v>
      </c>
      <c r="D918" s="0" t="s">
        <v>1197</v>
      </c>
      <c r="E918" s="0" t="s">
        <v>53</v>
      </c>
      <c r="F918" s="0" t="s">
        <v>27</v>
      </c>
      <c r="G918" s="0" t="n">
        <v>0.7</v>
      </c>
      <c r="H918" s="0" t="n">
        <v>1.6</v>
      </c>
      <c r="I918" s="0" t="n">
        <v>4256</v>
      </c>
      <c r="J918" s="0" t="n">
        <v>1.064</v>
      </c>
      <c r="K918" s="0" t="s">
        <v>1198</v>
      </c>
      <c r="L918" s="0" t="s">
        <v>1199</v>
      </c>
    </row>
    <row r="919" customFormat="false" ht="15" hidden="false" customHeight="false" outlineLevel="0" collapsed="false">
      <c r="A919" s="0" t="n">
        <v>82</v>
      </c>
      <c r="B919" s="0" t="s">
        <v>1081</v>
      </c>
      <c r="D919" s="0" t="s">
        <v>1197</v>
      </c>
      <c r="E919" s="0" t="s">
        <v>56</v>
      </c>
      <c r="F919" s="0" t="s">
        <v>28</v>
      </c>
      <c r="I919" s="0" t="n">
        <v>500</v>
      </c>
      <c r="J919" s="0" t="n">
        <v>0.125</v>
      </c>
      <c r="K919" s="0" t="s">
        <v>1200</v>
      </c>
    </row>
    <row r="920" customFormat="false" ht="15" hidden="false" customHeight="false" outlineLevel="0" collapsed="false">
      <c r="A920" s="0" t="n">
        <v>82</v>
      </c>
      <c r="B920" s="0" t="s">
        <v>1081</v>
      </c>
      <c r="D920" s="0" t="s">
        <v>1197</v>
      </c>
      <c r="E920" s="0" t="s">
        <v>58</v>
      </c>
      <c r="F920" s="0" t="s">
        <v>28</v>
      </c>
      <c r="I920" s="0" t="n">
        <v>2000</v>
      </c>
      <c r="J920" s="0" t="n">
        <v>0.5</v>
      </c>
      <c r="K920" s="0" t="s">
        <v>1201</v>
      </c>
    </row>
    <row r="921" customFormat="false" ht="15" hidden="false" customHeight="false" outlineLevel="0" collapsed="false">
      <c r="A921" s="0" t="n">
        <v>82</v>
      </c>
      <c r="B921" s="0" t="s">
        <v>1081</v>
      </c>
      <c r="D921" s="0" t="s">
        <v>1197</v>
      </c>
      <c r="E921" s="0" t="s">
        <v>203</v>
      </c>
      <c r="F921" s="0" t="s">
        <v>29</v>
      </c>
      <c r="I921" s="0" t="n">
        <v>500</v>
      </c>
      <c r="J921" s="0" t="n">
        <v>0.125</v>
      </c>
      <c r="K921" s="0" t="s">
        <v>1202</v>
      </c>
    </row>
    <row r="922" customFormat="false" ht="15" hidden="false" customHeight="false" outlineLevel="0" collapsed="false">
      <c r="A922" s="0" t="n">
        <v>82</v>
      </c>
      <c r="B922" s="0" t="s">
        <v>1081</v>
      </c>
      <c r="D922" s="0" t="s">
        <v>1197</v>
      </c>
      <c r="E922" s="0" t="s">
        <v>128</v>
      </c>
      <c r="F922" s="0" t="s">
        <v>28</v>
      </c>
      <c r="I922" s="0" t="n">
        <v>500</v>
      </c>
      <c r="J922" s="0" t="n">
        <v>0.125</v>
      </c>
      <c r="K922" s="0" t="s">
        <v>1203</v>
      </c>
    </row>
    <row r="923" customFormat="false" ht="15" hidden="false" customHeight="false" outlineLevel="0" collapsed="false">
      <c r="A923" s="0" t="n">
        <v>82</v>
      </c>
      <c r="B923" s="0" t="s">
        <v>1081</v>
      </c>
      <c r="D923" s="0" t="s">
        <v>1197</v>
      </c>
      <c r="E923" s="0" t="s">
        <v>158</v>
      </c>
      <c r="F923" s="0" t="s">
        <v>28</v>
      </c>
      <c r="I923" s="0" t="n">
        <v>0</v>
      </c>
      <c r="J923" s="0" t="n">
        <v>0</v>
      </c>
      <c r="K923" s="0" t="s">
        <v>1204</v>
      </c>
    </row>
    <row r="924" customFormat="false" ht="15" hidden="false" customHeight="false" outlineLevel="0" collapsed="false">
      <c r="A924" s="0" t="n">
        <v>82</v>
      </c>
      <c r="B924" s="0" t="s">
        <v>1081</v>
      </c>
      <c r="D924" s="0" t="s">
        <v>1197</v>
      </c>
      <c r="E924" s="0" t="s">
        <v>132</v>
      </c>
      <c r="F924" s="0" t="s">
        <v>29</v>
      </c>
      <c r="I924" s="0" t="n">
        <v>200</v>
      </c>
      <c r="J924" s="0" t="n">
        <v>0.05</v>
      </c>
      <c r="K924" s="0" t="s">
        <v>1205</v>
      </c>
    </row>
    <row r="925" customFormat="false" ht="15" hidden="false" customHeight="false" outlineLevel="0" collapsed="false">
      <c r="A925" s="0" t="n">
        <v>82</v>
      </c>
      <c r="B925" s="0" t="s">
        <v>1081</v>
      </c>
      <c r="D925" s="0" t="s">
        <v>1197</v>
      </c>
      <c r="E925" s="0" t="s">
        <v>134</v>
      </c>
      <c r="F925" s="0" t="s">
        <v>28</v>
      </c>
      <c r="I925" s="0" t="n">
        <v>50</v>
      </c>
      <c r="J925" s="0" t="n">
        <v>0.0125</v>
      </c>
      <c r="K925" s="0" t="s">
        <v>1206</v>
      </c>
    </row>
    <row r="926" customFormat="false" ht="15" hidden="false" customHeight="false" outlineLevel="0" collapsed="false">
      <c r="A926" s="0" t="n">
        <v>82</v>
      </c>
      <c r="B926" s="0" t="s">
        <v>1081</v>
      </c>
      <c r="D926" s="0" t="s">
        <v>1197</v>
      </c>
      <c r="E926" s="0" t="s">
        <v>60</v>
      </c>
      <c r="F926" s="0" t="s">
        <v>27</v>
      </c>
      <c r="I926" s="0" t="n">
        <v>200</v>
      </c>
      <c r="J926" s="0" t="n">
        <v>0.05</v>
      </c>
      <c r="K926" s="0" t="s">
        <v>1207</v>
      </c>
    </row>
    <row r="927" customFormat="false" ht="15" hidden="false" customHeight="false" outlineLevel="0" collapsed="false">
      <c r="A927" s="0" t="n">
        <v>82</v>
      </c>
      <c r="B927" s="0" t="s">
        <v>1081</v>
      </c>
      <c r="D927" s="0" t="s">
        <v>1197</v>
      </c>
      <c r="E927" s="0" t="s">
        <v>62</v>
      </c>
      <c r="F927" s="0" t="s">
        <v>27</v>
      </c>
      <c r="I927" s="0" t="n">
        <v>100</v>
      </c>
      <c r="J927" s="0" t="n">
        <v>0.025</v>
      </c>
      <c r="K927" s="0" t="s">
        <v>1208</v>
      </c>
    </row>
    <row r="928" customFormat="false" ht="15" hidden="false" customHeight="false" outlineLevel="0" collapsed="false">
      <c r="A928" s="0" t="n">
        <v>82</v>
      </c>
      <c r="B928" s="0" t="s">
        <v>1081</v>
      </c>
      <c r="D928" s="0" t="s">
        <v>1197</v>
      </c>
      <c r="E928" s="0" t="s">
        <v>66</v>
      </c>
      <c r="F928" s="0" t="s">
        <v>27</v>
      </c>
      <c r="I928" s="0" t="n">
        <v>250</v>
      </c>
      <c r="J928" s="0" t="n">
        <v>0.0625</v>
      </c>
      <c r="K928" s="0" t="s">
        <v>1209</v>
      </c>
    </row>
    <row r="929" customFormat="false" ht="15" hidden="false" customHeight="false" outlineLevel="0" collapsed="false">
      <c r="A929" s="0" t="n">
        <v>82</v>
      </c>
      <c r="B929" s="0" t="s">
        <v>1081</v>
      </c>
      <c r="D929" s="0" t="s">
        <v>1197</v>
      </c>
      <c r="E929" s="0" t="s">
        <v>64</v>
      </c>
      <c r="F929" s="0" t="s">
        <v>27</v>
      </c>
      <c r="I929" s="0" t="n">
        <v>500</v>
      </c>
      <c r="J929" s="0" t="n">
        <v>0.125</v>
      </c>
      <c r="K929" s="0" t="s">
        <v>1210</v>
      </c>
    </row>
    <row r="930" customFormat="false" ht="15" hidden="false" customHeight="false" outlineLevel="0" collapsed="false">
      <c r="A930" s="0" t="n">
        <v>82</v>
      </c>
      <c r="B930" s="0" t="s">
        <v>1081</v>
      </c>
      <c r="D930" s="0" t="s">
        <v>1197</v>
      </c>
      <c r="E930" s="0" t="s">
        <v>68</v>
      </c>
      <c r="F930" s="0" t="s">
        <v>30</v>
      </c>
      <c r="I930" s="0" t="n">
        <v>2000</v>
      </c>
      <c r="J930" s="0" t="n">
        <v>0.5</v>
      </c>
      <c r="K930" s="0" t="s">
        <v>1211</v>
      </c>
    </row>
    <row r="931" customFormat="false" ht="15" hidden="false" customHeight="false" outlineLevel="0" collapsed="false">
      <c r="A931" s="0" t="n">
        <v>83</v>
      </c>
      <c r="B931" s="0" t="s">
        <v>1081</v>
      </c>
      <c r="D931" s="0" t="s">
        <v>1197</v>
      </c>
      <c r="E931" s="0" t="s">
        <v>53</v>
      </c>
      <c r="F931" s="0" t="s">
        <v>27</v>
      </c>
      <c r="G931" s="0" t="n">
        <v>0.8</v>
      </c>
      <c r="H931" s="0" t="n">
        <v>1.2</v>
      </c>
      <c r="I931" s="0" t="n">
        <v>3840</v>
      </c>
      <c r="J931" s="0" t="n">
        <v>0.96</v>
      </c>
      <c r="K931" s="0" t="s">
        <v>1212</v>
      </c>
      <c r="L931" s="0" t="s">
        <v>1213</v>
      </c>
    </row>
    <row r="932" customFormat="false" ht="15" hidden="false" customHeight="false" outlineLevel="0" collapsed="false">
      <c r="A932" s="0" t="n">
        <v>83</v>
      </c>
      <c r="B932" s="0" t="s">
        <v>1081</v>
      </c>
      <c r="D932" s="0" t="s">
        <v>1197</v>
      </c>
      <c r="E932" s="0" t="s">
        <v>56</v>
      </c>
      <c r="F932" s="0" t="s">
        <v>28</v>
      </c>
      <c r="I932" s="0" t="n">
        <v>700</v>
      </c>
      <c r="J932" s="0" t="n">
        <v>0.175</v>
      </c>
      <c r="K932" s="0" t="s">
        <v>1214</v>
      </c>
    </row>
    <row r="933" customFormat="false" ht="15" hidden="false" customHeight="false" outlineLevel="0" collapsed="false">
      <c r="A933" s="0" t="n">
        <v>83</v>
      </c>
      <c r="B933" s="0" t="s">
        <v>1081</v>
      </c>
      <c r="D933" s="0" t="s">
        <v>1197</v>
      </c>
      <c r="E933" s="0" t="s">
        <v>58</v>
      </c>
      <c r="F933" s="0" t="s">
        <v>28</v>
      </c>
      <c r="I933" s="0" t="n">
        <v>2500</v>
      </c>
      <c r="J933" s="0" t="n">
        <v>0.625</v>
      </c>
      <c r="K933" s="0" t="s">
        <v>1215</v>
      </c>
    </row>
    <row r="934" customFormat="false" ht="15" hidden="false" customHeight="false" outlineLevel="0" collapsed="false">
      <c r="A934" s="0" t="n">
        <v>83</v>
      </c>
      <c r="B934" s="0" t="s">
        <v>1081</v>
      </c>
      <c r="D934" s="0" t="s">
        <v>1197</v>
      </c>
      <c r="E934" s="0" t="s">
        <v>379</v>
      </c>
      <c r="F934" s="0" t="s">
        <v>29</v>
      </c>
      <c r="G934" s="0" t="n">
        <v>0.8</v>
      </c>
      <c r="H934" s="0" t="n">
        <v>13000</v>
      </c>
      <c r="I934" s="0" t="n">
        <v>10400</v>
      </c>
      <c r="J934" s="0" t="n">
        <v>2.6</v>
      </c>
      <c r="K934" s="0" t="s">
        <v>1216</v>
      </c>
      <c r="L934" s="0" t="s">
        <v>1217</v>
      </c>
    </row>
    <row r="935" customFormat="false" ht="15" hidden="false" customHeight="false" outlineLevel="0" collapsed="false">
      <c r="A935" s="0" t="n">
        <v>83</v>
      </c>
      <c r="B935" s="0" t="s">
        <v>1081</v>
      </c>
      <c r="D935" s="0" t="s">
        <v>1197</v>
      </c>
      <c r="E935" s="0" t="s">
        <v>128</v>
      </c>
      <c r="F935" s="0" t="s">
        <v>28</v>
      </c>
      <c r="I935" s="0" t="n">
        <v>3000</v>
      </c>
      <c r="J935" s="0" t="n">
        <v>0.75</v>
      </c>
      <c r="K935" s="0" t="s">
        <v>1218</v>
      </c>
    </row>
    <row r="936" customFormat="false" ht="15" hidden="false" customHeight="false" outlineLevel="0" collapsed="false">
      <c r="A936" s="0" t="n">
        <v>83</v>
      </c>
      <c r="B936" s="0" t="s">
        <v>1081</v>
      </c>
      <c r="D936" s="0" t="s">
        <v>1197</v>
      </c>
      <c r="E936" s="0" t="s">
        <v>158</v>
      </c>
      <c r="F936" s="0" t="s">
        <v>28</v>
      </c>
      <c r="I936" s="0" t="n">
        <v>2000</v>
      </c>
      <c r="J936" s="0" t="n">
        <v>0.5</v>
      </c>
      <c r="K936" s="0" t="s">
        <v>1219</v>
      </c>
    </row>
    <row r="937" customFormat="false" ht="15" hidden="false" customHeight="false" outlineLevel="0" collapsed="false">
      <c r="A937" s="0" t="n">
        <v>83</v>
      </c>
      <c r="B937" s="0" t="s">
        <v>1081</v>
      </c>
      <c r="D937" s="0" t="s">
        <v>1197</v>
      </c>
      <c r="E937" s="0" t="s">
        <v>132</v>
      </c>
      <c r="F937" s="0" t="s">
        <v>29</v>
      </c>
      <c r="I937" s="0" t="n">
        <v>200</v>
      </c>
      <c r="J937" s="0" t="n">
        <v>0.05</v>
      </c>
      <c r="K937" s="0" t="s">
        <v>1220</v>
      </c>
    </row>
    <row r="938" customFormat="false" ht="15" hidden="false" customHeight="false" outlineLevel="0" collapsed="false">
      <c r="A938" s="0" t="n">
        <v>83</v>
      </c>
      <c r="B938" s="0" t="s">
        <v>1081</v>
      </c>
      <c r="D938" s="0" t="s">
        <v>1197</v>
      </c>
      <c r="E938" s="0" t="s">
        <v>134</v>
      </c>
      <c r="F938" s="0" t="s">
        <v>28</v>
      </c>
      <c r="I938" s="0" t="n">
        <v>200</v>
      </c>
      <c r="J938" s="0" t="n">
        <v>0.05</v>
      </c>
      <c r="K938" s="0" t="s">
        <v>1221</v>
      </c>
    </row>
    <row r="939" customFormat="false" ht="15" hidden="false" customHeight="false" outlineLevel="0" collapsed="false">
      <c r="A939" s="0" t="n">
        <v>83</v>
      </c>
      <c r="B939" s="0" t="s">
        <v>1081</v>
      </c>
      <c r="D939" s="0" t="s">
        <v>1197</v>
      </c>
      <c r="E939" s="0" t="s">
        <v>60</v>
      </c>
      <c r="F939" s="0" t="s">
        <v>27</v>
      </c>
      <c r="I939" s="0" t="n">
        <v>200</v>
      </c>
      <c r="J939" s="0" t="n">
        <v>0.05</v>
      </c>
      <c r="K939" s="0" t="s">
        <v>1222</v>
      </c>
    </row>
    <row r="940" customFormat="false" ht="15" hidden="false" customHeight="false" outlineLevel="0" collapsed="false">
      <c r="A940" s="0" t="n">
        <v>83</v>
      </c>
      <c r="B940" s="0" t="s">
        <v>1081</v>
      </c>
      <c r="D940" s="0" t="s">
        <v>1197</v>
      </c>
      <c r="E940" s="0" t="s">
        <v>62</v>
      </c>
      <c r="F940" s="0" t="s">
        <v>27</v>
      </c>
      <c r="I940" s="0" t="n">
        <v>100</v>
      </c>
      <c r="J940" s="0" t="n">
        <v>0.025</v>
      </c>
      <c r="K940" s="0" t="s">
        <v>1223</v>
      </c>
    </row>
    <row r="941" customFormat="false" ht="15" hidden="false" customHeight="false" outlineLevel="0" collapsed="false">
      <c r="A941" s="0" t="n">
        <v>83</v>
      </c>
      <c r="B941" s="0" t="s">
        <v>1081</v>
      </c>
      <c r="D941" s="0" t="s">
        <v>1197</v>
      </c>
      <c r="E941" s="0" t="s">
        <v>66</v>
      </c>
      <c r="F941" s="0" t="s">
        <v>27</v>
      </c>
      <c r="I941" s="0" t="n">
        <v>250</v>
      </c>
      <c r="J941" s="0" t="n">
        <v>0.0625</v>
      </c>
      <c r="K941" s="0" t="s">
        <v>1224</v>
      </c>
    </row>
    <row r="942" customFormat="false" ht="15" hidden="false" customHeight="false" outlineLevel="0" collapsed="false">
      <c r="A942" s="0" t="n">
        <v>83</v>
      </c>
      <c r="B942" s="0" t="s">
        <v>1081</v>
      </c>
      <c r="D942" s="0" t="s">
        <v>1197</v>
      </c>
      <c r="E942" s="0" t="s">
        <v>64</v>
      </c>
      <c r="F942" s="0" t="s">
        <v>27</v>
      </c>
      <c r="I942" s="0" t="n">
        <v>0</v>
      </c>
      <c r="J942" s="0" t="n">
        <v>0</v>
      </c>
      <c r="K942" s="0" t="s">
        <v>1225</v>
      </c>
    </row>
    <row r="943" customFormat="false" ht="15" hidden="false" customHeight="false" outlineLevel="0" collapsed="false">
      <c r="A943" s="0" t="n">
        <v>83</v>
      </c>
      <c r="B943" s="0" t="s">
        <v>1081</v>
      </c>
      <c r="D943" s="0" t="s">
        <v>1197</v>
      </c>
      <c r="E943" s="0" t="s">
        <v>68</v>
      </c>
      <c r="F943" s="0" t="s">
        <v>30</v>
      </c>
      <c r="I943" s="0" t="n">
        <v>4000</v>
      </c>
      <c r="J943" s="0" t="n">
        <v>1</v>
      </c>
      <c r="K943" s="0" t="s">
        <v>1226</v>
      </c>
    </row>
    <row r="944" customFormat="false" ht="15" hidden="false" customHeight="false" outlineLevel="0" collapsed="false">
      <c r="A944" s="0" t="n">
        <v>84</v>
      </c>
      <c r="B944" s="0" t="s">
        <v>1081</v>
      </c>
      <c r="D944" s="0" t="s">
        <v>1227</v>
      </c>
      <c r="E944" s="0" t="s">
        <v>53</v>
      </c>
      <c r="F944" s="0" t="s">
        <v>27</v>
      </c>
      <c r="G944" s="0" t="n">
        <v>0.9</v>
      </c>
      <c r="H944" s="0" t="n">
        <v>4</v>
      </c>
      <c r="I944" s="0" t="n">
        <v>14400</v>
      </c>
      <c r="J944" s="0" t="n">
        <v>3.6</v>
      </c>
      <c r="K944" s="0" t="s">
        <v>1228</v>
      </c>
      <c r="L944" s="0" t="s">
        <v>1113</v>
      </c>
    </row>
    <row r="945" customFormat="false" ht="15" hidden="false" customHeight="false" outlineLevel="0" collapsed="false">
      <c r="A945" s="0" t="n">
        <v>84</v>
      </c>
      <c r="B945" s="0" t="s">
        <v>1081</v>
      </c>
      <c r="D945" s="0" t="s">
        <v>1227</v>
      </c>
      <c r="E945" s="0" t="s">
        <v>56</v>
      </c>
      <c r="F945" s="0" t="s">
        <v>28</v>
      </c>
      <c r="I945" s="0" t="n">
        <v>700</v>
      </c>
      <c r="J945" s="0" t="n">
        <v>0.175</v>
      </c>
      <c r="K945" s="0" t="s">
        <v>1229</v>
      </c>
    </row>
    <row r="946" customFormat="false" ht="15" hidden="false" customHeight="false" outlineLevel="0" collapsed="false">
      <c r="A946" s="0" t="n">
        <v>84</v>
      </c>
      <c r="B946" s="0" t="s">
        <v>1081</v>
      </c>
      <c r="D946" s="0" t="s">
        <v>1227</v>
      </c>
      <c r="E946" s="0" t="s">
        <v>58</v>
      </c>
      <c r="F946" s="0" t="s">
        <v>28</v>
      </c>
      <c r="I946" s="0" t="n">
        <v>2500</v>
      </c>
      <c r="J946" s="0" t="n">
        <v>0.625</v>
      </c>
      <c r="K946" s="0" t="s">
        <v>1230</v>
      </c>
    </row>
    <row r="947" customFormat="false" ht="15" hidden="false" customHeight="false" outlineLevel="0" collapsed="false">
      <c r="A947" s="0" t="n">
        <v>84</v>
      </c>
      <c r="B947" s="0" t="s">
        <v>1081</v>
      </c>
      <c r="D947" s="0" t="s">
        <v>1227</v>
      </c>
      <c r="E947" s="0" t="s">
        <v>203</v>
      </c>
      <c r="F947" s="0" t="s">
        <v>29</v>
      </c>
      <c r="I947" s="0" t="n">
        <v>2000</v>
      </c>
      <c r="J947" s="0" t="n">
        <v>0.5</v>
      </c>
      <c r="K947" s="0" t="s">
        <v>1231</v>
      </c>
    </row>
    <row r="948" customFormat="false" ht="15" hidden="false" customHeight="false" outlineLevel="0" collapsed="false">
      <c r="A948" s="0" t="n">
        <v>84</v>
      </c>
      <c r="B948" s="0" t="s">
        <v>1081</v>
      </c>
      <c r="D948" s="0" t="s">
        <v>1227</v>
      </c>
      <c r="E948" s="0" t="s">
        <v>128</v>
      </c>
      <c r="F948" s="0" t="s">
        <v>28</v>
      </c>
      <c r="I948" s="0" t="n">
        <v>0</v>
      </c>
      <c r="J948" s="0" t="n">
        <v>0</v>
      </c>
      <c r="K948" s="0" t="s">
        <v>1232</v>
      </c>
    </row>
    <row r="949" customFormat="false" ht="15" hidden="false" customHeight="false" outlineLevel="0" collapsed="false">
      <c r="A949" s="0" t="n">
        <v>84</v>
      </c>
      <c r="B949" s="0" t="s">
        <v>1081</v>
      </c>
      <c r="D949" s="0" t="s">
        <v>1227</v>
      </c>
      <c r="E949" s="0" t="s">
        <v>158</v>
      </c>
      <c r="F949" s="0" t="s">
        <v>28</v>
      </c>
      <c r="I949" s="0" t="n">
        <v>1000</v>
      </c>
      <c r="J949" s="0" t="n">
        <v>0.25</v>
      </c>
      <c r="K949" s="0" t="s">
        <v>1233</v>
      </c>
    </row>
    <row r="950" customFormat="false" ht="15" hidden="false" customHeight="false" outlineLevel="0" collapsed="false">
      <c r="A950" s="0" t="n">
        <v>84</v>
      </c>
      <c r="B950" s="0" t="s">
        <v>1081</v>
      </c>
      <c r="D950" s="0" t="s">
        <v>1227</v>
      </c>
      <c r="E950" s="0" t="s">
        <v>132</v>
      </c>
      <c r="F950" s="0" t="s">
        <v>29</v>
      </c>
      <c r="I950" s="0" t="n">
        <v>200</v>
      </c>
      <c r="J950" s="0" t="n">
        <v>0.05</v>
      </c>
      <c r="K950" s="0" t="s">
        <v>1234</v>
      </c>
    </row>
    <row r="951" customFormat="false" ht="15" hidden="false" customHeight="false" outlineLevel="0" collapsed="false">
      <c r="A951" s="0" t="n">
        <v>84</v>
      </c>
      <c r="B951" s="0" t="s">
        <v>1081</v>
      </c>
      <c r="D951" s="0" t="s">
        <v>1227</v>
      </c>
      <c r="E951" s="0" t="s">
        <v>134</v>
      </c>
      <c r="F951" s="0" t="s">
        <v>28</v>
      </c>
      <c r="I951" s="0" t="n">
        <v>200</v>
      </c>
      <c r="J951" s="0" t="n">
        <v>0.05</v>
      </c>
      <c r="K951" s="0" t="s">
        <v>1235</v>
      </c>
    </row>
    <row r="952" customFormat="false" ht="15" hidden="false" customHeight="false" outlineLevel="0" collapsed="false">
      <c r="A952" s="0" t="n">
        <v>84</v>
      </c>
      <c r="B952" s="0" t="s">
        <v>1081</v>
      </c>
      <c r="D952" s="0" t="s">
        <v>1227</v>
      </c>
      <c r="E952" s="0" t="s">
        <v>60</v>
      </c>
      <c r="F952" s="0" t="s">
        <v>27</v>
      </c>
      <c r="I952" s="0" t="n">
        <v>200</v>
      </c>
      <c r="J952" s="0" t="n">
        <v>0.05</v>
      </c>
      <c r="K952" s="0" t="s">
        <v>1236</v>
      </c>
    </row>
    <row r="953" customFormat="false" ht="15" hidden="false" customHeight="false" outlineLevel="0" collapsed="false">
      <c r="A953" s="0" t="n">
        <v>84</v>
      </c>
      <c r="B953" s="0" t="s">
        <v>1081</v>
      </c>
      <c r="D953" s="0" t="s">
        <v>1227</v>
      </c>
      <c r="E953" s="0" t="s">
        <v>62</v>
      </c>
      <c r="F953" s="0" t="s">
        <v>27</v>
      </c>
      <c r="I953" s="0" t="n">
        <v>100</v>
      </c>
      <c r="J953" s="0" t="n">
        <v>0.025</v>
      </c>
      <c r="K953" s="0" t="s">
        <v>1237</v>
      </c>
    </row>
    <row r="954" customFormat="false" ht="15" hidden="false" customHeight="false" outlineLevel="0" collapsed="false">
      <c r="A954" s="0" t="n">
        <v>84</v>
      </c>
      <c r="B954" s="0" t="s">
        <v>1081</v>
      </c>
      <c r="D954" s="0" t="s">
        <v>1227</v>
      </c>
      <c r="E954" s="0" t="s">
        <v>66</v>
      </c>
      <c r="F954" s="0" t="s">
        <v>27</v>
      </c>
      <c r="I954" s="0" t="n">
        <v>100</v>
      </c>
      <c r="J954" s="0" t="n">
        <v>0.025</v>
      </c>
      <c r="K954" s="0" t="s">
        <v>1238</v>
      </c>
    </row>
    <row r="955" customFormat="false" ht="15" hidden="false" customHeight="false" outlineLevel="0" collapsed="false">
      <c r="A955" s="0" t="n">
        <v>84</v>
      </c>
      <c r="B955" s="0" t="s">
        <v>1081</v>
      </c>
      <c r="D955" s="0" t="s">
        <v>1227</v>
      </c>
      <c r="E955" s="0" t="s">
        <v>64</v>
      </c>
      <c r="F955" s="0" t="s">
        <v>27</v>
      </c>
      <c r="I955" s="0" t="n">
        <v>500</v>
      </c>
      <c r="J955" s="0" t="n">
        <v>0.125</v>
      </c>
      <c r="K955" s="0" t="s">
        <v>1239</v>
      </c>
    </row>
    <row r="956" customFormat="false" ht="15" hidden="false" customHeight="false" outlineLevel="0" collapsed="false">
      <c r="A956" s="0" t="n">
        <v>84</v>
      </c>
      <c r="B956" s="0" t="s">
        <v>1081</v>
      </c>
      <c r="D956" s="0" t="s">
        <v>1227</v>
      </c>
      <c r="E956" s="0" t="s">
        <v>68</v>
      </c>
      <c r="F956" s="0" t="s">
        <v>30</v>
      </c>
      <c r="I956" s="0" t="n">
        <v>4000</v>
      </c>
      <c r="J956" s="0" t="n">
        <v>1</v>
      </c>
      <c r="K956" s="0" t="s">
        <v>1240</v>
      </c>
    </row>
    <row r="957" customFormat="false" ht="15" hidden="false" customHeight="false" outlineLevel="0" collapsed="false">
      <c r="A957" s="0" t="n">
        <v>85</v>
      </c>
      <c r="B957" s="0" t="s">
        <v>1081</v>
      </c>
      <c r="D957" s="0" t="s">
        <v>1197</v>
      </c>
      <c r="E957" s="0" t="s">
        <v>53</v>
      </c>
      <c r="F957" s="0" t="s">
        <v>27</v>
      </c>
      <c r="G957" s="0" t="n">
        <v>0.85</v>
      </c>
      <c r="H957" s="0" t="n">
        <v>3</v>
      </c>
      <c r="I957" s="0" t="n">
        <v>9690</v>
      </c>
      <c r="J957" s="0" t="n">
        <v>2.4225</v>
      </c>
      <c r="K957" s="0" t="s">
        <v>1241</v>
      </c>
      <c r="L957" s="0" t="s">
        <v>1242</v>
      </c>
    </row>
    <row r="958" customFormat="false" ht="15" hidden="false" customHeight="false" outlineLevel="0" collapsed="false">
      <c r="A958" s="0" t="n">
        <v>85</v>
      </c>
      <c r="B958" s="0" t="s">
        <v>1081</v>
      </c>
      <c r="D958" s="0" t="s">
        <v>1197</v>
      </c>
      <c r="E958" s="0" t="s">
        <v>56</v>
      </c>
      <c r="F958" s="0" t="s">
        <v>28</v>
      </c>
      <c r="I958" s="0" t="n">
        <v>700</v>
      </c>
      <c r="J958" s="0" t="n">
        <v>0.175</v>
      </c>
      <c r="K958" s="0" t="s">
        <v>1243</v>
      </c>
    </row>
    <row r="959" customFormat="false" ht="15" hidden="false" customHeight="false" outlineLevel="0" collapsed="false">
      <c r="A959" s="0" t="n">
        <v>85</v>
      </c>
      <c r="B959" s="0" t="s">
        <v>1081</v>
      </c>
      <c r="D959" s="0" t="s">
        <v>1197</v>
      </c>
      <c r="E959" s="0" t="s">
        <v>58</v>
      </c>
      <c r="F959" s="0" t="s">
        <v>28</v>
      </c>
      <c r="I959" s="0" t="n">
        <v>2500</v>
      </c>
      <c r="J959" s="0" t="n">
        <v>0.625</v>
      </c>
      <c r="K959" s="0" t="s">
        <v>1244</v>
      </c>
    </row>
    <row r="960" customFormat="false" ht="15" hidden="false" customHeight="false" outlineLevel="0" collapsed="false">
      <c r="A960" s="0" t="n">
        <v>85</v>
      </c>
      <c r="B960" s="0" t="s">
        <v>1081</v>
      </c>
      <c r="D960" s="0" t="s">
        <v>1197</v>
      </c>
      <c r="E960" s="0" t="s">
        <v>203</v>
      </c>
      <c r="F960" s="0" t="s">
        <v>29</v>
      </c>
      <c r="I960" s="0" t="n">
        <v>500</v>
      </c>
      <c r="J960" s="0" t="n">
        <v>0.125</v>
      </c>
      <c r="K960" s="0" t="s">
        <v>1245</v>
      </c>
    </row>
    <row r="961" customFormat="false" ht="15" hidden="false" customHeight="false" outlineLevel="0" collapsed="false">
      <c r="A961" s="0" t="n">
        <v>85</v>
      </c>
      <c r="B961" s="0" t="s">
        <v>1081</v>
      </c>
      <c r="D961" s="0" t="s">
        <v>1197</v>
      </c>
      <c r="E961" s="0" t="s">
        <v>128</v>
      </c>
      <c r="F961" s="0" t="s">
        <v>28</v>
      </c>
      <c r="I961" s="0" t="n">
        <v>1000</v>
      </c>
      <c r="J961" s="0" t="n">
        <v>0.25</v>
      </c>
      <c r="K961" s="0" t="s">
        <v>1246</v>
      </c>
    </row>
    <row r="962" customFormat="false" ht="15" hidden="false" customHeight="false" outlineLevel="0" collapsed="false">
      <c r="A962" s="0" t="n">
        <v>85</v>
      </c>
      <c r="B962" s="0" t="s">
        <v>1081</v>
      </c>
      <c r="D962" s="0" t="s">
        <v>1197</v>
      </c>
      <c r="E962" s="0" t="s">
        <v>158</v>
      </c>
      <c r="F962" s="0" t="s">
        <v>28</v>
      </c>
      <c r="I962" s="0" t="n">
        <v>0</v>
      </c>
      <c r="J962" s="0" t="n">
        <v>0</v>
      </c>
      <c r="K962" s="0" t="s">
        <v>1247</v>
      </c>
    </row>
    <row r="963" customFormat="false" ht="15" hidden="false" customHeight="false" outlineLevel="0" collapsed="false">
      <c r="A963" s="0" t="n">
        <v>85</v>
      </c>
      <c r="B963" s="0" t="s">
        <v>1081</v>
      </c>
      <c r="D963" s="0" t="s">
        <v>1197</v>
      </c>
      <c r="E963" s="0" t="s">
        <v>132</v>
      </c>
      <c r="F963" s="0" t="s">
        <v>29</v>
      </c>
      <c r="I963" s="0" t="n">
        <v>200</v>
      </c>
      <c r="J963" s="0" t="n">
        <v>0.05</v>
      </c>
      <c r="K963" s="0" t="s">
        <v>1248</v>
      </c>
      <c r="L963" s="0" t="s">
        <v>1249</v>
      </c>
    </row>
    <row r="964" customFormat="false" ht="15" hidden="false" customHeight="false" outlineLevel="0" collapsed="false">
      <c r="A964" s="0" t="n">
        <v>85</v>
      </c>
      <c r="B964" s="0" t="s">
        <v>1081</v>
      </c>
      <c r="D964" s="0" t="s">
        <v>1197</v>
      </c>
      <c r="E964" s="0" t="s">
        <v>134</v>
      </c>
      <c r="F964" s="0" t="s">
        <v>28</v>
      </c>
      <c r="I964" s="0" t="n">
        <v>50</v>
      </c>
      <c r="J964" s="0" t="n">
        <v>0.0125</v>
      </c>
      <c r="K964" s="0" t="s">
        <v>1250</v>
      </c>
      <c r="L964" s="0" t="s">
        <v>1251</v>
      </c>
    </row>
    <row r="965" customFormat="false" ht="15" hidden="false" customHeight="false" outlineLevel="0" collapsed="false">
      <c r="A965" s="0" t="n">
        <v>85</v>
      </c>
      <c r="B965" s="0" t="s">
        <v>1081</v>
      </c>
      <c r="D965" s="0" t="s">
        <v>1197</v>
      </c>
      <c r="E965" s="0" t="s">
        <v>60</v>
      </c>
      <c r="F965" s="0" t="s">
        <v>27</v>
      </c>
      <c r="I965" s="0" t="n">
        <v>200</v>
      </c>
      <c r="J965" s="0" t="n">
        <v>0.05</v>
      </c>
      <c r="K965" s="0" t="s">
        <v>1252</v>
      </c>
    </row>
    <row r="966" customFormat="false" ht="15" hidden="false" customHeight="false" outlineLevel="0" collapsed="false">
      <c r="A966" s="0" t="n">
        <v>85</v>
      </c>
      <c r="B966" s="0" t="s">
        <v>1081</v>
      </c>
      <c r="D966" s="0" t="s">
        <v>1197</v>
      </c>
      <c r="E966" s="0" t="s">
        <v>62</v>
      </c>
      <c r="F966" s="0" t="s">
        <v>27</v>
      </c>
      <c r="I966" s="0" t="n">
        <v>100</v>
      </c>
      <c r="J966" s="0" t="n">
        <v>0.025</v>
      </c>
      <c r="K966" s="0" t="s">
        <v>1253</v>
      </c>
    </row>
    <row r="967" customFormat="false" ht="15" hidden="false" customHeight="false" outlineLevel="0" collapsed="false">
      <c r="A967" s="0" t="n">
        <v>85</v>
      </c>
      <c r="B967" s="0" t="s">
        <v>1081</v>
      </c>
      <c r="D967" s="0" t="s">
        <v>1197</v>
      </c>
      <c r="E967" s="0" t="s">
        <v>66</v>
      </c>
      <c r="F967" s="0" t="s">
        <v>27</v>
      </c>
      <c r="I967" s="0" t="n">
        <v>250</v>
      </c>
      <c r="J967" s="0" t="n">
        <v>0.0625</v>
      </c>
      <c r="K967" s="0" t="s">
        <v>1254</v>
      </c>
      <c r="L967" s="0" t="s">
        <v>1255</v>
      </c>
    </row>
    <row r="968" customFormat="false" ht="15" hidden="false" customHeight="false" outlineLevel="0" collapsed="false">
      <c r="A968" s="0" t="n">
        <v>85</v>
      </c>
      <c r="B968" s="0" t="s">
        <v>1081</v>
      </c>
      <c r="D968" s="0" t="s">
        <v>1197</v>
      </c>
      <c r="E968" s="0" t="s">
        <v>64</v>
      </c>
      <c r="F968" s="0" t="s">
        <v>27</v>
      </c>
      <c r="I968" s="0" t="n">
        <v>500</v>
      </c>
      <c r="J968" s="0" t="n">
        <v>0.125</v>
      </c>
      <c r="K968" s="0" t="s">
        <v>1256</v>
      </c>
    </row>
    <row r="969" customFormat="false" ht="15" hidden="false" customHeight="false" outlineLevel="0" collapsed="false">
      <c r="A969" s="0" t="n">
        <v>85</v>
      </c>
      <c r="B969" s="0" t="s">
        <v>1081</v>
      </c>
      <c r="D969" s="0" t="s">
        <v>1197</v>
      </c>
      <c r="E969" s="0" t="s">
        <v>68</v>
      </c>
      <c r="F969" s="0" t="s">
        <v>30</v>
      </c>
      <c r="I969" s="0" t="n">
        <v>2000</v>
      </c>
      <c r="J969" s="0" t="n">
        <v>0.5</v>
      </c>
      <c r="K969" s="0" t="s">
        <v>1257</v>
      </c>
      <c r="L969" s="0" t="s">
        <v>1258</v>
      </c>
    </row>
    <row r="970" customFormat="false" ht="15" hidden="false" customHeight="false" outlineLevel="0" collapsed="false">
      <c r="A970" s="0" t="n">
        <v>86</v>
      </c>
      <c r="B970" s="0" t="s">
        <v>1081</v>
      </c>
      <c r="D970" s="0" t="s">
        <v>1197</v>
      </c>
      <c r="E970" s="0" t="s">
        <v>53</v>
      </c>
      <c r="F970" s="0" t="s">
        <v>27</v>
      </c>
      <c r="G970" s="0" t="n">
        <v>0.7</v>
      </c>
      <c r="H970" s="0" t="n">
        <v>2</v>
      </c>
      <c r="I970" s="0" t="n">
        <v>5320</v>
      </c>
      <c r="J970" s="0" t="n">
        <v>1.33</v>
      </c>
      <c r="K970" s="0" t="s">
        <v>1259</v>
      </c>
      <c r="L970" s="0" t="s">
        <v>1260</v>
      </c>
    </row>
    <row r="971" customFormat="false" ht="15" hidden="false" customHeight="false" outlineLevel="0" collapsed="false">
      <c r="A971" s="0" t="n">
        <v>86</v>
      </c>
      <c r="B971" s="0" t="s">
        <v>1081</v>
      </c>
      <c r="D971" s="0" t="s">
        <v>1197</v>
      </c>
      <c r="E971" s="0" t="s">
        <v>56</v>
      </c>
      <c r="F971" s="0" t="s">
        <v>28</v>
      </c>
      <c r="I971" s="0" t="n">
        <v>700</v>
      </c>
      <c r="J971" s="0" t="n">
        <v>0.175</v>
      </c>
      <c r="K971" s="0" t="s">
        <v>1261</v>
      </c>
    </row>
    <row r="972" customFormat="false" ht="15" hidden="false" customHeight="false" outlineLevel="0" collapsed="false">
      <c r="A972" s="0" t="n">
        <v>86</v>
      </c>
      <c r="B972" s="0" t="s">
        <v>1081</v>
      </c>
      <c r="D972" s="0" t="s">
        <v>1197</v>
      </c>
      <c r="E972" s="0" t="s">
        <v>58</v>
      </c>
      <c r="F972" s="0" t="s">
        <v>28</v>
      </c>
      <c r="I972" s="0" t="n">
        <v>2500</v>
      </c>
      <c r="J972" s="0" t="n">
        <v>0.625</v>
      </c>
      <c r="K972" s="0" t="s">
        <v>1262</v>
      </c>
    </row>
    <row r="973" customFormat="false" ht="15" hidden="false" customHeight="false" outlineLevel="0" collapsed="false">
      <c r="A973" s="0" t="n">
        <v>86</v>
      </c>
      <c r="B973" s="0" t="s">
        <v>1081</v>
      </c>
      <c r="D973" s="0" t="s">
        <v>1197</v>
      </c>
      <c r="E973" s="0" t="s">
        <v>1263</v>
      </c>
      <c r="F973" s="0" t="s">
        <v>29</v>
      </c>
      <c r="G973" s="0" t="n">
        <v>0.7</v>
      </c>
      <c r="H973" s="0" t="n">
        <v>10000</v>
      </c>
      <c r="I973" s="0" t="n">
        <v>7000</v>
      </c>
      <c r="J973" s="0" t="n">
        <v>1.75</v>
      </c>
      <c r="K973" s="0" t="s">
        <v>1264</v>
      </c>
      <c r="L973" s="0" t="s">
        <v>1265</v>
      </c>
    </row>
    <row r="974" customFormat="false" ht="15" hidden="false" customHeight="false" outlineLevel="0" collapsed="false">
      <c r="A974" s="0" t="n">
        <v>86</v>
      </c>
      <c r="B974" s="0" t="s">
        <v>1081</v>
      </c>
      <c r="D974" s="0" t="s">
        <v>1197</v>
      </c>
      <c r="E974" s="0" t="s">
        <v>128</v>
      </c>
      <c r="F974" s="0" t="s">
        <v>28</v>
      </c>
      <c r="I974" s="0" t="n">
        <v>1000</v>
      </c>
      <c r="J974" s="0" t="n">
        <v>0.25</v>
      </c>
      <c r="K974" s="0" t="s">
        <v>1266</v>
      </c>
    </row>
    <row r="975" customFormat="false" ht="15" hidden="false" customHeight="false" outlineLevel="0" collapsed="false">
      <c r="A975" s="0" t="n">
        <v>86</v>
      </c>
      <c r="B975" s="0" t="s">
        <v>1081</v>
      </c>
      <c r="D975" s="0" t="s">
        <v>1197</v>
      </c>
      <c r="E975" s="0" t="s">
        <v>158</v>
      </c>
      <c r="F975" s="0" t="s">
        <v>28</v>
      </c>
      <c r="I975" s="0" t="n">
        <v>1000</v>
      </c>
      <c r="J975" s="0" t="n">
        <v>0.25</v>
      </c>
      <c r="K975" s="0" t="s">
        <v>1267</v>
      </c>
    </row>
    <row r="976" customFormat="false" ht="15" hidden="false" customHeight="false" outlineLevel="0" collapsed="false">
      <c r="A976" s="0" t="n">
        <v>86</v>
      </c>
      <c r="B976" s="0" t="s">
        <v>1081</v>
      </c>
      <c r="D976" s="0" t="s">
        <v>1197</v>
      </c>
      <c r="E976" s="0" t="s">
        <v>132</v>
      </c>
      <c r="F976" s="0" t="s">
        <v>29</v>
      </c>
      <c r="I976" s="0" t="n">
        <v>0</v>
      </c>
      <c r="J976" s="0" t="n">
        <v>0</v>
      </c>
      <c r="K976" s="0" t="s">
        <v>1268</v>
      </c>
    </row>
    <row r="977" customFormat="false" ht="15" hidden="false" customHeight="false" outlineLevel="0" collapsed="false">
      <c r="A977" s="0" t="n">
        <v>86</v>
      </c>
      <c r="B977" s="0" t="s">
        <v>1081</v>
      </c>
      <c r="D977" s="0" t="s">
        <v>1197</v>
      </c>
      <c r="E977" s="0" t="s">
        <v>134</v>
      </c>
      <c r="F977" s="0" t="s">
        <v>28</v>
      </c>
      <c r="I977" s="0" t="n">
        <v>0</v>
      </c>
      <c r="J977" s="0" t="n">
        <v>0</v>
      </c>
      <c r="K977" s="0" t="s">
        <v>1269</v>
      </c>
    </row>
    <row r="978" customFormat="false" ht="15" hidden="false" customHeight="false" outlineLevel="0" collapsed="false">
      <c r="A978" s="0" t="n">
        <v>86</v>
      </c>
      <c r="B978" s="0" t="s">
        <v>1081</v>
      </c>
      <c r="D978" s="0" t="s">
        <v>1197</v>
      </c>
      <c r="E978" s="0" t="s">
        <v>60</v>
      </c>
      <c r="F978" s="0" t="s">
        <v>27</v>
      </c>
      <c r="I978" s="0" t="n">
        <v>200</v>
      </c>
      <c r="J978" s="0" t="n">
        <v>0.05</v>
      </c>
      <c r="K978" s="0" t="s">
        <v>1270</v>
      </c>
    </row>
    <row r="979" customFormat="false" ht="15" hidden="false" customHeight="false" outlineLevel="0" collapsed="false">
      <c r="A979" s="0" t="n">
        <v>86</v>
      </c>
      <c r="B979" s="0" t="s">
        <v>1081</v>
      </c>
      <c r="D979" s="0" t="s">
        <v>1197</v>
      </c>
      <c r="E979" s="0" t="s">
        <v>62</v>
      </c>
      <c r="F979" s="0" t="s">
        <v>27</v>
      </c>
      <c r="I979" s="0" t="n">
        <v>100</v>
      </c>
      <c r="J979" s="0" t="n">
        <v>0.025</v>
      </c>
      <c r="K979" s="0" t="s">
        <v>1271</v>
      </c>
    </row>
    <row r="980" customFormat="false" ht="15" hidden="false" customHeight="false" outlineLevel="0" collapsed="false">
      <c r="A980" s="0" t="n">
        <v>86</v>
      </c>
      <c r="B980" s="0" t="s">
        <v>1081</v>
      </c>
      <c r="D980" s="0" t="s">
        <v>1197</v>
      </c>
      <c r="E980" s="0" t="s">
        <v>66</v>
      </c>
      <c r="F980" s="0" t="s">
        <v>27</v>
      </c>
      <c r="I980" s="0" t="n">
        <v>250</v>
      </c>
      <c r="J980" s="0" t="n">
        <v>0.0625</v>
      </c>
      <c r="K980" s="0" t="s">
        <v>1272</v>
      </c>
    </row>
    <row r="981" customFormat="false" ht="15" hidden="false" customHeight="false" outlineLevel="0" collapsed="false">
      <c r="A981" s="0" t="n">
        <v>86</v>
      </c>
      <c r="B981" s="0" t="s">
        <v>1081</v>
      </c>
      <c r="D981" s="0" t="s">
        <v>1197</v>
      </c>
      <c r="E981" s="0" t="s">
        <v>64</v>
      </c>
      <c r="F981" s="0" t="s">
        <v>27</v>
      </c>
      <c r="I981" s="0" t="n">
        <v>750</v>
      </c>
      <c r="J981" s="0" t="n">
        <v>0.1875</v>
      </c>
      <c r="K981" s="0" t="s">
        <v>1273</v>
      </c>
    </row>
    <row r="982" customFormat="false" ht="15" hidden="false" customHeight="false" outlineLevel="0" collapsed="false">
      <c r="A982" s="0" t="n">
        <v>86</v>
      </c>
      <c r="B982" s="0" t="s">
        <v>1081</v>
      </c>
      <c r="D982" s="0" t="s">
        <v>1197</v>
      </c>
      <c r="E982" s="0" t="s">
        <v>68</v>
      </c>
      <c r="F982" s="0" t="s">
        <v>30</v>
      </c>
      <c r="I982" s="0" t="n">
        <v>3700</v>
      </c>
      <c r="J982" s="0" t="n">
        <v>0.925</v>
      </c>
      <c r="K982" s="0" t="s">
        <v>1274</v>
      </c>
    </row>
    <row r="983" customFormat="false" ht="15" hidden="false" customHeight="false" outlineLevel="0" collapsed="false">
      <c r="A983" s="0" t="n">
        <v>87</v>
      </c>
      <c r="B983" s="0" t="s">
        <v>1081</v>
      </c>
      <c r="D983" s="0" t="s">
        <v>1197</v>
      </c>
      <c r="E983" s="0" t="s">
        <v>53</v>
      </c>
      <c r="F983" s="0" t="s">
        <v>27</v>
      </c>
      <c r="G983" s="0" t="n">
        <v>0.5</v>
      </c>
      <c r="H983" s="0" t="n">
        <v>4</v>
      </c>
      <c r="I983" s="0" t="n">
        <v>5333.33333333333</v>
      </c>
      <c r="J983" s="0" t="n">
        <v>1.33333333333333</v>
      </c>
      <c r="K983" s="0" t="s">
        <v>1275</v>
      </c>
      <c r="L983" s="0" t="s">
        <v>1276</v>
      </c>
    </row>
    <row r="984" customFormat="false" ht="15" hidden="false" customHeight="false" outlineLevel="0" collapsed="false">
      <c r="A984" s="0" t="n">
        <v>87</v>
      </c>
      <c r="B984" s="0" t="s">
        <v>1081</v>
      </c>
      <c r="D984" s="0" t="s">
        <v>1197</v>
      </c>
      <c r="E984" s="0" t="s">
        <v>56</v>
      </c>
      <c r="F984" s="0" t="s">
        <v>28</v>
      </c>
      <c r="I984" s="0" t="n">
        <v>700</v>
      </c>
      <c r="J984" s="0" t="n">
        <v>0.175</v>
      </c>
      <c r="K984" s="0" t="s">
        <v>1277</v>
      </c>
    </row>
    <row r="985" customFormat="false" ht="15" hidden="false" customHeight="false" outlineLevel="0" collapsed="false">
      <c r="A985" s="0" t="n">
        <v>87</v>
      </c>
      <c r="B985" s="0" t="s">
        <v>1081</v>
      </c>
      <c r="D985" s="0" t="s">
        <v>1197</v>
      </c>
      <c r="E985" s="0" t="s">
        <v>58</v>
      </c>
      <c r="F985" s="0" t="s">
        <v>28</v>
      </c>
      <c r="I985" s="0" t="n">
        <v>2500</v>
      </c>
      <c r="J985" s="0" t="n">
        <v>0.625</v>
      </c>
      <c r="K985" s="0" t="s">
        <v>1278</v>
      </c>
    </row>
    <row r="986" customFormat="false" ht="15" hidden="false" customHeight="false" outlineLevel="0" collapsed="false">
      <c r="A986" s="0" t="n">
        <v>87</v>
      </c>
      <c r="B986" s="0" t="s">
        <v>1081</v>
      </c>
      <c r="D986" s="0" t="s">
        <v>1197</v>
      </c>
      <c r="E986" s="0" t="s">
        <v>1184</v>
      </c>
      <c r="F986" s="0" t="s">
        <v>31</v>
      </c>
      <c r="G986" s="0" t="n">
        <v>0.5</v>
      </c>
      <c r="H986" s="0" t="n">
        <v>10000</v>
      </c>
      <c r="I986" s="0" t="n">
        <v>5000</v>
      </c>
      <c r="J986" s="0" t="n">
        <v>1.25</v>
      </c>
      <c r="K986" s="0" t="s">
        <v>1279</v>
      </c>
      <c r="L986" s="0" t="s">
        <v>1280</v>
      </c>
    </row>
    <row r="987" customFormat="false" ht="15" hidden="false" customHeight="false" outlineLevel="0" collapsed="false">
      <c r="A987" s="0" t="n">
        <v>87</v>
      </c>
      <c r="B987" s="0" t="s">
        <v>1081</v>
      </c>
      <c r="D987" s="0" t="s">
        <v>1197</v>
      </c>
      <c r="E987" s="0" t="s">
        <v>128</v>
      </c>
      <c r="F987" s="0" t="s">
        <v>28</v>
      </c>
      <c r="I987" s="0" t="n">
        <v>2000</v>
      </c>
      <c r="J987" s="0" t="n">
        <v>0.5</v>
      </c>
      <c r="K987" s="0" t="s">
        <v>1281</v>
      </c>
    </row>
    <row r="988" customFormat="false" ht="15" hidden="false" customHeight="false" outlineLevel="0" collapsed="false">
      <c r="A988" s="0" t="n">
        <v>87</v>
      </c>
      <c r="B988" s="0" t="s">
        <v>1081</v>
      </c>
      <c r="D988" s="0" t="s">
        <v>1197</v>
      </c>
      <c r="E988" s="0" t="s">
        <v>203</v>
      </c>
      <c r="F988" s="0" t="s">
        <v>29</v>
      </c>
      <c r="I988" s="0" t="n">
        <v>0</v>
      </c>
      <c r="J988" s="0" t="n">
        <v>0</v>
      </c>
      <c r="K988" s="0" t="s">
        <v>1282</v>
      </c>
    </row>
    <row r="989" customFormat="false" ht="15" hidden="false" customHeight="false" outlineLevel="0" collapsed="false">
      <c r="A989" s="0" t="n">
        <v>87</v>
      </c>
      <c r="B989" s="0" t="s">
        <v>1081</v>
      </c>
      <c r="D989" s="0" t="s">
        <v>1197</v>
      </c>
      <c r="E989" s="0" t="s">
        <v>158</v>
      </c>
      <c r="F989" s="0" t="s">
        <v>28</v>
      </c>
      <c r="I989" s="0" t="n">
        <v>0</v>
      </c>
      <c r="J989" s="0" t="n">
        <v>0</v>
      </c>
      <c r="K989" s="0" t="s">
        <v>1283</v>
      </c>
    </row>
    <row r="990" customFormat="false" ht="15" hidden="false" customHeight="false" outlineLevel="0" collapsed="false">
      <c r="A990" s="0" t="n">
        <v>87</v>
      </c>
      <c r="B990" s="0" t="s">
        <v>1081</v>
      </c>
      <c r="D990" s="0" t="s">
        <v>1197</v>
      </c>
      <c r="E990" s="0" t="s">
        <v>132</v>
      </c>
      <c r="F990" s="0" t="s">
        <v>29</v>
      </c>
      <c r="I990" s="0" t="n">
        <v>0</v>
      </c>
      <c r="J990" s="0" t="n">
        <v>0</v>
      </c>
      <c r="K990" s="0" t="s">
        <v>1284</v>
      </c>
    </row>
    <row r="991" customFormat="false" ht="15" hidden="false" customHeight="false" outlineLevel="0" collapsed="false">
      <c r="A991" s="0" t="n">
        <v>87</v>
      </c>
      <c r="B991" s="0" t="s">
        <v>1081</v>
      </c>
      <c r="D991" s="0" t="s">
        <v>1197</v>
      </c>
      <c r="E991" s="0" t="s">
        <v>134</v>
      </c>
      <c r="F991" s="0" t="s">
        <v>28</v>
      </c>
      <c r="I991" s="0" t="n">
        <v>0</v>
      </c>
      <c r="J991" s="0" t="n">
        <v>0</v>
      </c>
      <c r="K991" s="0" t="s">
        <v>1285</v>
      </c>
    </row>
    <row r="992" customFormat="false" ht="15" hidden="false" customHeight="false" outlineLevel="0" collapsed="false">
      <c r="A992" s="0" t="n">
        <v>87</v>
      </c>
      <c r="B992" s="0" t="s">
        <v>1081</v>
      </c>
      <c r="D992" s="0" t="s">
        <v>1197</v>
      </c>
      <c r="E992" s="0" t="s">
        <v>60</v>
      </c>
      <c r="F992" s="0" t="s">
        <v>27</v>
      </c>
      <c r="I992" s="0" t="n">
        <v>200</v>
      </c>
      <c r="J992" s="0" t="n">
        <v>0.05</v>
      </c>
      <c r="K992" s="0" t="s">
        <v>1286</v>
      </c>
    </row>
    <row r="993" customFormat="false" ht="15" hidden="false" customHeight="false" outlineLevel="0" collapsed="false">
      <c r="A993" s="0" t="n">
        <v>87</v>
      </c>
      <c r="B993" s="0" t="s">
        <v>1081</v>
      </c>
      <c r="D993" s="0" t="s">
        <v>1197</v>
      </c>
      <c r="E993" s="0" t="s">
        <v>62</v>
      </c>
      <c r="F993" s="0" t="s">
        <v>27</v>
      </c>
      <c r="I993" s="0" t="n">
        <v>0</v>
      </c>
      <c r="J993" s="0" t="n">
        <v>0</v>
      </c>
      <c r="K993" s="0" t="s">
        <v>1287</v>
      </c>
    </row>
    <row r="994" customFormat="false" ht="15" hidden="false" customHeight="false" outlineLevel="0" collapsed="false">
      <c r="A994" s="0" t="n">
        <v>87</v>
      </c>
      <c r="B994" s="0" t="s">
        <v>1081</v>
      </c>
      <c r="D994" s="0" t="s">
        <v>1197</v>
      </c>
      <c r="E994" s="0" t="s">
        <v>66</v>
      </c>
      <c r="F994" s="0" t="s">
        <v>27</v>
      </c>
      <c r="I994" s="0" t="n">
        <v>350</v>
      </c>
      <c r="J994" s="0" t="n">
        <v>0.0875</v>
      </c>
      <c r="K994" s="0" t="s">
        <v>1288</v>
      </c>
    </row>
    <row r="995" customFormat="false" ht="15" hidden="false" customHeight="false" outlineLevel="0" collapsed="false">
      <c r="A995" s="0" t="n">
        <v>87</v>
      </c>
      <c r="B995" s="0" t="s">
        <v>1081</v>
      </c>
      <c r="D995" s="0" t="s">
        <v>1197</v>
      </c>
      <c r="E995" s="0" t="s">
        <v>64</v>
      </c>
      <c r="F995" s="0" t="s">
        <v>27</v>
      </c>
      <c r="I995" s="0" t="n">
        <v>0</v>
      </c>
      <c r="J995" s="0" t="n">
        <v>0</v>
      </c>
      <c r="K995" s="0" t="s">
        <v>1289</v>
      </c>
    </row>
    <row r="996" customFormat="false" ht="15" hidden="false" customHeight="false" outlineLevel="0" collapsed="false">
      <c r="A996" s="0" t="n">
        <v>87</v>
      </c>
      <c r="B996" s="0" t="s">
        <v>1081</v>
      </c>
      <c r="D996" s="0" t="s">
        <v>1197</v>
      </c>
      <c r="E996" s="0" t="s">
        <v>68</v>
      </c>
      <c r="F996" s="0" t="s">
        <v>30</v>
      </c>
      <c r="I996" s="0" t="n">
        <v>4000</v>
      </c>
      <c r="J996" s="0" t="n">
        <v>1</v>
      </c>
      <c r="K996" s="0" t="s">
        <v>1290</v>
      </c>
    </row>
    <row r="997" customFormat="false" ht="15" hidden="false" customHeight="false" outlineLevel="0" collapsed="false">
      <c r="A997" s="0" t="n">
        <v>88</v>
      </c>
      <c r="B997" s="0" t="s">
        <v>1081</v>
      </c>
      <c r="D997" s="0" t="s">
        <v>1291</v>
      </c>
      <c r="E997" s="0" t="s">
        <v>53</v>
      </c>
      <c r="F997" s="0" t="s">
        <v>27</v>
      </c>
      <c r="G997" s="0" t="n">
        <v>1.5</v>
      </c>
      <c r="H997" s="0" t="n">
        <v>5.31</v>
      </c>
      <c r="I997" s="0" t="n">
        <v>31860</v>
      </c>
      <c r="J997" s="0" t="n">
        <v>7.965</v>
      </c>
      <c r="K997" s="0" t="s">
        <v>1292</v>
      </c>
      <c r="L997" s="0" t="s">
        <v>1293</v>
      </c>
    </row>
    <row r="998" customFormat="false" ht="15" hidden="false" customHeight="false" outlineLevel="0" collapsed="false">
      <c r="A998" s="0" t="n">
        <v>88</v>
      </c>
      <c r="B998" s="0" t="s">
        <v>1081</v>
      </c>
      <c r="D998" s="0" t="s">
        <v>1291</v>
      </c>
      <c r="E998" s="0" t="s">
        <v>56</v>
      </c>
      <c r="F998" s="0" t="s">
        <v>28</v>
      </c>
      <c r="I998" s="0" t="n">
        <v>700</v>
      </c>
      <c r="J998" s="0" t="n">
        <v>0.175</v>
      </c>
      <c r="K998" s="0" t="s">
        <v>1294</v>
      </c>
    </row>
    <row r="999" customFormat="false" ht="15" hidden="false" customHeight="false" outlineLevel="0" collapsed="false">
      <c r="A999" s="0" t="n">
        <v>88</v>
      </c>
      <c r="B999" s="0" t="s">
        <v>1081</v>
      </c>
      <c r="D999" s="0" t="s">
        <v>1291</v>
      </c>
      <c r="E999" s="0" t="s">
        <v>58</v>
      </c>
      <c r="F999" s="0" t="s">
        <v>28</v>
      </c>
      <c r="I999" s="0" t="n">
        <v>2500</v>
      </c>
      <c r="J999" s="0" t="n">
        <v>0.625</v>
      </c>
      <c r="K999" s="0" t="s">
        <v>1295</v>
      </c>
    </row>
    <row r="1000" customFormat="false" ht="15" hidden="false" customHeight="false" outlineLevel="0" collapsed="false">
      <c r="A1000" s="0" t="n">
        <v>88</v>
      </c>
      <c r="B1000" s="0" t="s">
        <v>1081</v>
      </c>
      <c r="D1000" s="0" t="s">
        <v>1291</v>
      </c>
      <c r="E1000" s="0" t="s">
        <v>128</v>
      </c>
      <c r="F1000" s="0" t="s">
        <v>28</v>
      </c>
      <c r="I1000" s="0" t="n">
        <v>0</v>
      </c>
      <c r="J1000" s="0" t="n">
        <v>0</v>
      </c>
      <c r="K1000" s="0" t="s">
        <v>1296</v>
      </c>
    </row>
    <row r="1001" customFormat="false" ht="15" hidden="false" customHeight="false" outlineLevel="0" collapsed="false">
      <c r="A1001" s="0" t="n">
        <v>88</v>
      </c>
      <c r="B1001" s="0" t="s">
        <v>1081</v>
      </c>
      <c r="D1001" s="0" t="s">
        <v>1291</v>
      </c>
      <c r="E1001" s="0" t="s">
        <v>158</v>
      </c>
      <c r="F1001" s="0" t="s">
        <v>28</v>
      </c>
      <c r="I1001" s="0" t="n">
        <v>0</v>
      </c>
      <c r="J1001" s="0" t="n">
        <v>0</v>
      </c>
      <c r="K1001" s="0" t="s">
        <v>1297</v>
      </c>
    </row>
    <row r="1002" customFormat="false" ht="15" hidden="false" customHeight="false" outlineLevel="0" collapsed="false">
      <c r="A1002" s="0" t="n">
        <v>88</v>
      </c>
      <c r="B1002" s="0" t="s">
        <v>1081</v>
      </c>
      <c r="D1002" s="0" t="s">
        <v>1291</v>
      </c>
      <c r="E1002" s="0" t="s">
        <v>132</v>
      </c>
      <c r="F1002" s="0" t="s">
        <v>29</v>
      </c>
      <c r="I1002" s="0" t="n">
        <v>0</v>
      </c>
      <c r="J1002" s="0" t="n">
        <v>0</v>
      </c>
      <c r="K1002" s="0" t="s">
        <v>1298</v>
      </c>
    </row>
    <row r="1003" customFormat="false" ht="15" hidden="false" customHeight="false" outlineLevel="0" collapsed="false">
      <c r="A1003" s="0" t="n">
        <v>88</v>
      </c>
      <c r="B1003" s="0" t="s">
        <v>1081</v>
      </c>
      <c r="D1003" s="0" t="s">
        <v>1291</v>
      </c>
      <c r="E1003" s="0" t="s">
        <v>134</v>
      </c>
      <c r="F1003" s="0" t="s">
        <v>28</v>
      </c>
      <c r="I1003" s="0" t="n">
        <v>0</v>
      </c>
      <c r="J1003" s="0" t="n">
        <v>0</v>
      </c>
      <c r="K1003" s="0" t="s">
        <v>1299</v>
      </c>
    </row>
    <row r="1004" customFormat="false" ht="15" hidden="false" customHeight="false" outlineLevel="0" collapsed="false">
      <c r="A1004" s="0" t="n">
        <v>88</v>
      </c>
      <c r="B1004" s="0" t="s">
        <v>1081</v>
      </c>
      <c r="D1004" s="0" t="s">
        <v>1291</v>
      </c>
      <c r="E1004" s="0" t="s">
        <v>60</v>
      </c>
      <c r="F1004" s="0" t="s">
        <v>27</v>
      </c>
      <c r="I1004" s="0" t="n">
        <v>200</v>
      </c>
      <c r="J1004" s="0" t="n">
        <v>0.05</v>
      </c>
      <c r="K1004" s="0" t="s">
        <v>1300</v>
      </c>
    </row>
    <row r="1005" customFormat="false" ht="15" hidden="false" customHeight="false" outlineLevel="0" collapsed="false">
      <c r="A1005" s="0" t="n">
        <v>88</v>
      </c>
      <c r="B1005" s="0" t="s">
        <v>1081</v>
      </c>
      <c r="D1005" s="0" t="s">
        <v>1291</v>
      </c>
      <c r="E1005" s="0" t="s">
        <v>62</v>
      </c>
      <c r="F1005" s="0" t="s">
        <v>27</v>
      </c>
      <c r="I1005" s="0" t="n">
        <v>100</v>
      </c>
      <c r="J1005" s="0" t="n">
        <v>0.025</v>
      </c>
      <c r="K1005" s="0" t="s">
        <v>1301</v>
      </c>
    </row>
    <row r="1006" customFormat="false" ht="15" hidden="false" customHeight="false" outlineLevel="0" collapsed="false">
      <c r="A1006" s="0" t="n">
        <v>88</v>
      </c>
      <c r="B1006" s="0" t="s">
        <v>1081</v>
      </c>
      <c r="D1006" s="0" t="s">
        <v>1291</v>
      </c>
      <c r="E1006" s="0" t="s">
        <v>66</v>
      </c>
      <c r="F1006" s="0" t="s">
        <v>27</v>
      </c>
      <c r="I1006" s="0" t="n">
        <v>300</v>
      </c>
      <c r="J1006" s="0" t="n">
        <v>0.075</v>
      </c>
      <c r="K1006" s="0" t="s">
        <v>1302</v>
      </c>
    </row>
    <row r="1007" customFormat="false" ht="15" hidden="false" customHeight="false" outlineLevel="0" collapsed="false">
      <c r="A1007" s="0" t="n">
        <v>88</v>
      </c>
      <c r="B1007" s="0" t="s">
        <v>1081</v>
      </c>
      <c r="D1007" s="0" t="s">
        <v>1291</v>
      </c>
      <c r="E1007" s="0" t="s">
        <v>64</v>
      </c>
      <c r="F1007" s="0" t="s">
        <v>27</v>
      </c>
      <c r="I1007" s="0" t="n">
        <v>750</v>
      </c>
      <c r="J1007" s="0" t="n">
        <v>0.1875</v>
      </c>
      <c r="K1007" s="0" t="s">
        <v>1303</v>
      </c>
    </row>
    <row r="1008" customFormat="false" ht="15" hidden="false" customHeight="false" outlineLevel="0" collapsed="false">
      <c r="A1008" s="0" t="n">
        <v>88</v>
      </c>
      <c r="B1008" s="0" t="s">
        <v>1081</v>
      </c>
      <c r="D1008" s="0" t="s">
        <v>1291</v>
      </c>
      <c r="E1008" s="0" t="s">
        <v>68</v>
      </c>
      <c r="F1008" s="0" t="s">
        <v>30</v>
      </c>
      <c r="I1008" s="0" t="n">
        <v>4000</v>
      </c>
      <c r="J1008" s="0" t="n">
        <v>1</v>
      </c>
      <c r="K1008" s="0" t="s">
        <v>1304</v>
      </c>
    </row>
    <row r="1009" customFormat="false" ht="15" hidden="false" customHeight="false" outlineLevel="0" collapsed="false">
      <c r="A1009" s="0" t="n">
        <v>89</v>
      </c>
      <c r="B1009" s="0" t="s">
        <v>1081</v>
      </c>
      <c r="D1009" s="0" t="s">
        <v>1291</v>
      </c>
      <c r="E1009" s="0" t="s">
        <v>53</v>
      </c>
      <c r="F1009" s="0" t="s">
        <v>27</v>
      </c>
      <c r="G1009" s="0" t="n">
        <v>2</v>
      </c>
      <c r="H1009" s="0" t="n">
        <v>1.3</v>
      </c>
      <c r="I1009" s="0" t="n">
        <v>10400</v>
      </c>
      <c r="J1009" s="0" t="n">
        <v>2.6</v>
      </c>
      <c r="K1009" s="0" t="s">
        <v>1305</v>
      </c>
      <c r="L1009" s="0" t="s">
        <v>1306</v>
      </c>
    </row>
    <row r="1010" customFormat="false" ht="15" hidden="false" customHeight="false" outlineLevel="0" collapsed="false">
      <c r="A1010" s="0" t="n">
        <v>89</v>
      </c>
      <c r="B1010" s="0" t="s">
        <v>1081</v>
      </c>
      <c r="D1010" s="0" t="s">
        <v>1291</v>
      </c>
      <c r="E1010" s="0" t="s">
        <v>56</v>
      </c>
      <c r="F1010" s="0" t="s">
        <v>28</v>
      </c>
      <c r="I1010" s="0" t="n">
        <v>700</v>
      </c>
      <c r="J1010" s="0" t="n">
        <v>0.175</v>
      </c>
      <c r="K1010" s="0" t="s">
        <v>1307</v>
      </c>
    </row>
    <row r="1011" customFormat="false" ht="15" hidden="false" customHeight="false" outlineLevel="0" collapsed="false">
      <c r="A1011" s="0" t="n">
        <v>89</v>
      </c>
      <c r="B1011" s="0" t="s">
        <v>1081</v>
      </c>
      <c r="D1011" s="0" t="s">
        <v>1291</v>
      </c>
      <c r="E1011" s="0" t="s">
        <v>58</v>
      </c>
      <c r="F1011" s="0" t="s">
        <v>28</v>
      </c>
      <c r="I1011" s="0" t="n">
        <v>3500</v>
      </c>
      <c r="J1011" s="0" t="n">
        <v>0.875</v>
      </c>
      <c r="K1011" s="0" t="s">
        <v>1308</v>
      </c>
    </row>
    <row r="1012" customFormat="false" ht="15" hidden="false" customHeight="false" outlineLevel="0" collapsed="false">
      <c r="A1012" s="0" t="n">
        <v>89</v>
      </c>
      <c r="B1012" s="0" t="s">
        <v>1081</v>
      </c>
      <c r="D1012" s="0" t="s">
        <v>1291</v>
      </c>
      <c r="E1012" s="0" t="s">
        <v>203</v>
      </c>
      <c r="F1012" s="0" t="s">
        <v>29</v>
      </c>
      <c r="I1012" s="0" t="n">
        <v>1500</v>
      </c>
      <c r="J1012" s="0" t="n">
        <v>0.375</v>
      </c>
      <c r="K1012" s="0" t="s">
        <v>1309</v>
      </c>
    </row>
    <row r="1013" customFormat="false" ht="15" hidden="false" customHeight="false" outlineLevel="0" collapsed="false">
      <c r="A1013" s="0" t="n">
        <v>89</v>
      </c>
      <c r="B1013" s="0" t="s">
        <v>1081</v>
      </c>
      <c r="D1013" s="0" t="s">
        <v>1291</v>
      </c>
      <c r="E1013" s="0" t="s">
        <v>128</v>
      </c>
      <c r="F1013" s="0" t="s">
        <v>28</v>
      </c>
      <c r="I1013" s="0" t="n">
        <v>1000</v>
      </c>
      <c r="J1013" s="0" t="n">
        <v>0.25</v>
      </c>
      <c r="K1013" s="0" t="s">
        <v>1310</v>
      </c>
    </row>
    <row r="1014" customFormat="false" ht="15" hidden="false" customHeight="false" outlineLevel="0" collapsed="false">
      <c r="A1014" s="0" t="n">
        <v>89</v>
      </c>
      <c r="B1014" s="0" t="s">
        <v>1081</v>
      </c>
      <c r="D1014" s="0" t="s">
        <v>1291</v>
      </c>
      <c r="E1014" s="0" t="s">
        <v>158</v>
      </c>
      <c r="F1014" s="0" t="s">
        <v>28</v>
      </c>
      <c r="I1014" s="0" t="n">
        <v>2000</v>
      </c>
      <c r="J1014" s="0" t="n">
        <v>0.5</v>
      </c>
      <c r="K1014" s="0" t="s">
        <v>1311</v>
      </c>
    </row>
    <row r="1015" customFormat="false" ht="15" hidden="false" customHeight="false" outlineLevel="0" collapsed="false">
      <c r="A1015" s="0" t="n">
        <v>89</v>
      </c>
      <c r="B1015" s="0" t="s">
        <v>1081</v>
      </c>
      <c r="D1015" s="0" t="s">
        <v>1291</v>
      </c>
      <c r="E1015" s="0" t="s">
        <v>132</v>
      </c>
      <c r="F1015" s="0" t="s">
        <v>29</v>
      </c>
      <c r="I1015" s="0" t="n">
        <v>100</v>
      </c>
      <c r="J1015" s="0" t="n">
        <v>0.025</v>
      </c>
      <c r="K1015" s="0" t="s">
        <v>1312</v>
      </c>
    </row>
    <row r="1016" customFormat="false" ht="15" hidden="false" customHeight="false" outlineLevel="0" collapsed="false">
      <c r="A1016" s="0" t="n">
        <v>89</v>
      </c>
      <c r="B1016" s="0" t="s">
        <v>1081</v>
      </c>
      <c r="D1016" s="0" t="s">
        <v>1291</v>
      </c>
      <c r="E1016" s="0" t="s">
        <v>134</v>
      </c>
      <c r="F1016" s="0" t="s">
        <v>28</v>
      </c>
      <c r="I1016" s="0" t="n">
        <v>100</v>
      </c>
      <c r="J1016" s="0" t="n">
        <v>0.025</v>
      </c>
      <c r="K1016" s="0" t="s">
        <v>1313</v>
      </c>
    </row>
    <row r="1017" customFormat="false" ht="15" hidden="false" customHeight="false" outlineLevel="0" collapsed="false">
      <c r="A1017" s="0" t="n">
        <v>89</v>
      </c>
      <c r="B1017" s="0" t="s">
        <v>1081</v>
      </c>
      <c r="D1017" s="0" t="s">
        <v>1291</v>
      </c>
      <c r="E1017" s="0" t="s">
        <v>60</v>
      </c>
      <c r="F1017" s="0" t="s">
        <v>27</v>
      </c>
      <c r="I1017" s="0" t="n">
        <v>100</v>
      </c>
      <c r="J1017" s="0" t="n">
        <v>0.025</v>
      </c>
      <c r="K1017" s="0" t="s">
        <v>1314</v>
      </c>
    </row>
    <row r="1018" customFormat="false" ht="15" hidden="false" customHeight="false" outlineLevel="0" collapsed="false">
      <c r="A1018" s="0" t="n">
        <v>89</v>
      </c>
      <c r="B1018" s="0" t="s">
        <v>1081</v>
      </c>
      <c r="D1018" s="0" t="s">
        <v>1291</v>
      </c>
      <c r="E1018" s="0" t="s">
        <v>62</v>
      </c>
      <c r="F1018" s="0" t="s">
        <v>27</v>
      </c>
      <c r="I1018" s="0" t="n">
        <v>100</v>
      </c>
      <c r="J1018" s="0" t="n">
        <v>0.025</v>
      </c>
      <c r="K1018" s="0" t="s">
        <v>1315</v>
      </c>
    </row>
    <row r="1019" customFormat="false" ht="15" hidden="false" customHeight="false" outlineLevel="0" collapsed="false">
      <c r="A1019" s="0" t="n">
        <v>89</v>
      </c>
      <c r="B1019" s="0" t="s">
        <v>1081</v>
      </c>
      <c r="D1019" s="0" t="s">
        <v>1291</v>
      </c>
      <c r="E1019" s="0" t="s">
        <v>66</v>
      </c>
      <c r="F1019" s="0" t="s">
        <v>27</v>
      </c>
      <c r="I1019" s="0" t="n">
        <v>350</v>
      </c>
      <c r="J1019" s="0" t="n">
        <v>0.0875</v>
      </c>
      <c r="K1019" s="0" t="s">
        <v>1316</v>
      </c>
    </row>
    <row r="1020" customFormat="false" ht="15" hidden="false" customHeight="false" outlineLevel="0" collapsed="false">
      <c r="A1020" s="0" t="n">
        <v>89</v>
      </c>
      <c r="B1020" s="0" t="s">
        <v>1081</v>
      </c>
      <c r="D1020" s="0" t="s">
        <v>1291</v>
      </c>
      <c r="E1020" s="0" t="s">
        <v>64</v>
      </c>
      <c r="F1020" s="0" t="s">
        <v>27</v>
      </c>
      <c r="I1020" s="0" t="n">
        <v>0</v>
      </c>
      <c r="J1020" s="0" t="n">
        <v>0</v>
      </c>
      <c r="K1020" s="0" t="s">
        <v>1317</v>
      </c>
    </row>
    <row r="1021" customFormat="false" ht="15" hidden="false" customHeight="false" outlineLevel="0" collapsed="false">
      <c r="A1021" s="0" t="n">
        <v>89</v>
      </c>
      <c r="B1021" s="0" t="s">
        <v>1081</v>
      </c>
      <c r="D1021" s="0" t="s">
        <v>1291</v>
      </c>
      <c r="E1021" s="0" t="s">
        <v>68</v>
      </c>
      <c r="F1021" s="0" t="s">
        <v>30</v>
      </c>
      <c r="I1021" s="0" t="n">
        <v>3500</v>
      </c>
      <c r="J1021" s="0" t="n">
        <v>0.875</v>
      </c>
      <c r="K1021" s="0" t="s">
        <v>1318</v>
      </c>
    </row>
    <row r="1022" customFormat="false" ht="15" hidden="false" customHeight="false" outlineLevel="0" collapsed="false">
      <c r="A1022" s="0" t="n">
        <v>90</v>
      </c>
      <c r="B1022" s="0" t="s">
        <v>1081</v>
      </c>
      <c r="D1022" s="0" t="s">
        <v>1291</v>
      </c>
      <c r="E1022" s="0" t="s">
        <v>53</v>
      </c>
      <c r="F1022" s="0" t="s">
        <v>27</v>
      </c>
      <c r="G1022" s="0" t="n">
        <v>1.5</v>
      </c>
      <c r="H1022" s="0" t="n">
        <v>1.2</v>
      </c>
      <c r="I1022" s="0" t="n">
        <v>7200</v>
      </c>
      <c r="J1022" s="0" t="n">
        <v>1.8</v>
      </c>
      <c r="K1022" s="0" t="s">
        <v>1319</v>
      </c>
      <c r="L1022" s="0" t="s">
        <v>1320</v>
      </c>
    </row>
    <row r="1023" customFormat="false" ht="15" hidden="false" customHeight="false" outlineLevel="0" collapsed="false">
      <c r="A1023" s="0" t="n">
        <v>90</v>
      </c>
      <c r="B1023" s="0" t="s">
        <v>1081</v>
      </c>
      <c r="D1023" s="0" t="s">
        <v>1291</v>
      </c>
      <c r="E1023" s="0" t="s">
        <v>56</v>
      </c>
      <c r="F1023" s="0" t="s">
        <v>28</v>
      </c>
      <c r="I1023" s="0" t="n">
        <v>1000</v>
      </c>
      <c r="J1023" s="0" t="n">
        <v>0.25</v>
      </c>
      <c r="K1023" s="0" t="s">
        <v>1321</v>
      </c>
    </row>
    <row r="1024" customFormat="false" ht="15" hidden="false" customHeight="false" outlineLevel="0" collapsed="false">
      <c r="A1024" s="0" t="n">
        <v>90</v>
      </c>
      <c r="B1024" s="0" t="s">
        <v>1081</v>
      </c>
      <c r="D1024" s="0" t="s">
        <v>1291</v>
      </c>
      <c r="E1024" s="0" t="s">
        <v>58</v>
      </c>
      <c r="F1024" s="0" t="s">
        <v>28</v>
      </c>
      <c r="I1024" s="0" t="n">
        <v>4500</v>
      </c>
      <c r="J1024" s="0" t="n">
        <v>1.125</v>
      </c>
      <c r="K1024" s="0" t="s">
        <v>1322</v>
      </c>
    </row>
    <row r="1025" customFormat="false" ht="15" hidden="false" customHeight="false" outlineLevel="0" collapsed="false">
      <c r="A1025" s="0" t="n">
        <v>90</v>
      </c>
      <c r="B1025" s="0" t="s">
        <v>1081</v>
      </c>
      <c r="D1025" s="0" t="s">
        <v>1291</v>
      </c>
      <c r="E1025" s="0" t="s">
        <v>128</v>
      </c>
      <c r="F1025" s="0" t="s">
        <v>28</v>
      </c>
      <c r="I1025" s="0" t="n">
        <v>2000</v>
      </c>
      <c r="J1025" s="0" t="n">
        <v>0.5</v>
      </c>
      <c r="K1025" s="0" t="s">
        <v>1323</v>
      </c>
    </row>
    <row r="1026" customFormat="false" ht="15" hidden="false" customHeight="false" outlineLevel="0" collapsed="false">
      <c r="A1026" s="0" t="n">
        <v>90</v>
      </c>
      <c r="B1026" s="0" t="s">
        <v>1081</v>
      </c>
      <c r="D1026" s="0" t="s">
        <v>1291</v>
      </c>
      <c r="E1026" s="0" t="s">
        <v>379</v>
      </c>
      <c r="F1026" s="0" t="s">
        <v>29</v>
      </c>
      <c r="G1026" s="0" t="n">
        <v>1.5</v>
      </c>
      <c r="H1026" s="0" t="n">
        <v>9500</v>
      </c>
      <c r="I1026" s="0" t="n">
        <v>14250</v>
      </c>
      <c r="J1026" s="0" t="n">
        <v>3.5625</v>
      </c>
      <c r="K1026" s="0" t="s">
        <v>1324</v>
      </c>
      <c r="L1026" s="0" t="s">
        <v>1325</v>
      </c>
    </row>
    <row r="1027" customFormat="false" ht="15" hidden="false" customHeight="false" outlineLevel="0" collapsed="false">
      <c r="A1027" s="0" t="n">
        <v>90</v>
      </c>
      <c r="B1027" s="0" t="s">
        <v>1081</v>
      </c>
      <c r="D1027" s="0" t="s">
        <v>1291</v>
      </c>
      <c r="E1027" s="0" t="s">
        <v>158</v>
      </c>
      <c r="F1027" s="0" t="s">
        <v>28</v>
      </c>
      <c r="I1027" s="0" t="n">
        <v>2000</v>
      </c>
      <c r="J1027" s="0" t="n">
        <v>0.5</v>
      </c>
      <c r="K1027" s="0" t="s">
        <v>1326</v>
      </c>
    </row>
    <row r="1028" customFormat="false" ht="15" hidden="false" customHeight="false" outlineLevel="0" collapsed="false">
      <c r="A1028" s="0" t="n">
        <v>90</v>
      </c>
      <c r="B1028" s="0" t="s">
        <v>1081</v>
      </c>
      <c r="D1028" s="0" t="s">
        <v>1291</v>
      </c>
      <c r="E1028" s="0" t="s">
        <v>132</v>
      </c>
      <c r="F1028" s="0" t="s">
        <v>29</v>
      </c>
      <c r="I1028" s="0" t="n">
        <v>0</v>
      </c>
      <c r="J1028" s="0" t="n">
        <v>0</v>
      </c>
      <c r="K1028" s="0" t="s">
        <v>1327</v>
      </c>
    </row>
    <row r="1029" customFormat="false" ht="15" hidden="false" customHeight="false" outlineLevel="0" collapsed="false">
      <c r="A1029" s="0" t="n">
        <v>90</v>
      </c>
      <c r="B1029" s="0" t="s">
        <v>1081</v>
      </c>
      <c r="D1029" s="0" t="s">
        <v>1291</v>
      </c>
      <c r="E1029" s="0" t="s">
        <v>1328</v>
      </c>
      <c r="F1029" s="0" t="s">
        <v>27</v>
      </c>
      <c r="I1029" s="0" t="n">
        <v>0</v>
      </c>
      <c r="J1029" s="0" t="n">
        <v>0</v>
      </c>
      <c r="K1029" s="0" t="s">
        <v>1329</v>
      </c>
    </row>
    <row r="1030" customFormat="false" ht="15" hidden="false" customHeight="false" outlineLevel="0" collapsed="false">
      <c r="A1030" s="0" t="n">
        <v>90</v>
      </c>
      <c r="B1030" s="0" t="s">
        <v>1081</v>
      </c>
      <c r="D1030" s="0" t="s">
        <v>1291</v>
      </c>
      <c r="E1030" s="0" t="s">
        <v>60</v>
      </c>
      <c r="F1030" s="0" t="s">
        <v>27</v>
      </c>
      <c r="I1030" s="0" t="n">
        <v>100</v>
      </c>
      <c r="J1030" s="0" t="n">
        <v>0.025</v>
      </c>
      <c r="K1030" s="0" t="s">
        <v>1330</v>
      </c>
    </row>
    <row r="1031" customFormat="false" ht="15" hidden="false" customHeight="false" outlineLevel="0" collapsed="false">
      <c r="A1031" s="0" t="n">
        <v>90</v>
      </c>
      <c r="B1031" s="0" t="s">
        <v>1081</v>
      </c>
      <c r="D1031" s="0" t="s">
        <v>1291</v>
      </c>
      <c r="E1031" s="0" t="s">
        <v>62</v>
      </c>
      <c r="F1031" s="0" t="s">
        <v>27</v>
      </c>
      <c r="I1031" s="0" t="n">
        <v>0</v>
      </c>
      <c r="J1031" s="0" t="n">
        <v>0</v>
      </c>
      <c r="K1031" s="0" t="s">
        <v>1331</v>
      </c>
    </row>
    <row r="1032" customFormat="false" ht="15" hidden="false" customHeight="false" outlineLevel="0" collapsed="false">
      <c r="A1032" s="0" t="n">
        <v>90</v>
      </c>
      <c r="B1032" s="0" t="s">
        <v>1081</v>
      </c>
      <c r="D1032" s="0" t="s">
        <v>1291</v>
      </c>
      <c r="E1032" s="0" t="s">
        <v>66</v>
      </c>
      <c r="F1032" s="0" t="s">
        <v>27</v>
      </c>
      <c r="I1032" s="0" t="n">
        <v>250</v>
      </c>
      <c r="J1032" s="0" t="n">
        <v>0.0625</v>
      </c>
      <c r="K1032" s="0" t="s">
        <v>1332</v>
      </c>
    </row>
    <row r="1033" customFormat="false" ht="15" hidden="false" customHeight="false" outlineLevel="0" collapsed="false">
      <c r="A1033" s="0" t="n">
        <v>90</v>
      </c>
      <c r="B1033" s="0" t="s">
        <v>1081</v>
      </c>
      <c r="D1033" s="0" t="s">
        <v>1291</v>
      </c>
      <c r="E1033" s="0" t="s">
        <v>64</v>
      </c>
      <c r="F1033" s="0" t="s">
        <v>27</v>
      </c>
      <c r="I1033" s="0" t="n">
        <v>50</v>
      </c>
      <c r="J1033" s="0" t="n">
        <v>0.0125</v>
      </c>
      <c r="K1033" s="0" t="s">
        <v>1333</v>
      </c>
    </row>
    <row r="1034" customFormat="false" ht="15" hidden="false" customHeight="false" outlineLevel="0" collapsed="false">
      <c r="A1034" s="0" t="n">
        <v>90</v>
      </c>
      <c r="B1034" s="0" t="s">
        <v>1081</v>
      </c>
      <c r="D1034" s="0" t="s">
        <v>1291</v>
      </c>
      <c r="E1034" s="0" t="s">
        <v>68</v>
      </c>
      <c r="F1034" s="0" t="s">
        <v>30</v>
      </c>
      <c r="I1034" s="0" t="n">
        <v>4000</v>
      </c>
      <c r="J1034" s="0" t="n">
        <v>1</v>
      </c>
      <c r="K1034" s="0" t="s">
        <v>1334</v>
      </c>
    </row>
    <row r="1035" customFormat="false" ht="15" hidden="false" customHeight="false" outlineLevel="0" collapsed="false">
      <c r="A1035" s="0" t="n">
        <v>91</v>
      </c>
      <c r="B1035" s="0" t="s">
        <v>1081</v>
      </c>
      <c r="D1035" s="0" t="s">
        <v>1081</v>
      </c>
      <c r="E1035" s="0" t="s">
        <v>53</v>
      </c>
      <c r="F1035" s="0" t="s">
        <v>27</v>
      </c>
      <c r="G1035" s="0" t="n">
        <v>1.5</v>
      </c>
      <c r="H1035" s="0" t="n">
        <v>1</v>
      </c>
      <c r="I1035" s="0" t="n">
        <v>6000</v>
      </c>
      <c r="J1035" s="0" t="n">
        <v>1.5</v>
      </c>
      <c r="K1035" s="0" t="s">
        <v>1335</v>
      </c>
      <c r="L1035" s="0" t="s">
        <v>1336</v>
      </c>
    </row>
    <row r="1036" customFormat="false" ht="15" hidden="false" customHeight="false" outlineLevel="0" collapsed="false">
      <c r="A1036" s="0" t="n">
        <v>91</v>
      </c>
      <c r="B1036" s="0" t="s">
        <v>1081</v>
      </c>
      <c r="D1036" s="0" t="s">
        <v>1081</v>
      </c>
      <c r="E1036" s="0" t="s">
        <v>56</v>
      </c>
      <c r="F1036" s="0" t="s">
        <v>28</v>
      </c>
      <c r="I1036" s="0" t="n">
        <v>1400</v>
      </c>
      <c r="J1036" s="0" t="n">
        <v>0.35</v>
      </c>
      <c r="K1036" s="0" t="s">
        <v>1337</v>
      </c>
    </row>
    <row r="1037" customFormat="false" ht="15" hidden="false" customHeight="false" outlineLevel="0" collapsed="false">
      <c r="A1037" s="0" t="n">
        <v>91</v>
      </c>
      <c r="B1037" s="0" t="s">
        <v>1081</v>
      </c>
      <c r="D1037" s="0" t="s">
        <v>1081</v>
      </c>
      <c r="E1037" s="0" t="s">
        <v>58</v>
      </c>
      <c r="F1037" s="0" t="s">
        <v>28</v>
      </c>
      <c r="I1037" s="0" t="n">
        <v>4500</v>
      </c>
      <c r="J1037" s="0" t="n">
        <v>1.125</v>
      </c>
      <c r="K1037" s="0" t="s">
        <v>1338</v>
      </c>
    </row>
    <row r="1038" customFormat="false" ht="15" hidden="false" customHeight="false" outlineLevel="0" collapsed="false">
      <c r="A1038" s="0" t="n">
        <v>91</v>
      </c>
      <c r="B1038" s="0" t="s">
        <v>1081</v>
      </c>
      <c r="D1038" s="0" t="s">
        <v>1081</v>
      </c>
      <c r="E1038" s="0" t="s">
        <v>203</v>
      </c>
      <c r="F1038" s="0" t="s">
        <v>29</v>
      </c>
      <c r="I1038" s="0" t="n">
        <v>4500</v>
      </c>
      <c r="J1038" s="0" t="n">
        <v>1.125</v>
      </c>
      <c r="K1038" s="0" t="s">
        <v>1339</v>
      </c>
    </row>
    <row r="1039" customFormat="false" ht="15" hidden="false" customHeight="false" outlineLevel="0" collapsed="false">
      <c r="A1039" s="0" t="n">
        <v>91</v>
      </c>
      <c r="B1039" s="0" t="s">
        <v>1081</v>
      </c>
      <c r="D1039" s="0" t="s">
        <v>1081</v>
      </c>
      <c r="E1039" s="0" t="s">
        <v>128</v>
      </c>
      <c r="F1039" s="0" t="s">
        <v>28</v>
      </c>
      <c r="I1039" s="0" t="n">
        <v>2000</v>
      </c>
      <c r="J1039" s="0" t="n">
        <v>0.5</v>
      </c>
      <c r="K1039" s="0" t="s">
        <v>1340</v>
      </c>
    </row>
    <row r="1040" customFormat="false" ht="15" hidden="false" customHeight="false" outlineLevel="0" collapsed="false">
      <c r="A1040" s="0" t="n">
        <v>91</v>
      </c>
      <c r="B1040" s="0" t="s">
        <v>1081</v>
      </c>
      <c r="D1040" s="0" t="s">
        <v>1081</v>
      </c>
      <c r="E1040" s="0" t="s">
        <v>158</v>
      </c>
      <c r="F1040" s="0" t="s">
        <v>28</v>
      </c>
      <c r="I1040" s="0" t="n">
        <v>1000</v>
      </c>
      <c r="J1040" s="0" t="n">
        <v>0.25</v>
      </c>
      <c r="K1040" s="0" t="s">
        <v>1341</v>
      </c>
    </row>
    <row r="1041" customFormat="false" ht="15" hidden="false" customHeight="false" outlineLevel="0" collapsed="false">
      <c r="A1041" s="0" t="n">
        <v>91</v>
      </c>
      <c r="B1041" s="0" t="s">
        <v>1081</v>
      </c>
      <c r="D1041" s="0" t="s">
        <v>1081</v>
      </c>
      <c r="E1041" s="0" t="s">
        <v>132</v>
      </c>
      <c r="F1041" s="0" t="s">
        <v>29</v>
      </c>
      <c r="I1041" s="0" t="n">
        <v>200</v>
      </c>
      <c r="J1041" s="0" t="n">
        <v>0.05</v>
      </c>
      <c r="K1041" s="0" t="s">
        <v>1342</v>
      </c>
    </row>
    <row r="1042" customFormat="false" ht="15" hidden="false" customHeight="false" outlineLevel="0" collapsed="false">
      <c r="A1042" s="0" t="n">
        <v>91</v>
      </c>
      <c r="B1042" s="0" t="s">
        <v>1081</v>
      </c>
      <c r="D1042" s="0" t="s">
        <v>1081</v>
      </c>
      <c r="E1042" s="0" t="s">
        <v>134</v>
      </c>
      <c r="F1042" s="0" t="s">
        <v>28</v>
      </c>
      <c r="I1042" s="0" t="n">
        <v>200</v>
      </c>
      <c r="J1042" s="0" t="n">
        <v>0.05</v>
      </c>
      <c r="K1042" s="0" t="s">
        <v>1343</v>
      </c>
    </row>
    <row r="1043" customFormat="false" ht="15" hidden="false" customHeight="false" outlineLevel="0" collapsed="false">
      <c r="A1043" s="0" t="n">
        <v>91</v>
      </c>
      <c r="B1043" s="0" t="s">
        <v>1081</v>
      </c>
      <c r="D1043" s="0" t="s">
        <v>1081</v>
      </c>
      <c r="E1043" s="0" t="s">
        <v>60</v>
      </c>
      <c r="F1043" s="0" t="s">
        <v>27</v>
      </c>
      <c r="I1043" s="0" t="n">
        <v>300</v>
      </c>
      <c r="J1043" s="0" t="n">
        <v>0.075</v>
      </c>
      <c r="K1043" s="0" t="s">
        <v>1344</v>
      </c>
    </row>
    <row r="1044" customFormat="false" ht="15" hidden="false" customHeight="false" outlineLevel="0" collapsed="false">
      <c r="A1044" s="0" t="n">
        <v>91</v>
      </c>
      <c r="B1044" s="0" t="s">
        <v>1081</v>
      </c>
      <c r="D1044" s="0" t="s">
        <v>1081</v>
      </c>
      <c r="E1044" s="0" t="s">
        <v>62</v>
      </c>
      <c r="F1044" s="0" t="s">
        <v>27</v>
      </c>
      <c r="I1044" s="0" t="n">
        <v>100</v>
      </c>
      <c r="J1044" s="0" t="n">
        <v>0.025</v>
      </c>
      <c r="K1044" s="0" t="s">
        <v>1345</v>
      </c>
    </row>
    <row r="1045" customFormat="false" ht="15" hidden="false" customHeight="false" outlineLevel="0" collapsed="false">
      <c r="A1045" s="0" t="n">
        <v>91</v>
      </c>
      <c r="B1045" s="0" t="s">
        <v>1081</v>
      </c>
      <c r="D1045" s="0" t="s">
        <v>1081</v>
      </c>
      <c r="E1045" s="0" t="s">
        <v>66</v>
      </c>
      <c r="F1045" s="0" t="s">
        <v>27</v>
      </c>
      <c r="I1045" s="0" t="n">
        <v>350</v>
      </c>
      <c r="J1045" s="0" t="n">
        <v>0.0875</v>
      </c>
      <c r="K1045" s="0" t="s">
        <v>1346</v>
      </c>
    </row>
    <row r="1046" customFormat="false" ht="15" hidden="false" customHeight="false" outlineLevel="0" collapsed="false">
      <c r="A1046" s="0" t="n">
        <v>91</v>
      </c>
      <c r="B1046" s="0" t="s">
        <v>1081</v>
      </c>
      <c r="D1046" s="0" t="s">
        <v>1081</v>
      </c>
      <c r="E1046" s="0" t="s">
        <v>64</v>
      </c>
      <c r="F1046" s="0" t="s">
        <v>27</v>
      </c>
      <c r="I1046" s="0" t="n">
        <v>500</v>
      </c>
      <c r="J1046" s="0" t="n">
        <v>0.125</v>
      </c>
      <c r="K1046" s="0" t="s">
        <v>1347</v>
      </c>
    </row>
    <row r="1047" customFormat="false" ht="15" hidden="false" customHeight="false" outlineLevel="0" collapsed="false">
      <c r="A1047" s="0" t="n">
        <v>91</v>
      </c>
      <c r="B1047" s="0" t="s">
        <v>1081</v>
      </c>
      <c r="D1047" s="0" t="s">
        <v>1081</v>
      </c>
      <c r="E1047" s="0" t="s">
        <v>68</v>
      </c>
      <c r="F1047" s="0" t="s">
        <v>30</v>
      </c>
      <c r="I1047" s="0" t="n">
        <v>3700</v>
      </c>
      <c r="J1047" s="0" t="n">
        <v>0.925</v>
      </c>
      <c r="K1047" s="0" t="s">
        <v>1348</v>
      </c>
    </row>
    <row r="1048" customFormat="false" ht="15" hidden="false" customHeight="false" outlineLevel="0" collapsed="false">
      <c r="A1048" s="0" t="n">
        <v>92</v>
      </c>
      <c r="B1048" s="0" t="s">
        <v>1081</v>
      </c>
      <c r="D1048" s="0" t="s">
        <v>1291</v>
      </c>
      <c r="E1048" s="0" t="s">
        <v>53</v>
      </c>
      <c r="F1048" s="0" t="s">
        <v>27</v>
      </c>
      <c r="G1048" s="0" t="n">
        <v>2</v>
      </c>
      <c r="H1048" s="0" t="n">
        <v>6</v>
      </c>
      <c r="I1048" s="0" t="n">
        <v>48000</v>
      </c>
      <c r="J1048" s="0" t="n">
        <v>12</v>
      </c>
      <c r="K1048" s="0" t="s">
        <v>1349</v>
      </c>
      <c r="L1048" s="0" t="s">
        <v>1350</v>
      </c>
    </row>
    <row r="1049" customFormat="false" ht="15" hidden="false" customHeight="false" outlineLevel="0" collapsed="false">
      <c r="A1049" s="0" t="n">
        <v>92</v>
      </c>
      <c r="B1049" s="0" t="s">
        <v>1081</v>
      </c>
      <c r="D1049" s="0" t="s">
        <v>1291</v>
      </c>
      <c r="E1049" s="0" t="s">
        <v>56</v>
      </c>
      <c r="F1049" s="0" t="s">
        <v>28</v>
      </c>
      <c r="I1049" s="0" t="n">
        <v>1500</v>
      </c>
      <c r="J1049" s="0" t="n">
        <v>0.375</v>
      </c>
      <c r="K1049" s="0" t="s">
        <v>1351</v>
      </c>
    </row>
    <row r="1050" customFormat="false" ht="15" hidden="false" customHeight="false" outlineLevel="0" collapsed="false">
      <c r="A1050" s="0" t="n">
        <v>92</v>
      </c>
      <c r="B1050" s="0" t="s">
        <v>1081</v>
      </c>
      <c r="D1050" s="0" t="s">
        <v>1291</v>
      </c>
      <c r="E1050" s="0" t="s">
        <v>58</v>
      </c>
      <c r="F1050" s="0" t="s">
        <v>28</v>
      </c>
      <c r="I1050" s="0" t="n">
        <v>8000</v>
      </c>
      <c r="J1050" s="0" t="n">
        <v>2</v>
      </c>
      <c r="K1050" s="0" t="s">
        <v>1352</v>
      </c>
    </row>
    <row r="1051" customFormat="false" ht="15" hidden="false" customHeight="false" outlineLevel="0" collapsed="false">
      <c r="A1051" s="0" t="n">
        <v>92</v>
      </c>
      <c r="B1051" s="0" t="s">
        <v>1081</v>
      </c>
      <c r="D1051" s="0" t="s">
        <v>1291</v>
      </c>
      <c r="E1051" s="0" t="s">
        <v>128</v>
      </c>
      <c r="F1051" s="0" t="s">
        <v>28</v>
      </c>
      <c r="I1051" s="0" t="n">
        <v>5000</v>
      </c>
      <c r="J1051" s="0" t="n">
        <v>1.25</v>
      </c>
      <c r="K1051" s="0" t="s">
        <v>1353</v>
      </c>
    </row>
    <row r="1052" customFormat="false" ht="15" hidden="false" customHeight="false" outlineLevel="0" collapsed="false">
      <c r="A1052" s="0" t="n">
        <v>92</v>
      </c>
      <c r="B1052" s="0" t="s">
        <v>1081</v>
      </c>
      <c r="D1052" s="0" t="s">
        <v>1291</v>
      </c>
      <c r="E1052" s="0" t="s">
        <v>158</v>
      </c>
      <c r="F1052" s="0" t="s">
        <v>28</v>
      </c>
      <c r="I1052" s="0" t="n">
        <v>2000</v>
      </c>
      <c r="J1052" s="0" t="n">
        <v>0.5</v>
      </c>
      <c r="K1052" s="0" t="s">
        <v>1354</v>
      </c>
    </row>
    <row r="1053" customFormat="false" ht="15" hidden="false" customHeight="false" outlineLevel="0" collapsed="false">
      <c r="A1053" s="0" t="n">
        <v>92</v>
      </c>
      <c r="B1053" s="0" t="s">
        <v>1081</v>
      </c>
      <c r="D1053" s="0" t="s">
        <v>1291</v>
      </c>
      <c r="E1053" s="0" t="s">
        <v>379</v>
      </c>
      <c r="F1053" s="0" t="s">
        <v>29</v>
      </c>
      <c r="I1053" s="0" t="n">
        <v>13000</v>
      </c>
      <c r="J1053" s="0" t="n">
        <v>3.25</v>
      </c>
      <c r="K1053" s="0" t="s">
        <v>1355</v>
      </c>
    </row>
    <row r="1054" customFormat="false" ht="15" hidden="false" customHeight="false" outlineLevel="0" collapsed="false">
      <c r="A1054" s="0" t="n">
        <v>92</v>
      </c>
      <c r="B1054" s="0" t="s">
        <v>1081</v>
      </c>
      <c r="D1054" s="0" t="s">
        <v>1291</v>
      </c>
      <c r="E1054" s="0" t="s">
        <v>132</v>
      </c>
      <c r="F1054" s="0" t="s">
        <v>29</v>
      </c>
      <c r="I1054" s="0" t="n">
        <v>0</v>
      </c>
      <c r="J1054" s="0" t="n">
        <v>0</v>
      </c>
      <c r="K1054" s="0" t="s">
        <v>1356</v>
      </c>
    </row>
    <row r="1055" customFormat="false" ht="15" hidden="false" customHeight="false" outlineLevel="0" collapsed="false">
      <c r="A1055" s="0" t="n">
        <v>92</v>
      </c>
      <c r="B1055" s="0" t="s">
        <v>1081</v>
      </c>
      <c r="D1055" s="0" t="s">
        <v>1291</v>
      </c>
      <c r="E1055" s="0" t="s">
        <v>134</v>
      </c>
      <c r="F1055" s="0" t="s">
        <v>28</v>
      </c>
      <c r="I1055" s="0" t="n">
        <v>0</v>
      </c>
      <c r="J1055" s="0" t="n">
        <v>0</v>
      </c>
      <c r="K1055" s="0" t="s">
        <v>1357</v>
      </c>
    </row>
    <row r="1056" customFormat="false" ht="15" hidden="false" customHeight="false" outlineLevel="0" collapsed="false">
      <c r="A1056" s="0" t="n">
        <v>92</v>
      </c>
      <c r="B1056" s="0" t="s">
        <v>1081</v>
      </c>
      <c r="D1056" s="0" t="s">
        <v>1291</v>
      </c>
      <c r="E1056" s="0" t="s">
        <v>60</v>
      </c>
      <c r="F1056" s="0" t="s">
        <v>27</v>
      </c>
      <c r="I1056" s="0" t="n">
        <v>200</v>
      </c>
      <c r="J1056" s="0" t="n">
        <v>0.05</v>
      </c>
      <c r="K1056" s="0" t="s">
        <v>1358</v>
      </c>
    </row>
    <row r="1057" customFormat="false" ht="15" hidden="false" customHeight="false" outlineLevel="0" collapsed="false">
      <c r="A1057" s="0" t="n">
        <v>92</v>
      </c>
      <c r="B1057" s="0" t="s">
        <v>1081</v>
      </c>
      <c r="D1057" s="0" t="s">
        <v>1291</v>
      </c>
      <c r="E1057" s="0" t="s">
        <v>62</v>
      </c>
      <c r="F1057" s="0" t="s">
        <v>27</v>
      </c>
      <c r="I1057" s="0" t="n">
        <v>100</v>
      </c>
      <c r="J1057" s="0" t="n">
        <v>0.025</v>
      </c>
      <c r="K1057" s="0" t="s">
        <v>1359</v>
      </c>
    </row>
    <row r="1058" customFormat="false" ht="15" hidden="false" customHeight="false" outlineLevel="0" collapsed="false">
      <c r="A1058" s="0" t="n">
        <v>92</v>
      </c>
      <c r="B1058" s="0" t="s">
        <v>1081</v>
      </c>
      <c r="D1058" s="0" t="s">
        <v>1291</v>
      </c>
      <c r="E1058" s="0" t="s">
        <v>66</v>
      </c>
      <c r="F1058" s="0" t="s">
        <v>27</v>
      </c>
      <c r="I1058" s="0" t="n">
        <v>250</v>
      </c>
      <c r="J1058" s="0" t="n">
        <v>0.0625</v>
      </c>
      <c r="K1058" s="0" t="s">
        <v>1360</v>
      </c>
    </row>
    <row r="1059" customFormat="false" ht="15" hidden="false" customHeight="false" outlineLevel="0" collapsed="false">
      <c r="A1059" s="0" t="n">
        <v>92</v>
      </c>
      <c r="B1059" s="0" t="s">
        <v>1081</v>
      </c>
      <c r="D1059" s="0" t="s">
        <v>1291</v>
      </c>
      <c r="E1059" s="0" t="s">
        <v>64</v>
      </c>
      <c r="F1059" s="0" t="s">
        <v>27</v>
      </c>
      <c r="I1059" s="0" t="n">
        <v>750</v>
      </c>
      <c r="J1059" s="0" t="n">
        <v>0.1875</v>
      </c>
      <c r="K1059" s="0" t="s">
        <v>1361</v>
      </c>
    </row>
    <row r="1060" customFormat="false" ht="15" hidden="false" customHeight="false" outlineLevel="0" collapsed="false">
      <c r="A1060" s="0" t="n">
        <v>92</v>
      </c>
      <c r="B1060" s="0" t="s">
        <v>1081</v>
      </c>
      <c r="D1060" s="0" t="s">
        <v>1291</v>
      </c>
      <c r="E1060" s="0" t="s">
        <v>68</v>
      </c>
      <c r="F1060" s="0" t="s">
        <v>30</v>
      </c>
      <c r="I1060" s="0" t="n">
        <v>3700</v>
      </c>
      <c r="J1060" s="0" t="n">
        <v>0.925</v>
      </c>
      <c r="K1060" s="0" t="s">
        <v>1362</v>
      </c>
    </row>
    <row r="1061" customFormat="false" ht="15" hidden="false" customHeight="false" outlineLevel="0" collapsed="false">
      <c r="A1061" s="0" t="n">
        <v>93</v>
      </c>
      <c r="B1061" s="0" t="s">
        <v>1081</v>
      </c>
      <c r="D1061" s="0" t="s">
        <v>1291</v>
      </c>
      <c r="E1061" s="0" t="s">
        <v>53</v>
      </c>
      <c r="F1061" s="0" t="s">
        <v>27</v>
      </c>
      <c r="G1061" s="0" t="n">
        <v>1.5</v>
      </c>
      <c r="H1061" s="0" t="n">
        <v>2</v>
      </c>
      <c r="I1061" s="0" t="n">
        <v>12000</v>
      </c>
      <c r="J1061" s="0" t="n">
        <v>3</v>
      </c>
      <c r="K1061" s="0" t="s">
        <v>1363</v>
      </c>
      <c r="L1061" s="0" t="s">
        <v>1364</v>
      </c>
    </row>
    <row r="1062" customFormat="false" ht="15" hidden="false" customHeight="false" outlineLevel="0" collapsed="false">
      <c r="A1062" s="0" t="n">
        <v>93</v>
      </c>
      <c r="B1062" s="0" t="s">
        <v>1081</v>
      </c>
      <c r="D1062" s="0" t="s">
        <v>1291</v>
      </c>
      <c r="E1062" s="0" t="s">
        <v>56</v>
      </c>
      <c r="F1062" s="0" t="s">
        <v>28</v>
      </c>
      <c r="I1062" s="0" t="n">
        <v>700</v>
      </c>
      <c r="J1062" s="0" t="n">
        <v>0.175</v>
      </c>
      <c r="K1062" s="0" t="s">
        <v>1365</v>
      </c>
    </row>
    <row r="1063" customFormat="false" ht="15" hidden="false" customHeight="false" outlineLevel="0" collapsed="false">
      <c r="A1063" s="0" t="n">
        <v>93</v>
      </c>
      <c r="B1063" s="0" t="s">
        <v>1081</v>
      </c>
      <c r="D1063" s="0" t="s">
        <v>1291</v>
      </c>
      <c r="E1063" s="0" t="s">
        <v>58</v>
      </c>
      <c r="F1063" s="0" t="s">
        <v>28</v>
      </c>
      <c r="I1063" s="0" t="n">
        <v>3500</v>
      </c>
      <c r="J1063" s="0" t="n">
        <v>0.875</v>
      </c>
      <c r="K1063" s="0" t="s">
        <v>1366</v>
      </c>
    </row>
    <row r="1064" customFormat="false" ht="15" hidden="false" customHeight="false" outlineLevel="0" collapsed="false">
      <c r="A1064" s="0" t="n">
        <v>93</v>
      </c>
      <c r="B1064" s="0" t="s">
        <v>1081</v>
      </c>
      <c r="D1064" s="0" t="s">
        <v>1291</v>
      </c>
      <c r="E1064" s="0" t="s">
        <v>128</v>
      </c>
      <c r="F1064" s="0" t="s">
        <v>28</v>
      </c>
      <c r="I1064" s="0" t="n">
        <v>1000</v>
      </c>
      <c r="J1064" s="0" t="n">
        <v>0.25</v>
      </c>
      <c r="K1064" s="0" t="s">
        <v>1367</v>
      </c>
    </row>
    <row r="1065" customFormat="false" ht="15" hidden="false" customHeight="false" outlineLevel="0" collapsed="false">
      <c r="A1065" s="0" t="n">
        <v>93</v>
      </c>
      <c r="B1065" s="0" t="s">
        <v>1081</v>
      </c>
      <c r="D1065" s="0" t="s">
        <v>1291</v>
      </c>
      <c r="E1065" s="0" t="s">
        <v>203</v>
      </c>
      <c r="F1065" s="0" t="s">
        <v>29</v>
      </c>
      <c r="I1065" s="0" t="n">
        <v>3000</v>
      </c>
      <c r="J1065" s="0" t="n">
        <v>0.75</v>
      </c>
      <c r="K1065" s="0" t="s">
        <v>1368</v>
      </c>
    </row>
    <row r="1066" customFormat="false" ht="15" hidden="false" customHeight="false" outlineLevel="0" collapsed="false">
      <c r="A1066" s="0" t="n">
        <v>93</v>
      </c>
      <c r="B1066" s="0" t="s">
        <v>1081</v>
      </c>
      <c r="D1066" s="0" t="s">
        <v>1291</v>
      </c>
      <c r="E1066" s="0" t="s">
        <v>158</v>
      </c>
      <c r="F1066" s="0" t="s">
        <v>28</v>
      </c>
      <c r="I1066" s="0" t="n">
        <v>0</v>
      </c>
      <c r="J1066" s="0" t="n">
        <v>0</v>
      </c>
      <c r="K1066" s="0" t="s">
        <v>1369</v>
      </c>
    </row>
    <row r="1067" customFormat="false" ht="15" hidden="false" customHeight="false" outlineLevel="0" collapsed="false">
      <c r="A1067" s="0" t="n">
        <v>93</v>
      </c>
      <c r="B1067" s="0" t="s">
        <v>1081</v>
      </c>
      <c r="D1067" s="0" t="s">
        <v>1291</v>
      </c>
      <c r="E1067" s="0" t="s">
        <v>132</v>
      </c>
      <c r="F1067" s="0" t="s">
        <v>29</v>
      </c>
      <c r="I1067" s="0" t="n">
        <v>500</v>
      </c>
      <c r="J1067" s="0" t="n">
        <v>0.125</v>
      </c>
      <c r="K1067" s="0" t="s">
        <v>1370</v>
      </c>
    </row>
    <row r="1068" customFormat="false" ht="15" hidden="false" customHeight="false" outlineLevel="0" collapsed="false">
      <c r="A1068" s="0" t="n">
        <v>93</v>
      </c>
      <c r="B1068" s="0" t="s">
        <v>1081</v>
      </c>
      <c r="D1068" s="0" t="s">
        <v>1291</v>
      </c>
      <c r="E1068" s="0" t="s">
        <v>134</v>
      </c>
      <c r="F1068" s="0" t="s">
        <v>28</v>
      </c>
      <c r="I1068" s="0" t="n">
        <v>50</v>
      </c>
      <c r="J1068" s="0" t="n">
        <v>0.0125</v>
      </c>
      <c r="K1068" s="0" t="s">
        <v>1371</v>
      </c>
    </row>
    <row r="1069" customFormat="false" ht="15" hidden="false" customHeight="false" outlineLevel="0" collapsed="false">
      <c r="A1069" s="0" t="n">
        <v>93</v>
      </c>
      <c r="B1069" s="0" t="s">
        <v>1081</v>
      </c>
      <c r="D1069" s="0" t="s">
        <v>1291</v>
      </c>
      <c r="E1069" s="0" t="s">
        <v>60</v>
      </c>
      <c r="F1069" s="0" t="s">
        <v>27</v>
      </c>
      <c r="I1069" s="0" t="n">
        <v>200</v>
      </c>
      <c r="J1069" s="0" t="n">
        <v>0.05</v>
      </c>
      <c r="K1069" s="0" t="s">
        <v>1372</v>
      </c>
    </row>
    <row r="1070" customFormat="false" ht="15" hidden="false" customHeight="false" outlineLevel="0" collapsed="false">
      <c r="A1070" s="0" t="n">
        <v>93</v>
      </c>
      <c r="B1070" s="0" t="s">
        <v>1081</v>
      </c>
      <c r="D1070" s="0" t="s">
        <v>1291</v>
      </c>
      <c r="E1070" s="0" t="s">
        <v>62</v>
      </c>
      <c r="F1070" s="0" t="s">
        <v>27</v>
      </c>
      <c r="I1070" s="0" t="n">
        <v>100</v>
      </c>
      <c r="J1070" s="0" t="n">
        <v>0.025</v>
      </c>
      <c r="K1070" s="0" t="s">
        <v>1373</v>
      </c>
    </row>
    <row r="1071" customFormat="false" ht="15" hidden="false" customHeight="false" outlineLevel="0" collapsed="false">
      <c r="A1071" s="0" t="n">
        <v>93</v>
      </c>
      <c r="B1071" s="0" t="s">
        <v>1081</v>
      </c>
      <c r="D1071" s="0" t="s">
        <v>1291</v>
      </c>
      <c r="E1071" s="0" t="s">
        <v>66</v>
      </c>
      <c r="F1071" s="0" t="s">
        <v>27</v>
      </c>
      <c r="I1071" s="0" t="n">
        <v>350</v>
      </c>
      <c r="J1071" s="0" t="n">
        <v>0.0875</v>
      </c>
      <c r="K1071" s="0" t="s">
        <v>1374</v>
      </c>
      <c r="L1071" s="0" t="s">
        <v>1375</v>
      </c>
    </row>
    <row r="1072" customFormat="false" ht="15" hidden="false" customHeight="false" outlineLevel="0" collapsed="false">
      <c r="A1072" s="0" t="n">
        <v>93</v>
      </c>
      <c r="B1072" s="0" t="s">
        <v>1081</v>
      </c>
      <c r="D1072" s="0" t="s">
        <v>1291</v>
      </c>
      <c r="E1072" s="0" t="s">
        <v>64</v>
      </c>
      <c r="F1072" s="0" t="s">
        <v>27</v>
      </c>
      <c r="I1072" s="0" t="n">
        <v>500</v>
      </c>
      <c r="J1072" s="0" t="n">
        <v>0.125</v>
      </c>
      <c r="K1072" s="0" t="s">
        <v>1376</v>
      </c>
    </row>
    <row r="1073" customFormat="false" ht="15" hidden="false" customHeight="false" outlineLevel="0" collapsed="false">
      <c r="A1073" s="0" t="n">
        <v>93</v>
      </c>
      <c r="B1073" s="0" t="s">
        <v>1081</v>
      </c>
      <c r="D1073" s="0" t="s">
        <v>1291</v>
      </c>
      <c r="E1073" s="0" t="s">
        <v>68</v>
      </c>
      <c r="F1073" s="0" t="s">
        <v>30</v>
      </c>
      <c r="I1073" s="0" t="n">
        <v>3700</v>
      </c>
      <c r="J1073" s="0" t="n">
        <v>0.925</v>
      </c>
      <c r="K1073" s="0" t="s">
        <v>1377</v>
      </c>
    </row>
    <row r="1074" customFormat="false" ht="15" hidden="false" customHeight="false" outlineLevel="0" collapsed="false">
      <c r="A1074" s="0" t="n">
        <v>94</v>
      </c>
      <c r="B1074" s="0" t="s">
        <v>1081</v>
      </c>
      <c r="D1074" s="0" t="s">
        <v>1291</v>
      </c>
      <c r="E1074" s="0" t="s">
        <v>53</v>
      </c>
      <c r="F1074" s="0" t="s">
        <v>27</v>
      </c>
      <c r="G1074" s="0" t="n">
        <v>1.5</v>
      </c>
      <c r="H1074" s="0" t="n">
        <v>5.31</v>
      </c>
      <c r="I1074" s="0" t="n">
        <v>31860</v>
      </c>
      <c r="J1074" s="0" t="n">
        <v>7.965</v>
      </c>
      <c r="K1074" s="0" t="s">
        <v>1378</v>
      </c>
      <c r="L1074" s="0" t="s">
        <v>1293</v>
      </c>
    </row>
    <row r="1075" customFormat="false" ht="15" hidden="false" customHeight="false" outlineLevel="0" collapsed="false">
      <c r="A1075" s="0" t="n">
        <v>94</v>
      </c>
      <c r="B1075" s="0" t="s">
        <v>1081</v>
      </c>
      <c r="D1075" s="0" t="s">
        <v>1291</v>
      </c>
      <c r="E1075" s="0" t="s">
        <v>56</v>
      </c>
      <c r="F1075" s="0" t="s">
        <v>28</v>
      </c>
      <c r="I1075" s="0" t="n">
        <v>700</v>
      </c>
      <c r="J1075" s="0" t="n">
        <v>0.175</v>
      </c>
      <c r="K1075" s="0" t="s">
        <v>1379</v>
      </c>
    </row>
    <row r="1076" customFormat="false" ht="15" hidden="false" customHeight="false" outlineLevel="0" collapsed="false">
      <c r="A1076" s="0" t="n">
        <v>94</v>
      </c>
      <c r="B1076" s="0" t="s">
        <v>1081</v>
      </c>
      <c r="D1076" s="0" t="s">
        <v>1291</v>
      </c>
      <c r="E1076" s="0" t="s">
        <v>58</v>
      </c>
      <c r="F1076" s="0" t="s">
        <v>28</v>
      </c>
      <c r="I1076" s="0" t="n">
        <v>2500</v>
      </c>
      <c r="J1076" s="0" t="n">
        <v>0.625</v>
      </c>
      <c r="K1076" s="0" t="s">
        <v>1380</v>
      </c>
    </row>
    <row r="1077" customFormat="false" ht="15" hidden="false" customHeight="false" outlineLevel="0" collapsed="false">
      <c r="A1077" s="0" t="n">
        <v>94</v>
      </c>
      <c r="B1077" s="0" t="s">
        <v>1081</v>
      </c>
      <c r="D1077" s="0" t="s">
        <v>1291</v>
      </c>
      <c r="E1077" s="0" t="s">
        <v>128</v>
      </c>
      <c r="F1077" s="0" t="s">
        <v>28</v>
      </c>
      <c r="I1077" s="0" t="n">
        <v>1000</v>
      </c>
      <c r="J1077" s="0" t="n">
        <v>0.25</v>
      </c>
      <c r="K1077" s="0" t="s">
        <v>1381</v>
      </c>
    </row>
    <row r="1078" customFormat="false" ht="15" hidden="false" customHeight="false" outlineLevel="0" collapsed="false">
      <c r="A1078" s="0" t="n">
        <v>94</v>
      </c>
      <c r="B1078" s="0" t="s">
        <v>1081</v>
      </c>
      <c r="D1078" s="0" t="s">
        <v>1291</v>
      </c>
      <c r="E1078" s="0" t="s">
        <v>130</v>
      </c>
      <c r="F1078" s="0" t="s">
        <v>29</v>
      </c>
      <c r="I1078" s="0" t="n">
        <v>1500</v>
      </c>
      <c r="J1078" s="0" t="n">
        <v>0.375</v>
      </c>
      <c r="K1078" s="0" t="s">
        <v>1382</v>
      </c>
    </row>
    <row r="1079" customFormat="false" ht="15" hidden="false" customHeight="false" outlineLevel="0" collapsed="false">
      <c r="A1079" s="0" t="n">
        <v>94</v>
      </c>
      <c r="B1079" s="0" t="s">
        <v>1081</v>
      </c>
      <c r="D1079" s="0" t="s">
        <v>1291</v>
      </c>
      <c r="E1079" s="0" t="s">
        <v>158</v>
      </c>
      <c r="F1079" s="0" t="s">
        <v>28</v>
      </c>
      <c r="I1079" s="0" t="n">
        <v>1000</v>
      </c>
      <c r="J1079" s="0" t="n">
        <v>0.25</v>
      </c>
      <c r="K1079" s="0" t="s">
        <v>1383</v>
      </c>
    </row>
    <row r="1080" customFormat="false" ht="15" hidden="false" customHeight="false" outlineLevel="0" collapsed="false">
      <c r="A1080" s="0" t="n">
        <v>94</v>
      </c>
      <c r="B1080" s="0" t="s">
        <v>1081</v>
      </c>
      <c r="D1080" s="0" t="s">
        <v>1291</v>
      </c>
      <c r="E1080" s="0" t="s">
        <v>132</v>
      </c>
      <c r="F1080" s="0" t="s">
        <v>29</v>
      </c>
      <c r="I1080" s="0" t="n">
        <v>200</v>
      </c>
      <c r="J1080" s="0" t="n">
        <v>0.05</v>
      </c>
      <c r="K1080" s="0" t="s">
        <v>1384</v>
      </c>
    </row>
    <row r="1081" customFormat="false" ht="15" hidden="false" customHeight="false" outlineLevel="0" collapsed="false">
      <c r="A1081" s="0" t="n">
        <v>94</v>
      </c>
      <c r="B1081" s="0" t="s">
        <v>1081</v>
      </c>
      <c r="D1081" s="0" t="s">
        <v>1291</v>
      </c>
      <c r="E1081" s="0" t="s">
        <v>134</v>
      </c>
      <c r="F1081" s="0" t="s">
        <v>28</v>
      </c>
      <c r="I1081" s="0" t="n">
        <v>200</v>
      </c>
      <c r="J1081" s="0" t="n">
        <v>0.05</v>
      </c>
      <c r="K1081" s="0" t="s">
        <v>1385</v>
      </c>
    </row>
    <row r="1082" customFormat="false" ht="15" hidden="false" customHeight="false" outlineLevel="0" collapsed="false">
      <c r="A1082" s="0" t="n">
        <v>94</v>
      </c>
      <c r="B1082" s="0" t="s">
        <v>1081</v>
      </c>
      <c r="D1082" s="0" t="s">
        <v>1291</v>
      </c>
      <c r="E1082" s="0" t="s">
        <v>60</v>
      </c>
      <c r="F1082" s="0" t="s">
        <v>27</v>
      </c>
      <c r="I1082" s="0" t="n">
        <v>200</v>
      </c>
      <c r="J1082" s="0" t="n">
        <v>0.05</v>
      </c>
      <c r="K1082" s="0" t="s">
        <v>1386</v>
      </c>
    </row>
    <row r="1083" customFormat="false" ht="15" hidden="false" customHeight="false" outlineLevel="0" collapsed="false">
      <c r="A1083" s="0" t="n">
        <v>94</v>
      </c>
      <c r="B1083" s="0" t="s">
        <v>1081</v>
      </c>
      <c r="D1083" s="0" t="s">
        <v>1291</v>
      </c>
      <c r="E1083" s="0" t="s">
        <v>62</v>
      </c>
      <c r="F1083" s="0" t="s">
        <v>27</v>
      </c>
      <c r="I1083" s="0" t="n">
        <v>100</v>
      </c>
      <c r="J1083" s="0" t="n">
        <v>0.025</v>
      </c>
      <c r="K1083" s="0" t="s">
        <v>1387</v>
      </c>
    </row>
    <row r="1084" customFormat="false" ht="15" hidden="false" customHeight="false" outlineLevel="0" collapsed="false">
      <c r="A1084" s="0" t="n">
        <v>94</v>
      </c>
      <c r="B1084" s="0" t="s">
        <v>1081</v>
      </c>
      <c r="D1084" s="0" t="s">
        <v>1291</v>
      </c>
      <c r="E1084" s="0" t="s">
        <v>66</v>
      </c>
      <c r="F1084" s="0" t="s">
        <v>27</v>
      </c>
      <c r="I1084" s="0" t="n">
        <v>350</v>
      </c>
      <c r="J1084" s="0" t="n">
        <v>0.0875</v>
      </c>
      <c r="K1084" s="0" t="s">
        <v>1388</v>
      </c>
    </row>
    <row r="1085" customFormat="false" ht="15" hidden="false" customHeight="false" outlineLevel="0" collapsed="false">
      <c r="A1085" s="0" t="n">
        <v>94</v>
      </c>
      <c r="B1085" s="0" t="s">
        <v>1081</v>
      </c>
      <c r="D1085" s="0" t="s">
        <v>1291</v>
      </c>
      <c r="E1085" s="0" t="s">
        <v>64</v>
      </c>
      <c r="F1085" s="0" t="s">
        <v>27</v>
      </c>
      <c r="I1085" s="0" t="n">
        <v>750</v>
      </c>
      <c r="J1085" s="0" t="n">
        <v>0.1875</v>
      </c>
      <c r="K1085" s="0" t="s">
        <v>1389</v>
      </c>
    </row>
    <row r="1086" customFormat="false" ht="15" hidden="false" customHeight="false" outlineLevel="0" collapsed="false">
      <c r="A1086" s="0" t="n">
        <v>94</v>
      </c>
      <c r="B1086" s="0" t="s">
        <v>1081</v>
      </c>
      <c r="D1086" s="0" t="s">
        <v>1291</v>
      </c>
      <c r="E1086" s="0" t="s">
        <v>68</v>
      </c>
      <c r="F1086" s="0" t="s">
        <v>30</v>
      </c>
      <c r="I1086" s="0" t="n">
        <v>4000</v>
      </c>
      <c r="J1086" s="0" t="n">
        <v>1</v>
      </c>
      <c r="K1086" s="0" t="s">
        <v>1390</v>
      </c>
    </row>
    <row r="1087" customFormat="false" ht="15" hidden="false" customHeight="false" outlineLevel="0" collapsed="false">
      <c r="A1087" s="0" t="n">
        <v>95</v>
      </c>
      <c r="B1087" s="0" t="s">
        <v>1081</v>
      </c>
      <c r="D1087" s="0" t="s">
        <v>1291</v>
      </c>
      <c r="E1087" s="0" t="s">
        <v>53</v>
      </c>
      <c r="F1087" s="0" t="s">
        <v>27</v>
      </c>
      <c r="G1087" s="0" t="n">
        <v>1.5</v>
      </c>
      <c r="H1087" s="0" t="n">
        <v>2</v>
      </c>
      <c r="I1087" s="0" t="n">
        <v>12000</v>
      </c>
      <c r="J1087" s="0" t="n">
        <v>3</v>
      </c>
      <c r="K1087" s="0" t="s">
        <v>1391</v>
      </c>
      <c r="L1087" s="0" t="s">
        <v>1364</v>
      </c>
    </row>
    <row r="1088" customFormat="false" ht="15" hidden="false" customHeight="false" outlineLevel="0" collapsed="false">
      <c r="A1088" s="0" t="n">
        <v>95</v>
      </c>
      <c r="B1088" s="0" t="s">
        <v>1081</v>
      </c>
      <c r="D1088" s="0" t="s">
        <v>1291</v>
      </c>
      <c r="E1088" s="0" t="s">
        <v>56</v>
      </c>
      <c r="F1088" s="0" t="s">
        <v>28</v>
      </c>
      <c r="I1088" s="0" t="n">
        <v>700</v>
      </c>
      <c r="J1088" s="0" t="n">
        <v>0.175</v>
      </c>
      <c r="K1088" s="0" t="s">
        <v>1392</v>
      </c>
    </row>
    <row r="1089" customFormat="false" ht="15" hidden="false" customHeight="false" outlineLevel="0" collapsed="false">
      <c r="A1089" s="0" t="n">
        <v>95</v>
      </c>
      <c r="B1089" s="0" t="s">
        <v>1081</v>
      </c>
      <c r="D1089" s="0" t="s">
        <v>1291</v>
      </c>
      <c r="E1089" s="0" t="s">
        <v>58</v>
      </c>
      <c r="F1089" s="0" t="s">
        <v>28</v>
      </c>
      <c r="I1089" s="0" t="n">
        <v>3500</v>
      </c>
      <c r="J1089" s="0" t="n">
        <v>0.875</v>
      </c>
      <c r="K1089" s="0" t="s">
        <v>1393</v>
      </c>
    </row>
    <row r="1090" customFormat="false" ht="15" hidden="false" customHeight="false" outlineLevel="0" collapsed="false">
      <c r="A1090" s="0" t="n">
        <v>95</v>
      </c>
      <c r="B1090" s="0" t="s">
        <v>1081</v>
      </c>
      <c r="D1090" s="0" t="s">
        <v>1291</v>
      </c>
      <c r="E1090" s="0" t="s">
        <v>1184</v>
      </c>
      <c r="F1090" s="0" t="s">
        <v>31</v>
      </c>
      <c r="G1090" s="0" t="n">
        <v>1.5</v>
      </c>
      <c r="H1090" s="0" t="n">
        <v>11000</v>
      </c>
      <c r="I1090" s="0" t="n">
        <v>16500</v>
      </c>
      <c r="J1090" s="0" t="n">
        <v>4.125</v>
      </c>
      <c r="K1090" s="0" t="s">
        <v>1394</v>
      </c>
      <c r="L1090" s="0" t="s">
        <v>1395</v>
      </c>
    </row>
    <row r="1091" customFormat="false" ht="15" hidden="false" customHeight="false" outlineLevel="0" collapsed="false">
      <c r="A1091" s="0" t="n">
        <v>95</v>
      </c>
      <c r="B1091" s="0" t="s">
        <v>1081</v>
      </c>
      <c r="D1091" s="0" t="s">
        <v>1291</v>
      </c>
      <c r="E1091" s="0" t="s">
        <v>128</v>
      </c>
      <c r="F1091" s="0" t="s">
        <v>28</v>
      </c>
      <c r="I1091" s="0" t="n">
        <v>2000</v>
      </c>
      <c r="J1091" s="0" t="n">
        <v>0.5</v>
      </c>
      <c r="K1091" s="0" t="s">
        <v>1396</v>
      </c>
    </row>
    <row r="1092" customFormat="false" ht="15" hidden="false" customHeight="false" outlineLevel="0" collapsed="false">
      <c r="A1092" s="0" t="n">
        <v>95</v>
      </c>
      <c r="B1092" s="0" t="s">
        <v>1081</v>
      </c>
      <c r="D1092" s="0" t="s">
        <v>1291</v>
      </c>
      <c r="E1092" s="0" t="s">
        <v>203</v>
      </c>
      <c r="F1092" s="0" t="s">
        <v>29</v>
      </c>
      <c r="I1092" s="0" t="n">
        <v>0</v>
      </c>
      <c r="J1092" s="0" t="n">
        <v>0</v>
      </c>
      <c r="K1092" s="0" t="s">
        <v>1397</v>
      </c>
    </row>
    <row r="1093" customFormat="false" ht="15" hidden="false" customHeight="false" outlineLevel="0" collapsed="false">
      <c r="A1093" s="0" t="n">
        <v>95</v>
      </c>
      <c r="B1093" s="0" t="s">
        <v>1081</v>
      </c>
      <c r="D1093" s="0" t="s">
        <v>1291</v>
      </c>
      <c r="E1093" s="0" t="s">
        <v>158</v>
      </c>
      <c r="F1093" s="0" t="s">
        <v>28</v>
      </c>
      <c r="I1093" s="0" t="n">
        <v>2000</v>
      </c>
      <c r="J1093" s="0" t="n">
        <v>0.5</v>
      </c>
      <c r="K1093" s="0" t="s">
        <v>1398</v>
      </c>
    </row>
    <row r="1094" customFormat="false" ht="15" hidden="false" customHeight="false" outlineLevel="0" collapsed="false">
      <c r="A1094" s="0" t="n">
        <v>95</v>
      </c>
      <c r="B1094" s="0" t="s">
        <v>1081</v>
      </c>
      <c r="D1094" s="0" t="s">
        <v>1291</v>
      </c>
      <c r="E1094" s="0" t="s">
        <v>132</v>
      </c>
      <c r="F1094" s="0" t="s">
        <v>29</v>
      </c>
      <c r="I1094" s="0" t="n">
        <v>0</v>
      </c>
      <c r="J1094" s="0" t="n">
        <v>0</v>
      </c>
      <c r="K1094" s="0" t="s">
        <v>1399</v>
      </c>
    </row>
    <row r="1095" customFormat="false" ht="15" hidden="false" customHeight="false" outlineLevel="0" collapsed="false">
      <c r="A1095" s="0" t="n">
        <v>95</v>
      </c>
      <c r="B1095" s="0" t="s">
        <v>1081</v>
      </c>
      <c r="D1095" s="0" t="s">
        <v>1291</v>
      </c>
      <c r="E1095" s="0" t="s">
        <v>134</v>
      </c>
      <c r="F1095" s="0" t="s">
        <v>28</v>
      </c>
      <c r="I1095" s="0" t="n">
        <v>0</v>
      </c>
      <c r="J1095" s="0" t="n">
        <v>0</v>
      </c>
      <c r="K1095" s="0" t="s">
        <v>1400</v>
      </c>
    </row>
    <row r="1096" customFormat="false" ht="15" hidden="false" customHeight="false" outlineLevel="0" collapsed="false">
      <c r="A1096" s="0" t="n">
        <v>95</v>
      </c>
      <c r="B1096" s="0" t="s">
        <v>1081</v>
      </c>
      <c r="D1096" s="0" t="s">
        <v>1291</v>
      </c>
      <c r="E1096" s="0" t="s">
        <v>60</v>
      </c>
      <c r="F1096" s="0" t="s">
        <v>27</v>
      </c>
      <c r="I1096" s="0" t="n">
        <v>200</v>
      </c>
      <c r="J1096" s="0" t="n">
        <v>0.05</v>
      </c>
      <c r="K1096" s="0" t="s">
        <v>1401</v>
      </c>
    </row>
    <row r="1097" customFormat="false" ht="15" hidden="false" customHeight="false" outlineLevel="0" collapsed="false">
      <c r="A1097" s="0" t="n">
        <v>95</v>
      </c>
      <c r="B1097" s="0" t="s">
        <v>1081</v>
      </c>
      <c r="D1097" s="0" t="s">
        <v>1291</v>
      </c>
      <c r="E1097" s="0" t="s">
        <v>62</v>
      </c>
      <c r="F1097" s="0" t="s">
        <v>27</v>
      </c>
      <c r="I1097" s="0" t="n">
        <v>100</v>
      </c>
      <c r="J1097" s="0" t="n">
        <v>0.025</v>
      </c>
      <c r="K1097" s="0" t="s">
        <v>1402</v>
      </c>
    </row>
    <row r="1098" customFormat="false" ht="15" hidden="false" customHeight="false" outlineLevel="0" collapsed="false">
      <c r="A1098" s="0" t="n">
        <v>95</v>
      </c>
      <c r="B1098" s="0" t="s">
        <v>1081</v>
      </c>
      <c r="D1098" s="0" t="s">
        <v>1291</v>
      </c>
      <c r="E1098" s="0" t="s">
        <v>66</v>
      </c>
      <c r="F1098" s="0" t="s">
        <v>27</v>
      </c>
      <c r="I1098" s="0" t="n">
        <v>250</v>
      </c>
      <c r="J1098" s="0" t="n">
        <v>0.0625</v>
      </c>
      <c r="K1098" s="0" t="s">
        <v>1403</v>
      </c>
    </row>
    <row r="1099" customFormat="false" ht="15" hidden="false" customHeight="false" outlineLevel="0" collapsed="false">
      <c r="A1099" s="0" t="n">
        <v>95</v>
      </c>
      <c r="B1099" s="0" t="s">
        <v>1081</v>
      </c>
      <c r="D1099" s="0" t="s">
        <v>1291</v>
      </c>
      <c r="E1099" s="0" t="s">
        <v>64</v>
      </c>
      <c r="F1099" s="0" t="s">
        <v>27</v>
      </c>
      <c r="I1099" s="0" t="n">
        <v>50</v>
      </c>
      <c r="J1099" s="0" t="n">
        <v>0.0125</v>
      </c>
      <c r="K1099" s="0" t="s">
        <v>1404</v>
      </c>
    </row>
    <row r="1100" customFormat="false" ht="15" hidden="false" customHeight="false" outlineLevel="0" collapsed="false">
      <c r="A1100" s="0" t="n">
        <v>95</v>
      </c>
      <c r="B1100" s="0" t="s">
        <v>1081</v>
      </c>
      <c r="D1100" s="0" t="s">
        <v>1291</v>
      </c>
      <c r="E1100" s="0" t="s">
        <v>68</v>
      </c>
      <c r="F1100" s="0" t="s">
        <v>30</v>
      </c>
      <c r="I1100" s="0" t="n">
        <v>3700</v>
      </c>
      <c r="J1100" s="0" t="n">
        <v>0.925</v>
      </c>
      <c r="K1100" s="0" t="s">
        <v>1405</v>
      </c>
    </row>
    <row r="1101" customFormat="false" ht="15" hidden="false" customHeight="false" outlineLevel="0" collapsed="false">
      <c r="A1101" s="0" t="n">
        <v>96</v>
      </c>
      <c r="B1101" s="0" t="s">
        <v>1406</v>
      </c>
      <c r="D1101" s="0" t="s">
        <v>1407</v>
      </c>
      <c r="E1101" s="0" t="s">
        <v>53</v>
      </c>
      <c r="F1101" s="0" t="s">
        <v>27</v>
      </c>
      <c r="G1101" s="0" t="n">
        <v>1.4</v>
      </c>
      <c r="H1101" s="0" t="n">
        <v>2</v>
      </c>
      <c r="I1101" s="0" t="n">
        <v>10640</v>
      </c>
      <c r="J1101" s="0" t="n">
        <v>2.8</v>
      </c>
      <c r="K1101" s="0" t="s">
        <v>1408</v>
      </c>
      <c r="L1101" s="0" t="s">
        <v>1409</v>
      </c>
    </row>
    <row r="1102" customFormat="false" ht="15" hidden="false" customHeight="false" outlineLevel="0" collapsed="false">
      <c r="A1102" s="0" t="n">
        <v>96</v>
      </c>
      <c r="B1102" s="0" t="s">
        <v>1406</v>
      </c>
      <c r="D1102" s="0" t="s">
        <v>1407</v>
      </c>
      <c r="E1102" s="0" t="s">
        <v>56</v>
      </c>
      <c r="F1102" s="0" t="s">
        <v>28</v>
      </c>
      <c r="I1102" s="0" t="n">
        <v>700</v>
      </c>
      <c r="J1102" s="0" t="n">
        <v>0.18421052631579</v>
      </c>
      <c r="K1102" s="0" t="s">
        <v>1410</v>
      </c>
    </row>
    <row r="1103" customFormat="false" ht="15" hidden="false" customHeight="false" outlineLevel="0" collapsed="false">
      <c r="A1103" s="0" t="n">
        <v>96</v>
      </c>
      <c r="B1103" s="0" t="s">
        <v>1406</v>
      </c>
      <c r="D1103" s="0" t="s">
        <v>1407</v>
      </c>
      <c r="E1103" s="0" t="s">
        <v>58</v>
      </c>
      <c r="F1103" s="0" t="s">
        <v>28</v>
      </c>
      <c r="I1103" s="0" t="n">
        <v>3000</v>
      </c>
      <c r="J1103" s="0" t="n">
        <v>0.789473684210526</v>
      </c>
      <c r="K1103" s="0" t="s">
        <v>1411</v>
      </c>
    </row>
    <row r="1104" customFormat="false" ht="15" hidden="false" customHeight="false" outlineLevel="0" collapsed="false">
      <c r="A1104" s="0" t="n">
        <v>96</v>
      </c>
      <c r="B1104" s="0" t="s">
        <v>1406</v>
      </c>
      <c r="D1104" s="0" t="s">
        <v>1407</v>
      </c>
      <c r="E1104" s="0" t="s">
        <v>379</v>
      </c>
      <c r="F1104" s="0" t="s">
        <v>29</v>
      </c>
      <c r="G1104" s="0" t="n">
        <v>15000</v>
      </c>
      <c r="H1104" s="0" t="n">
        <v>1.4</v>
      </c>
      <c r="I1104" s="0" t="n">
        <v>21000</v>
      </c>
      <c r="J1104" s="0" t="n">
        <v>5.52631578947368</v>
      </c>
      <c r="K1104" s="0" t="s">
        <v>1412</v>
      </c>
      <c r="L1104" s="0" t="s">
        <v>1413</v>
      </c>
    </row>
    <row r="1105" customFormat="false" ht="15" hidden="false" customHeight="false" outlineLevel="0" collapsed="false">
      <c r="A1105" s="0" t="n">
        <v>96</v>
      </c>
      <c r="B1105" s="0" t="s">
        <v>1406</v>
      </c>
      <c r="D1105" s="0" t="s">
        <v>1407</v>
      </c>
      <c r="E1105" s="0" t="s">
        <v>1414</v>
      </c>
      <c r="F1105" s="0" t="s">
        <v>31</v>
      </c>
      <c r="I1105" s="0" t="n">
        <v>8000</v>
      </c>
      <c r="J1105" s="0" t="n">
        <v>2.10526315789474</v>
      </c>
      <c r="K1105" s="0" t="s">
        <v>1415</v>
      </c>
    </row>
    <row r="1106" customFormat="false" ht="15" hidden="false" customHeight="false" outlineLevel="0" collapsed="false">
      <c r="A1106" s="0" t="n">
        <v>96</v>
      </c>
      <c r="B1106" s="0" t="s">
        <v>1406</v>
      </c>
      <c r="D1106" s="0" t="s">
        <v>1407</v>
      </c>
      <c r="E1106" s="0" t="s">
        <v>60</v>
      </c>
      <c r="F1106" s="0" t="s">
        <v>27</v>
      </c>
      <c r="I1106" s="0" t="n">
        <v>250</v>
      </c>
      <c r="J1106" s="0" t="n">
        <v>0.0657894736842105</v>
      </c>
      <c r="K1106" s="0" t="s">
        <v>1416</v>
      </c>
    </row>
    <row r="1107" customFormat="false" ht="15" hidden="false" customHeight="false" outlineLevel="0" collapsed="false">
      <c r="A1107" s="0" t="n">
        <v>96</v>
      </c>
      <c r="B1107" s="0" t="s">
        <v>1406</v>
      </c>
      <c r="D1107" s="0" t="s">
        <v>1407</v>
      </c>
      <c r="E1107" s="0" t="s">
        <v>62</v>
      </c>
      <c r="F1107" s="0" t="s">
        <v>27</v>
      </c>
      <c r="I1107" s="0" t="n">
        <v>100</v>
      </c>
      <c r="J1107" s="0" t="n">
        <v>0.0263157894736842</v>
      </c>
      <c r="K1107" s="0" t="s">
        <v>1417</v>
      </c>
    </row>
    <row r="1108" customFormat="false" ht="15" hidden="false" customHeight="false" outlineLevel="0" collapsed="false">
      <c r="A1108" s="0" t="n">
        <v>96</v>
      </c>
      <c r="B1108" s="0" t="s">
        <v>1406</v>
      </c>
      <c r="D1108" s="0" t="s">
        <v>1407</v>
      </c>
      <c r="E1108" s="0" t="s">
        <v>66</v>
      </c>
      <c r="F1108" s="0" t="s">
        <v>27</v>
      </c>
      <c r="I1108" s="0" t="n">
        <v>350</v>
      </c>
      <c r="J1108" s="0" t="n">
        <v>0.0921052631578947</v>
      </c>
      <c r="K1108" s="0" t="s">
        <v>1418</v>
      </c>
    </row>
    <row r="1109" customFormat="false" ht="15" hidden="false" customHeight="false" outlineLevel="0" collapsed="false">
      <c r="A1109" s="0" t="n">
        <v>96</v>
      </c>
      <c r="B1109" s="0" t="s">
        <v>1406</v>
      </c>
      <c r="D1109" s="0" t="s">
        <v>1407</v>
      </c>
      <c r="E1109" s="0" t="s">
        <v>64</v>
      </c>
      <c r="F1109" s="0" t="s">
        <v>27</v>
      </c>
      <c r="I1109" s="0" t="n">
        <v>750</v>
      </c>
      <c r="J1109" s="0" t="n">
        <v>0.197368421052632</v>
      </c>
      <c r="K1109" s="0" t="s">
        <v>1419</v>
      </c>
    </row>
    <row r="1110" customFormat="false" ht="15" hidden="false" customHeight="false" outlineLevel="0" collapsed="false">
      <c r="A1110" s="0" t="n">
        <v>96</v>
      </c>
      <c r="B1110" s="0" t="s">
        <v>1406</v>
      </c>
      <c r="D1110" s="0" t="s">
        <v>1407</v>
      </c>
      <c r="E1110" s="0" t="s">
        <v>68</v>
      </c>
      <c r="F1110" s="0" t="s">
        <v>30</v>
      </c>
      <c r="I1110" s="0" t="n">
        <v>3700</v>
      </c>
      <c r="J1110" s="0" t="n">
        <v>0.973684210526316</v>
      </c>
      <c r="K1110" s="0" t="s">
        <v>1420</v>
      </c>
    </row>
    <row r="1111" customFormat="false" ht="15" hidden="false" customHeight="false" outlineLevel="0" collapsed="false">
      <c r="A1111" s="0" t="n">
        <v>97</v>
      </c>
      <c r="B1111" s="0" t="s">
        <v>1421</v>
      </c>
      <c r="D1111" s="0" t="s">
        <v>1407</v>
      </c>
      <c r="E1111" s="0" t="s">
        <v>53</v>
      </c>
      <c r="F1111" s="0" t="s">
        <v>27</v>
      </c>
      <c r="G1111" s="0" t="n">
        <v>0.55</v>
      </c>
      <c r="H1111" s="0" t="n">
        <v>1.8</v>
      </c>
      <c r="I1111" s="0" t="n">
        <v>3762</v>
      </c>
      <c r="J1111" s="0" t="n">
        <v>0.99</v>
      </c>
      <c r="K1111" s="0" t="s">
        <v>1422</v>
      </c>
      <c r="L1111" s="0" t="s">
        <v>1423</v>
      </c>
    </row>
    <row r="1112" customFormat="false" ht="15" hidden="false" customHeight="false" outlineLevel="0" collapsed="false">
      <c r="A1112" s="0" t="n">
        <v>97</v>
      </c>
      <c r="B1112" s="0" t="s">
        <v>1421</v>
      </c>
      <c r="D1112" s="0" t="s">
        <v>1407</v>
      </c>
      <c r="E1112" s="0" t="s">
        <v>56</v>
      </c>
      <c r="F1112" s="0" t="s">
        <v>28</v>
      </c>
      <c r="I1112" s="0" t="n">
        <v>500</v>
      </c>
      <c r="J1112" s="0" t="n">
        <v>0.131578947368421</v>
      </c>
      <c r="K1112" s="0" t="s">
        <v>1424</v>
      </c>
    </row>
    <row r="1113" customFormat="false" ht="15" hidden="false" customHeight="false" outlineLevel="0" collapsed="false">
      <c r="A1113" s="0" t="n">
        <v>97</v>
      </c>
      <c r="B1113" s="0" t="s">
        <v>1421</v>
      </c>
      <c r="D1113" s="0" t="s">
        <v>1407</v>
      </c>
      <c r="E1113" s="0" t="s">
        <v>58</v>
      </c>
      <c r="F1113" s="0" t="s">
        <v>28</v>
      </c>
      <c r="I1113" s="0" t="n">
        <v>2000</v>
      </c>
      <c r="J1113" s="0" t="n">
        <v>0.526315789473684</v>
      </c>
      <c r="K1113" s="0" t="s">
        <v>1425</v>
      </c>
    </row>
    <row r="1114" customFormat="false" ht="15" hidden="false" customHeight="false" outlineLevel="0" collapsed="false">
      <c r="A1114" s="0" t="n">
        <v>97</v>
      </c>
      <c r="B1114" s="0" t="s">
        <v>1421</v>
      </c>
      <c r="D1114" s="0" t="s">
        <v>1407</v>
      </c>
      <c r="E1114" s="0" t="s">
        <v>1426</v>
      </c>
      <c r="F1114" s="0" t="s">
        <v>31</v>
      </c>
      <c r="I1114" s="0" t="n">
        <v>800</v>
      </c>
      <c r="J1114" s="0" t="n">
        <v>0.210526315789474</v>
      </c>
      <c r="K1114" s="0" t="s">
        <v>1427</v>
      </c>
    </row>
    <row r="1115" customFormat="false" ht="15" hidden="false" customHeight="false" outlineLevel="0" collapsed="false">
      <c r="A1115" s="0" t="n">
        <v>97</v>
      </c>
      <c r="B1115" s="0" t="s">
        <v>1421</v>
      </c>
      <c r="D1115" s="0" t="s">
        <v>1407</v>
      </c>
      <c r="E1115" s="0" t="s">
        <v>1428</v>
      </c>
      <c r="F1115" s="0" t="s">
        <v>27</v>
      </c>
      <c r="I1115" s="0" t="n">
        <v>800</v>
      </c>
      <c r="J1115" s="0" t="n">
        <v>0.210526315789474</v>
      </c>
      <c r="K1115" s="0" t="s">
        <v>1429</v>
      </c>
    </row>
    <row r="1116" customFormat="false" ht="15" hidden="false" customHeight="false" outlineLevel="0" collapsed="false">
      <c r="A1116" s="0" t="n">
        <v>97</v>
      </c>
      <c r="B1116" s="0" t="s">
        <v>1421</v>
      </c>
      <c r="D1116" s="0" t="s">
        <v>1407</v>
      </c>
      <c r="E1116" s="0" t="s">
        <v>128</v>
      </c>
      <c r="F1116" s="0" t="s">
        <v>28</v>
      </c>
      <c r="I1116" s="0" t="n">
        <v>0</v>
      </c>
      <c r="J1116" s="0" t="n">
        <v>0</v>
      </c>
      <c r="K1116" s="0" t="s">
        <v>1430</v>
      </c>
    </row>
    <row r="1117" customFormat="false" ht="15" hidden="false" customHeight="false" outlineLevel="0" collapsed="false">
      <c r="A1117" s="0" t="n">
        <v>97</v>
      </c>
      <c r="B1117" s="0" t="s">
        <v>1421</v>
      </c>
      <c r="D1117" s="0" t="s">
        <v>1407</v>
      </c>
      <c r="E1117" s="0" t="s">
        <v>158</v>
      </c>
      <c r="F1117" s="0" t="s">
        <v>28</v>
      </c>
      <c r="I1117" s="0" t="n">
        <v>0</v>
      </c>
      <c r="J1117" s="0" t="n">
        <v>0</v>
      </c>
      <c r="K1117" s="0" t="s">
        <v>1431</v>
      </c>
    </row>
    <row r="1118" customFormat="false" ht="15" hidden="false" customHeight="false" outlineLevel="0" collapsed="false">
      <c r="A1118" s="0" t="n">
        <v>97</v>
      </c>
      <c r="B1118" s="0" t="s">
        <v>1421</v>
      </c>
      <c r="D1118" s="0" t="s">
        <v>1407</v>
      </c>
      <c r="E1118" s="0" t="s">
        <v>132</v>
      </c>
      <c r="F1118" s="0" t="s">
        <v>29</v>
      </c>
      <c r="I1118" s="0" t="n">
        <v>0</v>
      </c>
      <c r="J1118" s="0" t="n">
        <v>0</v>
      </c>
      <c r="K1118" s="0" t="s">
        <v>1432</v>
      </c>
    </row>
    <row r="1119" customFormat="false" ht="15" hidden="false" customHeight="false" outlineLevel="0" collapsed="false">
      <c r="A1119" s="0" t="n">
        <v>97</v>
      </c>
      <c r="B1119" s="0" t="s">
        <v>1421</v>
      </c>
      <c r="D1119" s="0" t="s">
        <v>1407</v>
      </c>
      <c r="E1119" s="0" t="s">
        <v>134</v>
      </c>
      <c r="F1119" s="0" t="s">
        <v>28</v>
      </c>
      <c r="I1119" s="0" t="n">
        <v>0</v>
      </c>
      <c r="J1119" s="0" t="n">
        <v>0</v>
      </c>
      <c r="K1119" s="0" t="s">
        <v>1433</v>
      </c>
    </row>
    <row r="1120" customFormat="false" ht="15" hidden="false" customHeight="false" outlineLevel="0" collapsed="false">
      <c r="A1120" s="0" t="n">
        <v>97</v>
      </c>
      <c r="B1120" s="0" t="s">
        <v>1421</v>
      </c>
      <c r="D1120" s="0" t="s">
        <v>1407</v>
      </c>
      <c r="E1120" s="0" t="s">
        <v>60</v>
      </c>
      <c r="F1120" s="0" t="s">
        <v>27</v>
      </c>
      <c r="I1120" s="0" t="n">
        <v>250</v>
      </c>
      <c r="J1120" s="0" t="n">
        <v>0.0657894736842105</v>
      </c>
      <c r="K1120" s="0" t="s">
        <v>1434</v>
      </c>
    </row>
    <row r="1121" customFormat="false" ht="15" hidden="false" customHeight="false" outlineLevel="0" collapsed="false">
      <c r="A1121" s="0" t="n">
        <v>97</v>
      </c>
      <c r="B1121" s="0" t="s">
        <v>1421</v>
      </c>
      <c r="D1121" s="0" t="s">
        <v>1407</v>
      </c>
      <c r="E1121" s="0" t="s">
        <v>62</v>
      </c>
      <c r="F1121" s="0" t="s">
        <v>27</v>
      </c>
      <c r="I1121" s="0" t="n">
        <v>100</v>
      </c>
      <c r="J1121" s="0" t="n">
        <v>0.0263157894736842</v>
      </c>
      <c r="K1121" s="0" t="s">
        <v>1435</v>
      </c>
    </row>
    <row r="1122" customFormat="false" ht="15" hidden="false" customHeight="false" outlineLevel="0" collapsed="false">
      <c r="A1122" s="0" t="n">
        <v>97</v>
      </c>
      <c r="B1122" s="0" t="s">
        <v>1421</v>
      </c>
      <c r="D1122" s="0" t="s">
        <v>1407</v>
      </c>
      <c r="E1122" s="0" t="s">
        <v>66</v>
      </c>
      <c r="F1122" s="0" t="s">
        <v>27</v>
      </c>
      <c r="I1122" s="0" t="n">
        <v>350</v>
      </c>
      <c r="J1122" s="0" t="n">
        <v>0.0921052631578947</v>
      </c>
      <c r="K1122" s="0" t="s">
        <v>1436</v>
      </c>
    </row>
    <row r="1123" customFormat="false" ht="15" hidden="false" customHeight="false" outlineLevel="0" collapsed="false">
      <c r="A1123" s="0" t="n">
        <v>97</v>
      </c>
      <c r="B1123" s="0" t="s">
        <v>1421</v>
      </c>
      <c r="D1123" s="0" t="s">
        <v>1407</v>
      </c>
      <c r="E1123" s="0" t="s">
        <v>64</v>
      </c>
      <c r="F1123" s="0" t="s">
        <v>27</v>
      </c>
      <c r="I1123" s="0" t="n">
        <v>750</v>
      </c>
      <c r="J1123" s="0" t="n">
        <v>0.197368421052632</v>
      </c>
      <c r="K1123" s="0" t="s">
        <v>1437</v>
      </c>
    </row>
    <row r="1124" customFormat="false" ht="15" hidden="false" customHeight="false" outlineLevel="0" collapsed="false">
      <c r="A1124" s="0" t="n">
        <v>97</v>
      </c>
      <c r="B1124" s="0" t="s">
        <v>1421</v>
      </c>
      <c r="D1124" s="0" t="s">
        <v>1407</v>
      </c>
      <c r="E1124" s="0" t="s">
        <v>68</v>
      </c>
      <c r="F1124" s="0" t="s">
        <v>30</v>
      </c>
      <c r="I1124" s="0" t="n">
        <v>2000</v>
      </c>
      <c r="J1124" s="0" t="n">
        <v>0.526315789473684</v>
      </c>
      <c r="K1124" s="0" t="s">
        <v>1438</v>
      </c>
    </row>
    <row r="1125" customFormat="false" ht="15" hidden="false" customHeight="false" outlineLevel="0" collapsed="false">
      <c r="A1125" s="0" t="n">
        <v>98</v>
      </c>
      <c r="B1125" s="0" t="s">
        <v>1421</v>
      </c>
      <c r="C1125" s="0" t="s">
        <v>68</v>
      </c>
      <c r="D1125" s="0" t="s">
        <v>1439</v>
      </c>
      <c r="E1125" s="0" t="s">
        <v>53</v>
      </c>
      <c r="F1125" s="0" t="s">
        <v>27</v>
      </c>
      <c r="G1125" s="0" t="n">
        <v>0.6</v>
      </c>
      <c r="H1125" s="0" t="n">
        <v>6</v>
      </c>
      <c r="I1125" s="0" t="n">
        <v>6840</v>
      </c>
      <c r="J1125" s="0" t="n">
        <v>1.8</v>
      </c>
      <c r="K1125" s="0" t="s">
        <v>1440</v>
      </c>
      <c r="L1125" s="0" t="s">
        <v>1441</v>
      </c>
    </row>
    <row r="1126" customFormat="false" ht="15" hidden="false" customHeight="false" outlineLevel="0" collapsed="false">
      <c r="A1126" s="0" t="n">
        <v>98</v>
      </c>
      <c r="B1126" s="0" t="s">
        <v>1421</v>
      </c>
      <c r="C1126" s="0" t="s">
        <v>68</v>
      </c>
      <c r="D1126" s="0" t="s">
        <v>1439</v>
      </c>
      <c r="E1126" s="0" t="s">
        <v>56</v>
      </c>
      <c r="F1126" s="0" t="s">
        <v>28</v>
      </c>
      <c r="I1126" s="0" t="n">
        <v>700</v>
      </c>
      <c r="J1126" s="0" t="n">
        <v>0.18421052631579</v>
      </c>
      <c r="K1126" s="0" t="s">
        <v>1442</v>
      </c>
    </row>
    <row r="1127" customFormat="false" ht="15" hidden="false" customHeight="false" outlineLevel="0" collapsed="false">
      <c r="A1127" s="0" t="n">
        <v>98</v>
      </c>
      <c r="B1127" s="0" t="s">
        <v>1421</v>
      </c>
      <c r="C1127" s="0" t="s">
        <v>68</v>
      </c>
      <c r="D1127" s="0" t="s">
        <v>1439</v>
      </c>
      <c r="E1127" s="0" t="s">
        <v>58</v>
      </c>
      <c r="F1127" s="0" t="s">
        <v>28</v>
      </c>
      <c r="I1127" s="0" t="n">
        <v>2500</v>
      </c>
      <c r="J1127" s="0" t="n">
        <v>0.657894736842105</v>
      </c>
      <c r="K1127" s="0" t="s">
        <v>1443</v>
      </c>
    </row>
    <row r="1128" customFormat="false" ht="15" hidden="false" customHeight="false" outlineLevel="0" collapsed="false">
      <c r="A1128" s="0" t="n">
        <v>98</v>
      </c>
      <c r="B1128" s="0" t="s">
        <v>1421</v>
      </c>
      <c r="C1128" s="0" t="s">
        <v>68</v>
      </c>
      <c r="D1128" s="0" t="s">
        <v>1439</v>
      </c>
      <c r="E1128" s="0" t="s">
        <v>1426</v>
      </c>
      <c r="F1128" s="0" t="s">
        <v>31</v>
      </c>
      <c r="I1128" s="0" t="n">
        <v>0</v>
      </c>
      <c r="J1128" s="0" t="n">
        <v>0</v>
      </c>
      <c r="K1128" s="0" t="s">
        <v>1444</v>
      </c>
    </row>
    <row r="1129" customFormat="false" ht="15" hidden="false" customHeight="false" outlineLevel="0" collapsed="false">
      <c r="A1129" s="0" t="n">
        <v>98</v>
      </c>
      <c r="B1129" s="0" t="s">
        <v>1421</v>
      </c>
      <c r="C1129" s="0" t="s">
        <v>68</v>
      </c>
      <c r="D1129" s="0" t="s">
        <v>1439</v>
      </c>
      <c r="E1129" s="0" t="s">
        <v>1428</v>
      </c>
      <c r="F1129" s="0" t="s">
        <v>27</v>
      </c>
      <c r="I1129" s="0" t="n">
        <v>0</v>
      </c>
      <c r="J1129" s="0" t="n">
        <v>0</v>
      </c>
      <c r="K1129" s="0" t="s">
        <v>1445</v>
      </c>
    </row>
    <row r="1130" customFormat="false" ht="15" hidden="false" customHeight="false" outlineLevel="0" collapsed="false">
      <c r="A1130" s="0" t="n">
        <v>98</v>
      </c>
      <c r="B1130" s="0" t="s">
        <v>1421</v>
      </c>
      <c r="C1130" s="0" t="s">
        <v>68</v>
      </c>
      <c r="D1130" s="0" t="s">
        <v>1439</v>
      </c>
      <c r="E1130" s="0" t="s">
        <v>128</v>
      </c>
      <c r="F1130" s="0" t="s">
        <v>28</v>
      </c>
      <c r="I1130" s="0" t="n">
        <v>2000</v>
      </c>
      <c r="J1130" s="0" t="n">
        <v>0.526315789473684</v>
      </c>
      <c r="K1130" s="0" t="s">
        <v>1446</v>
      </c>
    </row>
    <row r="1131" customFormat="false" ht="15" hidden="false" customHeight="false" outlineLevel="0" collapsed="false">
      <c r="A1131" s="0" t="n">
        <v>98</v>
      </c>
      <c r="B1131" s="0" t="s">
        <v>1421</v>
      </c>
      <c r="C1131" s="0" t="s">
        <v>68</v>
      </c>
      <c r="D1131" s="0" t="s">
        <v>1439</v>
      </c>
      <c r="E1131" s="0" t="s">
        <v>158</v>
      </c>
      <c r="F1131" s="0" t="s">
        <v>28</v>
      </c>
      <c r="I1131" s="0" t="n">
        <v>7000</v>
      </c>
      <c r="J1131" s="0" t="n">
        <v>1.8421052631579</v>
      </c>
      <c r="K1131" s="0" t="s">
        <v>1447</v>
      </c>
    </row>
    <row r="1132" customFormat="false" ht="15" hidden="false" customHeight="false" outlineLevel="0" collapsed="false">
      <c r="A1132" s="0" t="n">
        <v>98</v>
      </c>
      <c r="B1132" s="0" t="s">
        <v>1421</v>
      </c>
      <c r="C1132" s="0" t="s">
        <v>68</v>
      </c>
      <c r="D1132" s="0" t="s">
        <v>1439</v>
      </c>
      <c r="E1132" s="0" t="s">
        <v>132</v>
      </c>
      <c r="F1132" s="0" t="s">
        <v>29</v>
      </c>
      <c r="I1132" s="0" t="n">
        <v>0</v>
      </c>
      <c r="J1132" s="0" t="n">
        <v>0</v>
      </c>
      <c r="K1132" s="0" t="s">
        <v>1448</v>
      </c>
    </row>
    <row r="1133" customFormat="false" ht="15" hidden="false" customHeight="false" outlineLevel="0" collapsed="false">
      <c r="A1133" s="0" t="n">
        <v>98</v>
      </c>
      <c r="B1133" s="0" t="s">
        <v>1421</v>
      </c>
      <c r="C1133" s="0" t="s">
        <v>68</v>
      </c>
      <c r="D1133" s="0" t="s">
        <v>1439</v>
      </c>
      <c r="E1133" s="0" t="s">
        <v>134</v>
      </c>
      <c r="F1133" s="0" t="s">
        <v>28</v>
      </c>
      <c r="I1133" s="0" t="n">
        <v>0</v>
      </c>
      <c r="J1133" s="0" t="n">
        <v>0</v>
      </c>
      <c r="K1133" s="0" t="s">
        <v>1449</v>
      </c>
    </row>
    <row r="1134" customFormat="false" ht="15" hidden="false" customHeight="false" outlineLevel="0" collapsed="false">
      <c r="A1134" s="0" t="n">
        <v>98</v>
      </c>
      <c r="B1134" s="0" t="s">
        <v>1421</v>
      </c>
      <c r="C1134" s="0" t="s">
        <v>68</v>
      </c>
      <c r="D1134" s="0" t="s">
        <v>1439</v>
      </c>
      <c r="E1134" s="0" t="s">
        <v>60</v>
      </c>
      <c r="F1134" s="0" t="s">
        <v>27</v>
      </c>
      <c r="I1134" s="0" t="n">
        <v>50</v>
      </c>
      <c r="J1134" s="0" t="n">
        <v>0.0131578947368421</v>
      </c>
      <c r="K1134" s="0" t="s">
        <v>1450</v>
      </c>
    </row>
    <row r="1135" customFormat="false" ht="15" hidden="false" customHeight="false" outlineLevel="0" collapsed="false">
      <c r="A1135" s="0" t="n">
        <v>98</v>
      </c>
      <c r="B1135" s="0" t="s">
        <v>1421</v>
      </c>
      <c r="C1135" s="0" t="s">
        <v>68</v>
      </c>
      <c r="D1135" s="0" t="s">
        <v>1439</v>
      </c>
      <c r="E1135" s="0" t="s">
        <v>62</v>
      </c>
      <c r="F1135" s="0" t="s">
        <v>27</v>
      </c>
      <c r="I1135" s="0" t="n">
        <v>100</v>
      </c>
      <c r="J1135" s="0" t="n">
        <v>0.0263157894736842</v>
      </c>
      <c r="K1135" s="0" t="s">
        <v>1451</v>
      </c>
    </row>
    <row r="1136" customFormat="false" ht="15" hidden="false" customHeight="false" outlineLevel="0" collapsed="false">
      <c r="A1136" s="0" t="n">
        <v>98</v>
      </c>
      <c r="B1136" s="0" t="s">
        <v>1421</v>
      </c>
      <c r="C1136" s="0" t="s">
        <v>68</v>
      </c>
      <c r="D1136" s="0" t="s">
        <v>1439</v>
      </c>
      <c r="E1136" s="0" t="s">
        <v>66</v>
      </c>
      <c r="F1136" s="0" t="s">
        <v>27</v>
      </c>
      <c r="I1136" s="0" t="n">
        <v>350</v>
      </c>
      <c r="J1136" s="0" t="n">
        <v>0.0921052631578947</v>
      </c>
      <c r="K1136" s="0" t="s">
        <v>1452</v>
      </c>
    </row>
    <row r="1137" customFormat="false" ht="15" hidden="false" customHeight="false" outlineLevel="0" collapsed="false">
      <c r="A1137" s="0" t="n">
        <v>98</v>
      </c>
      <c r="B1137" s="0" t="s">
        <v>1421</v>
      </c>
      <c r="C1137" s="0" t="s">
        <v>68</v>
      </c>
      <c r="D1137" s="0" t="s">
        <v>1439</v>
      </c>
      <c r="E1137" s="0" t="s">
        <v>64</v>
      </c>
      <c r="F1137" s="0" t="s">
        <v>27</v>
      </c>
      <c r="I1137" s="0" t="n">
        <v>50</v>
      </c>
      <c r="J1137" s="0" t="n">
        <v>0.0131578947368421</v>
      </c>
      <c r="K1137" s="0" t="s">
        <v>1453</v>
      </c>
    </row>
    <row r="1138" customFormat="false" ht="15" hidden="false" customHeight="false" outlineLevel="0" collapsed="false">
      <c r="A1138" s="0" t="n">
        <v>98</v>
      </c>
      <c r="B1138" s="0" t="s">
        <v>1421</v>
      </c>
      <c r="C1138" s="0" t="s">
        <v>68</v>
      </c>
      <c r="D1138" s="0" t="s">
        <v>1439</v>
      </c>
      <c r="E1138" s="0" t="s">
        <v>68</v>
      </c>
      <c r="F1138" s="0" t="s">
        <v>30</v>
      </c>
      <c r="I1138" s="0" t="n">
        <v>3000</v>
      </c>
      <c r="J1138" s="0" t="n">
        <v>0.789473684210526</v>
      </c>
      <c r="K1138" s="0" t="s">
        <v>1454</v>
      </c>
    </row>
    <row r="1139" customFormat="false" ht="15" hidden="false" customHeight="false" outlineLevel="0" collapsed="false">
      <c r="A1139" s="0" t="n">
        <v>99</v>
      </c>
      <c r="B1139" s="0" t="s">
        <v>1421</v>
      </c>
      <c r="C1139" s="0" t="s">
        <v>1455</v>
      </c>
      <c r="D1139" s="0" t="s">
        <v>1455</v>
      </c>
      <c r="E1139" s="0" t="s">
        <v>53</v>
      </c>
      <c r="F1139" s="0" t="s">
        <v>27</v>
      </c>
      <c r="G1139" s="0" t="n">
        <v>0.8</v>
      </c>
      <c r="H1139" s="0" t="n">
        <v>1.8</v>
      </c>
      <c r="I1139" s="0" t="n">
        <v>5472</v>
      </c>
      <c r="J1139" s="0" t="n">
        <v>1.44</v>
      </c>
      <c r="K1139" s="0" t="s">
        <v>1456</v>
      </c>
      <c r="L1139" s="0" t="s">
        <v>1457</v>
      </c>
    </row>
    <row r="1140" customFormat="false" ht="15" hidden="false" customHeight="false" outlineLevel="0" collapsed="false">
      <c r="A1140" s="0" t="n">
        <v>99</v>
      </c>
      <c r="B1140" s="0" t="s">
        <v>1421</v>
      </c>
      <c r="C1140" s="0" t="s">
        <v>1455</v>
      </c>
      <c r="D1140" s="0" t="s">
        <v>1455</v>
      </c>
      <c r="E1140" s="0" t="s">
        <v>56</v>
      </c>
      <c r="F1140" s="0" t="s">
        <v>28</v>
      </c>
      <c r="I1140" s="0" t="n">
        <v>500</v>
      </c>
      <c r="J1140" s="0" t="n">
        <v>0.131578947368421</v>
      </c>
      <c r="K1140" s="0" t="s">
        <v>1458</v>
      </c>
    </row>
    <row r="1141" customFormat="false" ht="15" hidden="false" customHeight="false" outlineLevel="0" collapsed="false">
      <c r="A1141" s="0" t="n">
        <v>99</v>
      </c>
      <c r="B1141" s="0" t="s">
        <v>1421</v>
      </c>
      <c r="C1141" s="0" t="s">
        <v>1455</v>
      </c>
      <c r="D1141" s="0" t="s">
        <v>1455</v>
      </c>
      <c r="E1141" s="0" t="s">
        <v>58</v>
      </c>
      <c r="F1141" s="0" t="s">
        <v>28</v>
      </c>
      <c r="I1141" s="0" t="n">
        <v>1500</v>
      </c>
      <c r="J1141" s="0" t="n">
        <v>0.394736842105263</v>
      </c>
      <c r="K1141" s="0" t="s">
        <v>1459</v>
      </c>
    </row>
    <row r="1142" customFormat="false" ht="15" hidden="false" customHeight="false" outlineLevel="0" collapsed="false">
      <c r="A1142" s="0" t="n">
        <v>99</v>
      </c>
      <c r="B1142" s="0" t="s">
        <v>1421</v>
      </c>
      <c r="C1142" s="0" t="s">
        <v>1455</v>
      </c>
      <c r="D1142" s="0" t="s">
        <v>1455</v>
      </c>
      <c r="E1142" s="0" t="s">
        <v>1426</v>
      </c>
      <c r="F1142" s="0" t="s">
        <v>31</v>
      </c>
      <c r="I1142" s="0" t="n">
        <v>0</v>
      </c>
      <c r="J1142" s="0" t="n">
        <v>0</v>
      </c>
      <c r="K1142" s="0" t="s">
        <v>1460</v>
      </c>
    </row>
    <row r="1143" customFormat="false" ht="15" hidden="false" customHeight="false" outlineLevel="0" collapsed="false">
      <c r="A1143" s="0" t="n">
        <v>99</v>
      </c>
      <c r="B1143" s="0" t="s">
        <v>1421</v>
      </c>
      <c r="C1143" s="0" t="s">
        <v>1455</v>
      </c>
      <c r="D1143" s="0" t="s">
        <v>1455</v>
      </c>
      <c r="E1143" s="0" t="s">
        <v>1428</v>
      </c>
      <c r="F1143" s="0" t="s">
        <v>27</v>
      </c>
      <c r="I1143" s="0" t="n">
        <v>800</v>
      </c>
      <c r="J1143" s="0" t="n">
        <v>0.210526315789474</v>
      </c>
      <c r="K1143" s="0" t="s">
        <v>1461</v>
      </c>
    </row>
    <row r="1144" customFormat="false" ht="15" hidden="false" customHeight="false" outlineLevel="0" collapsed="false">
      <c r="A1144" s="0" t="n">
        <v>99</v>
      </c>
      <c r="B1144" s="0" t="s">
        <v>1421</v>
      </c>
      <c r="C1144" s="0" t="s">
        <v>1455</v>
      </c>
      <c r="D1144" s="0" t="s">
        <v>1455</v>
      </c>
      <c r="E1144" s="0" t="s">
        <v>128</v>
      </c>
      <c r="F1144" s="0" t="s">
        <v>28</v>
      </c>
      <c r="I1144" s="0" t="n">
        <v>300</v>
      </c>
      <c r="J1144" s="0" t="n">
        <v>0.0789473684210526</v>
      </c>
      <c r="K1144" s="0" t="s">
        <v>1462</v>
      </c>
    </row>
    <row r="1145" customFormat="false" ht="15" hidden="false" customHeight="false" outlineLevel="0" collapsed="false">
      <c r="A1145" s="0" t="n">
        <v>99</v>
      </c>
      <c r="B1145" s="0" t="s">
        <v>1421</v>
      </c>
      <c r="C1145" s="0" t="s">
        <v>1455</v>
      </c>
      <c r="D1145" s="0" t="s">
        <v>1455</v>
      </c>
      <c r="E1145" s="0" t="s">
        <v>203</v>
      </c>
      <c r="F1145" s="0" t="s">
        <v>29</v>
      </c>
      <c r="I1145" s="0" t="n">
        <v>500</v>
      </c>
      <c r="J1145" s="0" t="n">
        <v>0.131578947368421</v>
      </c>
      <c r="K1145" s="0" t="s">
        <v>1463</v>
      </c>
    </row>
    <row r="1146" customFormat="false" ht="15" hidden="false" customHeight="false" outlineLevel="0" collapsed="false">
      <c r="A1146" s="0" t="n">
        <v>99</v>
      </c>
      <c r="B1146" s="0" t="s">
        <v>1421</v>
      </c>
      <c r="C1146" s="0" t="s">
        <v>1455</v>
      </c>
      <c r="D1146" s="0" t="s">
        <v>1455</v>
      </c>
      <c r="E1146" s="0" t="s">
        <v>132</v>
      </c>
      <c r="F1146" s="0" t="s">
        <v>29</v>
      </c>
      <c r="I1146" s="0" t="n">
        <v>100</v>
      </c>
      <c r="J1146" s="0" t="n">
        <v>0.0263157894736842</v>
      </c>
      <c r="K1146" s="0" t="s">
        <v>1464</v>
      </c>
    </row>
    <row r="1147" customFormat="false" ht="15" hidden="false" customHeight="false" outlineLevel="0" collapsed="false">
      <c r="A1147" s="0" t="n">
        <v>99</v>
      </c>
      <c r="B1147" s="0" t="s">
        <v>1421</v>
      </c>
      <c r="C1147" s="0" t="s">
        <v>1455</v>
      </c>
      <c r="D1147" s="0" t="s">
        <v>1455</v>
      </c>
      <c r="E1147" s="0" t="s">
        <v>134</v>
      </c>
      <c r="F1147" s="0" t="s">
        <v>28</v>
      </c>
      <c r="I1147" s="0" t="n">
        <v>100</v>
      </c>
      <c r="J1147" s="0" t="n">
        <v>0.0263157894736842</v>
      </c>
      <c r="K1147" s="0" t="s">
        <v>1465</v>
      </c>
    </row>
    <row r="1148" customFormat="false" ht="15" hidden="false" customHeight="false" outlineLevel="0" collapsed="false">
      <c r="A1148" s="0" t="n">
        <v>99</v>
      </c>
      <c r="B1148" s="0" t="s">
        <v>1421</v>
      </c>
      <c r="C1148" s="0" t="s">
        <v>1455</v>
      </c>
      <c r="D1148" s="0" t="s">
        <v>1455</v>
      </c>
      <c r="E1148" s="0" t="s">
        <v>60</v>
      </c>
      <c r="F1148" s="0" t="s">
        <v>27</v>
      </c>
      <c r="I1148" s="0" t="n">
        <v>200</v>
      </c>
      <c r="J1148" s="0" t="n">
        <v>0.0526315789473684</v>
      </c>
      <c r="K1148" s="0" t="s">
        <v>1466</v>
      </c>
    </row>
    <row r="1149" customFormat="false" ht="15" hidden="false" customHeight="false" outlineLevel="0" collapsed="false">
      <c r="A1149" s="0" t="n">
        <v>99</v>
      </c>
      <c r="B1149" s="0" t="s">
        <v>1421</v>
      </c>
      <c r="C1149" s="0" t="s">
        <v>1455</v>
      </c>
      <c r="D1149" s="0" t="s">
        <v>1455</v>
      </c>
      <c r="E1149" s="0" t="s">
        <v>62</v>
      </c>
      <c r="F1149" s="0" t="s">
        <v>27</v>
      </c>
      <c r="I1149" s="0" t="n">
        <v>100</v>
      </c>
      <c r="J1149" s="0" t="n">
        <v>0.0263157894736842</v>
      </c>
      <c r="K1149" s="0" t="s">
        <v>1467</v>
      </c>
    </row>
    <row r="1150" customFormat="false" ht="15" hidden="false" customHeight="false" outlineLevel="0" collapsed="false">
      <c r="A1150" s="0" t="n">
        <v>99</v>
      </c>
      <c r="B1150" s="0" t="s">
        <v>1421</v>
      </c>
      <c r="C1150" s="0" t="s">
        <v>1455</v>
      </c>
      <c r="D1150" s="0" t="s">
        <v>1455</v>
      </c>
      <c r="E1150" s="0" t="s">
        <v>66</v>
      </c>
      <c r="F1150" s="0" t="s">
        <v>27</v>
      </c>
      <c r="I1150" s="0" t="n">
        <v>350</v>
      </c>
      <c r="J1150" s="0" t="n">
        <v>0.0921052631578947</v>
      </c>
      <c r="K1150" s="0" t="s">
        <v>1468</v>
      </c>
    </row>
    <row r="1151" customFormat="false" ht="15" hidden="false" customHeight="false" outlineLevel="0" collapsed="false">
      <c r="A1151" s="0" t="n">
        <v>99</v>
      </c>
      <c r="B1151" s="0" t="s">
        <v>1421</v>
      </c>
      <c r="C1151" s="0" t="s">
        <v>1455</v>
      </c>
      <c r="D1151" s="0" t="s">
        <v>1455</v>
      </c>
      <c r="E1151" s="0" t="s">
        <v>64</v>
      </c>
      <c r="F1151" s="0" t="s">
        <v>27</v>
      </c>
      <c r="I1151" s="0" t="n">
        <v>500</v>
      </c>
      <c r="J1151" s="0" t="n">
        <v>0.131578947368421</v>
      </c>
      <c r="K1151" s="0" t="s">
        <v>1469</v>
      </c>
    </row>
    <row r="1152" customFormat="false" ht="15" hidden="false" customHeight="false" outlineLevel="0" collapsed="false">
      <c r="A1152" s="0" t="n">
        <v>99</v>
      </c>
      <c r="B1152" s="0" t="s">
        <v>1421</v>
      </c>
      <c r="C1152" s="0" t="s">
        <v>1455</v>
      </c>
      <c r="D1152" s="0" t="s">
        <v>1455</v>
      </c>
      <c r="E1152" s="0" t="s">
        <v>68</v>
      </c>
      <c r="F1152" s="0" t="s">
        <v>30</v>
      </c>
      <c r="I1152" s="0" t="n">
        <v>4000</v>
      </c>
      <c r="J1152" s="0" t="n">
        <v>1.05263157894737</v>
      </c>
      <c r="K1152" s="0" t="s">
        <v>1470</v>
      </c>
    </row>
    <row r="1153" customFormat="false" ht="15" hidden="false" customHeight="false" outlineLevel="0" collapsed="false">
      <c r="A1153" s="0" t="n">
        <v>100</v>
      </c>
      <c r="B1153" s="0" t="s">
        <v>1421</v>
      </c>
      <c r="C1153" s="0" t="s">
        <v>68</v>
      </c>
      <c r="D1153" s="0" t="s">
        <v>1407</v>
      </c>
      <c r="E1153" s="0" t="s">
        <v>53</v>
      </c>
      <c r="F1153" s="0" t="s">
        <v>27</v>
      </c>
      <c r="G1153" s="0" t="n">
        <v>0.55</v>
      </c>
      <c r="H1153" s="0" t="n">
        <v>1.8</v>
      </c>
      <c r="I1153" s="0" t="n">
        <v>3762</v>
      </c>
      <c r="J1153" s="0" t="n">
        <v>0.99</v>
      </c>
      <c r="K1153" s="0" t="s">
        <v>1471</v>
      </c>
      <c r="L1153" s="0" t="s">
        <v>1423</v>
      </c>
    </row>
    <row r="1154" customFormat="false" ht="15" hidden="false" customHeight="false" outlineLevel="0" collapsed="false">
      <c r="A1154" s="0" t="n">
        <v>100</v>
      </c>
      <c r="B1154" s="0" t="s">
        <v>1421</v>
      </c>
      <c r="C1154" s="0" t="s">
        <v>68</v>
      </c>
      <c r="D1154" s="0" t="s">
        <v>1407</v>
      </c>
      <c r="E1154" s="0" t="s">
        <v>56</v>
      </c>
      <c r="F1154" s="0" t="s">
        <v>28</v>
      </c>
      <c r="I1154" s="0" t="n">
        <v>1000</v>
      </c>
      <c r="J1154" s="0" t="n">
        <v>0.263157894736842</v>
      </c>
      <c r="K1154" s="0" t="s">
        <v>1472</v>
      </c>
    </row>
    <row r="1155" customFormat="false" ht="15" hidden="false" customHeight="false" outlineLevel="0" collapsed="false">
      <c r="A1155" s="0" t="n">
        <v>100</v>
      </c>
      <c r="B1155" s="0" t="s">
        <v>1421</v>
      </c>
      <c r="C1155" s="0" t="s">
        <v>68</v>
      </c>
      <c r="D1155" s="0" t="s">
        <v>1407</v>
      </c>
      <c r="E1155" s="0" t="s">
        <v>58</v>
      </c>
      <c r="F1155" s="0" t="s">
        <v>28</v>
      </c>
      <c r="I1155" s="0" t="n">
        <v>2500</v>
      </c>
      <c r="J1155" s="0" t="n">
        <v>0.657894736842105</v>
      </c>
      <c r="K1155" s="0" t="s">
        <v>1473</v>
      </c>
    </row>
    <row r="1156" customFormat="false" ht="15" hidden="false" customHeight="false" outlineLevel="0" collapsed="false">
      <c r="A1156" s="0" t="n">
        <v>100</v>
      </c>
      <c r="B1156" s="0" t="s">
        <v>1421</v>
      </c>
      <c r="C1156" s="0" t="s">
        <v>68</v>
      </c>
      <c r="D1156" s="0" t="s">
        <v>1407</v>
      </c>
      <c r="E1156" s="0" t="s">
        <v>1426</v>
      </c>
      <c r="F1156" s="0" t="s">
        <v>31</v>
      </c>
      <c r="I1156" s="0" t="n">
        <v>1000</v>
      </c>
      <c r="J1156" s="0" t="n">
        <v>0.263157894736842</v>
      </c>
      <c r="K1156" s="0" t="s">
        <v>1474</v>
      </c>
    </row>
    <row r="1157" customFormat="false" ht="15" hidden="false" customHeight="false" outlineLevel="0" collapsed="false">
      <c r="A1157" s="0" t="n">
        <v>100</v>
      </c>
      <c r="B1157" s="0" t="s">
        <v>1421</v>
      </c>
      <c r="C1157" s="0" t="s">
        <v>68</v>
      </c>
      <c r="D1157" s="0" t="s">
        <v>1407</v>
      </c>
      <c r="E1157" s="0" t="s">
        <v>1428</v>
      </c>
      <c r="F1157" s="0" t="s">
        <v>27</v>
      </c>
      <c r="I1157" s="0" t="n">
        <v>800</v>
      </c>
      <c r="J1157" s="0" t="n">
        <v>0.210526315789474</v>
      </c>
      <c r="K1157" s="0" t="s">
        <v>1475</v>
      </c>
    </row>
    <row r="1158" customFormat="false" ht="15" hidden="false" customHeight="false" outlineLevel="0" collapsed="false">
      <c r="A1158" s="0" t="n">
        <v>100</v>
      </c>
      <c r="B1158" s="0" t="s">
        <v>1421</v>
      </c>
      <c r="C1158" s="0" t="s">
        <v>68</v>
      </c>
      <c r="D1158" s="0" t="s">
        <v>1407</v>
      </c>
      <c r="E1158" s="0" t="s">
        <v>128</v>
      </c>
      <c r="F1158" s="0" t="s">
        <v>28</v>
      </c>
      <c r="I1158" s="0" t="n">
        <v>1000</v>
      </c>
      <c r="J1158" s="0" t="n">
        <v>0.263157894736842</v>
      </c>
      <c r="K1158" s="0" t="s">
        <v>1476</v>
      </c>
    </row>
    <row r="1159" customFormat="false" ht="15" hidden="false" customHeight="false" outlineLevel="0" collapsed="false">
      <c r="A1159" s="0" t="n">
        <v>100</v>
      </c>
      <c r="B1159" s="0" t="s">
        <v>1421</v>
      </c>
      <c r="C1159" s="0" t="s">
        <v>68</v>
      </c>
      <c r="D1159" s="0" t="s">
        <v>1407</v>
      </c>
      <c r="E1159" s="0" t="s">
        <v>130</v>
      </c>
      <c r="F1159" s="0" t="s">
        <v>29</v>
      </c>
      <c r="I1159" s="0" t="n">
        <v>3000</v>
      </c>
      <c r="J1159" s="0" t="n">
        <v>0.789473684210526</v>
      </c>
      <c r="K1159" s="0" t="s">
        <v>1477</v>
      </c>
    </row>
    <row r="1160" customFormat="false" ht="15" hidden="false" customHeight="false" outlineLevel="0" collapsed="false">
      <c r="A1160" s="0" t="n">
        <v>100</v>
      </c>
      <c r="B1160" s="0" t="s">
        <v>1421</v>
      </c>
      <c r="C1160" s="0" t="s">
        <v>68</v>
      </c>
      <c r="D1160" s="0" t="s">
        <v>1407</v>
      </c>
      <c r="E1160" s="0" t="s">
        <v>158</v>
      </c>
      <c r="F1160" s="0" t="s">
        <v>28</v>
      </c>
      <c r="I1160" s="0" t="n">
        <v>1000</v>
      </c>
      <c r="J1160" s="0" t="n">
        <v>0.263157894736842</v>
      </c>
      <c r="K1160" s="0" t="s">
        <v>1478</v>
      </c>
    </row>
    <row r="1161" customFormat="false" ht="15" hidden="false" customHeight="false" outlineLevel="0" collapsed="false">
      <c r="A1161" s="0" t="n">
        <v>100</v>
      </c>
      <c r="B1161" s="0" t="s">
        <v>1421</v>
      </c>
      <c r="C1161" s="0" t="s">
        <v>68</v>
      </c>
      <c r="D1161" s="0" t="s">
        <v>1407</v>
      </c>
      <c r="E1161" s="0" t="s">
        <v>132</v>
      </c>
      <c r="F1161" s="0" t="s">
        <v>29</v>
      </c>
      <c r="I1161" s="0" t="n">
        <v>300</v>
      </c>
      <c r="J1161" s="0" t="n">
        <v>0.0789473684210526</v>
      </c>
      <c r="K1161" s="0" t="s">
        <v>1479</v>
      </c>
    </row>
    <row r="1162" customFormat="false" ht="15" hidden="false" customHeight="false" outlineLevel="0" collapsed="false">
      <c r="A1162" s="0" t="n">
        <v>100</v>
      </c>
      <c r="B1162" s="0" t="s">
        <v>1421</v>
      </c>
      <c r="C1162" s="0" t="s">
        <v>68</v>
      </c>
      <c r="D1162" s="0" t="s">
        <v>1407</v>
      </c>
      <c r="E1162" s="0" t="s">
        <v>134</v>
      </c>
      <c r="F1162" s="0" t="s">
        <v>28</v>
      </c>
      <c r="I1162" s="0" t="n">
        <v>200</v>
      </c>
      <c r="J1162" s="0" t="n">
        <v>0.0526315789473684</v>
      </c>
      <c r="K1162" s="0" t="s">
        <v>1480</v>
      </c>
    </row>
    <row r="1163" customFormat="false" ht="15" hidden="false" customHeight="false" outlineLevel="0" collapsed="false">
      <c r="A1163" s="0" t="n">
        <v>100</v>
      </c>
      <c r="B1163" s="0" t="s">
        <v>1421</v>
      </c>
      <c r="C1163" s="0" t="s">
        <v>68</v>
      </c>
      <c r="D1163" s="0" t="s">
        <v>1407</v>
      </c>
      <c r="E1163" s="0" t="s">
        <v>60</v>
      </c>
      <c r="F1163" s="0" t="s">
        <v>27</v>
      </c>
      <c r="I1163" s="0" t="n">
        <v>250</v>
      </c>
      <c r="J1163" s="0" t="n">
        <v>0.0657894736842105</v>
      </c>
      <c r="K1163" s="0" t="s">
        <v>1481</v>
      </c>
    </row>
    <row r="1164" customFormat="false" ht="15" hidden="false" customHeight="false" outlineLevel="0" collapsed="false">
      <c r="A1164" s="0" t="n">
        <v>100</v>
      </c>
      <c r="B1164" s="0" t="s">
        <v>1421</v>
      </c>
      <c r="C1164" s="0" t="s">
        <v>68</v>
      </c>
      <c r="D1164" s="0" t="s">
        <v>1407</v>
      </c>
      <c r="E1164" s="0" t="s">
        <v>62</v>
      </c>
      <c r="F1164" s="0" t="s">
        <v>27</v>
      </c>
      <c r="I1164" s="0" t="n">
        <v>100</v>
      </c>
      <c r="J1164" s="0" t="n">
        <v>0.0263157894736842</v>
      </c>
      <c r="K1164" s="0" t="s">
        <v>1482</v>
      </c>
    </row>
    <row r="1165" customFormat="false" ht="15" hidden="false" customHeight="false" outlineLevel="0" collapsed="false">
      <c r="A1165" s="0" t="n">
        <v>100</v>
      </c>
      <c r="B1165" s="0" t="s">
        <v>1421</v>
      </c>
      <c r="C1165" s="0" t="s">
        <v>68</v>
      </c>
      <c r="D1165" s="0" t="s">
        <v>1407</v>
      </c>
      <c r="E1165" s="0" t="s">
        <v>66</v>
      </c>
      <c r="F1165" s="0" t="s">
        <v>27</v>
      </c>
      <c r="I1165" s="0" t="n">
        <v>350</v>
      </c>
      <c r="J1165" s="0" t="n">
        <v>0.0921052631578947</v>
      </c>
      <c r="K1165" s="0" t="s">
        <v>1483</v>
      </c>
    </row>
    <row r="1166" customFormat="false" ht="15" hidden="false" customHeight="false" outlineLevel="0" collapsed="false">
      <c r="A1166" s="0" t="n">
        <v>100</v>
      </c>
      <c r="B1166" s="0" t="s">
        <v>1421</v>
      </c>
      <c r="C1166" s="0" t="s">
        <v>68</v>
      </c>
      <c r="D1166" s="0" t="s">
        <v>1407</v>
      </c>
      <c r="E1166" s="0" t="s">
        <v>64</v>
      </c>
      <c r="F1166" s="0" t="s">
        <v>27</v>
      </c>
      <c r="I1166" s="0" t="n">
        <v>750</v>
      </c>
      <c r="J1166" s="0" t="n">
        <v>0.197368421052632</v>
      </c>
      <c r="K1166" s="0" t="s">
        <v>1484</v>
      </c>
    </row>
    <row r="1167" customFormat="false" ht="15" hidden="false" customHeight="false" outlineLevel="0" collapsed="false">
      <c r="A1167" s="0" t="n">
        <v>100</v>
      </c>
      <c r="B1167" s="0" t="s">
        <v>1421</v>
      </c>
      <c r="C1167" s="0" t="s">
        <v>68</v>
      </c>
      <c r="D1167" s="0" t="s">
        <v>1407</v>
      </c>
      <c r="E1167" s="0" t="s">
        <v>68</v>
      </c>
      <c r="F1167" s="0" t="s">
        <v>30</v>
      </c>
      <c r="I1167" s="0" t="n">
        <v>4000</v>
      </c>
      <c r="J1167" s="0" t="n">
        <v>1.05263157894737</v>
      </c>
      <c r="K1167" s="0" t="s">
        <v>1485</v>
      </c>
    </row>
    <row r="1168" customFormat="false" ht="15" hidden="false" customHeight="false" outlineLevel="0" collapsed="false">
      <c r="A1168" s="0" t="n">
        <v>101</v>
      </c>
      <c r="B1168" s="0" t="s">
        <v>1421</v>
      </c>
      <c r="C1168" s="0" t="s">
        <v>68</v>
      </c>
      <c r="D1168" s="0" t="s">
        <v>1439</v>
      </c>
      <c r="E1168" s="0" t="s">
        <v>53</v>
      </c>
      <c r="F1168" s="0" t="s">
        <v>27</v>
      </c>
      <c r="G1168" s="0" t="n">
        <v>0.6</v>
      </c>
      <c r="H1168" s="0" t="n">
        <v>1.8</v>
      </c>
      <c r="I1168" s="0" t="n">
        <v>4104</v>
      </c>
      <c r="J1168" s="0" t="n">
        <v>1.08</v>
      </c>
      <c r="K1168" s="0" t="s">
        <v>1486</v>
      </c>
      <c r="L1168" s="0" t="s">
        <v>1487</v>
      </c>
    </row>
    <row r="1169" customFormat="false" ht="15" hidden="false" customHeight="false" outlineLevel="0" collapsed="false">
      <c r="A1169" s="0" t="n">
        <v>101</v>
      </c>
      <c r="B1169" s="0" t="s">
        <v>1421</v>
      </c>
      <c r="C1169" s="0" t="s">
        <v>68</v>
      </c>
      <c r="D1169" s="0" t="s">
        <v>1439</v>
      </c>
      <c r="E1169" s="0" t="s">
        <v>56</v>
      </c>
      <c r="F1169" s="0" t="s">
        <v>28</v>
      </c>
      <c r="I1169" s="0" t="n">
        <v>1000</v>
      </c>
      <c r="J1169" s="0" t="n">
        <v>0.263157894736842</v>
      </c>
      <c r="K1169" s="0" t="s">
        <v>1488</v>
      </c>
    </row>
    <row r="1170" customFormat="false" ht="15" hidden="false" customHeight="false" outlineLevel="0" collapsed="false">
      <c r="A1170" s="0" t="n">
        <v>101</v>
      </c>
      <c r="B1170" s="0" t="s">
        <v>1421</v>
      </c>
      <c r="C1170" s="0" t="s">
        <v>68</v>
      </c>
      <c r="D1170" s="0" t="s">
        <v>1439</v>
      </c>
      <c r="E1170" s="0" t="s">
        <v>58</v>
      </c>
      <c r="F1170" s="0" t="s">
        <v>28</v>
      </c>
      <c r="I1170" s="0" t="n">
        <v>2500</v>
      </c>
      <c r="J1170" s="0" t="n">
        <v>0.657894736842105</v>
      </c>
      <c r="K1170" s="0" t="s">
        <v>1489</v>
      </c>
    </row>
    <row r="1171" customFormat="false" ht="15" hidden="false" customHeight="false" outlineLevel="0" collapsed="false">
      <c r="A1171" s="0" t="n">
        <v>101</v>
      </c>
      <c r="B1171" s="0" t="s">
        <v>1421</v>
      </c>
      <c r="C1171" s="0" t="s">
        <v>68</v>
      </c>
      <c r="D1171" s="0" t="s">
        <v>1439</v>
      </c>
      <c r="E1171" s="0" t="s">
        <v>1426</v>
      </c>
      <c r="F1171" s="0" t="s">
        <v>31</v>
      </c>
      <c r="I1171" s="0" t="n">
        <v>1000</v>
      </c>
      <c r="J1171" s="0" t="n">
        <v>0.263157894736842</v>
      </c>
      <c r="K1171" s="0" t="s">
        <v>1490</v>
      </c>
    </row>
    <row r="1172" customFormat="false" ht="15" hidden="false" customHeight="false" outlineLevel="0" collapsed="false">
      <c r="A1172" s="0" t="n">
        <v>101</v>
      </c>
      <c r="B1172" s="0" t="s">
        <v>1421</v>
      </c>
      <c r="C1172" s="0" t="s">
        <v>68</v>
      </c>
      <c r="D1172" s="0" t="s">
        <v>1439</v>
      </c>
      <c r="E1172" s="0" t="s">
        <v>1428</v>
      </c>
      <c r="F1172" s="0" t="s">
        <v>27</v>
      </c>
      <c r="I1172" s="0" t="n">
        <v>800</v>
      </c>
      <c r="J1172" s="0" t="n">
        <v>0.210526315789474</v>
      </c>
      <c r="K1172" s="0" t="s">
        <v>1491</v>
      </c>
    </row>
    <row r="1173" customFormat="false" ht="15" hidden="false" customHeight="false" outlineLevel="0" collapsed="false">
      <c r="A1173" s="0" t="n">
        <v>101</v>
      </c>
      <c r="B1173" s="0" t="s">
        <v>1421</v>
      </c>
      <c r="C1173" s="0" t="s">
        <v>68</v>
      </c>
      <c r="D1173" s="0" t="s">
        <v>1439</v>
      </c>
      <c r="E1173" s="0" t="s">
        <v>128</v>
      </c>
      <c r="F1173" s="0" t="s">
        <v>28</v>
      </c>
      <c r="I1173" s="0" t="n">
        <v>1000</v>
      </c>
      <c r="J1173" s="0" t="n">
        <v>0.263157894736842</v>
      </c>
      <c r="K1173" s="0" t="s">
        <v>1492</v>
      </c>
    </row>
    <row r="1174" customFormat="false" ht="15" hidden="false" customHeight="false" outlineLevel="0" collapsed="false">
      <c r="A1174" s="0" t="n">
        <v>101</v>
      </c>
      <c r="B1174" s="0" t="s">
        <v>1421</v>
      </c>
      <c r="C1174" s="0" t="s">
        <v>68</v>
      </c>
      <c r="D1174" s="0" t="s">
        <v>1439</v>
      </c>
      <c r="E1174" s="0" t="s">
        <v>130</v>
      </c>
      <c r="F1174" s="0" t="s">
        <v>29</v>
      </c>
      <c r="I1174" s="0" t="n">
        <v>3000</v>
      </c>
      <c r="J1174" s="0" t="n">
        <v>0.789473684210526</v>
      </c>
      <c r="K1174" s="0" t="s">
        <v>1493</v>
      </c>
    </row>
    <row r="1175" customFormat="false" ht="15" hidden="false" customHeight="false" outlineLevel="0" collapsed="false">
      <c r="A1175" s="0" t="n">
        <v>101</v>
      </c>
      <c r="B1175" s="0" t="s">
        <v>1421</v>
      </c>
      <c r="C1175" s="0" t="s">
        <v>68</v>
      </c>
      <c r="D1175" s="0" t="s">
        <v>1439</v>
      </c>
      <c r="E1175" s="0" t="s">
        <v>158</v>
      </c>
      <c r="F1175" s="0" t="s">
        <v>28</v>
      </c>
      <c r="I1175" s="0" t="n">
        <v>1000</v>
      </c>
      <c r="J1175" s="0" t="n">
        <v>0.263157894736842</v>
      </c>
      <c r="K1175" s="0" t="s">
        <v>1494</v>
      </c>
    </row>
    <row r="1176" customFormat="false" ht="15" hidden="false" customHeight="false" outlineLevel="0" collapsed="false">
      <c r="A1176" s="0" t="n">
        <v>101</v>
      </c>
      <c r="B1176" s="0" t="s">
        <v>1421</v>
      </c>
      <c r="C1176" s="0" t="s">
        <v>68</v>
      </c>
      <c r="D1176" s="0" t="s">
        <v>1439</v>
      </c>
      <c r="E1176" s="0" t="s">
        <v>132</v>
      </c>
      <c r="F1176" s="0" t="s">
        <v>29</v>
      </c>
      <c r="I1176" s="0" t="n">
        <v>200</v>
      </c>
      <c r="J1176" s="0" t="n">
        <v>0.0526315789473684</v>
      </c>
      <c r="K1176" s="0" t="s">
        <v>1495</v>
      </c>
    </row>
    <row r="1177" customFormat="false" ht="15" hidden="false" customHeight="false" outlineLevel="0" collapsed="false">
      <c r="A1177" s="0" t="n">
        <v>101</v>
      </c>
      <c r="B1177" s="0" t="s">
        <v>1421</v>
      </c>
      <c r="C1177" s="0" t="s">
        <v>68</v>
      </c>
      <c r="D1177" s="0" t="s">
        <v>1439</v>
      </c>
      <c r="E1177" s="0" t="s">
        <v>134</v>
      </c>
      <c r="F1177" s="0" t="s">
        <v>28</v>
      </c>
      <c r="I1177" s="0" t="n">
        <v>200</v>
      </c>
      <c r="J1177" s="0" t="n">
        <v>0.0526315789473684</v>
      </c>
      <c r="K1177" s="0" t="s">
        <v>1496</v>
      </c>
    </row>
    <row r="1178" customFormat="false" ht="15" hidden="false" customHeight="false" outlineLevel="0" collapsed="false">
      <c r="A1178" s="0" t="n">
        <v>101</v>
      </c>
      <c r="B1178" s="0" t="s">
        <v>1421</v>
      </c>
      <c r="C1178" s="0" t="s">
        <v>68</v>
      </c>
      <c r="D1178" s="0" t="s">
        <v>1439</v>
      </c>
      <c r="E1178" s="0" t="s">
        <v>60</v>
      </c>
      <c r="F1178" s="0" t="s">
        <v>27</v>
      </c>
      <c r="I1178" s="0" t="n">
        <v>250</v>
      </c>
      <c r="J1178" s="0" t="n">
        <v>0.0657894736842105</v>
      </c>
      <c r="K1178" s="0" t="s">
        <v>1497</v>
      </c>
    </row>
    <row r="1179" customFormat="false" ht="15" hidden="false" customHeight="false" outlineLevel="0" collapsed="false">
      <c r="A1179" s="0" t="n">
        <v>101</v>
      </c>
      <c r="B1179" s="0" t="s">
        <v>1421</v>
      </c>
      <c r="C1179" s="0" t="s">
        <v>68</v>
      </c>
      <c r="D1179" s="0" t="s">
        <v>1439</v>
      </c>
      <c r="E1179" s="0" t="s">
        <v>62</v>
      </c>
      <c r="F1179" s="0" t="s">
        <v>27</v>
      </c>
      <c r="I1179" s="0" t="n">
        <v>100</v>
      </c>
      <c r="J1179" s="0" t="n">
        <v>0.0263157894736842</v>
      </c>
      <c r="K1179" s="0" t="s">
        <v>1498</v>
      </c>
    </row>
    <row r="1180" customFormat="false" ht="15" hidden="false" customHeight="false" outlineLevel="0" collapsed="false">
      <c r="A1180" s="0" t="n">
        <v>101</v>
      </c>
      <c r="B1180" s="0" t="s">
        <v>1421</v>
      </c>
      <c r="C1180" s="0" t="s">
        <v>68</v>
      </c>
      <c r="D1180" s="0" t="s">
        <v>1439</v>
      </c>
      <c r="E1180" s="0" t="s">
        <v>66</v>
      </c>
      <c r="F1180" s="0" t="s">
        <v>27</v>
      </c>
      <c r="I1180" s="0" t="n">
        <v>350</v>
      </c>
      <c r="J1180" s="0" t="n">
        <v>0.0921052631578947</v>
      </c>
      <c r="K1180" s="0" t="s">
        <v>1499</v>
      </c>
    </row>
    <row r="1181" customFormat="false" ht="15" hidden="false" customHeight="false" outlineLevel="0" collapsed="false">
      <c r="A1181" s="0" t="n">
        <v>101</v>
      </c>
      <c r="B1181" s="0" t="s">
        <v>1421</v>
      </c>
      <c r="C1181" s="0" t="s">
        <v>68</v>
      </c>
      <c r="D1181" s="0" t="s">
        <v>1439</v>
      </c>
      <c r="E1181" s="0" t="s">
        <v>64</v>
      </c>
      <c r="F1181" s="0" t="s">
        <v>27</v>
      </c>
      <c r="I1181" s="0" t="n">
        <v>750</v>
      </c>
      <c r="J1181" s="0" t="n">
        <v>0.197368421052632</v>
      </c>
      <c r="K1181" s="0" t="s">
        <v>1500</v>
      </c>
    </row>
    <row r="1182" customFormat="false" ht="15" hidden="false" customHeight="false" outlineLevel="0" collapsed="false">
      <c r="A1182" s="0" t="n">
        <v>101</v>
      </c>
      <c r="B1182" s="0" t="s">
        <v>1421</v>
      </c>
      <c r="C1182" s="0" t="s">
        <v>68</v>
      </c>
      <c r="D1182" s="0" t="s">
        <v>1439</v>
      </c>
      <c r="E1182" s="0" t="s">
        <v>68</v>
      </c>
      <c r="F1182" s="0" t="s">
        <v>30</v>
      </c>
      <c r="I1182" s="0" t="n">
        <v>4000</v>
      </c>
      <c r="J1182" s="0" t="n">
        <v>1.05263157894737</v>
      </c>
      <c r="K1182" s="0" t="s">
        <v>1501</v>
      </c>
    </row>
    <row r="1183" customFormat="false" ht="15" hidden="false" customHeight="false" outlineLevel="0" collapsed="false">
      <c r="A1183" s="0" t="n">
        <v>102</v>
      </c>
      <c r="B1183" s="0" t="s">
        <v>1421</v>
      </c>
      <c r="C1183" s="0" t="s">
        <v>1455</v>
      </c>
      <c r="D1183" s="0" t="s">
        <v>1455</v>
      </c>
      <c r="E1183" s="0" t="s">
        <v>53</v>
      </c>
      <c r="F1183" s="0" t="s">
        <v>27</v>
      </c>
      <c r="G1183" s="0" t="n">
        <v>0.8</v>
      </c>
      <c r="H1183" s="0" t="n">
        <v>1.8</v>
      </c>
      <c r="I1183" s="0" t="n">
        <v>5472</v>
      </c>
      <c r="J1183" s="0" t="n">
        <v>1.44</v>
      </c>
      <c r="K1183" s="0" t="s">
        <v>1502</v>
      </c>
      <c r="L1183" s="0" t="s">
        <v>1457</v>
      </c>
    </row>
    <row r="1184" customFormat="false" ht="15" hidden="false" customHeight="false" outlineLevel="0" collapsed="false">
      <c r="A1184" s="0" t="n">
        <v>102</v>
      </c>
      <c r="B1184" s="0" t="s">
        <v>1421</v>
      </c>
      <c r="C1184" s="0" t="s">
        <v>1455</v>
      </c>
      <c r="D1184" s="0" t="s">
        <v>1455</v>
      </c>
      <c r="E1184" s="0" t="s">
        <v>56</v>
      </c>
      <c r="F1184" s="0" t="s">
        <v>28</v>
      </c>
      <c r="I1184" s="0" t="n">
        <v>1000</v>
      </c>
      <c r="J1184" s="0" t="n">
        <v>0.263157894736842</v>
      </c>
      <c r="K1184" s="0" t="s">
        <v>1503</v>
      </c>
    </row>
    <row r="1185" customFormat="false" ht="15" hidden="false" customHeight="false" outlineLevel="0" collapsed="false">
      <c r="A1185" s="0" t="n">
        <v>102</v>
      </c>
      <c r="B1185" s="0" t="s">
        <v>1421</v>
      </c>
      <c r="C1185" s="0" t="s">
        <v>1455</v>
      </c>
      <c r="D1185" s="0" t="s">
        <v>1455</v>
      </c>
      <c r="E1185" s="0" t="s">
        <v>58</v>
      </c>
      <c r="F1185" s="0" t="s">
        <v>28</v>
      </c>
      <c r="I1185" s="0" t="n">
        <v>2500</v>
      </c>
      <c r="J1185" s="0" t="n">
        <v>0.657894736842105</v>
      </c>
      <c r="K1185" s="0" t="s">
        <v>1504</v>
      </c>
    </row>
    <row r="1186" customFormat="false" ht="15" hidden="false" customHeight="false" outlineLevel="0" collapsed="false">
      <c r="A1186" s="0" t="n">
        <v>102</v>
      </c>
      <c r="B1186" s="0" t="s">
        <v>1421</v>
      </c>
      <c r="C1186" s="0" t="s">
        <v>1455</v>
      </c>
      <c r="D1186" s="0" t="s">
        <v>1455</v>
      </c>
      <c r="E1186" s="0" t="s">
        <v>1426</v>
      </c>
      <c r="F1186" s="0" t="s">
        <v>31</v>
      </c>
      <c r="I1186" s="0" t="n">
        <v>0</v>
      </c>
      <c r="J1186" s="0" t="n">
        <v>0</v>
      </c>
      <c r="K1186" s="0" t="s">
        <v>1505</v>
      </c>
    </row>
    <row r="1187" customFormat="false" ht="15" hidden="false" customHeight="false" outlineLevel="0" collapsed="false">
      <c r="A1187" s="0" t="n">
        <v>102</v>
      </c>
      <c r="B1187" s="0" t="s">
        <v>1421</v>
      </c>
      <c r="C1187" s="0" t="s">
        <v>1455</v>
      </c>
      <c r="D1187" s="0" t="s">
        <v>1455</v>
      </c>
      <c r="E1187" s="0" t="s">
        <v>1428</v>
      </c>
      <c r="F1187" s="0" t="s">
        <v>27</v>
      </c>
      <c r="I1187" s="0" t="n">
        <v>800</v>
      </c>
      <c r="J1187" s="0" t="n">
        <v>0.210526315789474</v>
      </c>
      <c r="K1187" s="0" t="s">
        <v>1506</v>
      </c>
    </row>
    <row r="1188" customFormat="false" ht="15" hidden="false" customHeight="false" outlineLevel="0" collapsed="false">
      <c r="A1188" s="0" t="n">
        <v>102</v>
      </c>
      <c r="B1188" s="0" t="s">
        <v>1421</v>
      </c>
      <c r="C1188" s="0" t="s">
        <v>1455</v>
      </c>
      <c r="D1188" s="0" t="s">
        <v>1455</v>
      </c>
      <c r="E1188" s="0" t="s">
        <v>128</v>
      </c>
      <c r="F1188" s="0" t="s">
        <v>28</v>
      </c>
      <c r="I1188" s="0" t="n">
        <v>0</v>
      </c>
      <c r="J1188" s="0" t="n">
        <v>0</v>
      </c>
      <c r="K1188" s="0" t="s">
        <v>1507</v>
      </c>
    </row>
    <row r="1189" customFormat="false" ht="15" hidden="false" customHeight="false" outlineLevel="0" collapsed="false">
      <c r="A1189" s="0" t="n">
        <v>102</v>
      </c>
      <c r="B1189" s="0" t="s">
        <v>1421</v>
      </c>
      <c r="C1189" s="0" t="s">
        <v>1455</v>
      </c>
      <c r="D1189" s="0" t="s">
        <v>1455</v>
      </c>
      <c r="E1189" s="0" t="s">
        <v>130</v>
      </c>
      <c r="F1189" s="0" t="s">
        <v>29</v>
      </c>
      <c r="I1189" s="0" t="n">
        <v>0</v>
      </c>
      <c r="J1189" s="0" t="n">
        <v>0</v>
      </c>
      <c r="K1189" s="0" t="s">
        <v>1508</v>
      </c>
    </row>
    <row r="1190" customFormat="false" ht="15" hidden="false" customHeight="false" outlineLevel="0" collapsed="false">
      <c r="A1190" s="0" t="n">
        <v>102</v>
      </c>
      <c r="B1190" s="0" t="s">
        <v>1421</v>
      </c>
      <c r="C1190" s="0" t="s">
        <v>1455</v>
      </c>
      <c r="D1190" s="0" t="s">
        <v>1455</v>
      </c>
      <c r="E1190" s="0" t="s">
        <v>158</v>
      </c>
      <c r="F1190" s="0" t="s">
        <v>28</v>
      </c>
      <c r="I1190" s="0" t="n">
        <v>1000</v>
      </c>
      <c r="J1190" s="0" t="n">
        <v>0.263157894736842</v>
      </c>
      <c r="K1190" s="0" t="s">
        <v>1509</v>
      </c>
    </row>
    <row r="1191" customFormat="false" ht="15" hidden="false" customHeight="false" outlineLevel="0" collapsed="false">
      <c r="A1191" s="0" t="n">
        <v>102</v>
      </c>
      <c r="B1191" s="0" t="s">
        <v>1421</v>
      </c>
      <c r="C1191" s="0" t="s">
        <v>1455</v>
      </c>
      <c r="D1191" s="0" t="s">
        <v>1455</v>
      </c>
      <c r="E1191" s="0" t="s">
        <v>132</v>
      </c>
      <c r="F1191" s="0" t="s">
        <v>29</v>
      </c>
      <c r="I1191" s="0" t="n">
        <v>200</v>
      </c>
      <c r="J1191" s="0" t="n">
        <v>0.0526315789473684</v>
      </c>
      <c r="K1191" s="0" t="s">
        <v>1510</v>
      </c>
    </row>
    <row r="1192" customFormat="false" ht="15" hidden="false" customHeight="false" outlineLevel="0" collapsed="false">
      <c r="A1192" s="0" t="n">
        <v>102</v>
      </c>
      <c r="B1192" s="0" t="s">
        <v>1421</v>
      </c>
      <c r="C1192" s="0" t="s">
        <v>1455</v>
      </c>
      <c r="D1192" s="0" t="s">
        <v>1455</v>
      </c>
      <c r="E1192" s="0" t="s">
        <v>134</v>
      </c>
      <c r="F1192" s="0" t="s">
        <v>28</v>
      </c>
      <c r="I1192" s="0" t="n">
        <v>200</v>
      </c>
      <c r="J1192" s="0" t="n">
        <v>0.0526315789473684</v>
      </c>
      <c r="K1192" s="0" t="s">
        <v>1511</v>
      </c>
    </row>
    <row r="1193" customFormat="false" ht="15" hidden="false" customHeight="false" outlineLevel="0" collapsed="false">
      <c r="A1193" s="0" t="n">
        <v>102</v>
      </c>
      <c r="B1193" s="0" t="s">
        <v>1421</v>
      </c>
      <c r="C1193" s="0" t="s">
        <v>1455</v>
      </c>
      <c r="D1193" s="0" t="s">
        <v>1455</v>
      </c>
      <c r="E1193" s="0" t="s">
        <v>60</v>
      </c>
      <c r="F1193" s="0" t="s">
        <v>27</v>
      </c>
      <c r="I1193" s="0" t="n">
        <v>250</v>
      </c>
      <c r="J1193" s="0" t="n">
        <v>0.0657894736842105</v>
      </c>
      <c r="K1193" s="0" t="s">
        <v>1512</v>
      </c>
    </row>
    <row r="1194" customFormat="false" ht="15" hidden="false" customHeight="false" outlineLevel="0" collapsed="false">
      <c r="A1194" s="0" t="n">
        <v>102</v>
      </c>
      <c r="B1194" s="0" t="s">
        <v>1421</v>
      </c>
      <c r="C1194" s="0" t="s">
        <v>1455</v>
      </c>
      <c r="D1194" s="0" t="s">
        <v>1455</v>
      </c>
      <c r="E1194" s="0" t="s">
        <v>62</v>
      </c>
      <c r="F1194" s="0" t="s">
        <v>27</v>
      </c>
      <c r="I1194" s="0" t="n">
        <v>100</v>
      </c>
      <c r="J1194" s="0" t="n">
        <v>0.0263157894736842</v>
      </c>
      <c r="K1194" s="0" t="s">
        <v>1513</v>
      </c>
    </row>
    <row r="1195" customFormat="false" ht="15" hidden="false" customHeight="false" outlineLevel="0" collapsed="false">
      <c r="A1195" s="0" t="n">
        <v>102</v>
      </c>
      <c r="B1195" s="0" t="s">
        <v>1421</v>
      </c>
      <c r="C1195" s="0" t="s">
        <v>1455</v>
      </c>
      <c r="D1195" s="0" t="s">
        <v>1455</v>
      </c>
      <c r="E1195" s="0" t="s">
        <v>66</v>
      </c>
      <c r="F1195" s="0" t="s">
        <v>27</v>
      </c>
      <c r="I1195" s="0" t="n">
        <v>350</v>
      </c>
      <c r="J1195" s="0" t="n">
        <v>0.0921052631578947</v>
      </c>
      <c r="K1195" s="0" t="s">
        <v>1514</v>
      </c>
    </row>
    <row r="1196" customFormat="false" ht="15" hidden="false" customHeight="false" outlineLevel="0" collapsed="false">
      <c r="A1196" s="0" t="n">
        <v>102</v>
      </c>
      <c r="B1196" s="0" t="s">
        <v>1421</v>
      </c>
      <c r="C1196" s="0" t="s">
        <v>1455</v>
      </c>
      <c r="D1196" s="0" t="s">
        <v>1455</v>
      </c>
      <c r="E1196" s="0" t="s">
        <v>64</v>
      </c>
      <c r="F1196" s="0" t="s">
        <v>27</v>
      </c>
      <c r="I1196" s="0" t="n">
        <v>50</v>
      </c>
      <c r="J1196" s="0" t="n">
        <v>0.0131578947368421</v>
      </c>
      <c r="K1196" s="0" t="s">
        <v>1515</v>
      </c>
    </row>
    <row r="1197" customFormat="false" ht="15" hidden="false" customHeight="false" outlineLevel="0" collapsed="false">
      <c r="A1197" s="0" t="n">
        <v>102</v>
      </c>
      <c r="B1197" s="0" t="s">
        <v>1421</v>
      </c>
      <c r="C1197" s="0" t="s">
        <v>1455</v>
      </c>
      <c r="D1197" s="0" t="s">
        <v>1455</v>
      </c>
      <c r="E1197" s="0" t="s">
        <v>68</v>
      </c>
      <c r="F1197" s="0" t="s">
        <v>30</v>
      </c>
      <c r="I1197" s="0" t="n">
        <v>3700</v>
      </c>
      <c r="J1197" s="0" t="n">
        <v>0.973684210526316</v>
      </c>
      <c r="K1197" s="0" t="s">
        <v>1516</v>
      </c>
    </row>
    <row r="1198" customFormat="false" ht="15" hidden="false" customHeight="false" outlineLevel="0" collapsed="false">
      <c r="A1198" s="0" t="n">
        <v>103</v>
      </c>
      <c r="B1198" s="0" t="s">
        <v>1421</v>
      </c>
      <c r="C1198" s="0" t="s">
        <v>68</v>
      </c>
      <c r="D1198" s="0" t="s">
        <v>1407</v>
      </c>
      <c r="E1198" s="0" t="s">
        <v>53</v>
      </c>
      <c r="F1198" s="0" t="s">
        <v>27</v>
      </c>
      <c r="G1198" s="0" t="n">
        <v>0.55</v>
      </c>
      <c r="H1198" s="0" t="n">
        <v>1.2</v>
      </c>
      <c r="I1198" s="0" t="n">
        <v>2508</v>
      </c>
      <c r="J1198" s="0" t="n">
        <v>0.66</v>
      </c>
      <c r="K1198" s="0" t="s">
        <v>1517</v>
      </c>
      <c r="L1198" s="0" t="s">
        <v>1518</v>
      </c>
    </row>
    <row r="1199" customFormat="false" ht="15" hidden="false" customHeight="false" outlineLevel="0" collapsed="false">
      <c r="A1199" s="0" t="n">
        <v>103</v>
      </c>
      <c r="B1199" s="0" t="s">
        <v>1421</v>
      </c>
      <c r="C1199" s="0" t="s">
        <v>68</v>
      </c>
      <c r="D1199" s="0" t="s">
        <v>1407</v>
      </c>
      <c r="E1199" s="0" t="s">
        <v>56</v>
      </c>
      <c r="F1199" s="0" t="s">
        <v>28</v>
      </c>
      <c r="I1199" s="0" t="n">
        <v>700</v>
      </c>
      <c r="J1199" s="0" t="n">
        <v>0.18421052631579</v>
      </c>
      <c r="K1199" s="0" t="s">
        <v>1519</v>
      </c>
    </row>
    <row r="1200" customFormat="false" ht="15" hidden="false" customHeight="false" outlineLevel="0" collapsed="false">
      <c r="A1200" s="0" t="n">
        <v>103</v>
      </c>
      <c r="B1200" s="0" t="s">
        <v>1421</v>
      </c>
      <c r="C1200" s="0" t="s">
        <v>68</v>
      </c>
      <c r="D1200" s="0" t="s">
        <v>1407</v>
      </c>
      <c r="E1200" s="0" t="s">
        <v>379</v>
      </c>
      <c r="F1200" s="0" t="s">
        <v>29</v>
      </c>
      <c r="G1200" s="0" t="n">
        <v>0.5</v>
      </c>
      <c r="H1200" s="0" t="n">
        <v>11000</v>
      </c>
      <c r="I1200" s="0" t="n">
        <v>5500</v>
      </c>
      <c r="J1200" s="0" t="n">
        <v>1.44736842105263</v>
      </c>
      <c r="K1200" s="0" t="s">
        <v>1520</v>
      </c>
      <c r="L1200" s="0" t="s">
        <v>468</v>
      </c>
    </row>
    <row r="1201" customFormat="false" ht="15" hidden="false" customHeight="false" outlineLevel="0" collapsed="false">
      <c r="A1201" s="0" t="n">
        <v>103</v>
      </c>
      <c r="B1201" s="0" t="s">
        <v>1421</v>
      </c>
      <c r="C1201" s="0" t="s">
        <v>68</v>
      </c>
      <c r="D1201" s="0" t="s">
        <v>1407</v>
      </c>
      <c r="E1201" s="0" t="s">
        <v>58</v>
      </c>
      <c r="F1201" s="0" t="s">
        <v>28</v>
      </c>
      <c r="I1201" s="0" t="n">
        <v>2000</v>
      </c>
      <c r="J1201" s="0" t="n">
        <v>0.526315789473684</v>
      </c>
      <c r="K1201" s="0" t="s">
        <v>1521</v>
      </c>
    </row>
    <row r="1202" customFormat="false" ht="15" hidden="false" customHeight="false" outlineLevel="0" collapsed="false">
      <c r="A1202" s="0" t="n">
        <v>103</v>
      </c>
      <c r="B1202" s="0" t="s">
        <v>1421</v>
      </c>
      <c r="C1202" s="0" t="s">
        <v>68</v>
      </c>
      <c r="D1202" s="0" t="s">
        <v>1407</v>
      </c>
      <c r="E1202" s="0" t="s">
        <v>1426</v>
      </c>
      <c r="F1202" s="0" t="s">
        <v>31</v>
      </c>
      <c r="I1202" s="0" t="n">
        <v>0</v>
      </c>
      <c r="J1202" s="0" t="n">
        <v>0</v>
      </c>
      <c r="K1202" s="0" t="s">
        <v>1522</v>
      </c>
    </row>
    <row r="1203" customFormat="false" ht="15" hidden="false" customHeight="false" outlineLevel="0" collapsed="false">
      <c r="A1203" s="0" t="n">
        <v>103</v>
      </c>
      <c r="B1203" s="0" t="s">
        <v>1421</v>
      </c>
      <c r="C1203" s="0" t="s">
        <v>68</v>
      </c>
      <c r="D1203" s="0" t="s">
        <v>1407</v>
      </c>
      <c r="E1203" s="0" t="s">
        <v>1428</v>
      </c>
      <c r="F1203" s="0" t="s">
        <v>27</v>
      </c>
      <c r="I1203" s="0" t="n">
        <v>800</v>
      </c>
      <c r="J1203" s="0" t="n">
        <v>0.210526315789474</v>
      </c>
      <c r="K1203" s="0" t="s">
        <v>1523</v>
      </c>
    </row>
    <row r="1204" customFormat="false" ht="15" hidden="false" customHeight="false" outlineLevel="0" collapsed="false">
      <c r="A1204" s="0" t="n">
        <v>103</v>
      </c>
      <c r="B1204" s="0" t="s">
        <v>1421</v>
      </c>
      <c r="C1204" s="0" t="s">
        <v>68</v>
      </c>
      <c r="D1204" s="0" t="s">
        <v>1407</v>
      </c>
      <c r="E1204" s="0" t="s">
        <v>128</v>
      </c>
      <c r="F1204" s="0" t="s">
        <v>28</v>
      </c>
      <c r="I1204" s="0" t="n">
        <v>1000</v>
      </c>
      <c r="J1204" s="0" t="n">
        <v>0.263157894736842</v>
      </c>
      <c r="K1204" s="0" t="s">
        <v>1524</v>
      </c>
    </row>
    <row r="1205" customFormat="false" ht="15" hidden="false" customHeight="false" outlineLevel="0" collapsed="false">
      <c r="A1205" s="0" t="n">
        <v>103</v>
      </c>
      <c r="B1205" s="0" t="s">
        <v>1421</v>
      </c>
      <c r="C1205" s="0" t="s">
        <v>68</v>
      </c>
      <c r="D1205" s="0" t="s">
        <v>1407</v>
      </c>
      <c r="E1205" s="0" t="s">
        <v>130</v>
      </c>
      <c r="F1205" s="0" t="s">
        <v>29</v>
      </c>
      <c r="I1205" s="0" t="n">
        <v>0</v>
      </c>
      <c r="J1205" s="0" t="n">
        <v>0</v>
      </c>
      <c r="K1205" s="0" t="s">
        <v>1525</v>
      </c>
    </row>
    <row r="1206" customFormat="false" ht="15" hidden="false" customHeight="false" outlineLevel="0" collapsed="false">
      <c r="A1206" s="0" t="n">
        <v>103</v>
      </c>
      <c r="B1206" s="0" t="s">
        <v>1421</v>
      </c>
      <c r="C1206" s="0" t="s">
        <v>68</v>
      </c>
      <c r="D1206" s="0" t="s">
        <v>1407</v>
      </c>
      <c r="E1206" s="0" t="s">
        <v>158</v>
      </c>
      <c r="F1206" s="0" t="s">
        <v>28</v>
      </c>
      <c r="I1206" s="0" t="n">
        <v>2000</v>
      </c>
      <c r="J1206" s="0" t="n">
        <v>0.526315789473684</v>
      </c>
      <c r="K1206" s="0" t="s">
        <v>1526</v>
      </c>
    </row>
    <row r="1207" customFormat="false" ht="15" hidden="false" customHeight="false" outlineLevel="0" collapsed="false">
      <c r="A1207" s="0" t="n">
        <v>103</v>
      </c>
      <c r="B1207" s="0" t="s">
        <v>1421</v>
      </c>
      <c r="C1207" s="0" t="s">
        <v>68</v>
      </c>
      <c r="D1207" s="0" t="s">
        <v>1407</v>
      </c>
      <c r="E1207" s="0" t="s">
        <v>132</v>
      </c>
      <c r="F1207" s="0" t="s">
        <v>29</v>
      </c>
      <c r="I1207" s="0" t="n">
        <v>0</v>
      </c>
      <c r="J1207" s="0" t="n">
        <v>0</v>
      </c>
      <c r="K1207" s="0" t="s">
        <v>1527</v>
      </c>
    </row>
    <row r="1208" customFormat="false" ht="15" hidden="false" customHeight="false" outlineLevel="0" collapsed="false">
      <c r="A1208" s="0" t="n">
        <v>103</v>
      </c>
      <c r="B1208" s="0" t="s">
        <v>1421</v>
      </c>
      <c r="C1208" s="0" t="s">
        <v>68</v>
      </c>
      <c r="D1208" s="0" t="s">
        <v>1407</v>
      </c>
      <c r="E1208" s="0" t="s">
        <v>134</v>
      </c>
      <c r="F1208" s="0" t="s">
        <v>28</v>
      </c>
      <c r="I1208" s="0" t="n">
        <v>0</v>
      </c>
      <c r="J1208" s="0" t="n">
        <v>0</v>
      </c>
      <c r="K1208" s="0" t="s">
        <v>1528</v>
      </c>
    </row>
    <row r="1209" customFormat="false" ht="15" hidden="false" customHeight="false" outlineLevel="0" collapsed="false">
      <c r="A1209" s="0" t="n">
        <v>103</v>
      </c>
      <c r="B1209" s="0" t="s">
        <v>1421</v>
      </c>
      <c r="C1209" s="0" t="s">
        <v>68</v>
      </c>
      <c r="D1209" s="0" t="s">
        <v>1407</v>
      </c>
      <c r="E1209" s="0" t="s">
        <v>60</v>
      </c>
      <c r="F1209" s="0" t="s">
        <v>27</v>
      </c>
      <c r="I1209" s="0" t="n">
        <v>50</v>
      </c>
      <c r="J1209" s="0" t="n">
        <v>0.0131578947368421</v>
      </c>
      <c r="K1209" s="0" t="s">
        <v>1529</v>
      </c>
    </row>
    <row r="1210" customFormat="false" ht="15" hidden="false" customHeight="false" outlineLevel="0" collapsed="false">
      <c r="A1210" s="0" t="n">
        <v>103</v>
      </c>
      <c r="B1210" s="0" t="s">
        <v>1421</v>
      </c>
      <c r="C1210" s="0" t="s">
        <v>68</v>
      </c>
      <c r="D1210" s="0" t="s">
        <v>1407</v>
      </c>
      <c r="E1210" s="0" t="s">
        <v>62</v>
      </c>
      <c r="F1210" s="0" t="s">
        <v>27</v>
      </c>
      <c r="I1210" s="0" t="n">
        <v>100</v>
      </c>
      <c r="J1210" s="0" t="n">
        <v>0.0263157894736842</v>
      </c>
      <c r="K1210" s="0" t="s">
        <v>1530</v>
      </c>
    </row>
    <row r="1211" customFormat="false" ht="15" hidden="false" customHeight="false" outlineLevel="0" collapsed="false">
      <c r="A1211" s="0" t="n">
        <v>103</v>
      </c>
      <c r="B1211" s="0" t="s">
        <v>1421</v>
      </c>
      <c r="C1211" s="0" t="s">
        <v>68</v>
      </c>
      <c r="D1211" s="0" t="s">
        <v>1407</v>
      </c>
      <c r="E1211" s="0" t="s">
        <v>66</v>
      </c>
      <c r="F1211" s="0" t="s">
        <v>27</v>
      </c>
      <c r="I1211" s="0" t="n">
        <v>350</v>
      </c>
      <c r="J1211" s="0" t="n">
        <v>0.0921052631578947</v>
      </c>
      <c r="K1211" s="0" t="s">
        <v>1531</v>
      </c>
    </row>
    <row r="1212" customFormat="false" ht="15" hidden="false" customHeight="false" outlineLevel="0" collapsed="false">
      <c r="A1212" s="0" t="n">
        <v>103</v>
      </c>
      <c r="B1212" s="0" t="s">
        <v>1421</v>
      </c>
      <c r="C1212" s="0" t="s">
        <v>68</v>
      </c>
      <c r="D1212" s="0" t="s">
        <v>1407</v>
      </c>
      <c r="E1212" s="0" t="s">
        <v>64</v>
      </c>
      <c r="F1212" s="0" t="s">
        <v>27</v>
      </c>
      <c r="I1212" s="0" t="n">
        <v>750</v>
      </c>
      <c r="J1212" s="0" t="n">
        <v>0.197368421052632</v>
      </c>
      <c r="K1212" s="0" t="s">
        <v>1532</v>
      </c>
    </row>
    <row r="1213" customFormat="false" ht="15" hidden="false" customHeight="false" outlineLevel="0" collapsed="false">
      <c r="A1213" s="0" t="n">
        <v>103</v>
      </c>
      <c r="B1213" s="0" t="s">
        <v>1421</v>
      </c>
      <c r="C1213" s="0" t="s">
        <v>68</v>
      </c>
      <c r="D1213" s="0" t="s">
        <v>1407</v>
      </c>
      <c r="E1213" s="0" t="s">
        <v>68</v>
      </c>
      <c r="F1213" s="0" t="s">
        <v>30</v>
      </c>
      <c r="I1213" s="0" t="n">
        <v>2700</v>
      </c>
      <c r="J1213" s="0" t="n">
        <v>0.710526315789474</v>
      </c>
      <c r="K1213" s="0" t="s">
        <v>1533</v>
      </c>
    </row>
    <row r="1214" customFormat="false" ht="15" hidden="false" customHeight="false" outlineLevel="0" collapsed="false">
      <c r="A1214" s="0" t="n">
        <v>104</v>
      </c>
      <c r="B1214" s="0" t="s">
        <v>1421</v>
      </c>
      <c r="C1214" s="0" t="s">
        <v>68</v>
      </c>
      <c r="D1214" s="0" t="s">
        <v>1439</v>
      </c>
      <c r="E1214" s="0" t="s">
        <v>53</v>
      </c>
      <c r="F1214" s="0" t="s">
        <v>27</v>
      </c>
      <c r="G1214" s="0" t="n">
        <v>0.6</v>
      </c>
      <c r="H1214" s="0" t="n">
        <v>1.8</v>
      </c>
      <c r="I1214" s="0" t="n">
        <v>4104</v>
      </c>
      <c r="J1214" s="0" t="n">
        <v>1.08</v>
      </c>
      <c r="K1214" s="0" t="s">
        <v>1534</v>
      </c>
      <c r="L1214" s="0" t="s">
        <v>1487</v>
      </c>
    </row>
    <row r="1215" customFormat="false" ht="15" hidden="false" customHeight="false" outlineLevel="0" collapsed="false">
      <c r="A1215" s="0" t="n">
        <v>104</v>
      </c>
      <c r="B1215" s="0" t="s">
        <v>1421</v>
      </c>
      <c r="C1215" s="0" t="s">
        <v>68</v>
      </c>
      <c r="D1215" s="0" t="s">
        <v>1439</v>
      </c>
      <c r="E1215" s="0" t="s">
        <v>56</v>
      </c>
      <c r="F1215" s="0" t="s">
        <v>28</v>
      </c>
      <c r="I1215" s="0" t="n">
        <v>1000</v>
      </c>
      <c r="J1215" s="0" t="n">
        <v>0.263157894736842</v>
      </c>
      <c r="K1215" s="0" t="s">
        <v>1535</v>
      </c>
    </row>
    <row r="1216" customFormat="false" ht="15" hidden="false" customHeight="false" outlineLevel="0" collapsed="false">
      <c r="A1216" s="0" t="n">
        <v>104</v>
      </c>
      <c r="B1216" s="0" t="s">
        <v>1421</v>
      </c>
      <c r="C1216" s="0" t="s">
        <v>68</v>
      </c>
      <c r="D1216" s="0" t="s">
        <v>1439</v>
      </c>
      <c r="E1216" s="0" t="s">
        <v>379</v>
      </c>
      <c r="F1216" s="0" t="s">
        <v>29</v>
      </c>
      <c r="I1216" s="0" t="n">
        <v>7000</v>
      </c>
      <c r="J1216" s="0" t="n">
        <v>1.8421052631579</v>
      </c>
      <c r="K1216" s="0" t="s">
        <v>1536</v>
      </c>
    </row>
    <row r="1217" customFormat="false" ht="15" hidden="false" customHeight="false" outlineLevel="0" collapsed="false">
      <c r="A1217" s="0" t="n">
        <v>104</v>
      </c>
      <c r="B1217" s="0" t="s">
        <v>1421</v>
      </c>
      <c r="C1217" s="0" t="s">
        <v>68</v>
      </c>
      <c r="D1217" s="0" t="s">
        <v>1439</v>
      </c>
      <c r="E1217" s="0" t="s">
        <v>58</v>
      </c>
      <c r="F1217" s="0" t="s">
        <v>28</v>
      </c>
      <c r="I1217" s="0" t="n">
        <v>2500</v>
      </c>
      <c r="J1217" s="0" t="n">
        <v>0.657894736842105</v>
      </c>
      <c r="K1217" s="0" t="s">
        <v>1537</v>
      </c>
    </row>
    <row r="1218" customFormat="false" ht="15" hidden="false" customHeight="false" outlineLevel="0" collapsed="false">
      <c r="A1218" s="0" t="n">
        <v>104</v>
      </c>
      <c r="B1218" s="0" t="s">
        <v>1421</v>
      </c>
      <c r="C1218" s="0" t="s">
        <v>68</v>
      </c>
      <c r="D1218" s="0" t="s">
        <v>1439</v>
      </c>
      <c r="E1218" s="0" t="s">
        <v>1426</v>
      </c>
      <c r="F1218" s="0" t="s">
        <v>31</v>
      </c>
      <c r="I1218" s="0" t="n">
        <v>1000</v>
      </c>
      <c r="J1218" s="0" t="n">
        <v>0.263157894736842</v>
      </c>
      <c r="K1218" s="0" t="s">
        <v>1538</v>
      </c>
    </row>
    <row r="1219" customFormat="false" ht="15" hidden="false" customHeight="false" outlineLevel="0" collapsed="false">
      <c r="A1219" s="0" t="n">
        <v>104</v>
      </c>
      <c r="B1219" s="0" t="s">
        <v>1421</v>
      </c>
      <c r="C1219" s="0" t="s">
        <v>68</v>
      </c>
      <c r="D1219" s="0" t="s">
        <v>1439</v>
      </c>
      <c r="E1219" s="0" t="s">
        <v>1428</v>
      </c>
      <c r="F1219" s="0" t="s">
        <v>27</v>
      </c>
      <c r="I1219" s="0" t="n">
        <v>800</v>
      </c>
      <c r="J1219" s="0" t="n">
        <v>0.210526315789474</v>
      </c>
      <c r="K1219" s="0" t="s">
        <v>1539</v>
      </c>
    </row>
    <row r="1220" customFormat="false" ht="15" hidden="false" customHeight="false" outlineLevel="0" collapsed="false">
      <c r="A1220" s="0" t="n">
        <v>104</v>
      </c>
      <c r="B1220" s="0" t="s">
        <v>1421</v>
      </c>
      <c r="C1220" s="0" t="s">
        <v>68</v>
      </c>
      <c r="D1220" s="0" t="s">
        <v>1439</v>
      </c>
      <c r="E1220" s="0" t="s">
        <v>128</v>
      </c>
      <c r="F1220" s="0" t="s">
        <v>28</v>
      </c>
      <c r="I1220" s="0" t="n">
        <v>2000</v>
      </c>
      <c r="J1220" s="0" t="n">
        <v>0.526315789473684</v>
      </c>
      <c r="K1220" s="0" t="s">
        <v>1540</v>
      </c>
    </row>
    <row r="1221" customFormat="false" ht="15" hidden="false" customHeight="false" outlineLevel="0" collapsed="false">
      <c r="A1221" s="0" t="n">
        <v>104</v>
      </c>
      <c r="B1221" s="0" t="s">
        <v>1421</v>
      </c>
      <c r="C1221" s="0" t="s">
        <v>68</v>
      </c>
      <c r="D1221" s="0" t="s">
        <v>1439</v>
      </c>
      <c r="E1221" s="0" t="s">
        <v>130</v>
      </c>
      <c r="F1221" s="0" t="s">
        <v>29</v>
      </c>
      <c r="I1221" s="0" t="n">
        <v>1500</v>
      </c>
      <c r="J1221" s="0" t="n">
        <v>0.394736842105263</v>
      </c>
      <c r="K1221" s="0" t="s">
        <v>1541</v>
      </c>
    </row>
    <row r="1222" customFormat="false" ht="15" hidden="false" customHeight="false" outlineLevel="0" collapsed="false">
      <c r="A1222" s="0" t="n">
        <v>104</v>
      </c>
      <c r="B1222" s="0" t="s">
        <v>1421</v>
      </c>
      <c r="C1222" s="0" t="s">
        <v>68</v>
      </c>
      <c r="D1222" s="0" t="s">
        <v>1439</v>
      </c>
      <c r="E1222" s="0" t="s">
        <v>158</v>
      </c>
      <c r="F1222" s="0" t="s">
        <v>28</v>
      </c>
      <c r="I1222" s="0" t="n">
        <v>2000</v>
      </c>
      <c r="J1222" s="0" t="n">
        <v>0.526315789473684</v>
      </c>
      <c r="K1222" s="0" t="s">
        <v>1542</v>
      </c>
    </row>
    <row r="1223" customFormat="false" ht="15" hidden="false" customHeight="false" outlineLevel="0" collapsed="false">
      <c r="A1223" s="0" t="n">
        <v>104</v>
      </c>
      <c r="B1223" s="0" t="s">
        <v>1421</v>
      </c>
      <c r="C1223" s="0" t="s">
        <v>68</v>
      </c>
      <c r="D1223" s="0" t="s">
        <v>1439</v>
      </c>
      <c r="E1223" s="0" t="s">
        <v>132</v>
      </c>
      <c r="F1223" s="0" t="s">
        <v>29</v>
      </c>
      <c r="I1223" s="0" t="n">
        <v>200</v>
      </c>
      <c r="J1223" s="0" t="n">
        <v>0.0526315789473684</v>
      </c>
      <c r="K1223" s="0" t="s">
        <v>1543</v>
      </c>
    </row>
    <row r="1224" customFormat="false" ht="15" hidden="false" customHeight="false" outlineLevel="0" collapsed="false">
      <c r="A1224" s="0" t="n">
        <v>104</v>
      </c>
      <c r="B1224" s="0" t="s">
        <v>1421</v>
      </c>
      <c r="C1224" s="0" t="s">
        <v>68</v>
      </c>
      <c r="D1224" s="0" t="s">
        <v>1439</v>
      </c>
      <c r="E1224" s="0" t="s">
        <v>134</v>
      </c>
      <c r="F1224" s="0" t="s">
        <v>28</v>
      </c>
      <c r="I1224" s="0" t="n">
        <v>200</v>
      </c>
      <c r="J1224" s="0" t="n">
        <v>0.0526315789473684</v>
      </c>
      <c r="K1224" s="0" t="s">
        <v>1544</v>
      </c>
    </row>
    <row r="1225" customFormat="false" ht="15" hidden="false" customHeight="false" outlineLevel="0" collapsed="false">
      <c r="A1225" s="0" t="n">
        <v>104</v>
      </c>
      <c r="B1225" s="0" t="s">
        <v>1421</v>
      </c>
      <c r="C1225" s="0" t="s">
        <v>68</v>
      </c>
      <c r="D1225" s="0" t="s">
        <v>1439</v>
      </c>
      <c r="E1225" s="0" t="s">
        <v>60</v>
      </c>
      <c r="F1225" s="0" t="s">
        <v>27</v>
      </c>
      <c r="I1225" s="0" t="n">
        <v>250</v>
      </c>
      <c r="J1225" s="0" t="n">
        <v>0.0657894736842105</v>
      </c>
      <c r="K1225" s="0" t="s">
        <v>1545</v>
      </c>
    </row>
    <row r="1226" customFormat="false" ht="15" hidden="false" customHeight="false" outlineLevel="0" collapsed="false">
      <c r="A1226" s="0" t="n">
        <v>104</v>
      </c>
      <c r="B1226" s="0" t="s">
        <v>1421</v>
      </c>
      <c r="C1226" s="0" t="s">
        <v>68</v>
      </c>
      <c r="D1226" s="0" t="s">
        <v>1439</v>
      </c>
      <c r="E1226" s="0" t="s">
        <v>62</v>
      </c>
      <c r="F1226" s="0" t="s">
        <v>27</v>
      </c>
      <c r="I1226" s="0" t="n">
        <v>100</v>
      </c>
      <c r="J1226" s="0" t="n">
        <v>0.0263157894736842</v>
      </c>
      <c r="K1226" s="0" t="s">
        <v>1546</v>
      </c>
    </row>
    <row r="1227" customFormat="false" ht="15" hidden="false" customHeight="false" outlineLevel="0" collapsed="false">
      <c r="A1227" s="0" t="n">
        <v>104</v>
      </c>
      <c r="B1227" s="0" t="s">
        <v>1421</v>
      </c>
      <c r="C1227" s="0" t="s">
        <v>68</v>
      </c>
      <c r="D1227" s="0" t="s">
        <v>1439</v>
      </c>
      <c r="E1227" s="0" t="s">
        <v>66</v>
      </c>
      <c r="F1227" s="0" t="s">
        <v>27</v>
      </c>
      <c r="I1227" s="0" t="n">
        <v>350</v>
      </c>
      <c r="J1227" s="0" t="n">
        <v>0.0921052631578947</v>
      </c>
      <c r="K1227" s="0" t="s">
        <v>1547</v>
      </c>
    </row>
    <row r="1228" customFormat="false" ht="15" hidden="false" customHeight="false" outlineLevel="0" collapsed="false">
      <c r="A1228" s="0" t="n">
        <v>104</v>
      </c>
      <c r="B1228" s="0" t="s">
        <v>1421</v>
      </c>
      <c r="C1228" s="0" t="s">
        <v>68</v>
      </c>
      <c r="D1228" s="0" t="s">
        <v>1439</v>
      </c>
      <c r="E1228" s="0" t="s">
        <v>64</v>
      </c>
      <c r="F1228" s="0" t="s">
        <v>27</v>
      </c>
      <c r="I1228" s="0" t="n">
        <v>750</v>
      </c>
      <c r="J1228" s="0" t="n">
        <v>0.197368421052632</v>
      </c>
      <c r="K1228" s="0" t="s">
        <v>1548</v>
      </c>
    </row>
    <row r="1229" customFormat="false" ht="15" hidden="false" customHeight="false" outlineLevel="0" collapsed="false">
      <c r="A1229" s="0" t="n">
        <v>104</v>
      </c>
      <c r="B1229" s="0" t="s">
        <v>1421</v>
      </c>
      <c r="C1229" s="0" t="s">
        <v>68</v>
      </c>
      <c r="D1229" s="0" t="s">
        <v>1439</v>
      </c>
      <c r="E1229" s="0" t="s">
        <v>68</v>
      </c>
      <c r="F1229" s="0" t="s">
        <v>30</v>
      </c>
      <c r="I1229" s="0" t="n">
        <v>4000</v>
      </c>
      <c r="J1229" s="0" t="n">
        <v>1.05263157894737</v>
      </c>
      <c r="K1229" s="0" t="s">
        <v>1549</v>
      </c>
    </row>
    <row r="1230" customFormat="false" ht="15" hidden="false" customHeight="false" outlineLevel="0" collapsed="false">
      <c r="A1230" s="0" t="n">
        <v>105</v>
      </c>
      <c r="B1230" s="0" t="s">
        <v>1421</v>
      </c>
      <c r="C1230" s="0" t="s">
        <v>1455</v>
      </c>
      <c r="D1230" s="0" t="s">
        <v>1455</v>
      </c>
      <c r="E1230" s="0" t="s">
        <v>53</v>
      </c>
      <c r="F1230" s="0" t="s">
        <v>27</v>
      </c>
      <c r="G1230" s="0" t="n">
        <v>0.8</v>
      </c>
      <c r="H1230" s="0" t="n">
        <v>1.8</v>
      </c>
      <c r="I1230" s="0" t="n">
        <v>5472</v>
      </c>
      <c r="J1230" s="0" t="n">
        <v>1.44</v>
      </c>
      <c r="K1230" s="0" t="s">
        <v>1550</v>
      </c>
      <c r="L1230" s="0" t="s">
        <v>1457</v>
      </c>
    </row>
    <row r="1231" customFormat="false" ht="15" hidden="false" customHeight="false" outlineLevel="0" collapsed="false">
      <c r="A1231" s="0" t="n">
        <v>105</v>
      </c>
      <c r="B1231" s="0" t="s">
        <v>1421</v>
      </c>
      <c r="C1231" s="0" t="s">
        <v>1455</v>
      </c>
      <c r="D1231" s="0" t="s">
        <v>1455</v>
      </c>
      <c r="E1231" s="0" t="s">
        <v>56</v>
      </c>
      <c r="F1231" s="0" t="s">
        <v>28</v>
      </c>
      <c r="I1231" s="0" t="n">
        <v>1400</v>
      </c>
      <c r="J1231" s="0" t="n">
        <v>0.368421052631579</v>
      </c>
      <c r="K1231" s="0" t="s">
        <v>1551</v>
      </c>
    </row>
    <row r="1232" customFormat="false" ht="15" hidden="false" customHeight="false" outlineLevel="0" collapsed="false">
      <c r="A1232" s="0" t="n">
        <v>105</v>
      </c>
      <c r="B1232" s="0" t="s">
        <v>1421</v>
      </c>
      <c r="C1232" s="0" t="s">
        <v>1455</v>
      </c>
      <c r="D1232" s="0" t="s">
        <v>1455</v>
      </c>
      <c r="E1232" s="0" t="s">
        <v>379</v>
      </c>
      <c r="F1232" s="0" t="s">
        <v>29</v>
      </c>
      <c r="I1232" s="0" t="n">
        <v>8000</v>
      </c>
      <c r="J1232" s="0" t="n">
        <v>2.10526315789474</v>
      </c>
      <c r="K1232" s="0" t="s">
        <v>1552</v>
      </c>
    </row>
    <row r="1233" customFormat="false" ht="15" hidden="false" customHeight="false" outlineLevel="0" collapsed="false">
      <c r="A1233" s="0" t="n">
        <v>105</v>
      </c>
      <c r="B1233" s="0" t="s">
        <v>1421</v>
      </c>
      <c r="C1233" s="0" t="s">
        <v>1455</v>
      </c>
      <c r="D1233" s="0" t="s">
        <v>1455</v>
      </c>
      <c r="E1233" s="0" t="s">
        <v>58</v>
      </c>
      <c r="F1233" s="0" t="s">
        <v>28</v>
      </c>
      <c r="I1233" s="0" t="n">
        <v>2500</v>
      </c>
      <c r="J1233" s="0" t="n">
        <v>0.657894736842105</v>
      </c>
      <c r="K1233" s="0" t="s">
        <v>1553</v>
      </c>
    </row>
    <row r="1234" customFormat="false" ht="15" hidden="false" customHeight="false" outlineLevel="0" collapsed="false">
      <c r="A1234" s="0" t="n">
        <v>105</v>
      </c>
      <c r="B1234" s="0" t="s">
        <v>1421</v>
      </c>
      <c r="C1234" s="0" t="s">
        <v>1455</v>
      </c>
      <c r="D1234" s="0" t="s">
        <v>1455</v>
      </c>
      <c r="E1234" s="0" t="s">
        <v>1426</v>
      </c>
      <c r="F1234" s="0" t="s">
        <v>31</v>
      </c>
      <c r="I1234" s="0" t="n">
        <v>1000</v>
      </c>
      <c r="J1234" s="0" t="n">
        <v>0.263157894736842</v>
      </c>
      <c r="K1234" s="0" t="s">
        <v>1554</v>
      </c>
    </row>
    <row r="1235" customFormat="false" ht="15" hidden="false" customHeight="false" outlineLevel="0" collapsed="false">
      <c r="A1235" s="0" t="n">
        <v>105</v>
      </c>
      <c r="B1235" s="0" t="s">
        <v>1421</v>
      </c>
      <c r="C1235" s="0" t="s">
        <v>1455</v>
      </c>
      <c r="D1235" s="0" t="s">
        <v>1455</v>
      </c>
      <c r="E1235" s="0" t="s">
        <v>1428</v>
      </c>
      <c r="F1235" s="0" t="s">
        <v>27</v>
      </c>
      <c r="I1235" s="0" t="n">
        <v>800</v>
      </c>
      <c r="J1235" s="0" t="n">
        <v>0.210526315789474</v>
      </c>
      <c r="K1235" s="0" t="s">
        <v>1555</v>
      </c>
    </row>
    <row r="1236" customFormat="false" ht="15" hidden="false" customHeight="false" outlineLevel="0" collapsed="false">
      <c r="A1236" s="0" t="n">
        <v>105</v>
      </c>
      <c r="B1236" s="0" t="s">
        <v>1421</v>
      </c>
      <c r="C1236" s="0" t="s">
        <v>1455</v>
      </c>
      <c r="D1236" s="0" t="s">
        <v>1455</v>
      </c>
      <c r="E1236" s="0" t="s">
        <v>128</v>
      </c>
      <c r="F1236" s="0" t="s">
        <v>28</v>
      </c>
      <c r="I1236" s="0" t="n">
        <v>2000</v>
      </c>
      <c r="J1236" s="0" t="n">
        <v>0.526315789473684</v>
      </c>
      <c r="K1236" s="0" t="s">
        <v>1556</v>
      </c>
    </row>
    <row r="1237" customFormat="false" ht="15" hidden="false" customHeight="false" outlineLevel="0" collapsed="false">
      <c r="A1237" s="0" t="n">
        <v>105</v>
      </c>
      <c r="B1237" s="0" t="s">
        <v>1421</v>
      </c>
      <c r="C1237" s="0" t="s">
        <v>1455</v>
      </c>
      <c r="D1237" s="0" t="s">
        <v>1455</v>
      </c>
      <c r="E1237" s="0" t="s">
        <v>130</v>
      </c>
      <c r="F1237" s="0" t="s">
        <v>29</v>
      </c>
      <c r="I1237" s="0" t="n">
        <v>1500</v>
      </c>
      <c r="J1237" s="0" t="n">
        <v>0.394736842105263</v>
      </c>
      <c r="K1237" s="0" t="s">
        <v>1557</v>
      </c>
    </row>
    <row r="1238" customFormat="false" ht="15" hidden="false" customHeight="false" outlineLevel="0" collapsed="false">
      <c r="A1238" s="0" t="n">
        <v>105</v>
      </c>
      <c r="B1238" s="0" t="s">
        <v>1421</v>
      </c>
      <c r="C1238" s="0" t="s">
        <v>1455</v>
      </c>
      <c r="D1238" s="0" t="s">
        <v>1455</v>
      </c>
      <c r="E1238" s="0" t="s">
        <v>158</v>
      </c>
      <c r="F1238" s="0" t="s">
        <v>28</v>
      </c>
      <c r="I1238" s="0" t="n">
        <v>2000</v>
      </c>
      <c r="J1238" s="0" t="n">
        <v>0.526315789473684</v>
      </c>
      <c r="K1238" s="0" t="s">
        <v>1558</v>
      </c>
    </row>
    <row r="1239" customFormat="false" ht="15" hidden="false" customHeight="false" outlineLevel="0" collapsed="false">
      <c r="A1239" s="0" t="n">
        <v>105</v>
      </c>
      <c r="B1239" s="0" t="s">
        <v>1421</v>
      </c>
      <c r="C1239" s="0" t="s">
        <v>1455</v>
      </c>
      <c r="D1239" s="0" t="s">
        <v>1455</v>
      </c>
      <c r="E1239" s="0" t="s">
        <v>132</v>
      </c>
      <c r="F1239" s="0" t="s">
        <v>29</v>
      </c>
      <c r="I1239" s="0" t="n">
        <v>200</v>
      </c>
      <c r="J1239" s="0" t="n">
        <v>0.0526315789473684</v>
      </c>
      <c r="K1239" s="0" t="s">
        <v>1559</v>
      </c>
    </row>
    <row r="1240" customFormat="false" ht="15" hidden="false" customHeight="false" outlineLevel="0" collapsed="false">
      <c r="A1240" s="0" t="n">
        <v>105</v>
      </c>
      <c r="B1240" s="0" t="s">
        <v>1421</v>
      </c>
      <c r="C1240" s="0" t="s">
        <v>1455</v>
      </c>
      <c r="D1240" s="0" t="s">
        <v>1455</v>
      </c>
      <c r="E1240" s="0" t="s">
        <v>134</v>
      </c>
      <c r="F1240" s="0" t="s">
        <v>28</v>
      </c>
      <c r="I1240" s="0" t="n">
        <v>200</v>
      </c>
      <c r="J1240" s="0" t="n">
        <v>0.0526315789473684</v>
      </c>
      <c r="K1240" s="0" t="s">
        <v>1560</v>
      </c>
    </row>
    <row r="1241" customFormat="false" ht="15" hidden="false" customHeight="false" outlineLevel="0" collapsed="false">
      <c r="A1241" s="0" t="n">
        <v>105</v>
      </c>
      <c r="B1241" s="0" t="s">
        <v>1421</v>
      </c>
      <c r="C1241" s="0" t="s">
        <v>1455</v>
      </c>
      <c r="D1241" s="0" t="s">
        <v>1455</v>
      </c>
      <c r="E1241" s="0" t="s">
        <v>60</v>
      </c>
      <c r="F1241" s="0" t="s">
        <v>27</v>
      </c>
      <c r="I1241" s="0" t="n">
        <v>250</v>
      </c>
      <c r="J1241" s="0" t="n">
        <v>0.0657894736842105</v>
      </c>
      <c r="K1241" s="0" t="s">
        <v>1561</v>
      </c>
    </row>
    <row r="1242" customFormat="false" ht="15" hidden="false" customHeight="false" outlineLevel="0" collapsed="false">
      <c r="A1242" s="0" t="n">
        <v>105</v>
      </c>
      <c r="B1242" s="0" t="s">
        <v>1421</v>
      </c>
      <c r="C1242" s="0" t="s">
        <v>1455</v>
      </c>
      <c r="D1242" s="0" t="s">
        <v>1455</v>
      </c>
      <c r="E1242" s="0" t="s">
        <v>62</v>
      </c>
      <c r="F1242" s="0" t="s">
        <v>27</v>
      </c>
      <c r="I1242" s="0" t="n">
        <v>100</v>
      </c>
      <c r="J1242" s="0" t="n">
        <v>0.0263157894736842</v>
      </c>
      <c r="K1242" s="0" t="s">
        <v>1562</v>
      </c>
    </row>
    <row r="1243" customFormat="false" ht="15" hidden="false" customHeight="false" outlineLevel="0" collapsed="false">
      <c r="A1243" s="0" t="n">
        <v>105</v>
      </c>
      <c r="B1243" s="0" t="s">
        <v>1421</v>
      </c>
      <c r="C1243" s="0" t="s">
        <v>1455</v>
      </c>
      <c r="D1243" s="0" t="s">
        <v>1455</v>
      </c>
      <c r="E1243" s="0" t="s">
        <v>66</v>
      </c>
      <c r="F1243" s="0" t="s">
        <v>27</v>
      </c>
      <c r="I1243" s="0" t="n">
        <v>350</v>
      </c>
      <c r="J1243" s="0" t="n">
        <v>0.0921052631578947</v>
      </c>
      <c r="K1243" s="0" t="s">
        <v>1563</v>
      </c>
    </row>
    <row r="1244" customFormat="false" ht="15" hidden="false" customHeight="false" outlineLevel="0" collapsed="false">
      <c r="A1244" s="0" t="n">
        <v>105</v>
      </c>
      <c r="B1244" s="0" t="s">
        <v>1421</v>
      </c>
      <c r="C1244" s="0" t="s">
        <v>1455</v>
      </c>
      <c r="D1244" s="0" t="s">
        <v>1455</v>
      </c>
      <c r="E1244" s="0" t="s">
        <v>64</v>
      </c>
      <c r="F1244" s="0" t="s">
        <v>27</v>
      </c>
      <c r="I1244" s="0" t="n">
        <v>750</v>
      </c>
      <c r="J1244" s="0" t="n">
        <v>0.197368421052632</v>
      </c>
      <c r="K1244" s="0" t="s">
        <v>1564</v>
      </c>
    </row>
    <row r="1245" customFormat="false" ht="15" hidden="false" customHeight="false" outlineLevel="0" collapsed="false">
      <c r="A1245" s="0" t="n">
        <v>105</v>
      </c>
      <c r="B1245" s="0" t="s">
        <v>1421</v>
      </c>
      <c r="C1245" s="0" t="s">
        <v>1455</v>
      </c>
      <c r="D1245" s="0" t="s">
        <v>1455</v>
      </c>
      <c r="E1245" s="0" t="s">
        <v>68</v>
      </c>
      <c r="F1245" s="0" t="s">
        <v>30</v>
      </c>
      <c r="I1245" s="0" t="n">
        <v>4000</v>
      </c>
      <c r="J1245" s="0" t="n">
        <v>1.05263157894737</v>
      </c>
      <c r="K1245" s="0" t="s">
        <v>1565</v>
      </c>
    </row>
    <row r="1246" customFormat="false" ht="15" hidden="false" customHeight="false" outlineLevel="0" collapsed="false">
      <c r="A1246" s="0" t="n">
        <v>106</v>
      </c>
      <c r="B1246" s="0" t="s">
        <v>1566</v>
      </c>
      <c r="C1246" s="0" t="s">
        <v>734</v>
      </c>
      <c r="D1246" s="0" t="s">
        <v>734</v>
      </c>
      <c r="E1246" s="0" t="s">
        <v>1567</v>
      </c>
      <c r="F1246" s="0" t="s">
        <v>27</v>
      </c>
      <c r="G1246" s="0" t="n">
        <v>1.5</v>
      </c>
      <c r="H1246" s="0" t="n">
        <v>3</v>
      </c>
      <c r="I1246" s="0" t="n">
        <v>17550</v>
      </c>
      <c r="J1246" s="0" t="n">
        <v>4.5</v>
      </c>
      <c r="K1246" s="0" t="s">
        <v>1568</v>
      </c>
      <c r="L1246" s="0" t="s">
        <v>1569</v>
      </c>
    </row>
    <row r="1247" customFormat="false" ht="15" hidden="false" customHeight="false" outlineLevel="0" collapsed="false">
      <c r="A1247" s="0" t="n">
        <v>106</v>
      </c>
      <c r="B1247" s="0" t="s">
        <v>1566</v>
      </c>
      <c r="C1247" s="0" t="s">
        <v>734</v>
      </c>
      <c r="D1247" s="0" t="s">
        <v>734</v>
      </c>
      <c r="E1247" s="0" t="s">
        <v>56</v>
      </c>
      <c r="F1247" s="0" t="s">
        <v>28</v>
      </c>
      <c r="I1247" s="0" t="n">
        <v>700</v>
      </c>
      <c r="J1247" s="0" t="n">
        <v>0.17948717948718</v>
      </c>
      <c r="K1247" s="0" t="s">
        <v>1570</v>
      </c>
    </row>
    <row r="1248" customFormat="false" ht="15" hidden="false" customHeight="false" outlineLevel="0" collapsed="false">
      <c r="A1248" s="0" t="n">
        <v>106</v>
      </c>
      <c r="B1248" s="0" t="s">
        <v>1566</v>
      </c>
      <c r="C1248" s="0" t="s">
        <v>734</v>
      </c>
      <c r="D1248" s="0" t="s">
        <v>734</v>
      </c>
      <c r="E1248" s="0" t="s">
        <v>58</v>
      </c>
      <c r="F1248" s="0" t="s">
        <v>28</v>
      </c>
      <c r="I1248" s="0" t="n">
        <v>4500</v>
      </c>
      <c r="J1248" s="0" t="n">
        <v>1.15384615384615</v>
      </c>
      <c r="K1248" s="0" t="s">
        <v>1571</v>
      </c>
    </row>
    <row r="1249" customFormat="false" ht="15" hidden="false" customHeight="false" outlineLevel="0" collapsed="false">
      <c r="A1249" s="0" t="n">
        <v>106</v>
      </c>
      <c r="B1249" s="0" t="s">
        <v>1566</v>
      </c>
      <c r="C1249" s="0" t="s">
        <v>734</v>
      </c>
      <c r="D1249" s="0" t="s">
        <v>734</v>
      </c>
      <c r="E1249" s="0" t="s">
        <v>740</v>
      </c>
      <c r="F1249" s="0" t="s">
        <v>27</v>
      </c>
      <c r="I1249" s="0" t="n">
        <v>3000</v>
      </c>
      <c r="J1249" s="0" t="n">
        <v>0.769230769230769</v>
      </c>
      <c r="K1249" s="0" t="s">
        <v>1572</v>
      </c>
    </row>
    <row r="1250" customFormat="false" ht="15" hidden="false" customHeight="false" outlineLevel="0" collapsed="false">
      <c r="A1250" s="0" t="n">
        <v>106</v>
      </c>
      <c r="B1250" s="0" t="s">
        <v>1566</v>
      </c>
      <c r="C1250" s="0" t="s">
        <v>734</v>
      </c>
      <c r="D1250" s="0" t="s">
        <v>734</v>
      </c>
      <c r="E1250" s="0" t="s">
        <v>128</v>
      </c>
      <c r="F1250" s="0" t="s">
        <v>28</v>
      </c>
      <c r="I1250" s="0" t="n">
        <v>500</v>
      </c>
      <c r="J1250" s="0" t="n">
        <v>0.128205128205128</v>
      </c>
      <c r="K1250" s="0" t="s">
        <v>1573</v>
      </c>
    </row>
    <row r="1251" customFormat="false" ht="15" hidden="false" customHeight="false" outlineLevel="0" collapsed="false">
      <c r="A1251" s="0" t="n">
        <v>106</v>
      </c>
      <c r="B1251" s="0" t="s">
        <v>1566</v>
      </c>
      <c r="C1251" s="0" t="s">
        <v>734</v>
      </c>
      <c r="D1251" s="0" t="s">
        <v>734</v>
      </c>
      <c r="E1251" s="0" t="s">
        <v>1263</v>
      </c>
      <c r="F1251" s="0" t="s">
        <v>29</v>
      </c>
      <c r="I1251" s="0" t="n">
        <v>15000</v>
      </c>
      <c r="J1251" s="0" t="n">
        <v>3.84615384615385</v>
      </c>
      <c r="K1251" s="0" t="s">
        <v>1574</v>
      </c>
    </row>
    <row r="1252" customFormat="false" ht="15" hidden="false" customHeight="false" outlineLevel="0" collapsed="false">
      <c r="A1252" s="0" t="n">
        <v>106</v>
      </c>
      <c r="B1252" s="0" t="s">
        <v>1566</v>
      </c>
      <c r="C1252" s="0" t="s">
        <v>734</v>
      </c>
      <c r="D1252" s="0" t="s">
        <v>734</v>
      </c>
      <c r="E1252" s="0" t="s">
        <v>158</v>
      </c>
      <c r="F1252" s="0" t="s">
        <v>28</v>
      </c>
      <c r="I1252" s="0" t="n">
        <v>2000</v>
      </c>
      <c r="J1252" s="0" t="n">
        <v>0.512820512820513</v>
      </c>
      <c r="K1252" s="0" t="s">
        <v>1575</v>
      </c>
    </row>
    <row r="1253" customFormat="false" ht="15" hidden="false" customHeight="false" outlineLevel="0" collapsed="false">
      <c r="A1253" s="0" t="n">
        <v>106</v>
      </c>
      <c r="B1253" s="0" t="s">
        <v>1566</v>
      </c>
      <c r="C1253" s="0" t="s">
        <v>734</v>
      </c>
      <c r="D1253" s="0" t="s">
        <v>734</v>
      </c>
      <c r="E1253" s="0" t="s">
        <v>60</v>
      </c>
      <c r="F1253" s="0" t="s">
        <v>27</v>
      </c>
      <c r="I1253" s="0" t="n">
        <v>0</v>
      </c>
      <c r="J1253" s="0" t="n">
        <v>0</v>
      </c>
      <c r="K1253" s="0" t="s">
        <v>1576</v>
      </c>
    </row>
    <row r="1254" customFormat="false" ht="15" hidden="false" customHeight="false" outlineLevel="0" collapsed="false">
      <c r="A1254" s="0" t="n">
        <v>106</v>
      </c>
      <c r="B1254" s="0" t="s">
        <v>1566</v>
      </c>
      <c r="C1254" s="0" t="s">
        <v>734</v>
      </c>
      <c r="D1254" s="0" t="s">
        <v>734</v>
      </c>
      <c r="E1254" s="0" t="s">
        <v>62</v>
      </c>
      <c r="F1254" s="0" t="s">
        <v>27</v>
      </c>
      <c r="I1254" s="0" t="n">
        <v>0</v>
      </c>
      <c r="J1254" s="0" t="n">
        <v>0</v>
      </c>
      <c r="K1254" s="0" t="s">
        <v>1577</v>
      </c>
    </row>
    <row r="1255" customFormat="false" ht="15" hidden="false" customHeight="false" outlineLevel="0" collapsed="false">
      <c r="A1255" s="0" t="n">
        <v>106</v>
      </c>
      <c r="B1255" s="0" t="s">
        <v>1566</v>
      </c>
      <c r="C1255" s="0" t="s">
        <v>734</v>
      </c>
      <c r="D1255" s="0" t="s">
        <v>734</v>
      </c>
      <c r="E1255" s="0" t="s">
        <v>66</v>
      </c>
      <c r="F1255" s="0" t="s">
        <v>27</v>
      </c>
      <c r="I1255" s="0" t="n">
        <v>350</v>
      </c>
      <c r="J1255" s="0" t="n">
        <v>0.0897435897435897</v>
      </c>
      <c r="K1255" s="0" t="s">
        <v>1578</v>
      </c>
    </row>
    <row r="1256" customFormat="false" ht="15" hidden="false" customHeight="false" outlineLevel="0" collapsed="false">
      <c r="A1256" s="0" t="n">
        <v>106</v>
      </c>
      <c r="B1256" s="0" t="s">
        <v>1566</v>
      </c>
      <c r="C1256" s="0" t="s">
        <v>734</v>
      </c>
      <c r="D1256" s="0" t="s">
        <v>734</v>
      </c>
      <c r="E1256" s="0" t="s">
        <v>64</v>
      </c>
      <c r="F1256" s="0" t="s">
        <v>27</v>
      </c>
      <c r="I1256" s="0" t="n">
        <v>500</v>
      </c>
      <c r="J1256" s="0" t="n">
        <v>0.128205128205128</v>
      </c>
      <c r="K1256" s="0" t="s">
        <v>1579</v>
      </c>
    </row>
    <row r="1257" customFormat="false" ht="15" hidden="false" customHeight="false" outlineLevel="0" collapsed="false">
      <c r="A1257" s="0" t="n">
        <v>106</v>
      </c>
      <c r="B1257" s="0" t="s">
        <v>1566</v>
      </c>
      <c r="C1257" s="0" t="s">
        <v>734</v>
      </c>
      <c r="D1257" s="0" t="s">
        <v>734</v>
      </c>
      <c r="E1257" s="0" t="s">
        <v>68</v>
      </c>
      <c r="F1257" s="0" t="s">
        <v>30</v>
      </c>
      <c r="I1257" s="0" t="n">
        <v>4000</v>
      </c>
      <c r="J1257" s="0" t="n">
        <v>1.02564102564103</v>
      </c>
      <c r="K1257" s="0" t="s">
        <v>1580</v>
      </c>
    </row>
    <row r="1258" customFormat="false" ht="15" hidden="false" customHeight="false" outlineLevel="0" collapsed="false">
      <c r="A1258" s="0" t="n">
        <v>107</v>
      </c>
      <c r="B1258" s="0" t="s">
        <v>1566</v>
      </c>
      <c r="C1258" s="0" t="s">
        <v>734</v>
      </c>
      <c r="D1258" s="0" t="s">
        <v>734</v>
      </c>
      <c r="E1258" s="0" t="s">
        <v>1567</v>
      </c>
      <c r="F1258" s="0" t="s">
        <v>27</v>
      </c>
      <c r="G1258" s="0" t="n">
        <v>1.5</v>
      </c>
      <c r="H1258" s="0" t="n">
        <v>5</v>
      </c>
      <c r="I1258" s="0" t="n">
        <v>28500</v>
      </c>
      <c r="J1258" s="0" t="n">
        <v>7.5</v>
      </c>
      <c r="K1258" s="0" t="s">
        <v>1581</v>
      </c>
      <c r="L1258" s="0" t="s">
        <v>1582</v>
      </c>
    </row>
    <row r="1259" customFormat="false" ht="15" hidden="false" customHeight="false" outlineLevel="0" collapsed="false">
      <c r="A1259" s="0" t="n">
        <v>107</v>
      </c>
      <c r="B1259" s="0" t="s">
        <v>1566</v>
      </c>
      <c r="C1259" s="0" t="s">
        <v>734</v>
      </c>
      <c r="D1259" s="0" t="s">
        <v>734</v>
      </c>
      <c r="E1259" s="0" t="s">
        <v>56</v>
      </c>
      <c r="F1259" s="0" t="s">
        <v>28</v>
      </c>
      <c r="I1259" s="0" t="n">
        <v>700</v>
      </c>
      <c r="J1259" s="0" t="n">
        <v>0.18421052631579</v>
      </c>
      <c r="K1259" s="0" t="s">
        <v>1583</v>
      </c>
    </row>
    <row r="1260" customFormat="false" ht="15" hidden="false" customHeight="false" outlineLevel="0" collapsed="false">
      <c r="A1260" s="0" t="n">
        <v>107</v>
      </c>
      <c r="B1260" s="0" t="s">
        <v>1566</v>
      </c>
      <c r="C1260" s="0" t="s">
        <v>734</v>
      </c>
      <c r="D1260" s="0" t="s">
        <v>734</v>
      </c>
      <c r="E1260" s="0" t="s">
        <v>58</v>
      </c>
      <c r="F1260" s="0" t="s">
        <v>28</v>
      </c>
      <c r="I1260" s="0" t="n">
        <v>9000</v>
      </c>
      <c r="J1260" s="0" t="n">
        <v>2.36842105263158</v>
      </c>
      <c r="K1260" s="0" t="s">
        <v>1584</v>
      </c>
    </row>
    <row r="1261" customFormat="false" ht="15" hidden="false" customHeight="false" outlineLevel="0" collapsed="false">
      <c r="A1261" s="0" t="n">
        <v>107</v>
      </c>
      <c r="B1261" s="0" t="s">
        <v>1566</v>
      </c>
      <c r="C1261" s="0" t="s">
        <v>734</v>
      </c>
      <c r="D1261" s="0" t="s">
        <v>734</v>
      </c>
      <c r="E1261" s="0" t="s">
        <v>740</v>
      </c>
      <c r="F1261" s="0" t="s">
        <v>27</v>
      </c>
      <c r="I1261" s="0" t="n">
        <v>4000</v>
      </c>
      <c r="J1261" s="0" t="n">
        <v>1.05263157894737</v>
      </c>
      <c r="K1261" s="0" t="s">
        <v>1585</v>
      </c>
    </row>
    <row r="1262" customFormat="false" ht="15" hidden="false" customHeight="false" outlineLevel="0" collapsed="false">
      <c r="A1262" s="0" t="n">
        <v>107</v>
      </c>
      <c r="B1262" s="0" t="s">
        <v>1566</v>
      </c>
      <c r="C1262" s="0" t="s">
        <v>734</v>
      </c>
      <c r="D1262" s="0" t="s">
        <v>734</v>
      </c>
      <c r="E1262" s="0" t="s">
        <v>128</v>
      </c>
      <c r="F1262" s="0" t="s">
        <v>28</v>
      </c>
      <c r="I1262" s="0" t="n">
        <v>500</v>
      </c>
      <c r="J1262" s="0" t="n">
        <v>0.131578947368421</v>
      </c>
      <c r="K1262" s="0" t="s">
        <v>1586</v>
      </c>
    </row>
    <row r="1263" customFormat="false" ht="15" hidden="false" customHeight="false" outlineLevel="0" collapsed="false">
      <c r="A1263" s="0" t="n">
        <v>107</v>
      </c>
      <c r="B1263" s="0" t="s">
        <v>1566</v>
      </c>
      <c r="C1263" s="0" t="s">
        <v>734</v>
      </c>
      <c r="D1263" s="0" t="s">
        <v>734</v>
      </c>
      <c r="E1263" s="0" t="s">
        <v>130</v>
      </c>
      <c r="F1263" s="0" t="s">
        <v>29</v>
      </c>
      <c r="I1263" s="0" t="n">
        <v>5500</v>
      </c>
      <c r="J1263" s="0" t="n">
        <v>1.44736842105263</v>
      </c>
      <c r="K1263" s="0" t="s">
        <v>1587</v>
      </c>
    </row>
    <row r="1264" customFormat="false" ht="15" hidden="false" customHeight="false" outlineLevel="0" collapsed="false">
      <c r="A1264" s="0" t="n">
        <v>107</v>
      </c>
      <c r="B1264" s="0" t="s">
        <v>1566</v>
      </c>
      <c r="C1264" s="0" t="s">
        <v>734</v>
      </c>
      <c r="D1264" s="0" t="s">
        <v>734</v>
      </c>
      <c r="E1264" s="0" t="s">
        <v>158</v>
      </c>
      <c r="F1264" s="0" t="s">
        <v>28</v>
      </c>
      <c r="I1264" s="0" t="n">
        <v>1000</v>
      </c>
      <c r="J1264" s="0" t="n">
        <v>0.263157894736842</v>
      </c>
      <c r="K1264" s="0" t="s">
        <v>1588</v>
      </c>
    </row>
    <row r="1265" customFormat="false" ht="15" hidden="false" customHeight="false" outlineLevel="0" collapsed="false">
      <c r="A1265" s="0" t="n">
        <v>107</v>
      </c>
      <c r="B1265" s="0" t="s">
        <v>1566</v>
      </c>
      <c r="C1265" s="0" t="s">
        <v>734</v>
      </c>
      <c r="D1265" s="0" t="s">
        <v>734</v>
      </c>
      <c r="E1265" s="0" t="s">
        <v>132</v>
      </c>
      <c r="F1265" s="0" t="s">
        <v>29</v>
      </c>
      <c r="I1265" s="0" t="n">
        <v>500</v>
      </c>
      <c r="J1265" s="0" t="n">
        <v>0.131578947368421</v>
      </c>
      <c r="K1265" s="0" t="s">
        <v>1589</v>
      </c>
    </row>
    <row r="1266" customFormat="false" ht="15" hidden="false" customHeight="false" outlineLevel="0" collapsed="false">
      <c r="A1266" s="0" t="n">
        <v>107</v>
      </c>
      <c r="B1266" s="0" t="s">
        <v>1566</v>
      </c>
      <c r="C1266" s="0" t="s">
        <v>734</v>
      </c>
      <c r="D1266" s="0" t="s">
        <v>734</v>
      </c>
      <c r="E1266" s="0" t="s">
        <v>134</v>
      </c>
      <c r="F1266" s="0" t="s">
        <v>28</v>
      </c>
      <c r="I1266" s="0" t="n">
        <v>500</v>
      </c>
      <c r="J1266" s="0" t="n">
        <v>0.131578947368421</v>
      </c>
      <c r="K1266" s="0" t="s">
        <v>1590</v>
      </c>
    </row>
    <row r="1267" customFormat="false" ht="15" hidden="false" customHeight="false" outlineLevel="0" collapsed="false">
      <c r="A1267" s="0" t="n">
        <v>107</v>
      </c>
      <c r="B1267" s="0" t="s">
        <v>1566</v>
      </c>
      <c r="C1267" s="0" t="s">
        <v>734</v>
      </c>
      <c r="D1267" s="0" t="s">
        <v>734</v>
      </c>
      <c r="E1267" s="0" t="s">
        <v>60</v>
      </c>
      <c r="F1267" s="0" t="s">
        <v>27</v>
      </c>
      <c r="I1267" s="0" t="n">
        <v>0</v>
      </c>
      <c r="J1267" s="0" t="n">
        <v>0</v>
      </c>
      <c r="K1267" s="0" t="s">
        <v>1591</v>
      </c>
    </row>
    <row r="1268" customFormat="false" ht="15" hidden="false" customHeight="false" outlineLevel="0" collapsed="false">
      <c r="A1268" s="0" t="n">
        <v>107</v>
      </c>
      <c r="B1268" s="0" t="s">
        <v>1566</v>
      </c>
      <c r="C1268" s="0" t="s">
        <v>734</v>
      </c>
      <c r="D1268" s="0" t="s">
        <v>734</v>
      </c>
      <c r="E1268" s="0" t="s">
        <v>62</v>
      </c>
      <c r="F1268" s="0" t="s">
        <v>27</v>
      </c>
      <c r="I1268" s="0" t="n">
        <v>0</v>
      </c>
      <c r="J1268" s="0" t="n">
        <v>0</v>
      </c>
      <c r="K1268" s="0" t="s">
        <v>1592</v>
      </c>
    </row>
    <row r="1269" customFormat="false" ht="15" hidden="false" customHeight="false" outlineLevel="0" collapsed="false">
      <c r="A1269" s="0" t="n">
        <v>107</v>
      </c>
      <c r="B1269" s="0" t="s">
        <v>1566</v>
      </c>
      <c r="C1269" s="0" t="s">
        <v>734</v>
      </c>
      <c r="D1269" s="0" t="s">
        <v>734</v>
      </c>
      <c r="E1269" s="0" t="s">
        <v>66</v>
      </c>
      <c r="F1269" s="0" t="s">
        <v>27</v>
      </c>
      <c r="I1269" s="0" t="n">
        <v>350</v>
      </c>
      <c r="J1269" s="0" t="n">
        <v>0.0921052631578947</v>
      </c>
      <c r="K1269" s="0" t="s">
        <v>1593</v>
      </c>
    </row>
    <row r="1270" customFormat="false" ht="15" hidden="false" customHeight="false" outlineLevel="0" collapsed="false">
      <c r="A1270" s="0" t="n">
        <v>107</v>
      </c>
      <c r="B1270" s="0" t="s">
        <v>1566</v>
      </c>
      <c r="C1270" s="0" t="s">
        <v>734</v>
      </c>
      <c r="D1270" s="0" t="s">
        <v>734</v>
      </c>
      <c r="E1270" s="0" t="s">
        <v>64</v>
      </c>
      <c r="F1270" s="0" t="s">
        <v>27</v>
      </c>
      <c r="I1270" s="0" t="n">
        <v>500</v>
      </c>
      <c r="J1270" s="0" t="n">
        <v>0.131578947368421</v>
      </c>
      <c r="K1270" s="0" t="s">
        <v>1594</v>
      </c>
    </row>
    <row r="1271" customFormat="false" ht="15" hidden="false" customHeight="false" outlineLevel="0" collapsed="false">
      <c r="A1271" s="0" t="n">
        <v>107</v>
      </c>
      <c r="B1271" s="0" t="s">
        <v>1566</v>
      </c>
      <c r="C1271" s="0" t="s">
        <v>734</v>
      </c>
      <c r="D1271" s="0" t="s">
        <v>734</v>
      </c>
      <c r="E1271" s="0" t="s">
        <v>68</v>
      </c>
      <c r="F1271" s="0" t="s">
        <v>30</v>
      </c>
      <c r="I1271" s="0" t="n">
        <v>4000</v>
      </c>
      <c r="J1271" s="0" t="n">
        <v>1.05263157894737</v>
      </c>
      <c r="K1271" s="0" t="s">
        <v>1595</v>
      </c>
    </row>
    <row r="1272" customFormat="false" ht="15" hidden="false" customHeight="false" outlineLevel="0" collapsed="false">
      <c r="A1272" s="0" t="n">
        <v>108</v>
      </c>
      <c r="B1272" s="0" t="s">
        <v>1566</v>
      </c>
      <c r="C1272" s="0" t="s">
        <v>1596</v>
      </c>
      <c r="D1272" s="0" t="s">
        <v>1596</v>
      </c>
      <c r="E1272" s="0" t="s">
        <v>1567</v>
      </c>
      <c r="F1272" s="0" t="s">
        <v>27</v>
      </c>
      <c r="G1272" s="0" t="n">
        <v>2.5</v>
      </c>
      <c r="H1272" s="0" t="n">
        <v>3</v>
      </c>
      <c r="I1272" s="0" t="n">
        <v>29250</v>
      </c>
      <c r="J1272" s="0" t="n">
        <v>7.5</v>
      </c>
      <c r="K1272" s="0" t="s">
        <v>1597</v>
      </c>
      <c r="L1272" s="0" t="s">
        <v>1598</v>
      </c>
    </row>
    <row r="1273" customFormat="false" ht="15" hidden="false" customHeight="false" outlineLevel="0" collapsed="false">
      <c r="A1273" s="0" t="n">
        <v>108</v>
      </c>
      <c r="B1273" s="0" t="s">
        <v>1566</v>
      </c>
      <c r="C1273" s="0" t="s">
        <v>1596</v>
      </c>
      <c r="D1273" s="0" t="s">
        <v>1596</v>
      </c>
      <c r="E1273" s="0" t="s">
        <v>56</v>
      </c>
      <c r="F1273" s="0" t="s">
        <v>28</v>
      </c>
      <c r="I1273" s="0" t="n">
        <v>1500</v>
      </c>
      <c r="J1273" s="0" t="n">
        <v>0.384615384615385</v>
      </c>
      <c r="K1273" s="0" t="s">
        <v>1599</v>
      </c>
    </row>
    <row r="1274" customFormat="false" ht="15" hidden="false" customHeight="false" outlineLevel="0" collapsed="false">
      <c r="A1274" s="0" t="n">
        <v>108</v>
      </c>
      <c r="B1274" s="0" t="s">
        <v>1566</v>
      </c>
      <c r="C1274" s="0" t="s">
        <v>1596</v>
      </c>
      <c r="D1274" s="0" t="s">
        <v>1596</v>
      </c>
      <c r="E1274" s="0" t="s">
        <v>58</v>
      </c>
      <c r="F1274" s="0" t="s">
        <v>28</v>
      </c>
      <c r="I1274" s="0" t="n">
        <v>24000</v>
      </c>
      <c r="J1274" s="0" t="n">
        <v>6.15384615384615</v>
      </c>
      <c r="K1274" s="0" t="s">
        <v>1600</v>
      </c>
    </row>
    <row r="1275" customFormat="false" ht="15" hidden="false" customHeight="false" outlineLevel="0" collapsed="false">
      <c r="A1275" s="0" t="n">
        <v>108</v>
      </c>
      <c r="B1275" s="0" t="s">
        <v>1566</v>
      </c>
      <c r="C1275" s="0" t="s">
        <v>1596</v>
      </c>
      <c r="D1275" s="0" t="s">
        <v>1596</v>
      </c>
      <c r="E1275" s="0" t="s">
        <v>1601</v>
      </c>
      <c r="F1275" s="0" t="s">
        <v>27</v>
      </c>
      <c r="G1275" s="0" t="n">
        <v>2.5</v>
      </c>
      <c r="H1275" s="0" t="n">
        <v>1.3</v>
      </c>
      <c r="I1275" s="0" t="n">
        <v>12025</v>
      </c>
      <c r="J1275" s="0" t="n">
        <v>3.08333333333333</v>
      </c>
      <c r="K1275" s="0" t="s">
        <v>1602</v>
      </c>
      <c r="L1275" s="0" t="s">
        <v>1603</v>
      </c>
    </row>
    <row r="1276" customFormat="false" ht="15" hidden="false" customHeight="false" outlineLevel="0" collapsed="false">
      <c r="A1276" s="0" t="n">
        <v>108</v>
      </c>
      <c r="B1276" s="0" t="s">
        <v>1566</v>
      </c>
      <c r="C1276" s="0" t="s">
        <v>1596</v>
      </c>
      <c r="D1276" s="0" t="s">
        <v>1596</v>
      </c>
      <c r="E1276" s="0" t="s">
        <v>740</v>
      </c>
      <c r="F1276" s="0" t="s">
        <v>27</v>
      </c>
      <c r="I1276" s="0" t="n">
        <v>1800</v>
      </c>
      <c r="J1276" s="0" t="n">
        <v>0.461538461538462</v>
      </c>
      <c r="K1276" s="0" t="s">
        <v>1604</v>
      </c>
    </row>
    <row r="1277" customFormat="false" ht="15" hidden="false" customHeight="false" outlineLevel="0" collapsed="false">
      <c r="A1277" s="0" t="n">
        <v>108</v>
      </c>
      <c r="B1277" s="0" t="s">
        <v>1566</v>
      </c>
      <c r="C1277" s="0" t="s">
        <v>1596</v>
      </c>
      <c r="D1277" s="0" t="s">
        <v>1596</v>
      </c>
      <c r="E1277" s="0" t="s">
        <v>128</v>
      </c>
      <c r="F1277" s="0" t="s">
        <v>28</v>
      </c>
      <c r="I1277" s="0" t="n">
        <v>4000</v>
      </c>
      <c r="J1277" s="0" t="n">
        <v>1.02564102564103</v>
      </c>
      <c r="K1277" s="0" t="s">
        <v>1605</v>
      </c>
    </row>
    <row r="1278" customFormat="false" ht="15" hidden="false" customHeight="false" outlineLevel="0" collapsed="false">
      <c r="A1278" s="0" t="n">
        <v>108</v>
      </c>
      <c r="B1278" s="0" t="s">
        <v>1566</v>
      </c>
      <c r="C1278" s="0" t="s">
        <v>1596</v>
      </c>
      <c r="D1278" s="0" t="s">
        <v>1596</v>
      </c>
      <c r="E1278" s="0" t="s">
        <v>1606</v>
      </c>
      <c r="F1278" s="0" t="s">
        <v>31</v>
      </c>
      <c r="G1278" s="0" t="n">
        <v>1.8</v>
      </c>
      <c r="H1278" s="0" t="n">
        <v>13000</v>
      </c>
      <c r="I1278" s="0" t="n">
        <v>23400</v>
      </c>
      <c r="J1278" s="0" t="n">
        <v>6</v>
      </c>
      <c r="K1278" s="0" t="s">
        <v>1607</v>
      </c>
      <c r="L1278" s="0" t="s">
        <v>849</v>
      </c>
    </row>
    <row r="1279" customFormat="false" ht="15" hidden="false" customHeight="false" outlineLevel="0" collapsed="false">
      <c r="A1279" s="0" t="n">
        <v>108</v>
      </c>
      <c r="B1279" s="0" t="s">
        <v>1566</v>
      </c>
      <c r="C1279" s="0" t="s">
        <v>1596</v>
      </c>
      <c r="D1279" s="0" t="s">
        <v>1596</v>
      </c>
      <c r="E1279" s="0" t="s">
        <v>158</v>
      </c>
      <c r="F1279" s="0" t="s">
        <v>28</v>
      </c>
      <c r="I1279" s="0" t="n">
        <v>2000</v>
      </c>
      <c r="J1279" s="0" t="n">
        <v>0.512820512820513</v>
      </c>
      <c r="K1279" s="0" t="s">
        <v>1608</v>
      </c>
    </row>
    <row r="1280" customFormat="false" ht="15" hidden="false" customHeight="false" outlineLevel="0" collapsed="false">
      <c r="A1280" s="0" t="n">
        <v>108</v>
      </c>
      <c r="B1280" s="0" t="s">
        <v>1566</v>
      </c>
      <c r="C1280" s="0" t="s">
        <v>1596</v>
      </c>
      <c r="D1280" s="0" t="s">
        <v>1596</v>
      </c>
      <c r="E1280" s="0" t="s">
        <v>60</v>
      </c>
      <c r="F1280" s="0" t="s">
        <v>27</v>
      </c>
      <c r="I1280" s="0" t="n">
        <v>200</v>
      </c>
      <c r="J1280" s="0" t="n">
        <v>0.0512820512820513</v>
      </c>
      <c r="K1280" s="0" t="s">
        <v>1609</v>
      </c>
    </row>
    <row r="1281" customFormat="false" ht="15" hidden="false" customHeight="false" outlineLevel="0" collapsed="false">
      <c r="A1281" s="0" t="n">
        <v>108</v>
      </c>
      <c r="B1281" s="0" t="s">
        <v>1566</v>
      </c>
      <c r="C1281" s="0" t="s">
        <v>1596</v>
      </c>
      <c r="D1281" s="0" t="s">
        <v>1596</v>
      </c>
      <c r="E1281" s="0" t="s">
        <v>850</v>
      </c>
      <c r="F1281" s="0" t="s">
        <v>31</v>
      </c>
      <c r="I1281" s="0" t="n">
        <v>700</v>
      </c>
      <c r="J1281" s="0" t="n">
        <v>0.17948717948718</v>
      </c>
      <c r="K1281" s="0" t="s">
        <v>1610</v>
      </c>
    </row>
    <row r="1282" customFormat="false" ht="15" hidden="false" customHeight="false" outlineLevel="0" collapsed="false">
      <c r="A1282" s="0" t="n">
        <v>108</v>
      </c>
      <c r="B1282" s="0" t="s">
        <v>1566</v>
      </c>
      <c r="C1282" s="0" t="s">
        <v>1596</v>
      </c>
      <c r="D1282" s="0" t="s">
        <v>1596</v>
      </c>
      <c r="E1282" s="0" t="s">
        <v>66</v>
      </c>
      <c r="F1282" s="0" t="s">
        <v>27</v>
      </c>
      <c r="I1282" s="0" t="n">
        <v>350</v>
      </c>
      <c r="J1282" s="0" t="n">
        <v>0.0897435897435897</v>
      </c>
      <c r="K1282" s="0" t="s">
        <v>1611</v>
      </c>
      <c r="L1282" s="0" t="s">
        <v>1612</v>
      </c>
    </row>
    <row r="1283" customFormat="false" ht="15" hidden="false" customHeight="false" outlineLevel="0" collapsed="false">
      <c r="A1283" s="0" t="n">
        <v>108</v>
      </c>
      <c r="B1283" s="0" t="s">
        <v>1566</v>
      </c>
      <c r="C1283" s="0" t="s">
        <v>1596</v>
      </c>
      <c r="D1283" s="0" t="s">
        <v>1596</v>
      </c>
      <c r="E1283" s="0" t="s">
        <v>64</v>
      </c>
      <c r="F1283" s="0" t="s">
        <v>27</v>
      </c>
      <c r="I1283" s="0" t="n">
        <v>200</v>
      </c>
      <c r="J1283" s="0" t="n">
        <v>0.0512820512820513</v>
      </c>
      <c r="K1283" s="0" t="s">
        <v>1613</v>
      </c>
    </row>
    <row r="1284" customFormat="false" ht="15" hidden="false" customHeight="false" outlineLevel="0" collapsed="false">
      <c r="A1284" s="0" t="n">
        <v>108</v>
      </c>
      <c r="B1284" s="0" t="s">
        <v>1566</v>
      </c>
      <c r="C1284" s="0" t="s">
        <v>1596</v>
      </c>
      <c r="D1284" s="0" t="s">
        <v>1596</v>
      </c>
      <c r="E1284" s="0" t="s">
        <v>68</v>
      </c>
      <c r="F1284" s="0" t="s">
        <v>30</v>
      </c>
      <c r="I1284" s="0" t="n">
        <v>4000</v>
      </c>
      <c r="J1284" s="0" t="n">
        <v>1.02564102564103</v>
      </c>
      <c r="K1284" s="0" t="s">
        <v>1614</v>
      </c>
    </row>
    <row r="1285" customFormat="false" ht="15" hidden="false" customHeight="false" outlineLevel="0" collapsed="false">
      <c r="A1285" s="0" t="n">
        <v>109</v>
      </c>
      <c r="B1285" s="0" t="s">
        <v>1566</v>
      </c>
      <c r="C1285" s="0" t="s">
        <v>1596</v>
      </c>
      <c r="D1285" s="0" t="s">
        <v>1596</v>
      </c>
      <c r="E1285" s="0" t="s">
        <v>1567</v>
      </c>
      <c r="F1285" s="0" t="s">
        <v>27</v>
      </c>
      <c r="G1285" s="0" t="n">
        <v>2.2</v>
      </c>
      <c r="H1285" s="0" t="n">
        <v>2.5</v>
      </c>
      <c r="I1285" s="0" t="n">
        <v>20900</v>
      </c>
      <c r="J1285" s="0" t="n">
        <v>5.5</v>
      </c>
      <c r="K1285" s="0" t="s">
        <v>1615</v>
      </c>
      <c r="L1285" s="0" t="s">
        <v>1616</v>
      </c>
    </row>
    <row r="1286" customFormat="false" ht="15" hidden="false" customHeight="false" outlineLevel="0" collapsed="false">
      <c r="A1286" s="0" t="n">
        <v>109</v>
      </c>
      <c r="B1286" s="0" t="s">
        <v>1566</v>
      </c>
      <c r="C1286" s="0" t="s">
        <v>1596</v>
      </c>
      <c r="D1286" s="0" t="s">
        <v>1596</v>
      </c>
      <c r="E1286" s="0" t="s">
        <v>56</v>
      </c>
      <c r="F1286" s="0" t="s">
        <v>28</v>
      </c>
      <c r="I1286" s="0" t="n">
        <v>700</v>
      </c>
      <c r="J1286" s="0" t="n">
        <v>0.18421052631579</v>
      </c>
      <c r="K1286" s="0" t="s">
        <v>1617</v>
      </c>
    </row>
    <row r="1287" customFormat="false" ht="15" hidden="false" customHeight="false" outlineLevel="0" collapsed="false">
      <c r="A1287" s="0" t="n">
        <v>109</v>
      </c>
      <c r="B1287" s="0" t="s">
        <v>1566</v>
      </c>
      <c r="C1287" s="0" t="s">
        <v>1596</v>
      </c>
      <c r="D1287" s="0" t="s">
        <v>1596</v>
      </c>
      <c r="E1287" s="0" t="s">
        <v>58</v>
      </c>
      <c r="F1287" s="0" t="s">
        <v>28</v>
      </c>
      <c r="I1287" s="0" t="n">
        <v>5000</v>
      </c>
      <c r="J1287" s="0" t="n">
        <v>1.31578947368421</v>
      </c>
      <c r="K1287" s="0" t="s">
        <v>1618</v>
      </c>
    </row>
    <row r="1288" customFormat="false" ht="15" hidden="false" customHeight="false" outlineLevel="0" collapsed="false">
      <c r="A1288" s="0" t="n">
        <v>109</v>
      </c>
      <c r="B1288" s="0" t="s">
        <v>1566</v>
      </c>
      <c r="C1288" s="0" t="s">
        <v>1596</v>
      </c>
      <c r="D1288" s="0" t="s">
        <v>1596</v>
      </c>
      <c r="E1288" s="0" t="s">
        <v>740</v>
      </c>
      <c r="F1288" s="0" t="s">
        <v>27</v>
      </c>
      <c r="I1288" s="0" t="n">
        <v>1500</v>
      </c>
      <c r="J1288" s="0" t="n">
        <v>0.394736842105263</v>
      </c>
      <c r="K1288" s="0" t="s">
        <v>1619</v>
      </c>
    </row>
    <row r="1289" customFormat="false" ht="15" hidden="false" customHeight="false" outlineLevel="0" collapsed="false">
      <c r="A1289" s="0" t="n">
        <v>109</v>
      </c>
      <c r="B1289" s="0" t="s">
        <v>1566</v>
      </c>
      <c r="C1289" s="0" t="s">
        <v>1596</v>
      </c>
      <c r="D1289" s="0" t="s">
        <v>1596</v>
      </c>
      <c r="E1289" s="0" t="s">
        <v>128</v>
      </c>
      <c r="F1289" s="0" t="s">
        <v>28</v>
      </c>
      <c r="I1289" s="0" t="n">
        <v>1400</v>
      </c>
      <c r="J1289" s="0" t="n">
        <v>0.368421052631579</v>
      </c>
      <c r="K1289" s="0" t="s">
        <v>1620</v>
      </c>
    </row>
    <row r="1290" customFormat="false" ht="15" hidden="false" customHeight="false" outlineLevel="0" collapsed="false">
      <c r="A1290" s="0" t="n">
        <v>109</v>
      </c>
      <c r="B1290" s="0" t="s">
        <v>1566</v>
      </c>
      <c r="C1290" s="0" t="s">
        <v>1596</v>
      </c>
      <c r="D1290" s="0" t="s">
        <v>1596</v>
      </c>
      <c r="E1290" s="0" t="s">
        <v>130</v>
      </c>
      <c r="F1290" s="0" t="s">
        <v>29</v>
      </c>
      <c r="I1290" s="0" t="n">
        <v>4500</v>
      </c>
      <c r="J1290" s="0" t="n">
        <v>1.18421052631579</v>
      </c>
      <c r="K1290" s="0" t="s">
        <v>1621</v>
      </c>
    </row>
    <row r="1291" customFormat="false" ht="15" hidden="false" customHeight="false" outlineLevel="0" collapsed="false">
      <c r="A1291" s="0" t="n">
        <v>109</v>
      </c>
      <c r="B1291" s="0" t="s">
        <v>1566</v>
      </c>
      <c r="C1291" s="0" t="s">
        <v>1596</v>
      </c>
      <c r="D1291" s="0" t="s">
        <v>1596</v>
      </c>
      <c r="E1291" s="0" t="s">
        <v>158</v>
      </c>
      <c r="F1291" s="0" t="s">
        <v>28</v>
      </c>
      <c r="I1291" s="0" t="n">
        <v>1500</v>
      </c>
      <c r="J1291" s="0" t="n">
        <v>0.394736842105263</v>
      </c>
      <c r="K1291" s="0" t="s">
        <v>1622</v>
      </c>
    </row>
    <row r="1292" customFormat="false" ht="15" hidden="false" customHeight="false" outlineLevel="0" collapsed="false">
      <c r="A1292" s="0" t="n">
        <v>109</v>
      </c>
      <c r="B1292" s="0" t="s">
        <v>1566</v>
      </c>
      <c r="C1292" s="0" t="s">
        <v>1596</v>
      </c>
      <c r="D1292" s="0" t="s">
        <v>1596</v>
      </c>
      <c r="E1292" s="0" t="s">
        <v>132</v>
      </c>
      <c r="F1292" s="0" t="s">
        <v>29</v>
      </c>
      <c r="I1292" s="0" t="n">
        <v>500</v>
      </c>
      <c r="J1292" s="0" t="n">
        <v>0.131578947368421</v>
      </c>
      <c r="K1292" s="0" t="s">
        <v>1623</v>
      </c>
    </row>
    <row r="1293" customFormat="false" ht="15" hidden="false" customHeight="false" outlineLevel="0" collapsed="false">
      <c r="A1293" s="0" t="n">
        <v>109</v>
      </c>
      <c r="B1293" s="0" t="s">
        <v>1566</v>
      </c>
      <c r="C1293" s="0" t="s">
        <v>1596</v>
      </c>
      <c r="D1293" s="0" t="s">
        <v>1596</v>
      </c>
      <c r="E1293" s="0" t="s">
        <v>134</v>
      </c>
      <c r="F1293" s="0" t="s">
        <v>28</v>
      </c>
      <c r="I1293" s="0" t="n">
        <v>500</v>
      </c>
      <c r="J1293" s="0" t="n">
        <v>0.131578947368421</v>
      </c>
      <c r="K1293" s="0" t="s">
        <v>1624</v>
      </c>
    </row>
    <row r="1294" customFormat="false" ht="15" hidden="false" customHeight="false" outlineLevel="0" collapsed="false">
      <c r="A1294" s="0" t="n">
        <v>109</v>
      </c>
      <c r="B1294" s="0" t="s">
        <v>1566</v>
      </c>
      <c r="C1294" s="0" t="s">
        <v>1596</v>
      </c>
      <c r="D1294" s="0" t="s">
        <v>1596</v>
      </c>
      <c r="E1294" s="0" t="s">
        <v>60</v>
      </c>
      <c r="F1294" s="0" t="s">
        <v>27</v>
      </c>
      <c r="I1294" s="0" t="n">
        <v>250</v>
      </c>
      <c r="J1294" s="0" t="n">
        <v>0.0657894736842105</v>
      </c>
      <c r="K1294" s="0" t="s">
        <v>1625</v>
      </c>
    </row>
    <row r="1295" customFormat="false" ht="15" hidden="false" customHeight="false" outlineLevel="0" collapsed="false">
      <c r="A1295" s="0" t="n">
        <v>109</v>
      </c>
      <c r="B1295" s="0" t="s">
        <v>1566</v>
      </c>
      <c r="C1295" s="0" t="s">
        <v>1596</v>
      </c>
      <c r="D1295" s="0" t="s">
        <v>1596</v>
      </c>
      <c r="E1295" s="0" t="s">
        <v>62</v>
      </c>
      <c r="F1295" s="0" t="s">
        <v>27</v>
      </c>
      <c r="I1295" s="0" t="n">
        <v>100</v>
      </c>
      <c r="J1295" s="0" t="n">
        <v>0.0263157894736842</v>
      </c>
      <c r="K1295" s="0" t="s">
        <v>1626</v>
      </c>
    </row>
    <row r="1296" customFormat="false" ht="15" hidden="false" customHeight="false" outlineLevel="0" collapsed="false">
      <c r="A1296" s="0" t="n">
        <v>109</v>
      </c>
      <c r="B1296" s="0" t="s">
        <v>1566</v>
      </c>
      <c r="C1296" s="0" t="s">
        <v>1596</v>
      </c>
      <c r="D1296" s="0" t="s">
        <v>1596</v>
      </c>
      <c r="E1296" s="0" t="s">
        <v>66</v>
      </c>
      <c r="F1296" s="0" t="s">
        <v>27</v>
      </c>
      <c r="I1296" s="0" t="n">
        <v>350</v>
      </c>
      <c r="J1296" s="0" t="n">
        <v>0.0921052631578947</v>
      </c>
      <c r="K1296" s="0" t="s">
        <v>1627</v>
      </c>
      <c r="L1296" s="0" t="s">
        <v>1628</v>
      </c>
    </row>
    <row r="1297" customFormat="false" ht="15" hidden="false" customHeight="false" outlineLevel="0" collapsed="false">
      <c r="A1297" s="0" t="n">
        <v>109</v>
      </c>
      <c r="B1297" s="0" t="s">
        <v>1566</v>
      </c>
      <c r="C1297" s="0" t="s">
        <v>1596</v>
      </c>
      <c r="D1297" s="0" t="s">
        <v>1596</v>
      </c>
      <c r="E1297" s="0" t="s">
        <v>64</v>
      </c>
      <c r="F1297" s="0" t="s">
        <v>27</v>
      </c>
      <c r="I1297" s="0" t="n">
        <v>500</v>
      </c>
      <c r="J1297" s="0" t="n">
        <v>0.131578947368421</v>
      </c>
      <c r="K1297" s="0" t="s">
        <v>1629</v>
      </c>
    </row>
    <row r="1298" customFormat="false" ht="15" hidden="false" customHeight="false" outlineLevel="0" collapsed="false">
      <c r="A1298" s="0" t="n">
        <v>109</v>
      </c>
      <c r="B1298" s="0" t="s">
        <v>1566</v>
      </c>
      <c r="C1298" s="0" t="s">
        <v>1596</v>
      </c>
      <c r="D1298" s="0" t="s">
        <v>1596</v>
      </c>
      <c r="E1298" s="0" t="s">
        <v>68</v>
      </c>
      <c r="F1298" s="0" t="s">
        <v>30</v>
      </c>
      <c r="I1298" s="0" t="n">
        <v>4000</v>
      </c>
      <c r="J1298" s="0" t="n">
        <v>1.05263157894737</v>
      </c>
      <c r="K1298" s="0" t="s">
        <v>1630</v>
      </c>
    </row>
    <row r="1299" customFormat="false" ht="15" hidden="false" customHeight="false" outlineLevel="0" collapsed="false">
      <c r="A1299" s="0" t="n">
        <v>110</v>
      </c>
      <c r="B1299" s="0" t="s">
        <v>1566</v>
      </c>
      <c r="C1299" s="0" t="s">
        <v>1596</v>
      </c>
      <c r="D1299" s="0" t="s">
        <v>1596</v>
      </c>
      <c r="E1299" s="0" t="s">
        <v>1567</v>
      </c>
      <c r="F1299" s="0" t="s">
        <v>27</v>
      </c>
      <c r="G1299" s="0" t="n">
        <v>1.8</v>
      </c>
      <c r="H1299" s="0" t="n">
        <v>3</v>
      </c>
      <c r="I1299" s="0" t="n">
        <v>20520</v>
      </c>
      <c r="J1299" s="0" t="n">
        <v>5.4</v>
      </c>
      <c r="K1299" s="0" t="s">
        <v>1631</v>
      </c>
      <c r="L1299" s="0" t="s">
        <v>1632</v>
      </c>
    </row>
    <row r="1300" customFormat="false" ht="15" hidden="false" customHeight="false" outlineLevel="0" collapsed="false">
      <c r="A1300" s="0" t="n">
        <v>110</v>
      </c>
      <c r="B1300" s="0" t="s">
        <v>1566</v>
      </c>
      <c r="C1300" s="0" t="s">
        <v>1596</v>
      </c>
      <c r="D1300" s="0" t="s">
        <v>1596</v>
      </c>
      <c r="E1300" s="0" t="s">
        <v>56</v>
      </c>
      <c r="F1300" s="0" t="s">
        <v>28</v>
      </c>
      <c r="I1300" s="0" t="n">
        <v>700</v>
      </c>
      <c r="J1300" s="0" t="n">
        <v>0.18421052631579</v>
      </c>
      <c r="K1300" s="0" t="s">
        <v>1633</v>
      </c>
    </row>
    <row r="1301" customFormat="false" ht="15" hidden="false" customHeight="false" outlineLevel="0" collapsed="false">
      <c r="A1301" s="0" t="n">
        <v>110</v>
      </c>
      <c r="B1301" s="0" t="s">
        <v>1566</v>
      </c>
      <c r="C1301" s="0" t="s">
        <v>1596</v>
      </c>
      <c r="D1301" s="0" t="s">
        <v>1596</v>
      </c>
      <c r="E1301" s="0" t="s">
        <v>58</v>
      </c>
      <c r="F1301" s="0" t="s">
        <v>28</v>
      </c>
      <c r="I1301" s="0" t="n">
        <v>3500</v>
      </c>
      <c r="J1301" s="0" t="n">
        <v>0.921052631578947</v>
      </c>
      <c r="K1301" s="0" t="s">
        <v>1634</v>
      </c>
    </row>
    <row r="1302" customFormat="false" ht="15" hidden="false" customHeight="false" outlineLevel="0" collapsed="false">
      <c r="A1302" s="0" t="n">
        <v>110</v>
      </c>
      <c r="B1302" s="0" t="s">
        <v>1566</v>
      </c>
      <c r="C1302" s="0" t="s">
        <v>1596</v>
      </c>
      <c r="D1302" s="0" t="s">
        <v>1596</v>
      </c>
      <c r="E1302" s="0" t="s">
        <v>740</v>
      </c>
      <c r="F1302" s="0" t="s">
        <v>27</v>
      </c>
      <c r="I1302" s="0" t="n">
        <v>3500</v>
      </c>
      <c r="J1302" s="0" t="n">
        <v>0.921052631578947</v>
      </c>
      <c r="K1302" s="0" t="s">
        <v>1635</v>
      </c>
    </row>
    <row r="1303" customFormat="false" ht="15" hidden="false" customHeight="false" outlineLevel="0" collapsed="false">
      <c r="A1303" s="0" t="n">
        <v>110</v>
      </c>
      <c r="B1303" s="0" t="s">
        <v>1566</v>
      </c>
      <c r="C1303" s="0" t="s">
        <v>1596</v>
      </c>
      <c r="D1303" s="0" t="s">
        <v>1596</v>
      </c>
      <c r="E1303" s="0" t="s">
        <v>128</v>
      </c>
      <c r="F1303" s="0" t="s">
        <v>28</v>
      </c>
      <c r="I1303" s="0" t="n">
        <v>2000</v>
      </c>
      <c r="J1303" s="0" t="n">
        <v>0.526315789473684</v>
      </c>
      <c r="K1303" s="0" t="s">
        <v>1636</v>
      </c>
    </row>
    <row r="1304" customFormat="false" ht="15" hidden="false" customHeight="false" outlineLevel="0" collapsed="false">
      <c r="A1304" s="0" t="n">
        <v>110</v>
      </c>
      <c r="B1304" s="0" t="s">
        <v>1566</v>
      </c>
      <c r="C1304" s="0" t="s">
        <v>1596</v>
      </c>
      <c r="D1304" s="0" t="s">
        <v>1596</v>
      </c>
      <c r="E1304" s="0" t="s">
        <v>1263</v>
      </c>
      <c r="F1304" s="0" t="s">
        <v>29</v>
      </c>
      <c r="I1304" s="0" t="n">
        <v>0</v>
      </c>
      <c r="J1304" s="0" t="n">
        <v>0</v>
      </c>
      <c r="K1304" s="0" t="s">
        <v>1637</v>
      </c>
    </row>
    <row r="1305" customFormat="false" ht="15" hidden="false" customHeight="false" outlineLevel="0" collapsed="false">
      <c r="A1305" s="0" t="n">
        <v>110</v>
      </c>
      <c r="B1305" s="0" t="s">
        <v>1566</v>
      </c>
      <c r="C1305" s="0" t="s">
        <v>1596</v>
      </c>
      <c r="D1305" s="0" t="s">
        <v>1596</v>
      </c>
      <c r="E1305" s="0" t="s">
        <v>158</v>
      </c>
      <c r="F1305" s="0" t="s">
        <v>28</v>
      </c>
      <c r="I1305" s="0" t="n">
        <v>1000</v>
      </c>
      <c r="J1305" s="0" t="n">
        <v>0.263157894736842</v>
      </c>
      <c r="K1305" s="0" t="s">
        <v>1638</v>
      </c>
    </row>
    <row r="1306" customFormat="false" ht="15" hidden="false" customHeight="false" outlineLevel="0" collapsed="false">
      <c r="A1306" s="0" t="n">
        <v>110</v>
      </c>
      <c r="B1306" s="0" t="s">
        <v>1566</v>
      </c>
      <c r="C1306" s="0" t="s">
        <v>1596</v>
      </c>
      <c r="D1306" s="0" t="s">
        <v>1596</v>
      </c>
      <c r="E1306" s="0" t="s">
        <v>132</v>
      </c>
      <c r="F1306" s="0" t="s">
        <v>29</v>
      </c>
      <c r="I1306" s="0" t="n">
        <v>200</v>
      </c>
      <c r="J1306" s="0" t="n">
        <v>0.0526315789473684</v>
      </c>
      <c r="K1306" s="0" t="s">
        <v>1639</v>
      </c>
    </row>
    <row r="1307" customFormat="false" ht="15" hidden="false" customHeight="false" outlineLevel="0" collapsed="false">
      <c r="A1307" s="0" t="n">
        <v>110</v>
      </c>
      <c r="B1307" s="0" t="s">
        <v>1566</v>
      </c>
      <c r="C1307" s="0" t="s">
        <v>1596</v>
      </c>
      <c r="D1307" s="0" t="s">
        <v>1596</v>
      </c>
      <c r="E1307" s="0" t="s">
        <v>134</v>
      </c>
      <c r="F1307" s="0" t="s">
        <v>28</v>
      </c>
      <c r="I1307" s="0" t="n">
        <v>200</v>
      </c>
      <c r="J1307" s="0" t="n">
        <v>0.0526315789473684</v>
      </c>
      <c r="K1307" s="0" t="s">
        <v>1640</v>
      </c>
    </row>
    <row r="1308" customFormat="false" ht="15" hidden="false" customHeight="false" outlineLevel="0" collapsed="false">
      <c r="A1308" s="0" t="n">
        <v>110</v>
      </c>
      <c r="B1308" s="0" t="s">
        <v>1566</v>
      </c>
      <c r="C1308" s="0" t="s">
        <v>1596</v>
      </c>
      <c r="D1308" s="0" t="s">
        <v>1596</v>
      </c>
      <c r="E1308" s="0" t="s">
        <v>60</v>
      </c>
      <c r="F1308" s="0" t="s">
        <v>27</v>
      </c>
      <c r="I1308" s="0" t="n">
        <v>50</v>
      </c>
      <c r="J1308" s="0" t="n">
        <v>0.0131578947368421</v>
      </c>
      <c r="K1308" s="0" t="s">
        <v>1641</v>
      </c>
    </row>
    <row r="1309" customFormat="false" ht="15" hidden="false" customHeight="false" outlineLevel="0" collapsed="false">
      <c r="A1309" s="0" t="n">
        <v>110</v>
      </c>
      <c r="B1309" s="0" t="s">
        <v>1566</v>
      </c>
      <c r="C1309" s="0" t="s">
        <v>1596</v>
      </c>
      <c r="D1309" s="0" t="s">
        <v>1596</v>
      </c>
      <c r="E1309" s="0" t="s">
        <v>62</v>
      </c>
      <c r="F1309" s="0" t="s">
        <v>27</v>
      </c>
      <c r="I1309" s="0" t="n">
        <v>150</v>
      </c>
      <c r="J1309" s="0" t="n">
        <v>0.0394736842105263</v>
      </c>
      <c r="K1309" s="0" t="s">
        <v>1642</v>
      </c>
    </row>
    <row r="1310" customFormat="false" ht="15" hidden="false" customHeight="false" outlineLevel="0" collapsed="false">
      <c r="A1310" s="0" t="n">
        <v>110</v>
      </c>
      <c r="B1310" s="0" t="s">
        <v>1566</v>
      </c>
      <c r="C1310" s="0" t="s">
        <v>1596</v>
      </c>
      <c r="D1310" s="0" t="s">
        <v>1596</v>
      </c>
      <c r="E1310" s="0" t="s">
        <v>66</v>
      </c>
      <c r="F1310" s="0" t="s">
        <v>27</v>
      </c>
      <c r="I1310" s="0" t="n">
        <v>200</v>
      </c>
      <c r="J1310" s="0" t="n">
        <v>0.0526315789473684</v>
      </c>
      <c r="K1310" s="0" t="s">
        <v>1643</v>
      </c>
    </row>
    <row r="1311" customFormat="false" ht="15" hidden="false" customHeight="false" outlineLevel="0" collapsed="false">
      <c r="A1311" s="0" t="n">
        <v>110</v>
      </c>
      <c r="B1311" s="0" t="s">
        <v>1566</v>
      </c>
      <c r="C1311" s="0" t="s">
        <v>1596</v>
      </c>
      <c r="D1311" s="0" t="s">
        <v>1596</v>
      </c>
      <c r="E1311" s="0" t="s">
        <v>64</v>
      </c>
      <c r="F1311" s="0" t="s">
        <v>27</v>
      </c>
      <c r="I1311" s="0" t="n">
        <v>500</v>
      </c>
      <c r="J1311" s="0" t="n">
        <v>0.131578947368421</v>
      </c>
      <c r="K1311" s="0" t="s">
        <v>1644</v>
      </c>
    </row>
    <row r="1312" customFormat="false" ht="15" hidden="false" customHeight="false" outlineLevel="0" collapsed="false">
      <c r="A1312" s="0" t="n">
        <v>110</v>
      </c>
      <c r="B1312" s="0" t="s">
        <v>1566</v>
      </c>
      <c r="C1312" s="0" t="s">
        <v>1596</v>
      </c>
      <c r="D1312" s="0" t="s">
        <v>1596</v>
      </c>
      <c r="E1312" s="0" t="s">
        <v>68</v>
      </c>
      <c r="F1312" s="0" t="s">
        <v>30</v>
      </c>
      <c r="I1312" s="0" t="n">
        <v>4000</v>
      </c>
      <c r="J1312" s="0" t="n">
        <v>1.05263157894737</v>
      </c>
      <c r="K1312" s="0" t="s">
        <v>1645</v>
      </c>
    </row>
    <row r="1313" customFormat="false" ht="15" hidden="false" customHeight="false" outlineLevel="0" collapsed="false">
      <c r="A1313" s="0" t="n">
        <v>111</v>
      </c>
      <c r="B1313" s="0" t="s">
        <v>1566</v>
      </c>
      <c r="C1313" s="0" t="s">
        <v>1596</v>
      </c>
      <c r="D1313" s="0" t="s">
        <v>991</v>
      </c>
      <c r="E1313" s="0" t="s">
        <v>1567</v>
      </c>
      <c r="F1313" s="0" t="s">
        <v>27</v>
      </c>
      <c r="G1313" s="0" t="n">
        <v>1.1</v>
      </c>
      <c r="H1313" s="0" t="n">
        <v>3</v>
      </c>
      <c r="I1313" s="0" t="n">
        <v>12540</v>
      </c>
      <c r="J1313" s="0" t="n">
        <v>3.3</v>
      </c>
      <c r="K1313" s="0" t="s">
        <v>1646</v>
      </c>
      <c r="L1313" s="0" t="s">
        <v>1647</v>
      </c>
    </row>
    <row r="1314" customFormat="false" ht="15" hidden="false" customHeight="false" outlineLevel="0" collapsed="false">
      <c r="A1314" s="0" t="n">
        <v>111</v>
      </c>
      <c r="B1314" s="0" t="s">
        <v>1566</v>
      </c>
      <c r="C1314" s="0" t="s">
        <v>1596</v>
      </c>
      <c r="D1314" s="0" t="s">
        <v>991</v>
      </c>
      <c r="E1314" s="0" t="s">
        <v>56</v>
      </c>
      <c r="F1314" s="0" t="s">
        <v>28</v>
      </c>
      <c r="I1314" s="0" t="n">
        <v>700</v>
      </c>
      <c r="J1314" s="0" t="n">
        <v>0.18421052631579</v>
      </c>
      <c r="K1314" s="0" t="s">
        <v>1648</v>
      </c>
      <c r="L1314" s="0" t="s">
        <v>1649</v>
      </c>
    </row>
    <row r="1315" customFormat="false" ht="15" hidden="false" customHeight="false" outlineLevel="0" collapsed="false">
      <c r="A1315" s="0" t="n">
        <v>111</v>
      </c>
      <c r="B1315" s="0" t="s">
        <v>1566</v>
      </c>
      <c r="C1315" s="0" t="s">
        <v>1596</v>
      </c>
      <c r="D1315" s="0" t="s">
        <v>991</v>
      </c>
      <c r="E1315" s="0" t="s">
        <v>58</v>
      </c>
      <c r="F1315" s="0" t="s">
        <v>28</v>
      </c>
      <c r="I1315" s="0" t="n">
        <v>2500</v>
      </c>
      <c r="J1315" s="0" t="n">
        <v>0.657894736842105</v>
      </c>
      <c r="K1315" s="0" t="s">
        <v>1650</v>
      </c>
    </row>
    <row r="1316" customFormat="false" ht="15" hidden="false" customHeight="false" outlineLevel="0" collapsed="false">
      <c r="A1316" s="0" t="n">
        <v>111</v>
      </c>
      <c r="B1316" s="0" t="s">
        <v>1566</v>
      </c>
      <c r="C1316" s="0" t="s">
        <v>1596</v>
      </c>
      <c r="D1316" s="0" t="s">
        <v>991</v>
      </c>
      <c r="E1316" s="0" t="s">
        <v>740</v>
      </c>
      <c r="F1316" s="0" t="s">
        <v>27</v>
      </c>
      <c r="I1316" s="0" t="n">
        <v>0</v>
      </c>
      <c r="J1316" s="0" t="n">
        <v>0</v>
      </c>
      <c r="K1316" s="0" t="s">
        <v>1651</v>
      </c>
    </row>
    <row r="1317" customFormat="false" ht="15" hidden="false" customHeight="false" outlineLevel="0" collapsed="false">
      <c r="A1317" s="0" t="n">
        <v>111</v>
      </c>
      <c r="B1317" s="0" t="s">
        <v>1566</v>
      </c>
      <c r="C1317" s="0" t="s">
        <v>1596</v>
      </c>
      <c r="D1317" s="0" t="s">
        <v>991</v>
      </c>
      <c r="E1317" s="0" t="s">
        <v>128</v>
      </c>
      <c r="F1317" s="0" t="s">
        <v>28</v>
      </c>
      <c r="I1317" s="0" t="n">
        <v>0</v>
      </c>
      <c r="J1317" s="0" t="n">
        <v>0</v>
      </c>
      <c r="K1317" s="0" t="s">
        <v>1652</v>
      </c>
    </row>
    <row r="1318" customFormat="false" ht="15" hidden="false" customHeight="false" outlineLevel="0" collapsed="false">
      <c r="A1318" s="0" t="n">
        <v>111</v>
      </c>
      <c r="B1318" s="0" t="s">
        <v>1566</v>
      </c>
      <c r="C1318" s="0" t="s">
        <v>1596</v>
      </c>
      <c r="D1318" s="0" t="s">
        <v>991</v>
      </c>
      <c r="E1318" s="0" t="s">
        <v>1263</v>
      </c>
      <c r="F1318" s="0" t="s">
        <v>29</v>
      </c>
      <c r="I1318" s="0" t="n">
        <v>0</v>
      </c>
      <c r="J1318" s="0" t="n">
        <v>0</v>
      </c>
      <c r="K1318" s="0" t="s">
        <v>1653</v>
      </c>
    </row>
    <row r="1319" customFormat="false" ht="15" hidden="false" customHeight="false" outlineLevel="0" collapsed="false">
      <c r="A1319" s="0" t="n">
        <v>111</v>
      </c>
      <c r="B1319" s="0" t="s">
        <v>1566</v>
      </c>
      <c r="C1319" s="0" t="s">
        <v>1596</v>
      </c>
      <c r="D1319" s="0" t="s">
        <v>991</v>
      </c>
      <c r="E1319" s="0" t="s">
        <v>158</v>
      </c>
      <c r="F1319" s="0" t="s">
        <v>28</v>
      </c>
      <c r="I1319" s="0" t="n">
        <v>0</v>
      </c>
      <c r="J1319" s="0" t="n">
        <v>0</v>
      </c>
      <c r="K1319" s="0" t="s">
        <v>1654</v>
      </c>
    </row>
    <row r="1320" customFormat="false" ht="15" hidden="false" customHeight="false" outlineLevel="0" collapsed="false">
      <c r="A1320" s="0" t="n">
        <v>111</v>
      </c>
      <c r="B1320" s="0" t="s">
        <v>1566</v>
      </c>
      <c r="C1320" s="0" t="s">
        <v>1596</v>
      </c>
      <c r="D1320" s="0" t="s">
        <v>991</v>
      </c>
      <c r="E1320" s="0" t="s">
        <v>132</v>
      </c>
      <c r="F1320" s="0" t="s">
        <v>29</v>
      </c>
      <c r="I1320" s="0" t="n">
        <v>0</v>
      </c>
      <c r="J1320" s="0" t="n">
        <v>0</v>
      </c>
      <c r="K1320" s="0" t="s">
        <v>1655</v>
      </c>
    </row>
    <row r="1321" customFormat="false" ht="15" hidden="false" customHeight="false" outlineLevel="0" collapsed="false">
      <c r="A1321" s="0" t="n">
        <v>111</v>
      </c>
      <c r="B1321" s="0" t="s">
        <v>1566</v>
      </c>
      <c r="C1321" s="0" t="s">
        <v>1596</v>
      </c>
      <c r="D1321" s="0" t="s">
        <v>991</v>
      </c>
      <c r="E1321" s="0" t="s">
        <v>134</v>
      </c>
      <c r="F1321" s="0" t="s">
        <v>28</v>
      </c>
      <c r="I1321" s="0" t="n">
        <v>0</v>
      </c>
      <c r="J1321" s="0" t="n">
        <v>0</v>
      </c>
      <c r="K1321" s="0" t="s">
        <v>1656</v>
      </c>
    </row>
    <row r="1322" customFormat="false" ht="15" hidden="false" customHeight="false" outlineLevel="0" collapsed="false">
      <c r="A1322" s="0" t="n">
        <v>111</v>
      </c>
      <c r="B1322" s="0" t="s">
        <v>1566</v>
      </c>
      <c r="C1322" s="0" t="s">
        <v>1596</v>
      </c>
      <c r="D1322" s="0" t="s">
        <v>991</v>
      </c>
      <c r="E1322" s="0" t="s">
        <v>60</v>
      </c>
      <c r="F1322" s="0" t="s">
        <v>27</v>
      </c>
      <c r="I1322" s="0" t="n">
        <v>0</v>
      </c>
      <c r="J1322" s="0" t="n">
        <v>0</v>
      </c>
      <c r="K1322" s="0" t="s">
        <v>1657</v>
      </c>
    </row>
    <row r="1323" customFormat="false" ht="15" hidden="false" customHeight="false" outlineLevel="0" collapsed="false">
      <c r="A1323" s="0" t="n">
        <v>111</v>
      </c>
      <c r="B1323" s="0" t="s">
        <v>1566</v>
      </c>
      <c r="C1323" s="0" t="s">
        <v>1596</v>
      </c>
      <c r="D1323" s="0" t="s">
        <v>991</v>
      </c>
      <c r="E1323" s="0" t="s">
        <v>62</v>
      </c>
      <c r="F1323" s="0" t="s">
        <v>27</v>
      </c>
      <c r="I1323" s="0" t="n">
        <v>150</v>
      </c>
      <c r="J1323" s="0" t="n">
        <v>0.0394736842105263</v>
      </c>
      <c r="K1323" s="0" t="s">
        <v>1658</v>
      </c>
    </row>
    <row r="1324" customFormat="false" ht="15" hidden="false" customHeight="false" outlineLevel="0" collapsed="false">
      <c r="A1324" s="0" t="n">
        <v>111</v>
      </c>
      <c r="B1324" s="0" t="s">
        <v>1566</v>
      </c>
      <c r="C1324" s="0" t="s">
        <v>1596</v>
      </c>
      <c r="D1324" s="0" t="s">
        <v>991</v>
      </c>
      <c r="E1324" s="0" t="s">
        <v>66</v>
      </c>
      <c r="F1324" s="0" t="s">
        <v>27</v>
      </c>
      <c r="I1324" s="0" t="n">
        <v>200</v>
      </c>
      <c r="J1324" s="0" t="n">
        <v>0.0526315789473684</v>
      </c>
      <c r="K1324" s="0" t="s">
        <v>1659</v>
      </c>
    </row>
    <row r="1325" customFormat="false" ht="15" hidden="false" customHeight="false" outlineLevel="0" collapsed="false">
      <c r="A1325" s="0" t="n">
        <v>111</v>
      </c>
      <c r="B1325" s="0" t="s">
        <v>1566</v>
      </c>
      <c r="C1325" s="0" t="s">
        <v>1596</v>
      </c>
      <c r="D1325" s="0" t="s">
        <v>991</v>
      </c>
      <c r="E1325" s="0" t="s">
        <v>64</v>
      </c>
      <c r="F1325" s="0" t="s">
        <v>27</v>
      </c>
      <c r="I1325" s="0" t="n">
        <v>750</v>
      </c>
      <c r="J1325" s="0" t="n">
        <v>0.197368421052632</v>
      </c>
      <c r="K1325" s="0" t="s">
        <v>1660</v>
      </c>
    </row>
    <row r="1326" customFormat="false" ht="15" hidden="false" customHeight="false" outlineLevel="0" collapsed="false">
      <c r="A1326" s="0" t="n">
        <v>111</v>
      </c>
      <c r="B1326" s="0" t="s">
        <v>1566</v>
      </c>
      <c r="C1326" s="0" t="s">
        <v>1596</v>
      </c>
      <c r="D1326" s="0" t="s">
        <v>991</v>
      </c>
      <c r="E1326" s="0" t="s">
        <v>68</v>
      </c>
      <c r="F1326" s="0" t="s">
        <v>30</v>
      </c>
      <c r="I1326" s="0" t="n">
        <v>2000</v>
      </c>
      <c r="J1326" s="0" t="n">
        <v>0.526315789473684</v>
      </c>
      <c r="K1326" s="0" t="s">
        <v>1661</v>
      </c>
    </row>
    <row r="1327" customFormat="false" ht="15" hidden="false" customHeight="false" outlineLevel="0" collapsed="false">
      <c r="A1327" s="0" t="n">
        <v>112</v>
      </c>
      <c r="B1327" s="0" t="s">
        <v>1662</v>
      </c>
      <c r="D1327" s="0" t="s">
        <v>1662</v>
      </c>
      <c r="E1327" s="0" t="s">
        <v>1662</v>
      </c>
      <c r="F1327" s="0" t="s">
        <v>31</v>
      </c>
      <c r="I1327" s="0" t="n">
        <v>10000</v>
      </c>
      <c r="J1327" s="0" t="n">
        <v>2.63157894736842</v>
      </c>
      <c r="K1327" s="0" t="s">
        <v>1663</v>
      </c>
    </row>
    <row r="1328" customFormat="false" ht="15" hidden="false" customHeight="false" outlineLevel="0" collapsed="false">
      <c r="A1328" s="0" t="n">
        <v>112</v>
      </c>
      <c r="B1328" s="0" t="s">
        <v>1662</v>
      </c>
      <c r="D1328" s="0" t="s">
        <v>1662</v>
      </c>
      <c r="E1328" s="0" t="s">
        <v>379</v>
      </c>
      <c r="F1328" s="0" t="s">
        <v>29</v>
      </c>
      <c r="I1328" s="0" t="n">
        <v>1000</v>
      </c>
      <c r="J1328" s="0" t="n">
        <v>0.263157894736842</v>
      </c>
      <c r="K1328" s="0" t="s">
        <v>1664</v>
      </c>
      <c r="L1328" s="0" t="s">
        <v>1665</v>
      </c>
    </row>
    <row r="1329" customFormat="false" ht="15" hidden="false" customHeight="false" outlineLevel="0" collapsed="false">
      <c r="A1329" s="0" t="n">
        <v>112</v>
      </c>
      <c r="B1329" s="0" t="s">
        <v>1662</v>
      </c>
      <c r="D1329" s="0" t="s">
        <v>1662</v>
      </c>
      <c r="E1329" s="0" t="s">
        <v>128</v>
      </c>
      <c r="F1329" s="0" t="s">
        <v>28</v>
      </c>
      <c r="I1329" s="0" t="n">
        <v>1000</v>
      </c>
      <c r="J1329" s="0" t="n">
        <v>0.263157894736842</v>
      </c>
      <c r="K1329" s="0" t="s">
        <v>1666</v>
      </c>
    </row>
    <row r="1330" customFormat="false" ht="15" hidden="false" customHeight="false" outlineLevel="0" collapsed="false">
      <c r="A1330" s="0" t="n">
        <v>112</v>
      </c>
      <c r="B1330" s="0" t="s">
        <v>1662</v>
      </c>
      <c r="D1330" s="0" t="s">
        <v>1662</v>
      </c>
      <c r="E1330" s="0" t="s">
        <v>158</v>
      </c>
      <c r="F1330" s="0" t="s">
        <v>28</v>
      </c>
      <c r="I1330" s="0" t="n">
        <v>1000</v>
      </c>
      <c r="J1330" s="0" t="n">
        <v>0.263157894736842</v>
      </c>
      <c r="K1330" s="0" t="s">
        <v>1667</v>
      </c>
    </row>
    <row r="1331" customFormat="false" ht="15" hidden="false" customHeight="false" outlineLevel="0" collapsed="false">
      <c r="A1331" s="0" t="n">
        <v>112</v>
      </c>
      <c r="B1331" s="0" t="s">
        <v>1662</v>
      </c>
      <c r="D1331" s="0" t="s">
        <v>1662</v>
      </c>
      <c r="E1331" s="0" t="s">
        <v>68</v>
      </c>
      <c r="F1331" s="0" t="s">
        <v>30</v>
      </c>
      <c r="I1331" s="0" t="n">
        <v>2700</v>
      </c>
      <c r="J1331" s="0" t="n">
        <v>0.710526315789474</v>
      </c>
      <c r="K1331" s="0" t="s">
        <v>1668</v>
      </c>
    </row>
    <row r="1332" customFormat="false" ht="28.35" hidden="false" customHeight="false" outlineLevel="0" collapsed="false">
      <c r="A1332" s="0" t="n">
        <v>113</v>
      </c>
      <c r="B1332" s="0" t="s">
        <v>1669</v>
      </c>
      <c r="C1332" s="22" t="s">
        <v>1670</v>
      </c>
      <c r="D1332" s="22" t="s">
        <v>1670</v>
      </c>
      <c r="E1332" s="0" t="s">
        <v>1671</v>
      </c>
      <c r="F1332" s="0" t="s">
        <v>27</v>
      </c>
      <c r="G1332" s="0" t="n">
        <v>1.8</v>
      </c>
      <c r="H1332" s="0" t="n">
        <v>2</v>
      </c>
      <c r="I1332" s="0" t="n">
        <v>13680</v>
      </c>
      <c r="J1332" s="0" t="n">
        <v>3.6</v>
      </c>
      <c r="K1332" s="0" t="s">
        <v>1672</v>
      </c>
      <c r="L1332" s="0" t="s">
        <v>1673</v>
      </c>
    </row>
    <row r="1333" customFormat="false" ht="28.35" hidden="false" customHeight="false" outlineLevel="0" collapsed="false">
      <c r="A1333" s="0" t="n">
        <v>113</v>
      </c>
      <c r="B1333" s="0" t="s">
        <v>1669</v>
      </c>
      <c r="C1333" s="22" t="s">
        <v>1670</v>
      </c>
      <c r="D1333" s="22" t="s">
        <v>1670</v>
      </c>
      <c r="E1333" s="0" t="s">
        <v>56</v>
      </c>
      <c r="F1333" s="0" t="s">
        <v>28</v>
      </c>
      <c r="I1333" s="0" t="n">
        <v>700</v>
      </c>
      <c r="J1333" s="0" t="n">
        <v>0.18421052631579</v>
      </c>
      <c r="K1333" s="0" t="s">
        <v>1674</v>
      </c>
    </row>
    <row r="1334" customFormat="false" ht="28.35" hidden="false" customHeight="false" outlineLevel="0" collapsed="false">
      <c r="A1334" s="0" t="n">
        <v>113</v>
      </c>
      <c r="B1334" s="0" t="s">
        <v>1669</v>
      </c>
      <c r="C1334" s="22" t="s">
        <v>1670</v>
      </c>
      <c r="D1334" s="22" t="s">
        <v>1670</v>
      </c>
      <c r="E1334" s="0" t="s">
        <v>58</v>
      </c>
      <c r="F1334" s="0" t="s">
        <v>28</v>
      </c>
      <c r="I1334" s="0" t="n">
        <v>3500</v>
      </c>
      <c r="J1334" s="0" t="n">
        <v>0.921052631578947</v>
      </c>
      <c r="K1334" s="0" t="s">
        <v>1675</v>
      </c>
    </row>
    <row r="1335" customFormat="false" ht="28.35" hidden="false" customHeight="false" outlineLevel="0" collapsed="false">
      <c r="A1335" s="0" t="n">
        <v>113</v>
      </c>
      <c r="B1335" s="0" t="s">
        <v>1669</v>
      </c>
      <c r="C1335" s="22" t="s">
        <v>1670</v>
      </c>
      <c r="D1335" s="22" t="s">
        <v>1670</v>
      </c>
      <c r="E1335" s="0" t="s">
        <v>740</v>
      </c>
      <c r="F1335" s="0" t="s">
        <v>27</v>
      </c>
      <c r="I1335" s="0" t="n">
        <v>3000</v>
      </c>
      <c r="J1335" s="0" t="n">
        <v>0.789473684210526</v>
      </c>
      <c r="K1335" s="0" t="s">
        <v>1676</v>
      </c>
    </row>
    <row r="1336" customFormat="false" ht="28.35" hidden="false" customHeight="false" outlineLevel="0" collapsed="false">
      <c r="A1336" s="0" t="n">
        <v>113</v>
      </c>
      <c r="B1336" s="0" t="s">
        <v>1669</v>
      </c>
      <c r="C1336" s="22" t="s">
        <v>1670</v>
      </c>
      <c r="D1336" s="22" t="s">
        <v>1670</v>
      </c>
      <c r="E1336" s="0" t="s">
        <v>128</v>
      </c>
      <c r="F1336" s="0" t="s">
        <v>28</v>
      </c>
      <c r="I1336" s="0" t="n">
        <v>1000</v>
      </c>
      <c r="J1336" s="0" t="n">
        <v>0.263157894736842</v>
      </c>
      <c r="K1336" s="0" t="s">
        <v>1677</v>
      </c>
    </row>
    <row r="1337" customFormat="false" ht="28.35" hidden="false" customHeight="false" outlineLevel="0" collapsed="false">
      <c r="A1337" s="0" t="n">
        <v>113</v>
      </c>
      <c r="B1337" s="0" t="s">
        <v>1669</v>
      </c>
      <c r="C1337" s="22" t="s">
        <v>1670</v>
      </c>
      <c r="D1337" s="22" t="s">
        <v>1670</v>
      </c>
      <c r="E1337" s="0" t="s">
        <v>130</v>
      </c>
      <c r="F1337" s="0" t="s">
        <v>29</v>
      </c>
      <c r="I1337" s="0" t="n">
        <v>1000</v>
      </c>
      <c r="J1337" s="0" t="n">
        <v>0.263157894736842</v>
      </c>
      <c r="K1337" s="0" t="s">
        <v>1678</v>
      </c>
    </row>
    <row r="1338" customFormat="false" ht="28.35" hidden="false" customHeight="false" outlineLevel="0" collapsed="false">
      <c r="A1338" s="0" t="n">
        <v>113</v>
      </c>
      <c r="B1338" s="0" t="s">
        <v>1669</v>
      </c>
      <c r="C1338" s="22" t="s">
        <v>1670</v>
      </c>
      <c r="D1338" s="22" t="s">
        <v>1670</v>
      </c>
      <c r="E1338" s="0" t="s">
        <v>158</v>
      </c>
      <c r="F1338" s="0" t="s">
        <v>28</v>
      </c>
      <c r="I1338" s="0" t="n">
        <v>0</v>
      </c>
      <c r="J1338" s="0" t="n">
        <v>0</v>
      </c>
      <c r="K1338" s="0" t="s">
        <v>1679</v>
      </c>
    </row>
    <row r="1339" customFormat="false" ht="28.35" hidden="false" customHeight="false" outlineLevel="0" collapsed="false">
      <c r="A1339" s="0" t="n">
        <v>113</v>
      </c>
      <c r="B1339" s="0" t="s">
        <v>1669</v>
      </c>
      <c r="C1339" s="22" t="s">
        <v>1670</v>
      </c>
      <c r="D1339" s="22" t="s">
        <v>1670</v>
      </c>
      <c r="E1339" s="0" t="s">
        <v>132</v>
      </c>
      <c r="F1339" s="0" t="s">
        <v>29</v>
      </c>
      <c r="I1339" s="0" t="n">
        <v>200</v>
      </c>
      <c r="J1339" s="0" t="n">
        <v>0.0526315789473684</v>
      </c>
      <c r="K1339" s="0" t="s">
        <v>1680</v>
      </c>
    </row>
    <row r="1340" customFormat="false" ht="28.35" hidden="false" customHeight="false" outlineLevel="0" collapsed="false">
      <c r="A1340" s="0" t="n">
        <v>113</v>
      </c>
      <c r="B1340" s="0" t="s">
        <v>1669</v>
      </c>
      <c r="C1340" s="22" t="s">
        <v>1670</v>
      </c>
      <c r="D1340" s="22" t="s">
        <v>1670</v>
      </c>
      <c r="E1340" s="0" t="s">
        <v>134</v>
      </c>
      <c r="F1340" s="0" t="s">
        <v>28</v>
      </c>
      <c r="I1340" s="0" t="n">
        <v>200</v>
      </c>
      <c r="J1340" s="0" t="n">
        <v>0.0526315789473684</v>
      </c>
      <c r="K1340" s="0" t="s">
        <v>1681</v>
      </c>
    </row>
    <row r="1341" customFormat="false" ht="28.35" hidden="false" customHeight="false" outlineLevel="0" collapsed="false">
      <c r="A1341" s="0" t="n">
        <v>113</v>
      </c>
      <c r="B1341" s="0" t="s">
        <v>1669</v>
      </c>
      <c r="C1341" s="22" t="s">
        <v>1670</v>
      </c>
      <c r="D1341" s="22" t="s">
        <v>1670</v>
      </c>
      <c r="E1341" s="0" t="s">
        <v>60</v>
      </c>
      <c r="F1341" s="0" t="s">
        <v>27</v>
      </c>
      <c r="I1341" s="0" t="n">
        <v>250</v>
      </c>
      <c r="J1341" s="0" t="n">
        <v>0.0657894736842105</v>
      </c>
      <c r="K1341" s="0" t="s">
        <v>1682</v>
      </c>
    </row>
    <row r="1342" customFormat="false" ht="28.35" hidden="false" customHeight="false" outlineLevel="0" collapsed="false">
      <c r="A1342" s="0" t="n">
        <v>113</v>
      </c>
      <c r="B1342" s="0" t="s">
        <v>1669</v>
      </c>
      <c r="C1342" s="22" t="s">
        <v>1670</v>
      </c>
      <c r="D1342" s="22" t="s">
        <v>1670</v>
      </c>
      <c r="E1342" s="0" t="s">
        <v>62</v>
      </c>
      <c r="F1342" s="0" t="s">
        <v>27</v>
      </c>
      <c r="I1342" s="0" t="n">
        <v>100</v>
      </c>
      <c r="J1342" s="0" t="n">
        <v>0.0263157894736842</v>
      </c>
      <c r="K1342" s="0" t="s">
        <v>1683</v>
      </c>
    </row>
    <row r="1343" customFormat="false" ht="28.35" hidden="false" customHeight="false" outlineLevel="0" collapsed="false">
      <c r="A1343" s="0" t="n">
        <v>113</v>
      </c>
      <c r="B1343" s="0" t="s">
        <v>1669</v>
      </c>
      <c r="C1343" s="22" t="s">
        <v>1670</v>
      </c>
      <c r="D1343" s="22" t="s">
        <v>1670</v>
      </c>
      <c r="E1343" s="0" t="s">
        <v>66</v>
      </c>
      <c r="F1343" s="0" t="s">
        <v>27</v>
      </c>
      <c r="I1343" s="0" t="n">
        <v>350</v>
      </c>
      <c r="J1343" s="0" t="n">
        <v>0.0921052631578947</v>
      </c>
      <c r="K1343" s="0" t="s">
        <v>1684</v>
      </c>
    </row>
    <row r="1344" customFormat="false" ht="28.35" hidden="false" customHeight="false" outlineLevel="0" collapsed="false">
      <c r="A1344" s="0" t="n">
        <v>113</v>
      </c>
      <c r="B1344" s="0" t="s">
        <v>1669</v>
      </c>
      <c r="C1344" s="22" t="s">
        <v>1670</v>
      </c>
      <c r="D1344" s="22" t="s">
        <v>1670</v>
      </c>
      <c r="E1344" s="0" t="s">
        <v>64</v>
      </c>
      <c r="F1344" s="0" t="s">
        <v>27</v>
      </c>
      <c r="I1344" s="0" t="n">
        <v>500</v>
      </c>
      <c r="J1344" s="0" t="n">
        <v>0.131578947368421</v>
      </c>
      <c r="K1344" s="0" t="s">
        <v>1685</v>
      </c>
    </row>
    <row r="1345" customFormat="false" ht="28.35" hidden="false" customHeight="false" outlineLevel="0" collapsed="false">
      <c r="A1345" s="0" t="n">
        <v>113</v>
      </c>
      <c r="B1345" s="0" t="s">
        <v>1669</v>
      </c>
      <c r="C1345" s="22" t="s">
        <v>1670</v>
      </c>
      <c r="D1345" s="22" t="s">
        <v>1670</v>
      </c>
      <c r="E1345" s="0" t="s">
        <v>68</v>
      </c>
      <c r="F1345" s="0" t="s">
        <v>30</v>
      </c>
      <c r="I1345" s="0" t="n">
        <v>4000</v>
      </c>
      <c r="J1345" s="0" t="n">
        <v>1.05263157894737</v>
      </c>
      <c r="K1345" s="0" t="s">
        <v>1686</v>
      </c>
    </row>
    <row r="1346" customFormat="false" ht="28.35" hidden="false" customHeight="false" outlineLevel="0" collapsed="false">
      <c r="A1346" s="0" t="n">
        <v>114</v>
      </c>
      <c r="B1346" s="0" t="s">
        <v>1669</v>
      </c>
      <c r="C1346" s="22" t="s">
        <v>1670</v>
      </c>
      <c r="D1346" s="0" t="s">
        <v>296</v>
      </c>
      <c r="E1346" s="0" t="s">
        <v>1671</v>
      </c>
      <c r="F1346" s="0" t="s">
        <v>27</v>
      </c>
      <c r="G1346" s="0" t="n">
        <v>1.5</v>
      </c>
      <c r="H1346" s="0" t="n">
        <v>2</v>
      </c>
      <c r="I1346" s="0" t="n">
        <v>11400</v>
      </c>
      <c r="J1346" s="0" t="n">
        <v>3</v>
      </c>
      <c r="K1346" s="0" t="s">
        <v>1687</v>
      </c>
      <c r="L1346" s="0" t="s">
        <v>1688</v>
      </c>
    </row>
    <row r="1347" customFormat="false" ht="28.35" hidden="false" customHeight="false" outlineLevel="0" collapsed="false">
      <c r="A1347" s="0" t="n">
        <v>114</v>
      </c>
      <c r="B1347" s="0" t="s">
        <v>1669</v>
      </c>
      <c r="C1347" s="22" t="s">
        <v>1670</v>
      </c>
      <c r="D1347" s="0" t="s">
        <v>296</v>
      </c>
      <c r="E1347" s="0" t="s">
        <v>56</v>
      </c>
      <c r="F1347" s="0" t="s">
        <v>28</v>
      </c>
      <c r="I1347" s="0" t="n">
        <v>700</v>
      </c>
      <c r="J1347" s="0" t="n">
        <v>0.18421052631579</v>
      </c>
      <c r="K1347" s="0" t="s">
        <v>1689</v>
      </c>
    </row>
    <row r="1348" customFormat="false" ht="28.35" hidden="false" customHeight="false" outlineLevel="0" collapsed="false">
      <c r="A1348" s="0" t="n">
        <v>114</v>
      </c>
      <c r="B1348" s="0" t="s">
        <v>1669</v>
      </c>
      <c r="C1348" s="22" t="s">
        <v>1670</v>
      </c>
      <c r="D1348" s="0" t="s">
        <v>296</v>
      </c>
      <c r="E1348" s="0" t="s">
        <v>58</v>
      </c>
      <c r="F1348" s="0" t="s">
        <v>28</v>
      </c>
      <c r="I1348" s="0" t="n">
        <v>4500</v>
      </c>
      <c r="J1348" s="0" t="n">
        <v>1.18421052631579</v>
      </c>
      <c r="K1348" s="0" t="s">
        <v>1690</v>
      </c>
    </row>
    <row r="1349" customFormat="false" ht="28.35" hidden="false" customHeight="false" outlineLevel="0" collapsed="false">
      <c r="A1349" s="0" t="n">
        <v>114</v>
      </c>
      <c r="B1349" s="0" t="s">
        <v>1669</v>
      </c>
      <c r="C1349" s="22" t="s">
        <v>1670</v>
      </c>
      <c r="D1349" s="0" t="s">
        <v>296</v>
      </c>
      <c r="E1349" s="0" t="s">
        <v>740</v>
      </c>
      <c r="F1349" s="0" t="s">
        <v>27</v>
      </c>
      <c r="I1349" s="0" t="n">
        <v>3000</v>
      </c>
      <c r="J1349" s="0" t="n">
        <v>0.789473684210526</v>
      </c>
      <c r="K1349" s="0" t="s">
        <v>1691</v>
      </c>
    </row>
    <row r="1350" customFormat="false" ht="28.35" hidden="false" customHeight="false" outlineLevel="0" collapsed="false">
      <c r="A1350" s="0" t="n">
        <v>114</v>
      </c>
      <c r="B1350" s="0" t="s">
        <v>1669</v>
      </c>
      <c r="C1350" s="22" t="s">
        <v>1670</v>
      </c>
      <c r="D1350" s="0" t="s">
        <v>296</v>
      </c>
      <c r="E1350" s="0" t="s">
        <v>128</v>
      </c>
      <c r="F1350" s="0" t="s">
        <v>28</v>
      </c>
      <c r="I1350" s="0" t="n">
        <v>3000</v>
      </c>
      <c r="J1350" s="0" t="n">
        <v>0.789473684210526</v>
      </c>
      <c r="K1350" s="0" t="s">
        <v>1692</v>
      </c>
    </row>
    <row r="1351" customFormat="false" ht="28.35" hidden="false" customHeight="false" outlineLevel="0" collapsed="false">
      <c r="A1351" s="0" t="n">
        <v>114</v>
      </c>
      <c r="B1351" s="0" t="s">
        <v>1669</v>
      </c>
      <c r="C1351" s="22" t="s">
        <v>1670</v>
      </c>
      <c r="D1351" s="0" t="s">
        <v>296</v>
      </c>
      <c r="E1351" s="0" t="s">
        <v>1263</v>
      </c>
      <c r="F1351" s="0" t="s">
        <v>29</v>
      </c>
      <c r="I1351" s="0" t="n">
        <v>13000</v>
      </c>
      <c r="J1351" s="0" t="n">
        <v>3.42105263157895</v>
      </c>
      <c r="K1351" s="0" t="s">
        <v>1693</v>
      </c>
    </row>
    <row r="1352" customFormat="false" ht="28.35" hidden="false" customHeight="false" outlineLevel="0" collapsed="false">
      <c r="A1352" s="0" t="n">
        <v>114</v>
      </c>
      <c r="B1352" s="0" t="s">
        <v>1669</v>
      </c>
      <c r="C1352" s="22" t="s">
        <v>1670</v>
      </c>
      <c r="D1352" s="0" t="s">
        <v>296</v>
      </c>
      <c r="E1352" s="0" t="s">
        <v>158</v>
      </c>
      <c r="F1352" s="0" t="s">
        <v>28</v>
      </c>
      <c r="I1352" s="0" t="n">
        <v>2000</v>
      </c>
      <c r="J1352" s="0" t="n">
        <v>0.526315789473684</v>
      </c>
      <c r="K1352" s="0" t="s">
        <v>1694</v>
      </c>
    </row>
    <row r="1353" customFormat="false" ht="28.35" hidden="false" customHeight="false" outlineLevel="0" collapsed="false">
      <c r="A1353" s="0" t="n">
        <v>114</v>
      </c>
      <c r="B1353" s="0" t="s">
        <v>1669</v>
      </c>
      <c r="C1353" s="22" t="s">
        <v>1670</v>
      </c>
      <c r="D1353" s="0" t="s">
        <v>296</v>
      </c>
      <c r="E1353" s="0" t="s">
        <v>132</v>
      </c>
      <c r="F1353" s="0" t="s">
        <v>29</v>
      </c>
      <c r="I1353" s="0" t="n">
        <v>0</v>
      </c>
      <c r="J1353" s="0" t="n">
        <v>0</v>
      </c>
      <c r="K1353" s="0" t="s">
        <v>1695</v>
      </c>
    </row>
    <row r="1354" customFormat="false" ht="28.35" hidden="false" customHeight="false" outlineLevel="0" collapsed="false">
      <c r="A1354" s="0" t="n">
        <v>114</v>
      </c>
      <c r="B1354" s="0" t="s">
        <v>1669</v>
      </c>
      <c r="C1354" s="22" t="s">
        <v>1670</v>
      </c>
      <c r="D1354" s="0" t="s">
        <v>296</v>
      </c>
      <c r="E1354" s="0" t="s">
        <v>134</v>
      </c>
      <c r="F1354" s="0" t="s">
        <v>28</v>
      </c>
      <c r="I1354" s="0" t="n">
        <v>0</v>
      </c>
      <c r="J1354" s="0" t="n">
        <v>0</v>
      </c>
      <c r="K1354" s="0" t="s">
        <v>1696</v>
      </c>
    </row>
    <row r="1355" customFormat="false" ht="28.35" hidden="false" customHeight="false" outlineLevel="0" collapsed="false">
      <c r="A1355" s="0" t="n">
        <v>114</v>
      </c>
      <c r="B1355" s="0" t="s">
        <v>1669</v>
      </c>
      <c r="C1355" s="22" t="s">
        <v>1670</v>
      </c>
      <c r="D1355" s="0" t="s">
        <v>296</v>
      </c>
      <c r="E1355" s="0" t="s">
        <v>60</v>
      </c>
      <c r="F1355" s="0" t="s">
        <v>27</v>
      </c>
      <c r="I1355" s="0" t="n">
        <v>250</v>
      </c>
      <c r="J1355" s="0" t="n">
        <v>0.0657894736842105</v>
      </c>
      <c r="K1355" s="0" t="s">
        <v>1697</v>
      </c>
    </row>
    <row r="1356" customFormat="false" ht="28.35" hidden="false" customHeight="false" outlineLevel="0" collapsed="false">
      <c r="A1356" s="0" t="n">
        <v>114</v>
      </c>
      <c r="B1356" s="0" t="s">
        <v>1669</v>
      </c>
      <c r="C1356" s="22" t="s">
        <v>1670</v>
      </c>
      <c r="D1356" s="0" t="s">
        <v>296</v>
      </c>
      <c r="E1356" s="0" t="s">
        <v>62</v>
      </c>
      <c r="F1356" s="0" t="s">
        <v>27</v>
      </c>
      <c r="I1356" s="0" t="n">
        <v>100</v>
      </c>
      <c r="J1356" s="0" t="n">
        <v>0.0263157894736842</v>
      </c>
      <c r="K1356" s="0" t="s">
        <v>1698</v>
      </c>
    </row>
    <row r="1357" customFormat="false" ht="28.35" hidden="false" customHeight="false" outlineLevel="0" collapsed="false">
      <c r="A1357" s="0" t="n">
        <v>114</v>
      </c>
      <c r="B1357" s="0" t="s">
        <v>1669</v>
      </c>
      <c r="C1357" s="22" t="s">
        <v>1670</v>
      </c>
      <c r="D1357" s="0" t="s">
        <v>296</v>
      </c>
      <c r="E1357" s="0" t="s">
        <v>66</v>
      </c>
      <c r="F1357" s="0" t="s">
        <v>27</v>
      </c>
      <c r="I1357" s="0" t="n">
        <v>350</v>
      </c>
      <c r="J1357" s="0" t="n">
        <v>0.0921052631578947</v>
      </c>
      <c r="K1357" s="0" t="s">
        <v>1699</v>
      </c>
    </row>
    <row r="1358" customFormat="false" ht="28.35" hidden="false" customHeight="false" outlineLevel="0" collapsed="false">
      <c r="A1358" s="0" t="n">
        <v>114</v>
      </c>
      <c r="B1358" s="0" t="s">
        <v>1669</v>
      </c>
      <c r="C1358" s="22" t="s">
        <v>1670</v>
      </c>
      <c r="D1358" s="0" t="s">
        <v>296</v>
      </c>
      <c r="E1358" s="0" t="s">
        <v>64</v>
      </c>
      <c r="F1358" s="0" t="s">
        <v>27</v>
      </c>
      <c r="I1358" s="0" t="n">
        <v>500</v>
      </c>
      <c r="J1358" s="0" t="n">
        <v>0.131578947368421</v>
      </c>
      <c r="K1358" s="0" t="s">
        <v>1700</v>
      </c>
    </row>
    <row r="1359" customFormat="false" ht="28.35" hidden="false" customHeight="false" outlineLevel="0" collapsed="false">
      <c r="A1359" s="0" t="n">
        <v>114</v>
      </c>
      <c r="B1359" s="0" t="s">
        <v>1669</v>
      </c>
      <c r="C1359" s="22" t="s">
        <v>1670</v>
      </c>
      <c r="D1359" s="0" t="s">
        <v>296</v>
      </c>
      <c r="E1359" s="0" t="s">
        <v>68</v>
      </c>
      <c r="F1359" s="0" t="s">
        <v>30</v>
      </c>
      <c r="I1359" s="0" t="n">
        <v>4000</v>
      </c>
      <c r="J1359" s="0" t="n">
        <v>1.05263157894737</v>
      </c>
      <c r="K1359" s="0" t="s">
        <v>1701</v>
      </c>
    </row>
    <row r="1360" customFormat="false" ht="28.35" hidden="false" customHeight="false" outlineLevel="0" collapsed="false">
      <c r="A1360" s="0" t="n">
        <v>115</v>
      </c>
      <c r="B1360" s="0" t="s">
        <v>1669</v>
      </c>
      <c r="C1360" s="22" t="s">
        <v>1702</v>
      </c>
      <c r="D1360" s="22" t="s">
        <v>1702</v>
      </c>
      <c r="E1360" s="0" t="s">
        <v>1671</v>
      </c>
      <c r="F1360" s="0" t="s">
        <v>27</v>
      </c>
      <c r="G1360" s="0" t="n">
        <v>1.8</v>
      </c>
      <c r="H1360" s="0" t="n">
        <v>1.2</v>
      </c>
      <c r="I1360" s="0" t="n">
        <v>8640</v>
      </c>
      <c r="J1360" s="0" t="n">
        <v>2.16</v>
      </c>
      <c r="K1360" s="0" t="s">
        <v>1703</v>
      </c>
      <c r="L1360" s="0" t="s">
        <v>1704</v>
      </c>
    </row>
    <row r="1361" customFormat="false" ht="28.35" hidden="false" customHeight="false" outlineLevel="0" collapsed="false">
      <c r="A1361" s="0" t="n">
        <v>115</v>
      </c>
      <c r="B1361" s="0" t="s">
        <v>1669</v>
      </c>
      <c r="C1361" s="22" t="s">
        <v>1702</v>
      </c>
      <c r="D1361" s="22" t="s">
        <v>1702</v>
      </c>
      <c r="E1361" s="0" t="s">
        <v>56</v>
      </c>
      <c r="F1361" s="0" t="s">
        <v>28</v>
      </c>
      <c r="I1361" s="0" t="n">
        <v>500</v>
      </c>
      <c r="J1361" s="0" t="n">
        <v>0.125</v>
      </c>
      <c r="K1361" s="0" t="s">
        <v>1705</v>
      </c>
    </row>
    <row r="1362" customFormat="false" ht="28.35" hidden="false" customHeight="false" outlineLevel="0" collapsed="false">
      <c r="A1362" s="0" t="n">
        <v>115</v>
      </c>
      <c r="B1362" s="0" t="s">
        <v>1669</v>
      </c>
      <c r="C1362" s="22" t="s">
        <v>1702</v>
      </c>
      <c r="D1362" s="22" t="s">
        <v>1702</v>
      </c>
      <c r="E1362" s="0" t="s">
        <v>58</v>
      </c>
      <c r="F1362" s="0" t="s">
        <v>28</v>
      </c>
      <c r="I1362" s="0" t="n">
        <v>3500</v>
      </c>
      <c r="J1362" s="0" t="n">
        <v>0.875</v>
      </c>
      <c r="K1362" s="0" t="s">
        <v>1706</v>
      </c>
    </row>
    <row r="1363" customFormat="false" ht="28.35" hidden="false" customHeight="false" outlineLevel="0" collapsed="false">
      <c r="A1363" s="0" t="n">
        <v>115</v>
      </c>
      <c r="B1363" s="0" t="s">
        <v>1669</v>
      </c>
      <c r="C1363" s="22" t="s">
        <v>1702</v>
      </c>
      <c r="D1363" s="22" t="s">
        <v>1702</v>
      </c>
      <c r="E1363" s="0" t="s">
        <v>740</v>
      </c>
      <c r="F1363" s="0" t="s">
        <v>27</v>
      </c>
      <c r="I1363" s="0" t="n">
        <v>1200</v>
      </c>
      <c r="J1363" s="0" t="n">
        <v>0.3</v>
      </c>
      <c r="K1363" s="0" t="s">
        <v>1707</v>
      </c>
    </row>
    <row r="1364" customFormat="false" ht="28.35" hidden="false" customHeight="false" outlineLevel="0" collapsed="false">
      <c r="A1364" s="0" t="n">
        <v>115</v>
      </c>
      <c r="B1364" s="0" t="s">
        <v>1669</v>
      </c>
      <c r="C1364" s="22" t="s">
        <v>1702</v>
      </c>
      <c r="D1364" s="22" t="s">
        <v>1702</v>
      </c>
      <c r="E1364" s="0" t="s">
        <v>128</v>
      </c>
      <c r="F1364" s="0" t="s">
        <v>28</v>
      </c>
      <c r="G1364" s="0" t="n">
        <v>1.6</v>
      </c>
      <c r="H1364" s="0" t="n">
        <v>3500</v>
      </c>
      <c r="I1364" s="0" t="n">
        <v>5600</v>
      </c>
      <c r="J1364" s="0" t="n">
        <v>1.4</v>
      </c>
      <c r="K1364" s="0" t="s">
        <v>1708</v>
      </c>
      <c r="L1364" s="0" t="s">
        <v>1709</v>
      </c>
    </row>
    <row r="1365" customFormat="false" ht="28.35" hidden="false" customHeight="false" outlineLevel="0" collapsed="false">
      <c r="A1365" s="0" t="n">
        <v>115</v>
      </c>
      <c r="B1365" s="0" t="s">
        <v>1669</v>
      </c>
      <c r="C1365" s="22" t="s">
        <v>1702</v>
      </c>
      <c r="D1365" s="22" t="s">
        <v>1702</v>
      </c>
      <c r="E1365" s="0" t="s">
        <v>379</v>
      </c>
      <c r="F1365" s="0" t="s">
        <v>29</v>
      </c>
      <c r="G1365" s="0" t="n">
        <v>1.8</v>
      </c>
      <c r="H1365" s="0" t="n">
        <v>6000</v>
      </c>
      <c r="I1365" s="0" t="n">
        <v>10800</v>
      </c>
      <c r="J1365" s="0" t="n">
        <v>2.7</v>
      </c>
      <c r="K1365" s="0" t="s">
        <v>1710</v>
      </c>
      <c r="L1365" s="0" t="s">
        <v>1711</v>
      </c>
    </row>
    <row r="1366" customFormat="false" ht="28.35" hidden="false" customHeight="false" outlineLevel="0" collapsed="false">
      <c r="A1366" s="0" t="n">
        <v>115</v>
      </c>
      <c r="B1366" s="0" t="s">
        <v>1669</v>
      </c>
      <c r="C1366" s="22" t="s">
        <v>1702</v>
      </c>
      <c r="D1366" s="22" t="s">
        <v>1702</v>
      </c>
      <c r="E1366" s="0" t="s">
        <v>158</v>
      </c>
      <c r="F1366" s="0" t="s">
        <v>28</v>
      </c>
      <c r="I1366" s="0" t="n">
        <v>300</v>
      </c>
      <c r="J1366" s="0" t="n">
        <v>0.075</v>
      </c>
      <c r="K1366" s="0" t="s">
        <v>1712</v>
      </c>
    </row>
    <row r="1367" customFormat="false" ht="28.35" hidden="false" customHeight="false" outlineLevel="0" collapsed="false">
      <c r="A1367" s="0" t="n">
        <v>115</v>
      </c>
      <c r="B1367" s="0" t="s">
        <v>1669</v>
      </c>
      <c r="C1367" s="22" t="s">
        <v>1702</v>
      </c>
      <c r="D1367" s="22" t="s">
        <v>1702</v>
      </c>
      <c r="E1367" s="0" t="s">
        <v>850</v>
      </c>
      <c r="F1367" s="0" t="s">
        <v>31</v>
      </c>
      <c r="I1367" s="0" t="n">
        <v>700</v>
      </c>
      <c r="J1367" s="0" t="n">
        <v>0.175</v>
      </c>
      <c r="K1367" s="0" t="s">
        <v>1713</v>
      </c>
    </row>
    <row r="1368" customFormat="false" ht="28.35" hidden="false" customHeight="false" outlineLevel="0" collapsed="false">
      <c r="A1368" s="0" t="n">
        <v>115</v>
      </c>
      <c r="B1368" s="0" t="s">
        <v>1669</v>
      </c>
      <c r="C1368" s="22" t="s">
        <v>1702</v>
      </c>
      <c r="D1368" s="22" t="s">
        <v>1702</v>
      </c>
      <c r="E1368" s="0" t="s">
        <v>1428</v>
      </c>
      <c r="F1368" s="0" t="s">
        <v>27</v>
      </c>
      <c r="I1368" s="0" t="n">
        <v>500</v>
      </c>
      <c r="J1368" s="0" t="n">
        <v>0.125</v>
      </c>
      <c r="K1368" s="0" t="s">
        <v>1714</v>
      </c>
    </row>
    <row r="1369" customFormat="false" ht="28.35" hidden="false" customHeight="false" outlineLevel="0" collapsed="false">
      <c r="A1369" s="0" t="n">
        <v>115</v>
      </c>
      <c r="B1369" s="0" t="s">
        <v>1669</v>
      </c>
      <c r="C1369" s="22" t="s">
        <v>1702</v>
      </c>
      <c r="D1369" s="22" t="s">
        <v>1702</v>
      </c>
      <c r="E1369" s="0" t="s">
        <v>60</v>
      </c>
      <c r="F1369" s="0" t="s">
        <v>27</v>
      </c>
      <c r="I1369" s="0" t="n">
        <v>250</v>
      </c>
      <c r="J1369" s="0" t="n">
        <v>0.0625</v>
      </c>
      <c r="K1369" s="0" t="s">
        <v>1715</v>
      </c>
    </row>
    <row r="1370" customFormat="false" ht="28.35" hidden="false" customHeight="false" outlineLevel="0" collapsed="false">
      <c r="A1370" s="0" t="n">
        <v>115</v>
      </c>
      <c r="B1370" s="0" t="s">
        <v>1669</v>
      </c>
      <c r="C1370" s="22" t="s">
        <v>1702</v>
      </c>
      <c r="D1370" s="22" t="s">
        <v>1702</v>
      </c>
      <c r="E1370" s="0" t="s">
        <v>62</v>
      </c>
      <c r="F1370" s="0" t="s">
        <v>27</v>
      </c>
      <c r="I1370" s="0" t="n">
        <v>100</v>
      </c>
      <c r="J1370" s="0" t="n">
        <v>0.025</v>
      </c>
      <c r="K1370" s="0" t="s">
        <v>1716</v>
      </c>
    </row>
    <row r="1371" customFormat="false" ht="28.35" hidden="false" customHeight="false" outlineLevel="0" collapsed="false">
      <c r="A1371" s="0" t="n">
        <v>115</v>
      </c>
      <c r="B1371" s="0" t="s">
        <v>1669</v>
      </c>
      <c r="C1371" s="22" t="s">
        <v>1702</v>
      </c>
      <c r="D1371" s="22" t="s">
        <v>1702</v>
      </c>
      <c r="E1371" s="0" t="s">
        <v>66</v>
      </c>
      <c r="F1371" s="0" t="s">
        <v>27</v>
      </c>
      <c r="I1371" s="0" t="n">
        <v>500</v>
      </c>
      <c r="J1371" s="0" t="n">
        <v>0.125</v>
      </c>
      <c r="K1371" s="0" t="s">
        <v>1717</v>
      </c>
    </row>
    <row r="1372" customFormat="false" ht="28.35" hidden="false" customHeight="false" outlineLevel="0" collapsed="false">
      <c r="A1372" s="0" t="n">
        <v>115</v>
      </c>
      <c r="B1372" s="0" t="s">
        <v>1669</v>
      </c>
      <c r="C1372" s="22" t="s">
        <v>1702</v>
      </c>
      <c r="D1372" s="22" t="s">
        <v>1702</v>
      </c>
      <c r="E1372" s="0" t="s">
        <v>64</v>
      </c>
      <c r="F1372" s="0" t="s">
        <v>27</v>
      </c>
      <c r="I1372" s="0" t="n">
        <v>100</v>
      </c>
      <c r="J1372" s="0" t="n">
        <v>0.025</v>
      </c>
      <c r="K1372" s="0" t="s">
        <v>1718</v>
      </c>
    </row>
    <row r="1373" customFormat="false" ht="28.35" hidden="false" customHeight="false" outlineLevel="0" collapsed="false">
      <c r="A1373" s="0" t="n">
        <v>115</v>
      </c>
      <c r="B1373" s="0" t="s">
        <v>1669</v>
      </c>
      <c r="C1373" s="22" t="s">
        <v>1702</v>
      </c>
      <c r="D1373" s="22" t="s">
        <v>1702</v>
      </c>
      <c r="E1373" s="0" t="s">
        <v>68</v>
      </c>
      <c r="F1373" s="0" t="s">
        <v>30</v>
      </c>
      <c r="I1373" s="0" t="n">
        <v>2000</v>
      </c>
      <c r="J1373" s="0" t="n">
        <v>0.5</v>
      </c>
      <c r="K1373" s="0" t="s">
        <v>1719</v>
      </c>
    </row>
    <row r="1374" customFormat="false" ht="28.35" hidden="false" customHeight="false" outlineLevel="0" collapsed="false">
      <c r="A1374" s="0" t="n">
        <v>116</v>
      </c>
      <c r="B1374" s="0" t="s">
        <v>1669</v>
      </c>
      <c r="C1374" s="22" t="s">
        <v>1702</v>
      </c>
      <c r="D1374" s="22" t="s">
        <v>1702</v>
      </c>
      <c r="E1374" s="0" t="s">
        <v>1671</v>
      </c>
      <c r="F1374" s="0" t="s">
        <v>27</v>
      </c>
      <c r="G1374" s="0" t="n">
        <v>1</v>
      </c>
      <c r="H1374" s="0" t="n">
        <v>4</v>
      </c>
      <c r="I1374" s="0" t="n">
        <v>15200</v>
      </c>
      <c r="J1374" s="0" t="n">
        <v>4</v>
      </c>
      <c r="K1374" s="0" t="s">
        <v>1720</v>
      </c>
      <c r="L1374" s="0" t="s">
        <v>1721</v>
      </c>
    </row>
    <row r="1375" customFormat="false" ht="28.35" hidden="false" customHeight="false" outlineLevel="0" collapsed="false">
      <c r="A1375" s="0" t="n">
        <v>116</v>
      </c>
      <c r="B1375" s="0" t="s">
        <v>1669</v>
      </c>
      <c r="C1375" s="22" t="s">
        <v>1702</v>
      </c>
      <c r="D1375" s="22" t="s">
        <v>1702</v>
      </c>
      <c r="E1375" s="0" t="s">
        <v>56</v>
      </c>
      <c r="F1375" s="0" t="s">
        <v>28</v>
      </c>
      <c r="I1375" s="0" t="n">
        <v>700</v>
      </c>
      <c r="J1375" s="0" t="n">
        <v>0.18421052631579</v>
      </c>
      <c r="K1375" s="0" t="s">
        <v>1722</v>
      </c>
    </row>
    <row r="1376" customFormat="false" ht="28.35" hidden="false" customHeight="false" outlineLevel="0" collapsed="false">
      <c r="A1376" s="0" t="n">
        <v>116</v>
      </c>
      <c r="B1376" s="0" t="s">
        <v>1669</v>
      </c>
      <c r="C1376" s="22" t="s">
        <v>1702</v>
      </c>
      <c r="D1376" s="22" t="s">
        <v>1702</v>
      </c>
      <c r="E1376" s="0" t="s">
        <v>58</v>
      </c>
      <c r="F1376" s="0" t="s">
        <v>28</v>
      </c>
      <c r="I1376" s="0" t="n">
        <v>3500</v>
      </c>
      <c r="J1376" s="0" t="n">
        <v>0.921052631578947</v>
      </c>
      <c r="K1376" s="0" t="s">
        <v>1723</v>
      </c>
    </row>
    <row r="1377" customFormat="false" ht="28.35" hidden="false" customHeight="false" outlineLevel="0" collapsed="false">
      <c r="A1377" s="0" t="n">
        <v>116</v>
      </c>
      <c r="B1377" s="0" t="s">
        <v>1669</v>
      </c>
      <c r="C1377" s="22" t="s">
        <v>1702</v>
      </c>
      <c r="D1377" s="22" t="s">
        <v>1702</v>
      </c>
      <c r="E1377" s="0" t="s">
        <v>740</v>
      </c>
      <c r="F1377" s="0" t="s">
        <v>27</v>
      </c>
      <c r="I1377" s="0" t="n">
        <v>1300</v>
      </c>
      <c r="J1377" s="0" t="n">
        <v>0.342105263157895</v>
      </c>
      <c r="K1377" s="0" t="s">
        <v>1724</v>
      </c>
    </row>
    <row r="1378" customFormat="false" ht="28.35" hidden="false" customHeight="false" outlineLevel="0" collapsed="false">
      <c r="A1378" s="0" t="n">
        <v>116</v>
      </c>
      <c r="B1378" s="0" t="s">
        <v>1669</v>
      </c>
      <c r="C1378" s="22" t="s">
        <v>1702</v>
      </c>
      <c r="D1378" s="22" t="s">
        <v>1702</v>
      </c>
      <c r="E1378" s="0" t="s">
        <v>128</v>
      </c>
      <c r="F1378" s="0" t="s">
        <v>28</v>
      </c>
      <c r="I1378" s="0" t="n">
        <v>3000</v>
      </c>
      <c r="J1378" s="0" t="n">
        <v>0.789473684210526</v>
      </c>
      <c r="K1378" s="0" t="s">
        <v>1725</v>
      </c>
    </row>
    <row r="1379" customFormat="false" ht="28.35" hidden="false" customHeight="false" outlineLevel="0" collapsed="false">
      <c r="A1379" s="0" t="n">
        <v>116</v>
      </c>
      <c r="B1379" s="0" t="s">
        <v>1669</v>
      </c>
      <c r="C1379" s="22" t="s">
        <v>1702</v>
      </c>
      <c r="D1379" s="22" t="s">
        <v>1702</v>
      </c>
      <c r="E1379" s="0" t="s">
        <v>1263</v>
      </c>
      <c r="F1379" s="0" t="s">
        <v>29</v>
      </c>
      <c r="I1379" s="0" t="n">
        <v>13000</v>
      </c>
      <c r="J1379" s="0" t="n">
        <v>3.42105263157895</v>
      </c>
      <c r="K1379" s="0" t="s">
        <v>1726</v>
      </c>
    </row>
    <row r="1380" customFormat="false" ht="28.35" hidden="false" customHeight="false" outlineLevel="0" collapsed="false">
      <c r="A1380" s="0" t="n">
        <v>116</v>
      </c>
      <c r="B1380" s="0" t="s">
        <v>1669</v>
      </c>
      <c r="C1380" s="22" t="s">
        <v>1702</v>
      </c>
      <c r="D1380" s="22" t="s">
        <v>1702</v>
      </c>
      <c r="E1380" s="0" t="s">
        <v>158</v>
      </c>
      <c r="F1380" s="0" t="s">
        <v>28</v>
      </c>
      <c r="I1380" s="0" t="n">
        <v>1000</v>
      </c>
      <c r="J1380" s="0" t="n">
        <v>0.263157894736842</v>
      </c>
      <c r="K1380" s="0" t="s">
        <v>1727</v>
      </c>
    </row>
    <row r="1381" customFormat="false" ht="28.35" hidden="false" customHeight="false" outlineLevel="0" collapsed="false">
      <c r="A1381" s="0" t="n">
        <v>116</v>
      </c>
      <c r="B1381" s="0" t="s">
        <v>1669</v>
      </c>
      <c r="C1381" s="22" t="s">
        <v>1702</v>
      </c>
      <c r="D1381" s="22" t="s">
        <v>1702</v>
      </c>
      <c r="E1381" s="0" t="s">
        <v>132</v>
      </c>
      <c r="F1381" s="0" t="s">
        <v>29</v>
      </c>
      <c r="I1381" s="0" t="n">
        <v>0</v>
      </c>
      <c r="J1381" s="0" t="n">
        <v>0</v>
      </c>
      <c r="K1381" s="0" t="s">
        <v>1728</v>
      </c>
    </row>
    <row r="1382" customFormat="false" ht="28.35" hidden="false" customHeight="false" outlineLevel="0" collapsed="false">
      <c r="A1382" s="0" t="n">
        <v>116</v>
      </c>
      <c r="B1382" s="0" t="s">
        <v>1669</v>
      </c>
      <c r="C1382" s="22" t="s">
        <v>1702</v>
      </c>
      <c r="D1382" s="22" t="s">
        <v>1702</v>
      </c>
      <c r="E1382" s="0" t="s">
        <v>134</v>
      </c>
      <c r="F1382" s="0" t="s">
        <v>28</v>
      </c>
      <c r="I1382" s="0" t="n">
        <v>0</v>
      </c>
      <c r="J1382" s="0" t="n">
        <v>0</v>
      </c>
      <c r="K1382" s="0" t="s">
        <v>1729</v>
      </c>
    </row>
    <row r="1383" customFormat="false" ht="28.35" hidden="false" customHeight="false" outlineLevel="0" collapsed="false">
      <c r="A1383" s="0" t="n">
        <v>116</v>
      </c>
      <c r="B1383" s="0" t="s">
        <v>1669</v>
      </c>
      <c r="C1383" s="22" t="s">
        <v>1702</v>
      </c>
      <c r="D1383" s="22" t="s">
        <v>1702</v>
      </c>
      <c r="E1383" s="0" t="s">
        <v>60</v>
      </c>
      <c r="F1383" s="0" t="s">
        <v>27</v>
      </c>
      <c r="I1383" s="0" t="n">
        <v>0</v>
      </c>
      <c r="J1383" s="0" t="n">
        <v>0</v>
      </c>
      <c r="K1383" s="0" t="s">
        <v>1730</v>
      </c>
    </row>
    <row r="1384" customFormat="false" ht="28.35" hidden="false" customHeight="false" outlineLevel="0" collapsed="false">
      <c r="A1384" s="0" t="n">
        <v>116</v>
      </c>
      <c r="B1384" s="0" t="s">
        <v>1669</v>
      </c>
      <c r="C1384" s="22" t="s">
        <v>1702</v>
      </c>
      <c r="D1384" s="22" t="s">
        <v>1702</v>
      </c>
      <c r="E1384" s="0" t="s">
        <v>62</v>
      </c>
      <c r="F1384" s="0" t="s">
        <v>27</v>
      </c>
      <c r="I1384" s="0" t="n">
        <v>100</v>
      </c>
      <c r="J1384" s="0" t="n">
        <v>0.0263157894736842</v>
      </c>
      <c r="K1384" s="0" t="s">
        <v>1731</v>
      </c>
    </row>
    <row r="1385" customFormat="false" ht="28.35" hidden="false" customHeight="false" outlineLevel="0" collapsed="false">
      <c r="A1385" s="0" t="n">
        <v>116</v>
      </c>
      <c r="B1385" s="0" t="s">
        <v>1669</v>
      </c>
      <c r="C1385" s="22" t="s">
        <v>1702</v>
      </c>
      <c r="D1385" s="22" t="s">
        <v>1702</v>
      </c>
      <c r="E1385" s="0" t="s">
        <v>66</v>
      </c>
      <c r="F1385" s="0" t="s">
        <v>27</v>
      </c>
      <c r="I1385" s="0" t="n">
        <v>350</v>
      </c>
      <c r="J1385" s="0" t="n">
        <v>0.0921052631578947</v>
      </c>
      <c r="K1385" s="0" t="s">
        <v>1732</v>
      </c>
    </row>
    <row r="1386" customFormat="false" ht="28.35" hidden="false" customHeight="false" outlineLevel="0" collapsed="false">
      <c r="A1386" s="0" t="n">
        <v>116</v>
      </c>
      <c r="B1386" s="0" t="s">
        <v>1669</v>
      </c>
      <c r="C1386" s="22" t="s">
        <v>1702</v>
      </c>
      <c r="D1386" s="22" t="s">
        <v>1702</v>
      </c>
      <c r="E1386" s="0" t="s">
        <v>64</v>
      </c>
      <c r="F1386" s="0" t="s">
        <v>27</v>
      </c>
      <c r="I1386" s="0" t="n">
        <v>500</v>
      </c>
      <c r="J1386" s="0" t="n">
        <v>0.131578947368421</v>
      </c>
      <c r="K1386" s="0" t="s">
        <v>1733</v>
      </c>
    </row>
    <row r="1387" customFormat="false" ht="28.35" hidden="false" customHeight="false" outlineLevel="0" collapsed="false">
      <c r="A1387" s="0" t="n">
        <v>116</v>
      </c>
      <c r="B1387" s="0" t="s">
        <v>1669</v>
      </c>
      <c r="C1387" s="22" t="s">
        <v>1702</v>
      </c>
      <c r="D1387" s="22" t="s">
        <v>1702</v>
      </c>
      <c r="E1387" s="0" t="s">
        <v>68</v>
      </c>
      <c r="F1387" s="0" t="s">
        <v>30</v>
      </c>
      <c r="I1387" s="0" t="n">
        <v>4000</v>
      </c>
      <c r="J1387" s="0" t="n">
        <v>1.05263157894737</v>
      </c>
      <c r="K1387" s="0" t="s">
        <v>1734</v>
      </c>
    </row>
    <row r="1388" customFormat="false" ht="28.35" hidden="false" customHeight="false" outlineLevel="0" collapsed="false">
      <c r="A1388" s="0" t="n">
        <v>117</v>
      </c>
      <c r="B1388" s="0" t="s">
        <v>1669</v>
      </c>
      <c r="C1388" s="22" t="s">
        <v>1735</v>
      </c>
      <c r="D1388" s="22" t="s">
        <v>1735</v>
      </c>
      <c r="E1388" s="0" t="s">
        <v>1671</v>
      </c>
      <c r="F1388" s="0" t="s">
        <v>27</v>
      </c>
      <c r="G1388" s="0" t="n">
        <v>2</v>
      </c>
      <c r="H1388" s="0" t="n">
        <v>1.7</v>
      </c>
      <c r="I1388" s="0" t="n">
        <v>12920</v>
      </c>
      <c r="J1388" s="0" t="n">
        <v>3.4</v>
      </c>
      <c r="K1388" s="0" t="s">
        <v>1736</v>
      </c>
      <c r="L1388" s="0" t="s">
        <v>1737</v>
      </c>
    </row>
    <row r="1389" customFormat="false" ht="28.35" hidden="false" customHeight="false" outlineLevel="0" collapsed="false">
      <c r="A1389" s="0" t="n">
        <v>117</v>
      </c>
      <c r="B1389" s="0" t="s">
        <v>1669</v>
      </c>
      <c r="C1389" s="22" t="s">
        <v>1735</v>
      </c>
      <c r="D1389" s="22" t="s">
        <v>1735</v>
      </c>
      <c r="E1389" s="0" t="s">
        <v>379</v>
      </c>
      <c r="F1389" s="0" t="s">
        <v>29</v>
      </c>
      <c r="G1389" s="0" t="n">
        <v>2</v>
      </c>
      <c r="H1389" s="0" t="n">
        <v>11000</v>
      </c>
      <c r="I1389" s="0" t="n">
        <v>22000</v>
      </c>
      <c r="J1389" s="0" t="n">
        <v>5.78947368421053</v>
      </c>
      <c r="K1389" s="0" t="s">
        <v>1738</v>
      </c>
      <c r="L1389" s="0" t="s">
        <v>1739</v>
      </c>
    </row>
    <row r="1390" customFormat="false" ht="28.35" hidden="false" customHeight="false" outlineLevel="0" collapsed="false">
      <c r="A1390" s="0" t="n">
        <v>117</v>
      </c>
      <c r="B1390" s="0" t="s">
        <v>1669</v>
      </c>
      <c r="C1390" s="22" t="s">
        <v>1735</v>
      </c>
      <c r="D1390" s="22" t="s">
        <v>1735</v>
      </c>
      <c r="E1390" s="0" t="s">
        <v>56</v>
      </c>
      <c r="F1390" s="0" t="s">
        <v>28</v>
      </c>
      <c r="I1390" s="0" t="n">
        <v>700</v>
      </c>
      <c r="J1390" s="0" t="n">
        <v>0.18421052631579</v>
      </c>
      <c r="K1390" s="0" t="s">
        <v>1740</v>
      </c>
    </row>
    <row r="1391" customFormat="false" ht="28.35" hidden="false" customHeight="false" outlineLevel="0" collapsed="false">
      <c r="A1391" s="0" t="n">
        <v>117</v>
      </c>
      <c r="B1391" s="0" t="s">
        <v>1669</v>
      </c>
      <c r="C1391" s="22" t="s">
        <v>1735</v>
      </c>
      <c r="D1391" s="22" t="s">
        <v>1735</v>
      </c>
      <c r="E1391" s="0" t="s">
        <v>58</v>
      </c>
      <c r="F1391" s="0" t="s">
        <v>28</v>
      </c>
      <c r="I1391" s="0" t="n">
        <v>4500</v>
      </c>
      <c r="J1391" s="0" t="n">
        <v>1.18421052631579</v>
      </c>
      <c r="K1391" s="0" t="s">
        <v>1741</v>
      </c>
    </row>
    <row r="1392" customFormat="false" ht="28.35" hidden="false" customHeight="false" outlineLevel="0" collapsed="false">
      <c r="A1392" s="0" t="n">
        <v>117</v>
      </c>
      <c r="B1392" s="0" t="s">
        <v>1669</v>
      </c>
      <c r="C1392" s="22" t="s">
        <v>1735</v>
      </c>
      <c r="D1392" s="22" t="s">
        <v>1735</v>
      </c>
      <c r="E1392" s="0" t="s">
        <v>740</v>
      </c>
      <c r="F1392" s="0" t="s">
        <v>27</v>
      </c>
      <c r="I1392" s="0" t="n">
        <v>1500</v>
      </c>
      <c r="J1392" s="0" t="n">
        <v>0.394736842105263</v>
      </c>
      <c r="K1392" s="0" t="s">
        <v>1742</v>
      </c>
    </row>
    <row r="1393" customFormat="false" ht="28.35" hidden="false" customHeight="false" outlineLevel="0" collapsed="false">
      <c r="A1393" s="0" t="n">
        <v>117</v>
      </c>
      <c r="B1393" s="0" t="s">
        <v>1669</v>
      </c>
      <c r="C1393" s="22" t="s">
        <v>1735</v>
      </c>
      <c r="D1393" s="22" t="s">
        <v>1735</v>
      </c>
      <c r="E1393" s="0" t="s">
        <v>850</v>
      </c>
      <c r="F1393" s="0" t="s">
        <v>31</v>
      </c>
      <c r="G1393" s="0" t="n">
        <v>2</v>
      </c>
      <c r="H1393" s="0" t="n">
        <v>500</v>
      </c>
      <c r="I1393" s="0" t="n">
        <v>1000</v>
      </c>
      <c r="J1393" s="0" t="n">
        <v>0.263157894736842</v>
      </c>
      <c r="K1393" s="0" t="s">
        <v>1743</v>
      </c>
      <c r="L1393" s="0" t="s">
        <v>1744</v>
      </c>
    </row>
    <row r="1394" customFormat="false" ht="28.35" hidden="false" customHeight="false" outlineLevel="0" collapsed="false">
      <c r="A1394" s="0" t="n">
        <v>117</v>
      </c>
      <c r="B1394" s="0" t="s">
        <v>1669</v>
      </c>
      <c r="C1394" s="22" t="s">
        <v>1735</v>
      </c>
      <c r="D1394" s="22" t="s">
        <v>1735</v>
      </c>
      <c r="E1394" s="0" t="s">
        <v>203</v>
      </c>
      <c r="F1394" s="0" t="s">
        <v>29</v>
      </c>
      <c r="I1394" s="0" t="n">
        <v>0</v>
      </c>
      <c r="J1394" s="0" t="n">
        <v>0</v>
      </c>
      <c r="K1394" s="0" t="s">
        <v>1745</v>
      </c>
    </row>
    <row r="1395" customFormat="false" ht="28.35" hidden="false" customHeight="false" outlineLevel="0" collapsed="false">
      <c r="A1395" s="0" t="n">
        <v>117</v>
      </c>
      <c r="B1395" s="0" t="s">
        <v>1669</v>
      </c>
      <c r="C1395" s="22" t="s">
        <v>1735</v>
      </c>
      <c r="D1395" s="22" t="s">
        <v>1735</v>
      </c>
      <c r="E1395" s="0" t="s">
        <v>158</v>
      </c>
      <c r="F1395" s="0" t="s">
        <v>28</v>
      </c>
      <c r="I1395" s="0" t="n">
        <v>2000</v>
      </c>
      <c r="J1395" s="0" t="n">
        <v>0.526315789473684</v>
      </c>
      <c r="K1395" s="0" t="s">
        <v>1746</v>
      </c>
    </row>
    <row r="1396" customFormat="false" ht="28.35" hidden="false" customHeight="false" outlineLevel="0" collapsed="false">
      <c r="A1396" s="0" t="n">
        <v>117</v>
      </c>
      <c r="B1396" s="0" t="s">
        <v>1669</v>
      </c>
      <c r="C1396" s="22" t="s">
        <v>1735</v>
      </c>
      <c r="D1396" s="22" t="s">
        <v>1735</v>
      </c>
      <c r="E1396" s="0" t="s">
        <v>1601</v>
      </c>
      <c r="F1396" s="0" t="s">
        <v>27</v>
      </c>
      <c r="I1396" s="0" t="n">
        <v>0</v>
      </c>
      <c r="J1396" s="0" t="n">
        <v>0</v>
      </c>
      <c r="K1396" s="0" t="s">
        <v>1747</v>
      </c>
    </row>
    <row r="1397" customFormat="false" ht="28.35" hidden="false" customHeight="false" outlineLevel="0" collapsed="false">
      <c r="A1397" s="0" t="n">
        <v>117</v>
      </c>
      <c r="B1397" s="0" t="s">
        <v>1669</v>
      </c>
      <c r="C1397" s="22" t="s">
        <v>1735</v>
      </c>
      <c r="D1397" s="22" t="s">
        <v>1735</v>
      </c>
      <c r="E1397" s="0" t="s">
        <v>1748</v>
      </c>
      <c r="F1397" s="0" t="s">
        <v>31</v>
      </c>
      <c r="I1397" s="0" t="n">
        <v>100</v>
      </c>
      <c r="J1397" s="0" t="n">
        <v>0.0263157894736842</v>
      </c>
      <c r="K1397" s="0" t="s">
        <v>1749</v>
      </c>
    </row>
    <row r="1398" customFormat="false" ht="28.35" hidden="false" customHeight="false" outlineLevel="0" collapsed="false">
      <c r="A1398" s="0" t="n">
        <v>117</v>
      </c>
      <c r="B1398" s="0" t="s">
        <v>1669</v>
      </c>
      <c r="C1398" s="22" t="s">
        <v>1735</v>
      </c>
      <c r="D1398" s="22" t="s">
        <v>1735</v>
      </c>
      <c r="E1398" s="0" t="s">
        <v>1750</v>
      </c>
      <c r="F1398" s="0" t="s">
        <v>31</v>
      </c>
      <c r="G1398" s="0" t="n">
        <v>6</v>
      </c>
      <c r="H1398" s="0" t="n">
        <v>20</v>
      </c>
      <c r="I1398" s="0" t="n">
        <v>120</v>
      </c>
      <c r="J1398" s="0" t="n">
        <v>0.0315789473684211</v>
      </c>
      <c r="K1398" s="0" t="s">
        <v>1751</v>
      </c>
      <c r="L1398" s="0" t="s">
        <v>1752</v>
      </c>
    </row>
    <row r="1399" customFormat="false" ht="28.35" hidden="false" customHeight="false" outlineLevel="0" collapsed="false">
      <c r="A1399" s="0" t="n">
        <v>117</v>
      </c>
      <c r="B1399" s="0" t="s">
        <v>1669</v>
      </c>
      <c r="C1399" s="22" t="s">
        <v>1735</v>
      </c>
      <c r="D1399" s="22" t="s">
        <v>1735</v>
      </c>
      <c r="E1399" s="0" t="s">
        <v>978</v>
      </c>
      <c r="F1399" s="0" t="s">
        <v>27</v>
      </c>
      <c r="I1399" s="0" t="n">
        <v>0</v>
      </c>
      <c r="J1399" s="0" t="n">
        <v>0</v>
      </c>
      <c r="K1399" s="0" t="s">
        <v>1753</v>
      </c>
    </row>
    <row r="1400" customFormat="false" ht="28.35" hidden="false" customHeight="false" outlineLevel="0" collapsed="false">
      <c r="A1400" s="0" t="n">
        <v>117</v>
      </c>
      <c r="B1400" s="0" t="s">
        <v>1669</v>
      </c>
      <c r="C1400" s="22" t="s">
        <v>1735</v>
      </c>
      <c r="D1400" s="22" t="s">
        <v>1735</v>
      </c>
      <c r="E1400" s="0" t="s">
        <v>66</v>
      </c>
      <c r="F1400" s="0" t="s">
        <v>27</v>
      </c>
      <c r="I1400" s="0" t="n">
        <v>350</v>
      </c>
      <c r="J1400" s="0" t="n">
        <v>0.0921052631578947</v>
      </c>
      <c r="K1400" s="0" t="s">
        <v>1754</v>
      </c>
      <c r="L1400" s="0" t="s">
        <v>876</v>
      </c>
    </row>
    <row r="1401" customFormat="false" ht="28.35" hidden="false" customHeight="false" outlineLevel="0" collapsed="false">
      <c r="A1401" s="0" t="n">
        <v>117</v>
      </c>
      <c r="B1401" s="0" t="s">
        <v>1669</v>
      </c>
      <c r="C1401" s="22" t="s">
        <v>1735</v>
      </c>
      <c r="D1401" s="22" t="s">
        <v>1735</v>
      </c>
      <c r="E1401" s="0" t="s">
        <v>64</v>
      </c>
      <c r="F1401" s="0" t="s">
        <v>27</v>
      </c>
      <c r="I1401" s="0" t="n">
        <v>50</v>
      </c>
      <c r="J1401" s="0" t="n">
        <v>0.0131578947368421</v>
      </c>
      <c r="K1401" s="0" t="s">
        <v>1755</v>
      </c>
    </row>
    <row r="1402" customFormat="false" ht="28.35" hidden="false" customHeight="false" outlineLevel="0" collapsed="false">
      <c r="A1402" s="0" t="n">
        <v>117</v>
      </c>
      <c r="B1402" s="0" t="s">
        <v>1669</v>
      </c>
      <c r="C1402" s="22" t="s">
        <v>1735</v>
      </c>
      <c r="D1402" s="22" t="s">
        <v>1735</v>
      </c>
      <c r="E1402" s="0" t="s">
        <v>68</v>
      </c>
      <c r="F1402" s="0" t="s">
        <v>30</v>
      </c>
      <c r="I1402" s="0" t="n">
        <v>3000</v>
      </c>
      <c r="J1402" s="0" t="n">
        <v>0.789473684210526</v>
      </c>
      <c r="K1402" s="0" t="s">
        <v>1756</v>
      </c>
    </row>
    <row r="1403" customFormat="false" ht="28.35" hidden="false" customHeight="false" outlineLevel="0" collapsed="false">
      <c r="A1403" s="0" t="n">
        <v>118</v>
      </c>
      <c r="B1403" s="0" t="s">
        <v>1669</v>
      </c>
      <c r="C1403" s="22" t="s">
        <v>1735</v>
      </c>
      <c r="D1403" s="22" t="s">
        <v>1757</v>
      </c>
      <c r="E1403" s="0" t="s">
        <v>1671</v>
      </c>
      <c r="F1403" s="0" t="s">
        <v>27</v>
      </c>
      <c r="G1403" s="0" t="n">
        <v>2</v>
      </c>
      <c r="H1403" s="0" t="n">
        <v>2</v>
      </c>
      <c r="I1403" s="0" t="n">
        <v>15200</v>
      </c>
      <c r="J1403" s="0" t="n">
        <v>4</v>
      </c>
      <c r="K1403" s="0" t="s">
        <v>1758</v>
      </c>
      <c r="L1403" s="0" t="s">
        <v>1759</v>
      </c>
    </row>
    <row r="1404" customFormat="false" ht="28.35" hidden="false" customHeight="false" outlineLevel="0" collapsed="false">
      <c r="A1404" s="0" t="n">
        <v>118</v>
      </c>
      <c r="B1404" s="0" t="s">
        <v>1669</v>
      </c>
      <c r="C1404" s="22" t="s">
        <v>1735</v>
      </c>
      <c r="D1404" s="22" t="s">
        <v>1757</v>
      </c>
      <c r="E1404" s="0" t="s">
        <v>379</v>
      </c>
      <c r="F1404" s="0" t="s">
        <v>29</v>
      </c>
      <c r="I1404" s="0" t="n">
        <v>0</v>
      </c>
      <c r="J1404" s="0" t="n">
        <v>0</v>
      </c>
      <c r="K1404" s="0" t="s">
        <v>1760</v>
      </c>
    </row>
    <row r="1405" customFormat="false" ht="28.35" hidden="false" customHeight="false" outlineLevel="0" collapsed="false">
      <c r="A1405" s="0" t="n">
        <v>118</v>
      </c>
      <c r="B1405" s="0" t="s">
        <v>1669</v>
      </c>
      <c r="C1405" s="22" t="s">
        <v>1735</v>
      </c>
      <c r="D1405" s="22" t="s">
        <v>1757</v>
      </c>
      <c r="E1405" s="0" t="s">
        <v>56</v>
      </c>
      <c r="F1405" s="0" t="s">
        <v>28</v>
      </c>
      <c r="I1405" s="0" t="n">
        <v>700</v>
      </c>
      <c r="J1405" s="0" t="n">
        <v>0.18421052631579</v>
      </c>
      <c r="K1405" s="0" t="s">
        <v>1761</v>
      </c>
    </row>
    <row r="1406" customFormat="false" ht="28.35" hidden="false" customHeight="false" outlineLevel="0" collapsed="false">
      <c r="A1406" s="0" t="n">
        <v>118</v>
      </c>
      <c r="B1406" s="0" t="s">
        <v>1669</v>
      </c>
      <c r="C1406" s="22" t="s">
        <v>1735</v>
      </c>
      <c r="D1406" s="22" t="s">
        <v>1757</v>
      </c>
      <c r="E1406" s="0" t="s">
        <v>58</v>
      </c>
      <c r="F1406" s="0" t="s">
        <v>28</v>
      </c>
      <c r="I1406" s="0" t="n">
        <v>4500</v>
      </c>
      <c r="J1406" s="0" t="n">
        <v>1.18421052631579</v>
      </c>
      <c r="K1406" s="0" t="s">
        <v>1762</v>
      </c>
    </row>
    <row r="1407" customFormat="false" ht="28.35" hidden="false" customHeight="false" outlineLevel="0" collapsed="false">
      <c r="A1407" s="0" t="n">
        <v>118</v>
      </c>
      <c r="B1407" s="0" t="s">
        <v>1669</v>
      </c>
      <c r="C1407" s="22" t="s">
        <v>1735</v>
      </c>
      <c r="D1407" s="22" t="s">
        <v>1757</v>
      </c>
      <c r="E1407" s="0" t="s">
        <v>740</v>
      </c>
      <c r="F1407" s="0" t="s">
        <v>27</v>
      </c>
      <c r="I1407" s="0" t="n">
        <v>1300</v>
      </c>
      <c r="J1407" s="0" t="n">
        <v>0.342105263157895</v>
      </c>
      <c r="K1407" s="0" t="s">
        <v>1763</v>
      </c>
    </row>
    <row r="1408" customFormat="false" ht="28.35" hidden="false" customHeight="false" outlineLevel="0" collapsed="false">
      <c r="A1408" s="0" t="n">
        <v>118</v>
      </c>
      <c r="B1408" s="0" t="s">
        <v>1669</v>
      </c>
      <c r="C1408" s="22" t="s">
        <v>1735</v>
      </c>
      <c r="D1408" s="22" t="s">
        <v>1757</v>
      </c>
      <c r="E1408" s="0" t="s">
        <v>128</v>
      </c>
      <c r="F1408" s="0" t="s">
        <v>28</v>
      </c>
      <c r="I1408" s="0" t="n">
        <v>1000</v>
      </c>
      <c r="J1408" s="0" t="n">
        <v>0.263157894736842</v>
      </c>
      <c r="K1408" s="0" t="s">
        <v>1764</v>
      </c>
    </row>
    <row r="1409" customFormat="false" ht="28.35" hidden="false" customHeight="false" outlineLevel="0" collapsed="false">
      <c r="A1409" s="0" t="n">
        <v>118</v>
      </c>
      <c r="B1409" s="0" t="s">
        <v>1669</v>
      </c>
      <c r="C1409" s="22" t="s">
        <v>1735</v>
      </c>
      <c r="D1409" s="22" t="s">
        <v>1757</v>
      </c>
      <c r="E1409" s="0" t="s">
        <v>850</v>
      </c>
      <c r="F1409" s="0" t="s">
        <v>31</v>
      </c>
      <c r="I1409" s="0" t="n">
        <v>1000</v>
      </c>
      <c r="J1409" s="0" t="n">
        <v>0.263157894736842</v>
      </c>
      <c r="K1409" s="0" t="s">
        <v>1765</v>
      </c>
      <c r="L1409" s="0" t="s">
        <v>1665</v>
      </c>
    </row>
    <row r="1410" customFormat="false" ht="28.35" hidden="false" customHeight="false" outlineLevel="0" collapsed="false">
      <c r="A1410" s="0" t="n">
        <v>118</v>
      </c>
      <c r="B1410" s="0" t="s">
        <v>1669</v>
      </c>
      <c r="C1410" s="22" t="s">
        <v>1735</v>
      </c>
      <c r="D1410" s="22" t="s">
        <v>1757</v>
      </c>
      <c r="E1410" s="0" t="s">
        <v>158</v>
      </c>
      <c r="F1410" s="0" t="s">
        <v>28</v>
      </c>
      <c r="I1410" s="0" t="n">
        <v>2500</v>
      </c>
      <c r="J1410" s="0" t="n">
        <v>0.657894736842105</v>
      </c>
      <c r="K1410" s="0" t="s">
        <v>1766</v>
      </c>
    </row>
    <row r="1411" customFormat="false" ht="28.35" hidden="false" customHeight="false" outlineLevel="0" collapsed="false">
      <c r="A1411" s="0" t="n">
        <v>118</v>
      </c>
      <c r="B1411" s="0" t="s">
        <v>1669</v>
      </c>
      <c r="C1411" s="22" t="s">
        <v>1735</v>
      </c>
      <c r="D1411" s="22" t="s">
        <v>1757</v>
      </c>
      <c r="E1411" s="0" t="s">
        <v>1767</v>
      </c>
      <c r="F1411" s="0" t="s">
        <v>27</v>
      </c>
      <c r="I1411" s="0" t="n">
        <v>500</v>
      </c>
      <c r="J1411" s="0" t="n">
        <v>0.131578947368421</v>
      </c>
      <c r="K1411" s="0" t="s">
        <v>1768</v>
      </c>
    </row>
    <row r="1412" customFormat="false" ht="28.35" hidden="false" customHeight="false" outlineLevel="0" collapsed="false">
      <c r="A1412" s="0" t="n">
        <v>118</v>
      </c>
      <c r="B1412" s="0" t="s">
        <v>1669</v>
      </c>
      <c r="C1412" s="22" t="s">
        <v>1735</v>
      </c>
      <c r="D1412" s="22" t="s">
        <v>1757</v>
      </c>
      <c r="E1412" s="0" t="s">
        <v>1748</v>
      </c>
      <c r="F1412" s="0" t="s">
        <v>31</v>
      </c>
      <c r="G1412" s="0" t="n">
        <v>100</v>
      </c>
      <c r="H1412" s="0" t="n">
        <v>2</v>
      </c>
      <c r="I1412" s="0" t="n">
        <v>200</v>
      </c>
      <c r="J1412" s="0" t="n">
        <v>0.0526315789473684</v>
      </c>
      <c r="K1412" s="0" t="s">
        <v>1769</v>
      </c>
      <c r="L1412" s="0" t="s">
        <v>1770</v>
      </c>
    </row>
    <row r="1413" customFormat="false" ht="28.35" hidden="false" customHeight="false" outlineLevel="0" collapsed="false">
      <c r="A1413" s="0" t="n">
        <v>118</v>
      </c>
      <c r="B1413" s="0" t="s">
        <v>1669</v>
      </c>
      <c r="C1413" s="22" t="s">
        <v>1735</v>
      </c>
      <c r="D1413" s="22" t="s">
        <v>1757</v>
      </c>
      <c r="E1413" s="0" t="s">
        <v>60</v>
      </c>
      <c r="F1413" s="0" t="s">
        <v>27</v>
      </c>
      <c r="I1413" s="0" t="n">
        <v>250</v>
      </c>
      <c r="J1413" s="0" t="n">
        <v>0.0657894736842105</v>
      </c>
      <c r="K1413" s="0" t="s">
        <v>1771</v>
      </c>
      <c r="L1413" s="0" t="s">
        <v>1772</v>
      </c>
    </row>
    <row r="1414" customFormat="false" ht="28.35" hidden="false" customHeight="false" outlineLevel="0" collapsed="false">
      <c r="A1414" s="0" t="n">
        <v>118</v>
      </c>
      <c r="B1414" s="0" t="s">
        <v>1669</v>
      </c>
      <c r="C1414" s="22" t="s">
        <v>1735</v>
      </c>
      <c r="D1414" s="22" t="s">
        <v>1757</v>
      </c>
      <c r="E1414" s="0" t="s">
        <v>62</v>
      </c>
      <c r="F1414" s="0" t="s">
        <v>27</v>
      </c>
      <c r="I1414" s="0" t="n">
        <v>0</v>
      </c>
      <c r="J1414" s="0" t="n">
        <v>0</v>
      </c>
      <c r="K1414" s="0" t="s">
        <v>1773</v>
      </c>
    </row>
    <row r="1415" customFormat="false" ht="28.35" hidden="false" customHeight="false" outlineLevel="0" collapsed="false">
      <c r="A1415" s="0" t="n">
        <v>118</v>
      </c>
      <c r="B1415" s="0" t="s">
        <v>1669</v>
      </c>
      <c r="C1415" s="22" t="s">
        <v>1735</v>
      </c>
      <c r="D1415" s="22" t="s">
        <v>1757</v>
      </c>
      <c r="E1415" s="0" t="s">
        <v>66</v>
      </c>
      <c r="F1415" s="0" t="s">
        <v>27</v>
      </c>
      <c r="I1415" s="0" t="n">
        <v>350</v>
      </c>
      <c r="J1415" s="0" t="n">
        <v>0.0921052631578947</v>
      </c>
      <c r="K1415" s="0" t="s">
        <v>1774</v>
      </c>
      <c r="L1415" s="0" t="s">
        <v>1141</v>
      </c>
    </row>
    <row r="1416" customFormat="false" ht="28.35" hidden="false" customHeight="false" outlineLevel="0" collapsed="false">
      <c r="A1416" s="0" t="n">
        <v>118</v>
      </c>
      <c r="B1416" s="0" t="s">
        <v>1669</v>
      </c>
      <c r="C1416" s="22" t="s">
        <v>1735</v>
      </c>
      <c r="D1416" s="22" t="s">
        <v>1757</v>
      </c>
      <c r="E1416" s="0" t="s">
        <v>64</v>
      </c>
      <c r="F1416" s="0" t="s">
        <v>27</v>
      </c>
      <c r="I1416" s="0" t="n">
        <v>0</v>
      </c>
      <c r="J1416" s="0" t="n">
        <v>0</v>
      </c>
      <c r="K1416" s="0" t="s">
        <v>1775</v>
      </c>
    </row>
    <row r="1417" customFormat="false" ht="28.35" hidden="false" customHeight="false" outlineLevel="0" collapsed="false">
      <c r="A1417" s="0" t="n">
        <v>118</v>
      </c>
      <c r="B1417" s="0" t="s">
        <v>1669</v>
      </c>
      <c r="C1417" s="22" t="s">
        <v>1735</v>
      </c>
      <c r="D1417" s="22" t="s">
        <v>1757</v>
      </c>
      <c r="E1417" s="0" t="s">
        <v>68</v>
      </c>
      <c r="F1417" s="0" t="s">
        <v>30</v>
      </c>
      <c r="I1417" s="0" t="n">
        <v>3000</v>
      </c>
      <c r="J1417" s="0" t="n">
        <v>0.789473684210526</v>
      </c>
      <c r="K1417" s="0" t="s">
        <v>1776</v>
      </c>
    </row>
    <row r="1418" customFormat="false" ht="28.35" hidden="false" customHeight="false" outlineLevel="0" collapsed="false">
      <c r="A1418" s="0" t="n">
        <v>119</v>
      </c>
      <c r="B1418" s="0" t="s">
        <v>1669</v>
      </c>
      <c r="C1418" s="22" t="s">
        <v>1757</v>
      </c>
      <c r="D1418" s="22" t="s">
        <v>1757</v>
      </c>
      <c r="E1418" s="0" t="s">
        <v>1671</v>
      </c>
      <c r="F1418" s="0" t="s">
        <v>27</v>
      </c>
      <c r="G1418" s="0" t="n">
        <v>2</v>
      </c>
      <c r="H1418" s="0" t="n">
        <v>2</v>
      </c>
      <c r="I1418" s="0" t="n">
        <v>15200</v>
      </c>
      <c r="J1418" s="0" t="n">
        <v>4</v>
      </c>
      <c r="K1418" s="0" t="s">
        <v>1777</v>
      </c>
      <c r="L1418" s="0" t="s">
        <v>1778</v>
      </c>
    </row>
    <row r="1419" customFormat="false" ht="28.35" hidden="false" customHeight="false" outlineLevel="0" collapsed="false">
      <c r="A1419" s="0" t="n">
        <v>119</v>
      </c>
      <c r="B1419" s="0" t="s">
        <v>1669</v>
      </c>
      <c r="C1419" s="22" t="s">
        <v>1757</v>
      </c>
      <c r="D1419" s="22" t="s">
        <v>1757</v>
      </c>
      <c r="E1419" s="0" t="s">
        <v>56</v>
      </c>
      <c r="F1419" s="0" t="s">
        <v>28</v>
      </c>
      <c r="I1419" s="0" t="n">
        <v>700</v>
      </c>
      <c r="J1419" s="0" t="n">
        <v>0.18421052631579</v>
      </c>
      <c r="K1419" s="0" t="s">
        <v>1779</v>
      </c>
    </row>
    <row r="1420" customFormat="false" ht="28.35" hidden="false" customHeight="false" outlineLevel="0" collapsed="false">
      <c r="A1420" s="0" t="n">
        <v>119</v>
      </c>
      <c r="B1420" s="0" t="s">
        <v>1669</v>
      </c>
      <c r="C1420" s="22" t="s">
        <v>1757</v>
      </c>
      <c r="D1420" s="22" t="s">
        <v>1757</v>
      </c>
      <c r="E1420" s="0" t="s">
        <v>58</v>
      </c>
      <c r="F1420" s="0" t="s">
        <v>28</v>
      </c>
      <c r="I1420" s="0" t="n">
        <v>1200</v>
      </c>
      <c r="J1420" s="0" t="n">
        <v>0.315789473684211</v>
      </c>
      <c r="K1420" s="0" t="s">
        <v>1780</v>
      </c>
      <c r="L1420" s="0" t="s">
        <v>1781</v>
      </c>
    </row>
    <row r="1421" customFormat="false" ht="28.35" hidden="false" customHeight="false" outlineLevel="0" collapsed="false">
      <c r="A1421" s="0" t="n">
        <v>119</v>
      </c>
      <c r="B1421" s="0" t="s">
        <v>1669</v>
      </c>
      <c r="C1421" s="22" t="s">
        <v>1757</v>
      </c>
      <c r="D1421" s="22" t="s">
        <v>1757</v>
      </c>
      <c r="E1421" s="0" t="s">
        <v>740</v>
      </c>
      <c r="F1421" s="0" t="s">
        <v>27</v>
      </c>
      <c r="I1421" s="0" t="n">
        <v>3000</v>
      </c>
      <c r="J1421" s="0" t="n">
        <v>0.789473684210526</v>
      </c>
      <c r="K1421" s="0" t="s">
        <v>1782</v>
      </c>
    </row>
    <row r="1422" customFormat="false" ht="28.35" hidden="false" customHeight="false" outlineLevel="0" collapsed="false">
      <c r="A1422" s="0" t="n">
        <v>119</v>
      </c>
      <c r="B1422" s="0" t="s">
        <v>1669</v>
      </c>
      <c r="C1422" s="22" t="s">
        <v>1757</v>
      </c>
      <c r="D1422" s="22" t="s">
        <v>1757</v>
      </c>
      <c r="E1422" s="0" t="s">
        <v>128</v>
      </c>
      <c r="F1422" s="0" t="s">
        <v>28</v>
      </c>
      <c r="I1422" s="0" t="n">
        <v>500</v>
      </c>
      <c r="J1422" s="0" t="n">
        <v>0.131578947368421</v>
      </c>
      <c r="K1422" s="0" t="s">
        <v>1783</v>
      </c>
    </row>
    <row r="1423" customFormat="false" ht="28.35" hidden="false" customHeight="false" outlineLevel="0" collapsed="false">
      <c r="A1423" s="0" t="n">
        <v>119</v>
      </c>
      <c r="B1423" s="0" t="s">
        <v>1669</v>
      </c>
      <c r="C1423" s="22" t="s">
        <v>1757</v>
      </c>
      <c r="D1423" s="22" t="s">
        <v>1757</v>
      </c>
      <c r="E1423" s="0" t="s">
        <v>130</v>
      </c>
      <c r="F1423" s="0" t="s">
        <v>29</v>
      </c>
      <c r="I1423" s="0" t="n">
        <v>300</v>
      </c>
      <c r="J1423" s="0" t="n">
        <v>0.0789473684210526</v>
      </c>
      <c r="K1423" s="0" t="s">
        <v>1784</v>
      </c>
      <c r="L1423" s="0" t="s">
        <v>1785</v>
      </c>
    </row>
    <row r="1424" customFormat="false" ht="28.35" hidden="false" customHeight="false" outlineLevel="0" collapsed="false">
      <c r="A1424" s="0" t="n">
        <v>119</v>
      </c>
      <c r="B1424" s="0" t="s">
        <v>1669</v>
      </c>
      <c r="C1424" s="22" t="s">
        <v>1757</v>
      </c>
      <c r="D1424" s="22" t="s">
        <v>1757</v>
      </c>
      <c r="E1424" s="0" t="s">
        <v>158</v>
      </c>
      <c r="F1424" s="0" t="s">
        <v>28</v>
      </c>
      <c r="I1424" s="0" t="n">
        <v>700</v>
      </c>
      <c r="J1424" s="0" t="n">
        <v>0.18421052631579</v>
      </c>
      <c r="K1424" s="0" t="s">
        <v>1786</v>
      </c>
      <c r="L1424" s="0" t="s">
        <v>1787</v>
      </c>
    </row>
    <row r="1425" customFormat="false" ht="28.35" hidden="false" customHeight="false" outlineLevel="0" collapsed="false">
      <c r="A1425" s="0" t="n">
        <v>119</v>
      </c>
      <c r="B1425" s="0" t="s">
        <v>1669</v>
      </c>
      <c r="C1425" s="22" t="s">
        <v>1757</v>
      </c>
      <c r="D1425" s="22" t="s">
        <v>1757</v>
      </c>
      <c r="E1425" s="0" t="s">
        <v>132</v>
      </c>
      <c r="F1425" s="0" t="s">
        <v>29</v>
      </c>
      <c r="I1425" s="0" t="n">
        <v>500</v>
      </c>
      <c r="J1425" s="0" t="n">
        <v>0.131578947368421</v>
      </c>
      <c r="K1425" s="0" t="s">
        <v>1788</v>
      </c>
      <c r="L1425" s="0" t="s">
        <v>1789</v>
      </c>
    </row>
    <row r="1426" customFormat="false" ht="28.35" hidden="false" customHeight="false" outlineLevel="0" collapsed="false">
      <c r="A1426" s="0" t="n">
        <v>119</v>
      </c>
      <c r="B1426" s="0" t="s">
        <v>1669</v>
      </c>
      <c r="C1426" s="22" t="s">
        <v>1757</v>
      </c>
      <c r="D1426" s="22" t="s">
        <v>1757</v>
      </c>
      <c r="E1426" s="0" t="s">
        <v>134</v>
      </c>
      <c r="F1426" s="0" t="s">
        <v>28</v>
      </c>
      <c r="I1426" s="0" t="n">
        <v>250</v>
      </c>
      <c r="J1426" s="0" t="n">
        <v>0.0657894736842105</v>
      </c>
      <c r="K1426" s="0" t="s">
        <v>1790</v>
      </c>
      <c r="L1426" s="0" t="s">
        <v>1791</v>
      </c>
    </row>
    <row r="1427" customFormat="false" ht="28.35" hidden="false" customHeight="false" outlineLevel="0" collapsed="false">
      <c r="A1427" s="0" t="n">
        <v>119</v>
      </c>
      <c r="B1427" s="0" t="s">
        <v>1669</v>
      </c>
      <c r="C1427" s="22" t="s">
        <v>1757</v>
      </c>
      <c r="D1427" s="22" t="s">
        <v>1757</v>
      </c>
      <c r="E1427" s="0" t="s">
        <v>60</v>
      </c>
      <c r="F1427" s="0" t="s">
        <v>27</v>
      </c>
      <c r="I1427" s="0" t="n">
        <v>100</v>
      </c>
      <c r="J1427" s="0" t="n">
        <v>0.0263157894736842</v>
      </c>
      <c r="K1427" s="0" t="s">
        <v>1792</v>
      </c>
      <c r="L1427" s="0" t="s">
        <v>123</v>
      </c>
    </row>
    <row r="1428" customFormat="false" ht="28.35" hidden="false" customHeight="false" outlineLevel="0" collapsed="false">
      <c r="A1428" s="0" t="n">
        <v>119</v>
      </c>
      <c r="B1428" s="0" t="s">
        <v>1669</v>
      </c>
      <c r="C1428" s="22" t="s">
        <v>1757</v>
      </c>
      <c r="D1428" s="22" t="s">
        <v>1757</v>
      </c>
      <c r="E1428" s="0" t="s">
        <v>62</v>
      </c>
      <c r="F1428" s="0" t="s">
        <v>27</v>
      </c>
      <c r="I1428" s="0" t="n">
        <v>500</v>
      </c>
      <c r="J1428" s="0" t="n">
        <v>0.131578947368421</v>
      </c>
      <c r="K1428" s="0" t="s">
        <v>1793</v>
      </c>
      <c r="L1428" s="0" t="s">
        <v>1794</v>
      </c>
    </row>
    <row r="1429" customFormat="false" ht="28.35" hidden="false" customHeight="false" outlineLevel="0" collapsed="false">
      <c r="A1429" s="0" t="n">
        <v>119</v>
      </c>
      <c r="B1429" s="0" t="s">
        <v>1669</v>
      </c>
      <c r="C1429" s="22" t="s">
        <v>1757</v>
      </c>
      <c r="D1429" s="22" t="s">
        <v>1757</v>
      </c>
      <c r="E1429" s="0" t="s">
        <v>66</v>
      </c>
      <c r="F1429" s="0" t="s">
        <v>27</v>
      </c>
      <c r="I1429" s="0" t="n">
        <v>100</v>
      </c>
      <c r="J1429" s="0" t="n">
        <v>0.0263157894736842</v>
      </c>
      <c r="K1429" s="0" t="s">
        <v>1795</v>
      </c>
      <c r="L1429" s="0" t="s">
        <v>1080</v>
      </c>
    </row>
    <row r="1430" customFormat="false" ht="28.35" hidden="false" customHeight="false" outlineLevel="0" collapsed="false">
      <c r="A1430" s="0" t="n">
        <v>119</v>
      </c>
      <c r="B1430" s="0" t="s">
        <v>1669</v>
      </c>
      <c r="C1430" s="22" t="s">
        <v>1757</v>
      </c>
      <c r="D1430" s="22" t="s">
        <v>1757</v>
      </c>
      <c r="E1430" s="0" t="s">
        <v>64</v>
      </c>
      <c r="F1430" s="0" t="s">
        <v>27</v>
      </c>
      <c r="I1430" s="0" t="n">
        <v>500</v>
      </c>
      <c r="J1430" s="0" t="n">
        <v>0.131578947368421</v>
      </c>
      <c r="K1430" s="0" t="s">
        <v>1796</v>
      </c>
    </row>
    <row r="1431" customFormat="false" ht="28.35" hidden="false" customHeight="false" outlineLevel="0" collapsed="false">
      <c r="A1431" s="0" t="n">
        <v>119</v>
      </c>
      <c r="B1431" s="0" t="s">
        <v>1669</v>
      </c>
      <c r="C1431" s="22" t="s">
        <v>1757</v>
      </c>
      <c r="D1431" s="22" t="s">
        <v>1757</v>
      </c>
      <c r="E1431" s="0" t="s">
        <v>68</v>
      </c>
      <c r="F1431" s="0" t="s">
        <v>30</v>
      </c>
      <c r="I1431" s="0" t="n">
        <v>4000</v>
      </c>
      <c r="J1431" s="0" t="n">
        <v>1.05263157894737</v>
      </c>
      <c r="K1431" s="0" t="s">
        <v>1797</v>
      </c>
    </row>
    <row r="1432" customFormat="false" ht="28.35" hidden="false" customHeight="false" outlineLevel="0" collapsed="false">
      <c r="A1432" s="0" t="n">
        <v>120</v>
      </c>
      <c r="B1432" s="0" t="s">
        <v>1669</v>
      </c>
      <c r="C1432" s="22" t="s">
        <v>1757</v>
      </c>
      <c r="D1432" s="22" t="s">
        <v>1757</v>
      </c>
      <c r="E1432" s="0" t="s">
        <v>1671</v>
      </c>
      <c r="F1432" s="0" t="s">
        <v>27</v>
      </c>
      <c r="G1432" s="0" t="n">
        <v>2</v>
      </c>
      <c r="H1432" s="0" t="n">
        <v>1.7</v>
      </c>
      <c r="I1432" s="0" t="n">
        <v>12920</v>
      </c>
      <c r="J1432" s="0" t="n">
        <v>3.4</v>
      </c>
      <c r="K1432" s="0" t="s">
        <v>1798</v>
      </c>
      <c r="L1432" s="0" t="s">
        <v>1737</v>
      </c>
    </row>
    <row r="1433" customFormat="false" ht="28.35" hidden="false" customHeight="false" outlineLevel="0" collapsed="false">
      <c r="A1433" s="0" t="n">
        <v>120</v>
      </c>
      <c r="B1433" s="0" t="s">
        <v>1669</v>
      </c>
      <c r="C1433" s="22" t="s">
        <v>1757</v>
      </c>
      <c r="D1433" s="22" t="s">
        <v>1757</v>
      </c>
      <c r="E1433" s="0" t="s">
        <v>56</v>
      </c>
      <c r="F1433" s="0" t="s">
        <v>28</v>
      </c>
      <c r="I1433" s="0" t="n">
        <v>1000</v>
      </c>
      <c r="J1433" s="0" t="n">
        <v>0.263157894736842</v>
      </c>
      <c r="K1433" s="0" t="s">
        <v>1799</v>
      </c>
    </row>
    <row r="1434" customFormat="false" ht="28.35" hidden="false" customHeight="false" outlineLevel="0" collapsed="false">
      <c r="A1434" s="0" t="n">
        <v>120</v>
      </c>
      <c r="B1434" s="0" t="s">
        <v>1669</v>
      </c>
      <c r="C1434" s="22" t="s">
        <v>1757</v>
      </c>
      <c r="D1434" s="22" t="s">
        <v>1757</v>
      </c>
      <c r="E1434" s="0" t="s">
        <v>58</v>
      </c>
      <c r="F1434" s="0" t="s">
        <v>28</v>
      </c>
      <c r="I1434" s="0" t="n">
        <v>4500</v>
      </c>
      <c r="J1434" s="0" t="n">
        <v>1.18421052631579</v>
      </c>
      <c r="K1434" s="0" t="s">
        <v>1800</v>
      </c>
    </row>
    <row r="1435" customFormat="false" ht="28.35" hidden="false" customHeight="false" outlineLevel="0" collapsed="false">
      <c r="A1435" s="0" t="n">
        <v>120</v>
      </c>
      <c r="B1435" s="0" t="s">
        <v>1669</v>
      </c>
      <c r="C1435" s="22" t="s">
        <v>1757</v>
      </c>
      <c r="D1435" s="22" t="s">
        <v>1757</v>
      </c>
      <c r="E1435" s="0" t="s">
        <v>740</v>
      </c>
      <c r="F1435" s="0" t="s">
        <v>27</v>
      </c>
      <c r="I1435" s="0" t="n">
        <v>2000</v>
      </c>
      <c r="J1435" s="0" t="n">
        <v>0.526315789473684</v>
      </c>
      <c r="K1435" s="0" t="s">
        <v>1801</v>
      </c>
    </row>
    <row r="1436" customFormat="false" ht="28.35" hidden="false" customHeight="false" outlineLevel="0" collapsed="false">
      <c r="A1436" s="0" t="n">
        <v>120</v>
      </c>
      <c r="B1436" s="0" t="s">
        <v>1669</v>
      </c>
      <c r="C1436" s="22" t="s">
        <v>1757</v>
      </c>
      <c r="D1436" s="22" t="s">
        <v>1757</v>
      </c>
      <c r="E1436" s="0" t="s">
        <v>128</v>
      </c>
      <c r="F1436" s="0" t="s">
        <v>28</v>
      </c>
      <c r="G1436" s="0" t="n">
        <v>500</v>
      </c>
      <c r="H1436" s="0" t="n">
        <v>4</v>
      </c>
      <c r="I1436" s="0" t="n">
        <v>2000</v>
      </c>
      <c r="J1436" s="0" t="n">
        <v>0.526315789473684</v>
      </c>
      <c r="K1436" s="0" t="s">
        <v>1802</v>
      </c>
      <c r="L1436" s="0" t="s">
        <v>1803</v>
      </c>
    </row>
    <row r="1437" customFormat="false" ht="28.35" hidden="false" customHeight="false" outlineLevel="0" collapsed="false">
      <c r="A1437" s="0" t="n">
        <v>120</v>
      </c>
      <c r="B1437" s="0" t="s">
        <v>1669</v>
      </c>
      <c r="C1437" s="22" t="s">
        <v>1757</v>
      </c>
      <c r="D1437" s="22" t="s">
        <v>1757</v>
      </c>
      <c r="E1437" s="0" t="s">
        <v>1263</v>
      </c>
      <c r="F1437" s="0" t="s">
        <v>29</v>
      </c>
      <c r="G1437" s="0" t="n">
        <v>2</v>
      </c>
      <c r="H1437" s="0" t="n">
        <v>11000</v>
      </c>
      <c r="I1437" s="0" t="n">
        <v>22000</v>
      </c>
      <c r="J1437" s="0" t="n">
        <v>5.78947368421053</v>
      </c>
      <c r="K1437" s="0" t="s">
        <v>1804</v>
      </c>
      <c r="L1437" s="0" t="s">
        <v>1739</v>
      </c>
    </row>
    <row r="1438" customFormat="false" ht="28.35" hidden="false" customHeight="false" outlineLevel="0" collapsed="false">
      <c r="A1438" s="0" t="n">
        <v>120</v>
      </c>
      <c r="B1438" s="0" t="s">
        <v>1669</v>
      </c>
      <c r="C1438" s="22" t="s">
        <v>1757</v>
      </c>
      <c r="D1438" s="22" t="s">
        <v>1757</v>
      </c>
      <c r="E1438" s="0" t="s">
        <v>158</v>
      </c>
      <c r="F1438" s="0" t="s">
        <v>28</v>
      </c>
      <c r="I1438" s="0" t="n">
        <v>0</v>
      </c>
      <c r="J1438" s="0" t="n">
        <v>0</v>
      </c>
      <c r="K1438" s="0" t="s">
        <v>1805</v>
      </c>
    </row>
    <row r="1439" customFormat="false" ht="28.35" hidden="false" customHeight="false" outlineLevel="0" collapsed="false">
      <c r="A1439" s="0" t="n">
        <v>120</v>
      </c>
      <c r="B1439" s="0" t="s">
        <v>1669</v>
      </c>
      <c r="C1439" s="22" t="s">
        <v>1757</v>
      </c>
      <c r="D1439" s="22" t="s">
        <v>1757</v>
      </c>
      <c r="E1439" s="0" t="s">
        <v>132</v>
      </c>
      <c r="F1439" s="0" t="s">
        <v>29</v>
      </c>
      <c r="I1439" s="0" t="n">
        <v>0</v>
      </c>
      <c r="J1439" s="0" t="n">
        <v>0</v>
      </c>
      <c r="K1439" s="0" t="s">
        <v>1806</v>
      </c>
    </row>
    <row r="1440" customFormat="false" ht="28.35" hidden="false" customHeight="false" outlineLevel="0" collapsed="false">
      <c r="A1440" s="0" t="n">
        <v>120</v>
      </c>
      <c r="B1440" s="0" t="s">
        <v>1669</v>
      </c>
      <c r="C1440" s="22" t="s">
        <v>1757</v>
      </c>
      <c r="D1440" s="22" t="s">
        <v>1757</v>
      </c>
      <c r="E1440" s="0" t="s">
        <v>134</v>
      </c>
      <c r="F1440" s="0" t="s">
        <v>28</v>
      </c>
      <c r="I1440" s="0" t="n">
        <v>0</v>
      </c>
      <c r="J1440" s="0" t="n">
        <v>0</v>
      </c>
      <c r="K1440" s="0" t="s">
        <v>1807</v>
      </c>
    </row>
    <row r="1441" customFormat="false" ht="28.35" hidden="false" customHeight="false" outlineLevel="0" collapsed="false">
      <c r="A1441" s="0" t="n">
        <v>120</v>
      </c>
      <c r="B1441" s="0" t="s">
        <v>1669</v>
      </c>
      <c r="C1441" s="22" t="s">
        <v>1757</v>
      </c>
      <c r="D1441" s="22" t="s">
        <v>1757</v>
      </c>
      <c r="E1441" s="0" t="s">
        <v>60</v>
      </c>
      <c r="F1441" s="0" t="s">
        <v>27</v>
      </c>
      <c r="I1441" s="0" t="n">
        <v>100</v>
      </c>
      <c r="J1441" s="0" t="n">
        <v>0.0263157894736842</v>
      </c>
      <c r="K1441" s="0" t="s">
        <v>1808</v>
      </c>
      <c r="L1441" s="0" t="s">
        <v>1809</v>
      </c>
    </row>
    <row r="1442" customFormat="false" ht="28.35" hidden="false" customHeight="false" outlineLevel="0" collapsed="false">
      <c r="A1442" s="0" t="n">
        <v>120</v>
      </c>
      <c r="B1442" s="0" t="s">
        <v>1669</v>
      </c>
      <c r="C1442" s="22" t="s">
        <v>1757</v>
      </c>
      <c r="D1442" s="22" t="s">
        <v>1757</v>
      </c>
      <c r="E1442" s="0" t="s">
        <v>62</v>
      </c>
      <c r="F1442" s="0" t="s">
        <v>27</v>
      </c>
      <c r="I1442" s="0" t="n">
        <v>100</v>
      </c>
      <c r="J1442" s="0" t="n">
        <v>0.0263157894736842</v>
      </c>
      <c r="K1442" s="0" t="s">
        <v>1810</v>
      </c>
    </row>
    <row r="1443" customFormat="false" ht="28.35" hidden="false" customHeight="false" outlineLevel="0" collapsed="false">
      <c r="A1443" s="0" t="n">
        <v>120</v>
      </c>
      <c r="B1443" s="0" t="s">
        <v>1669</v>
      </c>
      <c r="C1443" s="22" t="s">
        <v>1757</v>
      </c>
      <c r="D1443" s="22" t="s">
        <v>1757</v>
      </c>
      <c r="E1443" s="0" t="s">
        <v>66</v>
      </c>
      <c r="F1443" s="0" t="s">
        <v>27</v>
      </c>
      <c r="I1443" s="0" t="n">
        <v>250</v>
      </c>
      <c r="J1443" s="0" t="n">
        <v>0.0657894736842105</v>
      </c>
      <c r="K1443" s="0" t="s">
        <v>1811</v>
      </c>
    </row>
    <row r="1444" customFormat="false" ht="28.35" hidden="false" customHeight="false" outlineLevel="0" collapsed="false">
      <c r="A1444" s="0" t="n">
        <v>120</v>
      </c>
      <c r="B1444" s="0" t="s">
        <v>1669</v>
      </c>
      <c r="C1444" s="22" t="s">
        <v>1757</v>
      </c>
      <c r="D1444" s="22" t="s">
        <v>1757</v>
      </c>
      <c r="E1444" s="0" t="s">
        <v>64</v>
      </c>
      <c r="F1444" s="0" t="s">
        <v>27</v>
      </c>
      <c r="I1444" s="0" t="n">
        <v>500</v>
      </c>
      <c r="J1444" s="0" t="n">
        <v>0.131578947368421</v>
      </c>
      <c r="K1444" s="0" t="s">
        <v>1812</v>
      </c>
    </row>
    <row r="1445" customFormat="false" ht="28.35" hidden="false" customHeight="false" outlineLevel="0" collapsed="false">
      <c r="A1445" s="0" t="n">
        <v>120</v>
      </c>
      <c r="B1445" s="0" t="s">
        <v>1669</v>
      </c>
      <c r="C1445" s="22" t="s">
        <v>1757</v>
      </c>
      <c r="D1445" s="22" t="s">
        <v>1757</v>
      </c>
      <c r="E1445" s="0" t="s">
        <v>68</v>
      </c>
      <c r="F1445" s="0" t="s">
        <v>30</v>
      </c>
      <c r="I1445" s="0" t="n">
        <v>3700</v>
      </c>
      <c r="J1445" s="0" t="n">
        <v>0.973684210526316</v>
      </c>
      <c r="K1445" s="0" t="s">
        <v>1813</v>
      </c>
    </row>
    <row r="1446" customFormat="false" ht="15" hidden="false" customHeight="false" outlineLevel="0" collapsed="false">
      <c r="A1446" s="0" t="n">
        <v>121</v>
      </c>
      <c r="B1446" s="0" t="s">
        <v>1814</v>
      </c>
      <c r="C1446" s="0" t="s">
        <v>1815</v>
      </c>
      <c r="D1446" s="0" t="s">
        <v>1815</v>
      </c>
      <c r="E1446" s="0" t="s">
        <v>1816</v>
      </c>
      <c r="F1446" s="0" t="s">
        <v>27</v>
      </c>
      <c r="G1446" s="0" t="n">
        <v>0.5</v>
      </c>
      <c r="H1446" s="0" t="n">
        <v>1.2</v>
      </c>
      <c r="I1446" s="0" t="n">
        <v>2400</v>
      </c>
      <c r="J1446" s="0" t="n">
        <v>0.6</v>
      </c>
      <c r="K1446" s="0" t="s">
        <v>1817</v>
      </c>
      <c r="L1446" s="0" t="s">
        <v>1818</v>
      </c>
    </row>
    <row r="1447" customFormat="false" ht="15" hidden="false" customHeight="false" outlineLevel="0" collapsed="false">
      <c r="A1447" s="0" t="n">
        <v>121</v>
      </c>
      <c r="B1447" s="0" t="s">
        <v>1814</v>
      </c>
      <c r="C1447" s="0" t="s">
        <v>1815</v>
      </c>
      <c r="D1447" s="0" t="s">
        <v>1815</v>
      </c>
      <c r="E1447" s="0" t="s">
        <v>56</v>
      </c>
      <c r="F1447" s="0" t="s">
        <v>28</v>
      </c>
      <c r="I1447" s="0" t="n">
        <v>700</v>
      </c>
      <c r="J1447" s="0" t="n">
        <v>0.175</v>
      </c>
      <c r="K1447" s="0" t="s">
        <v>1819</v>
      </c>
    </row>
    <row r="1448" customFormat="false" ht="15" hidden="false" customHeight="false" outlineLevel="0" collapsed="false">
      <c r="A1448" s="0" t="n">
        <v>121</v>
      </c>
      <c r="B1448" s="0" t="s">
        <v>1814</v>
      </c>
      <c r="C1448" s="0" t="s">
        <v>1815</v>
      </c>
      <c r="D1448" s="0" t="s">
        <v>1815</v>
      </c>
      <c r="E1448" s="0" t="s">
        <v>58</v>
      </c>
      <c r="F1448" s="0" t="s">
        <v>28</v>
      </c>
      <c r="I1448" s="0" t="n">
        <v>2500</v>
      </c>
      <c r="J1448" s="0" t="n">
        <v>0.625</v>
      </c>
      <c r="K1448" s="0" t="s">
        <v>1820</v>
      </c>
    </row>
    <row r="1449" customFormat="false" ht="15" hidden="false" customHeight="false" outlineLevel="0" collapsed="false">
      <c r="A1449" s="0" t="n">
        <v>121</v>
      </c>
      <c r="B1449" s="0" t="s">
        <v>1814</v>
      </c>
      <c r="C1449" s="0" t="s">
        <v>1815</v>
      </c>
      <c r="D1449" s="0" t="s">
        <v>1815</v>
      </c>
      <c r="E1449" s="0" t="s">
        <v>379</v>
      </c>
      <c r="F1449" s="0" t="s">
        <v>29</v>
      </c>
      <c r="I1449" s="0" t="n">
        <v>2500</v>
      </c>
      <c r="J1449" s="0" t="n">
        <v>0.625</v>
      </c>
      <c r="K1449" s="0" t="s">
        <v>1821</v>
      </c>
    </row>
    <row r="1450" customFormat="false" ht="15" hidden="false" customHeight="false" outlineLevel="0" collapsed="false">
      <c r="A1450" s="0" t="n">
        <v>121</v>
      </c>
      <c r="B1450" s="0" t="s">
        <v>1814</v>
      </c>
      <c r="C1450" s="0" t="s">
        <v>1815</v>
      </c>
      <c r="D1450" s="0" t="s">
        <v>1815</v>
      </c>
      <c r="E1450" s="0" t="s">
        <v>128</v>
      </c>
      <c r="F1450" s="0" t="s">
        <v>28</v>
      </c>
      <c r="I1450" s="0" t="n">
        <v>500</v>
      </c>
      <c r="J1450" s="0" t="n">
        <v>0.125</v>
      </c>
      <c r="K1450" s="0" t="s">
        <v>1822</v>
      </c>
    </row>
    <row r="1451" customFormat="false" ht="15" hidden="false" customHeight="false" outlineLevel="0" collapsed="false">
      <c r="A1451" s="0" t="n">
        <v>121</v>
      </c>
      <c r="B1451" s="0" t="s">
        <v>1814</v>
      </c>
      <c r="C1451" s="0" t="s">
        <v>1815</v>
      </c>
      <c r="D1451" s="0" t="s">
        <v>1815</v>
      </c>
      <c r="E1451" s="0" t="s">
        <v>1823</v>
      </c>
      <c r="F1451" s="0" t="s">
        <v>27</v>
      </c>
      <c r="I1451" s="0" t="n">
        <v>1000</v>
      </c>
      <c r="J1451" s="0" t="n">
        <v>0.25</v>
      </c>
      <c r="K1451" s="0" t="s">
        <v>1824</v>
      </c>
      <c r="L1451" s="0" t="s">
        <v>1665</v>
      </c>
    </row>
    <row r="1452" customFormat="false" ht="15" hidden="false" customHeight="false" outlineLevel="0" collapsed="false">
      <c r="A1452" s="0" t="n">
        <v>121</v>
      </c>
      <c r="B1452" s="0" t="s">
        <v>1814</v>
      </c>
      <c r="C1452" s="0" t="s">
        <v>1815</v>
      </c>
      <c r="D1452" s="0" t="s">
        <v>1815</v>
      </c>
      <c r="E1452" s="0" t="s">
        <v>158</v>
      </c>
      <c r="F1452" s="0" t="s">
        <v>28</v>
      </c>
      <c r="I1452" s="0" t="n">
        <v>1000</v>
      </c>
      <c r="J1452" s="0" t="n">
        <v>0.25</v>
      </c>
      <c r="K1452" s="0" t="s">
        <v>1825</v>
      </c>
    </row>
    <row r="1453" customFormat="false" ht="15" hidden="false" customHeight="false" outlineLevel="0" collapsed="false">
      <c r="A1453" s="0" t="n">
        <v>121</v>
      </c>
      <c r="B1453" s="0" t="s">
        <v>1814</v>
      </c>
      <c r="C1453" s="0" t="s">
        <v>1815</v>
      </c>
      <c r="D1453" s="0" t="s">
        <v>1815</v>
      </c>
      <c r="E1453" s="0" t="s">
        <v>132</v>
      </c>
      <c r="F1453" s="0" t="s">
        <v>29</v>
      </c>
      <c r="I1453" s="0" t="n">
        <v>0</v>
      </c>
      <c r="J1453" s="0" t="n">
        <v>0</v>
      </c>
      <c r="K1453" s="0" t="s">
        <v>1826</v>
      </c>
    </row>
    <row r="1454" customFormat="false" ht="15" hidden="false" customHeight="false" outlineLevel="0" collapsed="false">
      <c r="A1454" s="0" t="n">
        <v>121</v>
      </c>
      <c r="B1454" s="0" t="s">
        <v>1814</v>
      </c>
      <c r="C1454" s="0" t="s">
        <v>1815</v>
      </c>
      <c r="D1454" s="0" t="s">
        <v>1815</v>
      </c>
      <c r="E1454" s="0" t="s">
        <v>1428</v>
      </c>
      <c r="F1454" s="0" t="s">
        <v>27</v>
      </c>
      <c r="I1454" s="0" t="n">
        <v>500</v>
      </c>
      <c r="J1454" s="0" t="n">
        <v>0.125</v>
      </c>
      <c r="K1454" s="0" t="s">
        <v>1827</v>
      </c>
    </row>
    <row r="1455" customFormat="false" ht="15" hidden="false" customHeight="false" outlineLevel="0" collapsed="false">
      <c r="A1455" s="0" t="n">
        <v>121</v>
      </c>
      <c r="B1455" s="0" t="s">
        <v>1814</v>
      </c>
      <c r="C1455" s="0" t="s">
        <v>1815</v>
      </c>
      <c r="D1455" s="0" t="s">
        <v>1815</v>
      </c>
      <c r="E1455" s="0" t="s">
        <v>60</v>
      </c>
      <c r="F1455" s="0" t="s">
        <v>27</v>
      </c>
      <c r="I1455" s="0" t="n">
        <v>50</v>
      </c>
      <c r="J1455" s="0" t="n">
        <v>0.0125</v>
      </c>
      <c r="K1455" s="0" t="s">
        <v>1828</v>
      </c>
    </row>
    <row r="1456" customFormat="false" ht="15" hidden="false" customHeight="false" outlineLevel="0" collapsed="false">
      <c r="A1456" s="0" t="n">
        <v>121</v>
      </c>
      <c r="B1456" s="0" t="s">
        <v>1814</v>
      </c>
      <c r="C1456" s="0" t="s">
        <v>1815</v>
      </c>
      <c r="D1456" s="0" t="s">
        <v>1815</v>
      </c>
      <c r="E1456" s="0" t="s">
        <v>62</v>
      </c>
      <c r="F1456" s="0" t="s">
        <v>27</v>
      </c>
      <c r="I1456" s="0" t="n">
        <v>100</v>
      </c>
      <c r="J1456" s="0" t="n">
        <v>0.025</v>
      </c>
      <c r="K1456" s="0" t="s">
        <v>1829</v>
      </c>
    </row>
    <row r="1457" customFormat="false" ht="15" hidden="false" customHeight="false" outlineLevel="0" collapsed="false">
      <c r="A1457" s="0" t="n">
        <v>121</v>
      </c>
      <c r="B1457" s="0" t="s">
        <v>1814</v>
      </c>
      <c r="C1457" s="0" t="s">
        <v>1815</v>
      </c>
      <c r="D1457" s="0" t="s">
        <v>1815</v>
      </c>
      <c r="E1457" s="0" t="s">
        <v>66</v>
      </c>
      <c r="F1457" s="0" t="s">
        <v>27</v>
      </c>
      <c r="I1457" s="0" t="n">
        <v>250</v>
      </c>
      <c r="J1457" s="0" t="n">
        <v>0.0625</v>
      </c>
      <c r="K1457" s="0" t="s">
        <v>1830</v>
      </c>
    </row>
    <row r="1458" customFormat="false" ht="15" hidden="false" customHeight="false" outlineLevel="0" collapsed="false">
      <c r="A1458" s="0" t="n">
        <v>121</v>
      </c>
      <c r="B1458" s="0" t="s">
        <v>1814</v>
      </c>
      <c r="C1458" s="0" t="s">
        <v>1815</v>
      </c>
      <c r="D1458" s="0" t="s">
        <v>1815</v>
      </c>
      <c r="E1458" s="0" t="s">
        <v>64</v>
      </c>
      <c r="F1458" s="0" t="s">
        <v>27</v>
      </c>
      <c r="I1458" s="0" t="n">
        <v>0</v>
      </c>
      <c r="J1458" s="0" t="n">
        <v>0</v>
      </c>
      <c r="K1458" s="0" t="s">
        <v>1831</v>
      </c>
    </row>
    <row r="1459" customFormat="false" ht="15" hidden="false" customHeight="false" outlineLevel="0" collapsed="false">
      <c r="A1459" s="0" t="n">
        <v>121</v>
      </c>
      <c r="B1459" s="0" t="s">
        <v>1814</v>
      </c>
      <c r="C1459" s="0" t="s">
        <v>1815</v>
      </c>
      <c r="D1459" s="0" t="s">
        <v>1815</v>
      </c>
      <c r="E1459" s="0" t="s">
        <v>68</v>
      </c>
      <c r="F1459" s="0" t="s">
        <v>30</v>
      </c>
      <c r="I1459" s="0" t="n">
        <v>2700</v>
      </c>
      <c r="J1459" s="0" t="n">
        <v>0.675</v>
      </c>
      <c r="K1459" s="0" t="s">
        <v>1832</v>
      </c>
    </row>
    <row r="1460" customFormat="false" ht="15" hidden="false" customHeight="false" outlineLevel="0" collapsed="false">
      <c r="A1460" s="0" t="n">
        <v>122</v>
      </c>
      <c r="B1460" s="0" t="s">
        <v>1814</v>
      </c>
      <c r="C1460" s="0" t="s">
        <v>1833</v>
      </c>
      <c r="D1460" s="0" t="s">
        <v>1833</v>
      </c>
      <c r="E1460" s="0" t="s">
        <v>1816</v>
      </c>
      <c r="F1460" s="0" t="s">
        <v>27</v>
      </c>
      <c r="G1460" s="0" t="n">
        <v>0.6</v>
      </c>
      <c r="H1460" s="0" t="n">
        <v>1.2</v>
      </c>
      <c r="I1460" s="0" t="n">
        <v>2880</v>
      </c>
      <c r="J1460" s="0" t="n">
        <v>0.72</v>
      </c>
      <c r="K1460" s="0" t="s">
        <v>1834</v>
      </c>
      <c r="L1460" s="0" t="s">
        <v>1835</v>
      </c>
    </row>
    <row r="1461" customFormat="false" ht="15" hidden="false" customHeight="false" outlineLevel="0" collapsed="false">
      <c r="A1461" s="0" t="n">
        <v>122</v>
      </c>
      <c r="B1461" s="0" t="s">
        <v>1814</v>
      </c>
      <c r="C1461" s="0" t="s">
        <v>1833</v>
      </c>
      <c r="D1461" s="0" t="s">
        <v>1833</v>
      </c>
      <c r="E1461" s="0" t="s">
        <v>56</v>
      </c>
      <c r="F1461" s="0" t="s">
        <v>28</v>
      </c>
      <c r="I1461" s="0" t="n">
        <v>700</v>
      </c>
      <c r="J1461" s="0" t="n">
        <v>0.175</v>
      </c>
      <c r="K1461" s="0" t="s">
        <v>1836</v>
      </c>
    </row>
    <row r="1462" customFormat="false" ht="15" hidden="false" customHeight="false" outlineLevel="0" collapsed="false">
      <c r="A1462" s="0" t="n">
        <v>122</v>
      </c>
      <c r="B1462" s="0" t="s">
        <v>1814</v>
      </c>
      <c r="C1462" s="0" t="s">
        <v>1833</v>
      </c>
      <c r="D1462" s="0" t="s">
        <v>1833</v>
      </c>
      <c r="E1462" s="0" t="s">
        <v>58</v>
      </c>
      <c r="F1462" s="0" t="s">
        <v>28</v>
      </c>
      <c r="I1462" s="0" t="n">
        <v>2500</v>
      </c>
      <c r="J1462" s="0" t="n">
        <v>0.625</v>
      </c>
      <c r="K1462" s="0" t="s">
        <v>1837</v>
      </c>
    </row>
    <row r="1463" customFormat="false" ht="15" hidden="false" customHeight="false" outlineLevel="0" collapsed="false">
      <c r="A1463" s="0" t="n">
        <v>122</v>
      </c>
      <c r="B1463" s="0" t="s">
        <v>1814</v>
      </c>
      <c r="C1463" s="0" t="s">
        <v>1833</v>
      </c>
      <c r="D1463" s="0" t="s">
        <v>1833</v>
      </c>
      <c r="E1463" s="0" t="s">
        <v>379</v>
      </c>
      <c r="F1463" s="0" t="s">
        <v>29</v>
      </c>
      <c r="G1463" s="0" t="n">
        <v>0.5</v>
      </c>
      <c r="H1463" s="0" t="n">
        <v>8500</v>
      </c>
      <c r="I1463" s="0" t="n">
        <v>4250</v>
      </c>
      <c r="J1463" s="0" t="n">
        <v>1.0625</v>
      </c>
      <c r="K1463" s="0" t="s">
        <v>1838</v>
      </c>
      <c r="L1463" s="0" t="s">
        <v>1839</v>
      </c>
    </row>
    <row r="1464" customFormat="false" ht="15" hidden="false" customHeight="false" outlineLevel="0" collapsed="false">
      <c r="A1464" s="0" t="n">
        <v>122</v>
      </c>
      <c r="B1464" s="0" t="s">
        <v>1814</v>
      </c>
      <c r="C1464" s="0" t="s">
        <v>1833</v>
      </c>
      <c r="D1464" s="0" t="s">
        <v>1833</v>
      </c>
      <c r="E1464" s="0" t="s">
        <v>128</v>
      </c>
      <c r="F1464" s="0" t="s">
        <v>28</v>
      </c>
      <c r="I1464" s="0" t="n">
        <v>1500</v>
      </c>
      <c r="J1464" s="0" t="n">
        <v>0.375</v>
      </c>
      <c r="K1464" s="0" t="s">
        <v>1840</v>
      </c>
    </row>
    <row r="1465" customFormat="false" ht="15" hidden="false" customHeight="false" outlineLevel="0" collapsed="false">
      <c r="A1465" s="0" t="n">
        <v>122</v>
      </c>
      <c r="B1465" s="0" t="s">
        <v>1814</v>
      </c>
      <c r="C1465" s="0" t="s">
        <v>1833</v>
      </c>
      <c r="D1465" s="0" t="s">
        <v>1833</v>
      </c>
      <c r="E1465" s="0" t="s">
        <v>1823</v>
      </c>
      <c r="F1465" s="0" t="s">
        <v>27</v>
      </c>
      <c r="I1465" s="0" t="n">
        <v>1000</v>
      </c>
      <c r="J1465" s="0" t="n">
        <v>0.25</v>
      </c>
      <c r="K1465" s="0" t="s">
        <v>1841</v>
      </c>
      <c r="L1465" s="0" t="s">
        <v>1665</v>
      </c>
    </row>
    <row r="1466" customFormat="false" ht="15" hidden="false" customHeight="false" outlineLevel="0" collapsed="false">
      <c r="A1466" s="0" t="n">
        <v>122</v>
      </c>
      <c r="B1466" s="0" t="s">
        <v>1814</v>
      </c>
      <c r="C1466" s="0" t="s">
        <v>1833</v>
      </c>
      <c r="D1466" s="0" t="s">
        <v>1833</v>
      </c>
      <c r="E1466" s="0" t="s">
        <v>158</v>
      </c>
      <c r="F1466" s="0" t="s">
        <v>28</v>
      </c>
      <c r="I1466" s="0" t="n">
        <v>1000</v>
      </c>
      <c r="J1466" s="0" t="n">
        <v>0.25</v>
      </c>
      <c r="K1466" s="0" t="s">
        <v>1842</v>
      </c>
    </row>
    <row r="1467" customFormat="false" ht="15" hidden="false" customHeight="false" outlineLevel="0" collapsed="false">
      <c r="A1467" s="0" t="n">
        <v>122</v>
      </c>
      <c r="B1467" s="0" t="s">
        <v>1814</v>
      </c>
      <c r="C1467" s="0" t="s">
        <v>1833</v>
      </c>
      <c r="D1467" s="0" t="s">
        <v>1833</v>
      </c>
      <c r="E1467" s="0" t="s">
        <v>132</v>
      </c>
      <c r="F1467" s="0" t="s">
        <v>29</v>
      </c>
      <c r="I1467" s="0" t="n">
        <v>0</v>
      </c>
      <c r="J1467" s="0" t="n">
        <v>0</v>
      </c>
      <c r="K1467" s="0" t="s">
        <v>1843</v>
      </c>
    </row>
    <row r="1468" customFormat="false" ht="15" hidden="false" customHeight="false" outlineLevel="0" collapsed="false">
      <c r="A1468" s="0" t="n">
        <v>122</v>
      </c>
      <c r="B1468" s="0" t="s">
        <v>1814</v>
      </c>
      <c r="C1468" s="0" t="s">
        <v>1833</v>
      </c>
      <c r="D1468" s="0" t="s">
        <v>1833</v>
      </c>
      <c r="E1468" s="0" t="s">
        <v>1428</v>
      </c>
      <c r="F1468" s="0" t="s">
        <v>27</v>
      </c>
      <c r="I1468" s="0" t="n">
        <v>500</v>
      </c>
      <c r="J1468" s="0" t="n">
        <v>0.125</v>
      </c>
      <c r="K1468" s="0" t="s">
        <v>1844</v>
      </c>
    </row>
    <row r="1469" customFormat="false" ht="15" hidden="false" customHeight="false" outlineLevel="0" collapsed="false">
      <c r="A1469" s="0" t="n">
        <v>122</v>
      </c>
      <c r="B1469" s="0" t="s">
        <v>1814</v>
      </c>
      <c r="C1469" s="0" t="s">
        <v>1833</v>
      </c>
      <c r="D1469" s="0" t="s">
        <v>1833</v>
      </c>
      <c r="E1469" s="0" t="s">
        <v>60</v>
      </c>
      <c r="F1469" s="0" t="s">
        <v>27</v>
      </c>
      <c r="I1469" s="0" t="n">
        <v>50</v>
      </c>
      <c r="J1469" s="0" t="n">
        <v>0.0125</v>
      </c>
      <c r="K1469" s="0" t="s">
        <v>1845</v>
      </c>
    </row>
    <row r="1470" customFormat="false" ht="15" hidden="false" customHeight="false" outlineLevel="0" collapsed="false">
      <c r="A1470" s="0" t="n">
        <v>122</v>
      </c>
      <c r="B1470" s="0" t="s">
        <v>1814</v>
      </c>
      <c r="C1470" s="0" t="s">
        <v>1833</v>
      </c>
      <c r="D1470" s="0" t="s">
        <v>1833</v>
      </c>
      <c r="E1470" s="0" t="s">
        <v>62</v>
      </c>
      <c r="F1470" s="0" t="s">
        <v>27</v>
      </c>
      <c r="I1470" s="0" t="n">
        <v>100</v>
      </c>
      <c r="J1470" s="0" t="n">
        <v>0.025</v>
      </c>
      <c r="K1470" s="0" t="s">
        <v>1846</v>
      </c>
    </row>
    <row r="1471" customFormat="false" ht="15" hidden="false" customHeight="false" outlineLevel="0" collapsed="false">
      <c r="A1471" s="0" t="n">
        <v>122</v>
      </c>
      <c r="B1471" s="0" t="s">
        <v>1814</v>
      </c>
      <c r="C1471" s="0" t="s">
        <v>1833</v>
      </c>
      <c r="D1471" s="0" t="s">
        <v>1833</v>
      </c>
      <c r="E1471" s="0" t="s">
        <v>66</v>
      </c>
      <c r="F1471" s="0" t="s">
        <v>27</v>
      </c>
      <c r="I1471" s="0" t="n">
        <v>250</v>
      </c>
      <c r="J1471" s="0" t="n">
        <v>0.0625</v>
      </c>
      <c r="K1471" s="0" t="s">
        <v>1847</v>
      </c>
    </row>
    <row r="1472" customFormat="false" ht="15" hidden="false" customHeight="false" outlineLevel="0" collapsed="false">
      <c r="A1472" s="0" t="n">
        <v>122</v>
      </c>
      <c r="B1472" s="0" t="s">
        <v>1814</v>
      </c>
      <c r="C1472" s="0" t="s">
        <v>1833</v>
      </c>
      <c r="D1472" s="0" t="s">
        <v>1833</v>
      </c>
      <c r="E1472" s="0" t="s">
        <v>64</v>
      </c>
      <c r="F1472" s="0" t="s">
        <v>27</v>
      </c>
      <c r="I1472" s="0" t="n">
        <v>0</v>
      </c>
      <c r="J1472" s="0" t="n">
        <v>0</v>
      </c>
      <c r="K1472" s="0" t="s">
        <v>1848</v>
      </c>
    </row>
    <row r="1473" customFormat="false" ht="15" hidden="false" customHeight="false" outlineLevel="0" collapsed="false">
      <c r="A1473" s="0" t="n">
        <v>122</v>
      </c>
      <c r="B1473" s="0" t="s">
        <v>1814</v>
      </c>
      <c r="C1473" s="0" t="s">
        <v>1833</v>
      </c>
      <c r="D1473" s="0" t="s">
        <v>1833</v>
      </c>
      <c r="E1473" s="0" t="s">
        <v>68</v>
      </c>
      <c r="F1473" s="0" t="s">
        <v>30</v>
      </c>
      <c r="I1473" s="0" t="n">
        <v>2700</v>
      </c>
      <c r="J1473" s="0" t="n">
        <v>0.675</v>
      </c>
      <c r="K1473" s="0" t="s">
        <v>1849</v>
      </c>
    </row>
    <row r="1474" customFormat="false" ht="15" hidden="false" customHeight="false" outlineLevel="0" collapsed="false">
      <c r="A1474" s="0" t="n">
        <v>123</v>
      </c>
      <c r="B1474" s="0" t="s">
        <v>1850</v>
      </c>
      <c r="D1474" s="0" t="s">
        <v>349</v>
      </c>
      <c r="E1474" s="0" t="s">
        <v>53</v>
      </c>
      <c r="F1474" s="0" t="s">
        <v>27</v>
      </c>
      <c r="G1474" s="0" t="n">
        <v>1</v>
      </c>
      <c r="H1474" s="0" t="n">
        <v>3</v>
      </c>
      <c r="I1474" s="0" t="n">
        <v>11400</v>
      </c>
      <c r="J1474" s="0" t="n">
        <v>3</v>
      </c>
      <c r="K1474" s="0" t="s">
        <v>1851</v>
      </c>
      <c r="L1474" s="0" t="s">
        <v>1852</v>
      </c>
    </row>
    <row r="1475" customFormat="false" ht="15" hidden="false" customHeight="false" outlineLevel="0" collapsed="false">
      <c r="A1475" s="0" t="n">
        <v>123</v>
      </c>
      <c r="B1475" s="0" t="s">
        <v>1850</v>
      </c>
      <c r="D1475" s="0" t="s">
        <v>349</v>
      </c>
      <c r="E1475" s="0" t="s">
        <v>56</v>
      </c>
      <c r="F1475" s="0" t="s">
        <v>28</v>
      </c>
      <c r="I1475" s="0" t="n">
        <v>1000</v>
      </c>
      <c r="J1475" s="0" t="n">
        <v>0.263157894736842</v>
      </c>
      <c r="K1475" s="0" t="s">
        <v>1853</v>
      </c>
    </row>
    <row r="1476" customFormat="false" ht="15" hidden="false" customHeight="false" outlineLevel="0" collapsed="false">
      <c r="A1476" s="0" t="n">
        <v>123</v>
      </c>
      <c r="B1476" s="0" t="s">
        <v>1850</v>
      </c>
      <c r="D1476" s="0" t="s">
        <v>349</v>
      </c>
      <c r="E1476" s="0" t="s">
        <v>58</v>
      </c>
      <c r="F1476" s="0" t="s">
        <v>28</v>
      </c>
      <c r="I1476" s="0" t="n">
        <v>2500</v>
      </c>
      <c r="J1476" s="0" t="n">
        <v>0.657894736842105</v>
      </c>
      <c r="K1476" s="0" t="s">
        <v>1854</v>
      </c>
    </row>
    <row r="1477" customFormat="false" ht="15" hidden="false" customHeight="false" outlineLevel="0" collapsed="false">
      <c r="A1477" s="0" t="n">
        <v>123</v>
      </c>
      <c r="B1477" s="0" t="s">
        <v>1850</v>
      </c>
      <c r="D1477" s="0" t="s">
        <v>349</v>
      </c>
      <c r="E1477" s="0" t="s">
        <v>1855</v>
      </c>
      <c r="F1477" s="0" t="s">
        <v>29</v>
      </c>
      <c r="G1477" s="0" t="n">
        <v>15000</v>
      </c>
      <c r="H1477" s="0" t="n">
        <v>3</v>
      </c>
      <c r="I1477" s="0" t="n">
        <v>5000</v>
      </c>
      <c r="J1477" s="0" t="n">
        <v>1.31578947368421</v>
      </c>
      <c r="K1477" s="0" t="s">
        <v>1856</v>
      </c>
      <c r="L1477" s="0" t="s">
        <v>1857</v>
      </c>
    </row>
    <row r="1478" customFormat="false" ht="15" hidden="false" customHeight="false" outlineLevel="0" collapsed="false">
      <c r="A1478" s="0" t="n">
        <v>123</v>
      </c>
      <c r="B1478" s="0" t="s">
        <v>1850</v>
      </c>
      <c r="D1478" s="0" t="s">
        <v>349</v>
      </c>
      <c r="E1478" s="0" t="s">
        <v>203</v>
      </c>
      <c r="F1478" s="0" t="s">
        <v>29</v>
      </c>
      <c r="I1478" s="0" t="n">
        <v>1000</v>
      </c>
      <c r="J1478" s="0" t="n">
        <v>0.263157894736842</v>
      </c>
      <c r="K1478" s="0" t="s">
        <v>1858</v>
      </c>
    </row>
    <row r="1479" customFormat="false" ht="15" hidden="false" customHeight="false" outlineLevel="0" collapsed="false">
      <c r="A1479" s="0" t="n">
        <v>123</v>
      </c>
      <c r="B1479" s="0" t="s">
        <v>1850</v>
      </c>
      <c r="D1479" s="0" t="s">
        <v>349</v>
      </c>
      <c r="E1479" s="0" t="s">
        <v>128</v>
      </c>
      <c r="F1479" s="0" t="s">
        <v>28</v>
      </c>
      <c r="I1479" s="0" t="n">
        <v>1000</v>
      </c>
      <c r="J1479" s="0" t="n">
        <v>0.263157894736842</v>
      </c>
      <c r="K1479" s="0" t="s">
        <v>1859</v>
      </c>
    </row>
    <row r="1480" customFormat="false" ht="15" hidden="false" customHeight="false" outlineLevel="0" collapsed="false">
      <c r="A1480" s="0" t="n">
        <v>123</v>
      </c>
      <c r="B1480" s="0" t="s">
        <v>1850</v>
      </c>
      <c r="D1480" s="0" t="s">
        <v>349</v>
      </c>
      <c r="E1480" s="0" t="s">
        <v>158</v>
      </c>
      <c r="F1480" s="0" t="s">
        <v>28</v>
      </c>
      <c r="I1480" s="0" t="n">
        <v>2000</v>
      </c>
      <c r="J1480" s="0" t="n">
        <v>0.526315789473684</v>
      </c>
      <c r="K1480" s="0" t="s">
        <v>1860</v>
      </c>
    </row>
    <row r="1481" customFormat="false" ht="15" hidden="false" customHeight="false" outlineLevel="0" collapsed="false">
      <c r="A1481" s="0" t="n">
        <v>123</v>
      </c>
      <c r="B1481" s="0" t="s">
        <v>1850</v>
      </c>
      <c r="D1481" s="0" t="s">
        <v>349</v>
      </c>
      <c r="E1481" s="0" t="s">
        <v>132</v>
      </c>
      <c r="F1481" s="0" t="s">
        <v>29</v>
      </c>
      <c r="I1481" s="0" t="n">
        <v>0</v>
      </c>
      <c r="J1481" s="0" t="n">
        <v>0</v>
      </c>
      <c r="K1481" s="0" t="s">
        <v>1861</v>
      </c>
      <c r="L1481" s="0" t="s">
        <v>1862</v>
      </c>
    </row>
    <row r="1482" customFormat="false" ht="15" hidden="false" customHeight="false" outlineLevel="0" collapsed="false">
      <c r="A1482" s="0" t="n">
        <v>123</v>
      </c>
      <c r="B1482" s="0" t="s">
        <v>1850</v>
      </c>
      <c r="D1482" s="0" t="s">
        <v>349</v>
      </c>
      <c r="E1482" s="0" t="s">
        <v>134</v>
      </c>
      <c r="F1482" s="0" t="s">
        <v>28</v>
      </c>
      <c r="I1482" s="0" t="n">
        <v>200</v>
      </c>
      <c r="J1482" s="0" t="n">
        <v>0.0526315789473684</v>
      </c>
      <c r="K1482" s="0" t="s">
        <v>1863</v>
      </c>
    </row>
    <row r="1483" customFormat="false" ht="15" hidden="false" customHeight="false" outlineLevel="0" collapsed="false">
      <c r="A1483" s="0" t="n">
        <v>123</v>
      </c>
      <c r="B1483" s="0" t="s">
        <v>1850</v>
      </c>
      <c r="D1483" s="0" t="s">
        <v>349</v>
      </c>
      <c r="E1483" s="0" t="s">
        <v>60</v>
      </c>
      <c r="F1483" s="0" t="s">
        <v>27</v>
      </c>
      <c r="I1483" s="0" t="n">
        <v>200</v>
      </c>
      <c r="J1483" s="0" t="n">
        <v>0.0526315789473684</v>
      </c>
      <c r="K1483" s="0" t="s">
        <v>1864</v>
      </c>
    </row>
    <row r="1484" customFormat="false" ht="15" hidden="false" customHeight="false" outlineLevel="0" collapsed="false">
      <c r="A1484" s="0" t="n">
        <v>123</v>
      </c>
      <c r="B1484" s="0" t="s">
        <v>1850</v>
      </c>
      <c r="D1484" s="0" t="s">
        <v>349</v>
      </c>
      <c r="E1484" s="0" t="s">
        <v>62</v>
      </c>
      <c r="F1484" s="0" t="s">
        <v>27</v>
      </c>
      <c r="I1484" s="0" t="n">
        <v>100</v>
      </c>
      <c r="J1484" s="0" t="n">
        <v>0.0263157894736842</v>
      </c>
      <c r="K1484" s="0" t="s">
        <v>1865</v>
      </c>
    </row>
    <row r="1485" customFormat="false" ht="15" hidden="false" customHeight="false" outlineLevel="0" collapsed="false">
      <c r="A1485" s="0" t="n">
        <v>123</v>
      </c>
      <c r="B1485" s="0" t="s">
        <v>1850</v>
      </c>
      <c r="D1485" s="0" t="s">
        <v>349</v>
      </c>
      <c r="E1485" s="0" t="s">
        <v>66</v>
      </c>
      <c r="F1485" s="0" t="s">
        <v>27</v>
      </c>
      <c r="I1485" s="0" t="n">
        <v>350</v>
      </c>
      <c r="J1485" s="0" t="n">
        <v>0.0921052631578947</v>
      </c>
      <c r="K1485" s="0" t="s">
        <v>1866</v>
      </c>
    </row>
    <row r="1486" customFormat="false" ht="15" hidden="false" customHeight="false" outlineLevel="0" collapsed="false">
      <c r="A1486" s="0" t="n">
        <v>123</v>
      </c>
      <c r="B1486" s="0" t="s">
        <v>1850</v>
      </c>
      <c r="D1486" s="0" t="s">
        <v>349</v>
      </c>
      <c r="E1486" s="0" t="s">
        <v>64</v>
      </c>
      <c r="F1486" s="0" t="s">
        <v>27</v>
      </c>
      <c r="I1486" s="0" t="n">
        <v>100</v>
      </c>
      <c r="J1486" s="0" t="n">
        <v>0.0263157894736842</v>
      </c>
      <c r="K1486" s="0" t="s">
        <v>1867</v>
      </c>
      <c r="L1486" s="0" t="s">
        <v>1868</v>
      </c>
    </row>
    <row r="1487" customFormat="false" ht="15" hidden="false" customHeight="false" outlineLevel="0" collapsed="false">
      <c r="A1487" s="0" t="n">
        <v>123</v>
      </c>
      <c r="B1487" s="0" t="s">
        <v>1850</v>
      </c>
      <c r="D1487" s="0" t="s">
        <v>349</v>
      </c>
      <c r="E1487" s="0" t="s">
        <v>68</v>
      </c>
      <c r="F1487" s="0" t="s">
        <v>30</v>
      </c>
      <c r="I1487" s="0" t="n">
        <v>3700</v>
      </c>
      <c r="J1487" s="0" t="n">
        <v>0.973684210526316</v>
      </c>
      <c r="K1487" s="0" t="s">
        <v>1869</v>
      </c>
      <c r="L1487" s="0" t="s">
        <v>1870</v>
      </c>
    </row>
    <row r="1488" customFormat="false" ht="15" hidden="false" customHeight="false" outlineLevel="0" collapsed="false">
      <c r="A1488" s="0" t="n">
        <v>124</v>
      </c>
      <c r="B1488" s="0" t="s">
        <v>1850</v>
      </c>
      <c r="D1488" s="0" t="s">
        <v>349</v>
      </c>
      <c r="E1488" s="0" t="s">
        <v>53</v>
      </c>
      <c r="F1488" s="0" t="s">
        <v>27</v>
      </c>
      <c r="G1488" s="0" t="n">
        <v>1</v>
      </c>
      <c r="H1488" s="0" t="n">
        <v>1.8</v>
      </c>
      <c r="I1488" s="0" t="n">
        <v>6840</v>
      </c>
      <c r="J1488" s="0" t="n">
        <v>1.8</v>
      </c>
      <c r="K1488" s="0" t="s">
        <v>1871</v>
      </c>
      <c r="L1488" s="0" t="s">
        <v>1872</v>
      </c>
    </row>
    <row r="1489" customFormat="false" ht="15" hidden="false" customHeight="false" outlineLevel="0" collapsed="false">
      <c r="A1489" s="0" t="n">
        <v>124</v>
      </c>
      <c r="B1489" s="0" t="s">
        <v>1850</v>
      </c>
      <c r="D1489" s="0" t="s">
        <v>349</v>
      </c>
      <c r="E1489" s="0" t="s">
        <v>56</v>
      </c>
      <c r="F1489" s="0" t="s">
        <v>28</v>
      </c>
      <c r="I1489" s="0" t="n">
        <v>1000</v>
      </c>
      <c r="J1489" s="0" t="n">
        <v>0.263157894736842</v>
      </c>
      <c r="K1489" s="0" t="s">
        <v>1873</v>
      </c>
    </row>
    <row r="1490" customFormat="false" ht="15" hidden="false" customHeight="false" outlineLevel="0" collapsed="false">
      <c r="A1490" s="0" t="n">
        <v>124</v>
      </c>
      <c r="B1490" s="0" t="s">
        <v>1850</v>
      </c>
      <c r="D1490" s="0" t="s">
        <v>349</v>
      </c>
      <c r="E1490" s="0" t="s">
        <v>58</v>
      </c>
      <c r="F1490" s="0" t="s">
        <v>28</v>
      </c>
      <c r="I1490" s="0" t="n">
        <v>2500</v>
      </c>
      <c r="J1490" s="0" t="n">
        <v>0.657894736842105</v>
      </c>
      <c r="K1490" s="0" t="s">
        <v>1874</v>
      </c>
    </row>
    <row r="1491" customFormat="false" ht="15" hidden="false" customHeight="false" outlineLevel="0" collapsed="false">
      <c r="A1491" s="0" t="n">
        <v>124</v>
      </c>
      <c r="B1491" s="0" t="s">
        <v>1850</v>
      </c>
      <c r="D1491" s="0" t="s">
        <v>349</v>
      </c>
      <c r="E1491" s="0" t="s">
        <v>1855</v>
      </c>
      <c r="F1491" s="0" t="s">
        <v>29</v>
      </c>
      <c r="G1491" s="0" t="n">
        <v>15000</v>
      </c>
      <c r="H1491" s="0" t="n">
        <v>3</v>
      </c>
      <c r="I1491" s="0" t="n">
        <v>5000</v>
      </c>
      <c r="J1491" s="0" t="n">
        <v>1.31578947368421</v>
      </c>
      <c r="K1491" s="0" t="s">
        <v>1875</v>
      </c>
      <c r="L1491" s="0" t="s">
        <v>1857</v>
      </c>
    </row>
    <row r="1492" customFormat="false" ht="15" hidden="false" customHeight="false" outlineLevel="0" collapsed="false">
      <c r="A1492" s="0" t="n">
        <v>124</v>
      </c>
      <c r="B1492" s="0" t="s">
        <v>1850</v>
      </c>
      <c r="D1492" s="0" t="s">
        <v>349</v>
      </c>
      <c r="E1492" s="0" t="s">
        <v>203</v>
      </c>
      <c r="F1492" s="0" t="s">
        <v>29</v>
      </c>
      <c r="I1492" s="0" t="n">
        <v>1000</v>
      </c>
      <c r="J1492" s="0" t="n">
        <v>0.263157894736842</v>
      </c>
      <c r="K1492" s="0" t="s">
        <v>1876</v>
      </c>
    </row>
    <row r="1493" customFormat="false" ht="15" hidden="false" customHeight="false" outlineLevel="0" collapsed="false">
      <c r="A1493" s="0" t="n">
        <v>124</v>
      </c>
      <c r="B1493" s="0" t="s">
        <v>1850</v>
      </c>
      <c r="D1493" s="0" t="s">
        <v>349</v>
      </c>
      <c r="E1493" s="0" t="s">
        <v>128</v>
      </c>
      <c r="F1493" s="0" t="s">
        <v>28</v>
      </c>
      <c r="I1493" s="0" t="n">
        <v>1000</v>
      </c>
      <c r="J1493" s="0" t="n">
        <v>0.263157894736842</v>
      </c>
      <c r="K1493" s="0" t="s">
        <v>1877</v>
      </c>
    </row>
    <row r="1494" customFormat="false" ht="15" hidden="false" customHeight="false" outlineLevel="0" collapsed="false">
      <c r="A1494" s="0" t="n">
        <v>124</v>
      </c>
      <c r="B1494" s="0" t="s">
        <v>1850</v>
      </c>
      <c r="D1494" s="0" t="s">
        <v>349</v>
      </c>
      <c r="E1494" s="0" t="s">
        <v>158</v>
      </c>
      <c r="F1494" s="0" t="s">
        <v>28</v>
      </c>
      <c r="I1494" s="0" t="n">
        <v>2000</v>
      </c>
      <c r="J1494" s="0" t="n">
        <v>0.526315789473684</v>
      </c>
      <c r="K1494" s="0" t="s">
        <v>1878</v>
      </c>
    </row>
    <row r="1495" customFormat="false" ht="15" hidden="false" customHeight="false" outlineLevel="0" collapsed="false">
      <c r="A1495" s="0" t="n">
        <v>124</v>
      </c>
      <c r="B1495" s="0" t="s">
        <v>1850</v>
      </c>
      <c r="D1495" s="0" t="s">
        <v>349</v>
      </c>
      <c r="E1495" s="0" t="s">
        <v>132</v>
      </c>
      <c r="F1495" s="0" t="s">
        <v>29</v>
      </c>
      <c r="I1495" s="0" t="n">
        <v>200</v>
      </c>
      <c r="J1495" s="0" t="n">
        <v>0.0526315789473684</v>
      </c>
      <c r="K1495" s="0" t="s">
        <v>1879</v>
      </c>
    </row>
    <row r="1496" customFormat="false" ht="15" hidden="false" customHeight="false" outlineLevel="0" collapsed="false">
      <c r="A1496" s="0" t="n">
        <v>124</v>
      </c>
      <c r="B1496" s="0" t="s">
        <v>1850</v>
      </c>
      <c r="D1496" s="0" t="s">
        <v>349</v>
      </c>
      <c r="E1496" s="0" t="s">
        <v>134</v>
      </c>
      <c r="F1496" s="0" t="s">
        <v>28</v>
      </c>
      <c r="I1496" s="0" t="n">
        <v>200</v>
      </c>
      <c r="J1496" s="0" t="n">
        <v>0.0526315789473684</v>
      </c>
      <c r="K1496" s="0" t="s">
        <v>1880</v>
      </c>
    </row>
    <row r="1497" customFormat="false" ht="15" hidden="false" customHeight="false" outlineLevel="0" collapsed="false">
      <c r="A1497" s="0" t="n">
        <v>124</v>
      </c>
      <c r="B1497" s="0" t="s">
        <v>1850</v>
      </c>
      <c r="D1497" s="0" t="s">
        <v>349</v>
      </c>
      <c r="E1497" s="0" t="s">
        <v>60</v>
      </c>
      <c r="F1497" s="0" t="s">
        <v>27</v>
      </c>
      <c r="I1497" s="0" t="n">
        <v>200</v>
      </c>
      <c r="J1497" s="0" t="n">
        <v>0.0526315789473684</v>
      </c>
      <c r="K1497" s="0" t="s">
        <v>1881</v>
      </c>
    </row>
    <row r="1498" customFormat="false" ht="15" hidden="false" customHeight="false" outlineLevel="0" collapsed="false">
      <c r="A1498" s="0" t="n">
        <v>124</v>
      </c>
      <c r="B1498" s="0" t="s">
        <v>1850</v>
      </c>
      <c r="D1498" s="0" t="s">
        <v>349</v>
      </c>
      <c r="E1498" s="0" t="s">
        <v>62</v>
      </c>
      <c r="F1498" s="0" t="s">
        <v>27</v>
      </c>
      <c r="I1498" s="0" t="n">
        <v>100</v>
      </c>
      <c r="J1498" s="0" t="n">
        <v>0.0263157894736842</v>
      </c>
      <c r="K1498" s="0" t="s">
        <v>1882</v>
      </c>
    </row>
    <row r="1499" customFormat="false" ht="15" hidden="false" customHeight="false" outlineLevel="0" collapsed="false">
      <c r="A1499" s="0" t="n">
        <v>124</v>
      </c>
      <c r="B1499" s="0" t="s">
        <v>1850</v>
      </c>
      <c r="D1499" s="0" t="s">
        <v>349</v>
      </c>
      <c r="E1499" s="0" t="s">
        <v>66</v>
      </c>
      <c r="F1499" s="0" t="s">
        <v>27</v>
      </c>
      <c r="I1499" s="0" t="n">
        <v>350</v>
      </c>
      <c r="J1499" s="0" t="n">
        <v>0.0921052631578947</v>
      </c>
      <c r="K1499" s="0" t="s">
        <v>1883</v>
      </c>
    </row>
    <row r="1500" customFormat="false" ht="15" hidden="false" customHeight="false" outlineLevel="0" collapsed="false">
      <c r="A1500" s="0" t="n">
        <v>124</v>
      </c>
      <c r="B1500" s="0" t="s">
        <v>1850</v>
      </c>
      <c r="D1500" s="0" t="s">
        <v>349</v>
      </c>
      <c r="E1500" s="0" t="s">
        <v>64</v>
      </c>
      <c r="F1500" s="0" t="s">
        <v>27</v>
      </c>
      <c r="I1500" s="0" t="n">
        <v>750</v>
      </c>
      <c r="J1500" s="0" t="n">
        <v>0.197368421052632</v>
      </c>
      <c r="K1500" s="0" t="s">
        <v>1884</v>
      </c>
    </row>
    <row r="1501" customFormat="false" ht="15" hidden="false" customHeight="false" outlineLevel="0" collapsed="false">
      <c r="A1501" s="0" t="n">
        <v>124</v>
      </c>
      <c r="B1501" s="0" t="s">
        <v>1850</v>
      </c>
      <c r="D1501" s="0" t="s">
        <v>349</v>
      </c>
      <c r="E1501" s="0" t="s">
        <v>68</v>
      </c>
      <c r="F1501" s="0" t="s">
        <v>30</v>
      </c>
      <c r="I1501" s="0" t="n">
        <v>4000</v>
      </c>
      <c r="J1501" s="0" t="n">
        <v>1.05263157894737</v>
      </c>
      <c r="K1501" s="0" t="s">
        <v>1885</v>
      </c>
    </row>
    <row r="1502" customFormat="false" ht="15" hidden="false" customHeight="false" outlineLevel="0" collapsed="false">
      <c r="A1502" s="0" t="n">
        <v>125</v>
      </c>
      <c r="B1502" s="0" t="s">
        <v>1850</v>
      </c>
      <c r="C1502" s="0" t="s">
        <v>68</v>
      </c>
      <c r="D1502" s="0" t="s">
        <v>296</v>
      </c>
      <c r="E1502" s="0" t="s">
        <v>53</v>
      </c>
      <c r="F1502" s="0" t="s">
        <v>27</v>
      </c>
      <c r="G1502" s="0" t="n">
        <v>0.7</v>
      </c>
      <c r="H1502" s="0" t="n">
        <v>3</v>
      </c>
      <c r="I1502" s="0" t="n">
        <v>7980</v>
      </c>
      <c r="J1502" s="0" t="n">
        <v>2.1</v>
      </c>
      <c r="K1502" s="0" t="s">
        <v>1886</v>
      </c>
      <c r="L1502" s="0" t="s">
        <v>1887</v>
      </c>
    </row>
    <row r="1503" customFormat="false" ht="15" hidden="false" customHeight="false" outlineLevel="0" collapsed="false">
      <c r="A1503" s="0" t="n">
        <v>125</v>
      </c>
      <c r="B1503" s="0" t="s">
        <v>1850</v>
      </c>
      <c r="C1503" s="0" t="s">
        <v>68</v>
      </c>
      <c r="D1503" s="0" t="s">
        <v>296</v>
      </c>
      <c r="E1503" s="0" t="s">
        <v>56</v>
      </c>
      <c r="F1503" s="0" t="s">
        <v>28</v>
      </c>
      <c r="I1503" s="0" t="n">
        <v>1000</v>
      </c>
      <c r="J1503" s="0" t="n">
        <v>0.263157894736842</v>
      </c>
      <c r="K1503" s="0" t="s">
        <v>1888</v>
      </c>
    </row>
    <row r="1504" customFormat="false" ht="15" hidden="false" customHeight="false" outlineLevel="0" collapsed="false">
      <c r="A1504" s="0" t="n">
        <v>125</v>
      </c>
      <c r="B1504" s="0" t="s">
        <v>1850</v>
      </c>
      <c r="C1504" s="0" t="s">
        <v>68</v>
      </c>
      <c r="D1504" s="0" t="s">
        <v>296</v>
      </c>
      <c r="E1504" s="0" t="s">
        <v>58</v>
      </c>
      <c r="F1504" s="0" t="s">
        <v>28</v>
      </c>
      <c r="I1504" s="0" t="n">
        <v>2500</v>
      </c>
      <c r="J1504" s="0" t="n">
        <v>0.657894736842105</v>
      </c>
      <c r="K1504" s="0" t="s">
        <v>1889</v>
      </c>
    </row>
    <row r="1505" customFormat="false" ht="15" hidden="false" customHeight="false" outlineLevel="0" collapsed="false">
      <c r="A1505" s="0" t="n">
        <v>125</v>
      </c>
      <c r="B1505" s="0" t="s">
        <v>1850</v>
      </c>
      <c r="C1505" s="0" t="s">
        <v>68</v>
      </c>
      <c r="D1505" s="0" t="s">
        <v>296</v>
      </c>
      <c r="E1505" s="0" t="s">
        <v>1855</v>
      </c>
      <c r="F1505" s="0" t="s">
        <v>29</v>
      </c>
      <c r="G1505" s="0" t="n">
        <v>15000</v>
      </c>
      <c r="H1505" s="0" t="n">
        <v>3</v>
      </c>
      <c r="I1505" s="0" t="n">
        <v>5000</v>
      </c>
      <c r="J1505" s="0" t="n">
        <v>1.31578947368421</v>
      </c>
      <c r="K1505" s="0" t="s">
        <v>1890</v>
      </c>
      <c r="L1505" s="0" t="s">
        <v>1857</v>
      </c>
    </row>
    <row r="1506" customFormat="false" ht="15" hidden="false" customHeight="false" outlineLevel="0" collapsed="false">
      <c r="A1506" s="0" t="n">
        <v>125</v>
      </c>
      <c r="B1506" s="0" t="s">
        <v>1850</v>
      </c>
      <c r="C1506" s="0" t="s">
        <v>68</v>
      </c>
      <c r="D1506" s="0" t="s">
        <v>296</v>
      </c>
      <c r="E1506" s="0" t="s">
        <v>203</v>
      </c>
      <c r="F1506" s="0" t="s">
        <v>29</v>
      </c>
      <c r="I1506" s="0" t="n">
        <v>1000</v>
      </c>
      <c r="J1506" s="0" t="n">
        <v>0.263157894736842</v>
      </c>
      <c r="K1506" s="0" t="s">
        <v>1891</v>
      </c>
    </row>
    <row r="1507" customFormat="false" ht="15" hidden="false" customHeight="false" outlineLevel="0" collapsed="false">
      <c r="A1507" s="0" t="n">
        <v>125</v>
      </c>
      <c r="B1507" s="0" t="s">
        <v>1850</v>
      </c>
      <c r="C1507" s="0" t="s">
        <v>68</v>
      </c>
      <c r="D1507" s="0" t="s">
        <v>296</v>
      </c>
      <c r="E1507" s="0" t="s">
        <v>128</v>
      </c>
      <c r="F1507" s="0" t="s">
        <v>28</v>
      </c>
      <c r="I1507" s="0" t="n">
        <v>1000</v>
      </c>
      <c r="J1507" s="0" t="n">
        <v>0.263157894736842</v>
      </c>
      <c r="K1507" s="0" t="s">
        <v>1892</v>
      </c>
    </row>
    <row r="1508" customFormat="false" ht="15" hidden="false" customHeight="false" outlineLevel="0" collapsed="false">
      <c r="A1508" s="0" t="n">
        <v>125</v>
      </c>
      <c r="B1508" s="0" t="s">
        <v>1850</v>
      </c>
      <c r="C1508" s="0" t="s">
        <v>68</v>
      </c>
      <c r="D1508" s="0" t="s">
        <v>296</v>
      </c>
      <c r="E1508" s="0" t="s">
        <v>158</v>
      </c>
      <c r="F1508" s="0" t="s">
        <v>28</v>
      </c>
      <c r="I1508" s="0" t="n">
        <v>2000</v>
      </c>
      <c r="J1508" s="0" t="n">
        <v>0.526315789473684</v>
      </c>
      <c r="K1508" s="0" t="s">
        <v>1893</v>
      </c>
    </row>
    <row r="1509" customFormat="false" ht="15" hidden="false" customHeight="false" outlineLevel="0" collapsed="false">
      <c r="A1509" s="0" t="n">
        <v>125</v>
      </c>
      <c r="B1509" s="0" t="s">
        <v>1850</v>
      </c>
      <c r="C1509" s="0" t="s">
        <v>68</v>
      </c>
      <c r="D1509" s="0" t="s">
        <v>296</v>
      </c>
      <c r="E1509" s="0" t="s">
        <v>132</v>
      </c>
      <c r="F1509" s="0" t="s">
        <v>29</v>
      </c>
      <c r="I1509" s="0" t="n">
        <v>0</v>
      </c>
      <c r="J1509" s="0" t="n">
        <v>0</v>
      </c>
      <c r="K1509" s="0" t="s">
        <v>1894</v>
      </c>
      <c r="L1509" s="0" t="s">
        <v>647</v>
      </c>
    </row>
    <row r="1510" customFormat="false" ht="15" hidden="false" customHeight="false" outlineLevel="0" collapsed="false">
      <c r="A1510" s="0" t="n">
        <v>125</v>
      </c>
      <c r="B1510" s="0" t="s">
        <v>1850</v>
      </c>
      <c r="C1510" s="0" t="s">
        <v>68</v>
      </c>
      <c r="D1510" s="0" t="s">
        <v>296</v>
      </c>
      <c r="E1510" s="0" t="s">
        <v>134</v>
      </c>
      <c r="F1510" s="0" t="s">
        <v>28</v>
      </c>
      <c r="I1510" s="0" t="n">
        <v>200</v>
      </c>
      <c r="J1510" s="0" t="n">
        <v>0.0526315789473684</v>
      </c>
      <c r="K1510" s="0" t="s">
        <v>1895</v>
      </c>
    </row>
    <row r="1511" customFormat="false" ht="15" hidden="false" customHeight="false" outlineLevel="0" collapsed="false">
      <c r="A1511" s="0" t="n">
        <v>125</v>
      </c>
      <c r="B1511" s="0" t="s">
        <v>1850</v>
      </c>
      <c r="C1511" s="0" t="s">
        <v>68</v>
      </c>
      <c r="D1511" s="0" t="s">
        <v>296</v>
      </c>
      <c r="E1511" s="0" t="s">
        <v>60</v>
      </c>
      <c r="F1511" s="0" t="s">
        <v>27</v>
      </c>
      <c r="I1511" s="0" t="n">
        <v>200</v>
      </c>
      <c r="J1511" s="0" t="n">
        <v>0.0526315789473684</v>
      </c>
      <c r="K1511" s="0" t="s">
        <v>1896</v>
      </c>
    </row>
    <row r="1512" customFormat="false" ht="15" hidden="false" customHeight="false" outlineLevel="0" collapsed="false">
      <c r="A1512" s="0" t="n">
        <v>125</v>
      </c>
      <c r="B1512" s="0" t="s">
        <v>1850</v>
      </c>
      <c r="C1512" s="0" t="s">
        <v>68</v>
      </c>
      <c r="D1512" s="0" t="s">
        <v>296</v>
      </c>
      <c r="E1512" s="0" t="s">
        <v>62</v>
      </c>
      <c r="F1512" s="0" t="s">
        <v>27</v>
      </c>
      <c r="I1512" s="0" t="n">
        <v>100</v>
      </c>
      <c r="J1512" s="0" t="n">
        <v>0.0263157894736842</v>
      </c>
      <c r="K1512" s="0" t="s">
        <v>1897</v>
      </c>
    </row>
    <row r="1513" customFormat="false" ht="15" hidden="false" customHeight="false" outlineLevel="0" collapsed="false">
      <c r="A1513" s="0" t="n">
        <v>125</v>
      </c>
      <c r="B1513" s="0" t="s">
        <v>1850</v>
      </c>
      <c r="C1513" s="0" t="s">
        <v>68</v>
      </c>
      <c r="D1513" s="0" t="s">
        <v>296</v>
      </c>
      <c r="E1513" s="0" t="s">
        <v>66</v>
      </c>
      <c r="F1513" s="0" t="s">
        <v>27</v>
      </c>
      <c r="I1513" s="0" t="n">
        <v>350</v>
      </c>
      <c r="J1513" s="0" t="n">
        <v>0.0921052631578947</v>
      </c>
      <c r="K1513" s="0" t="s">
        <v>1898</v>
      </c>
      <c r="L1513" s="0" t="s">
        <v>1628</v>
      </c>
    </row>
    <row r="1514" customFormat="false" ht="15" hidden="false" customHeight="false" outlineLevel="0" collapsed="false">
      <c r="A1514" s="0" t="n">
        <v>125</v>
      </c>
      <c r="B1514" s="0" t="s">
        <v>1850</v>
      </c>
      <c r="C1514" s="0" t="s">
        <v>68</v>
      </c>
      <c r="D1514" s="0" t="s">
        <v>296</v>
      </c>
      <c r="E1514" s="0" t="s">
        <v>64</v>
      </c>
      <c r="F1514" s="0" t="s">
        <v>27</v>
      </c>
      <c r="I1514" s="0" t="n">
        <v>100</v>
      </c>
      <c r="J1514" s="0" t="n">
        <v>0.0263157894736842</v>
      </c>
      <c r="K1514" s="0" t="s">
        <v>1899</v>
      </c>
      <c r="L1514" s="0" t="s">
        <v>674</v>
      </c>
    </row>
    <row r="1515" customFormat="false" ht="15" hidden="false" customHeight="false" outlineLevel="0" collapsed="false">
      <c r="A1515" s="0" t="n">
        <v>125</v>
      </c>
      <c r="B1515" s="0" t="s">
        <v>1850</v>
      </c>
      <c r="C1515" s="0" t="s">
        <v>68</v>
      </c>
      <c r="D1515" s="0" t="s">
        <v>296</v>
      </c>
      <c r="E1515" s="0" t="s">
        <v>68</v>
      </c>
      <c r="F1515" s="0" t="s">
        <v>30</v>
      </c>
      <c r="I1515" s="0" t="n">
        <v>3700</v>
      </c>
      <c r="J1515" s="0" t="n">
        <v>0.973684210526316</v>
      </c>
      <c r="K1515" s="0" t="s">
        <v>1900</v>
      </c>
      <c r="L1515" s="0" t="s">
        <v>676</v>
      </c>
    </row>
    <row r="1516" customFormat="false" ht="15" hidden="false" customHeight="false" outlineLevel="0" collapsed="false">
      <c r="A1516" s="0" t="n">
        <v>126</v>
      </c>
      <c r="B1516" s="0" t="s">
        <v>1850</v>
      </c>
      <c r="C1516" s="0" t="s">
        <v>68</v>
      </c>
      <c r="D1516" s="0" t="s">
        <v>296</v>
      </c>
      <c r="E1516" s="0" t="s">
        <v>53</v>
      </c>
      <c r="F1516" s="0" t="s">
        <v>27</v>
      </c>
      <c r="G1516" s="0" t="n">
        <v>0.7</v>
      </c>
      <c r="H1516" s="0" t="n">
        <v>1.8</v>
      </c>
      <c r="I1516" s="0" t="n">
        <v>4788</v>
      </c>
      <c r="J1516" s="0" t="n">
        <v>1.26</v>
      </c>
      <c r="K1516" s="0" t="s">
        <v>1901</v>
      </c>
      <c r="L1516" s="0" t="s">
        <v>1902</v>
      </c>
    </row>
    <row r="1517" customFormat="false" ht="15" hidden="false" customHeight="false" outlineLevel="0" collapsed="false">
      <c r="A1517" s="0" t="n">
        <v>126</v>
      </c>
      <c r="B1517" s="0" t="s">
        <v>1850</v>
      </c>
      <c r="C1517" s="0" t="s">
        <v>68</v>
      </c>
      <c r="D1517" s="0" t="s">
        <v>296</v>
      </c>
      <c r="E1517" s="0" t="s">
        <v>56</v>
      </c>
      <c r="F1517" s="0" t="s">
        <v>28</v>
      </c>
      <c r="I1517" s="0" t="n">
        <v>1000</v>
      </c>
      <c r="J1517" s="0" t="n">
        <v>0.263157894736842</v>
      </c>
      <c r="K1517" s="0" t="s">
        <v>1903</v>
      </c>
    </row>
    <row r="1518" customFormat="false" ht="15" hidden="false" customHeight="false" outlineLevel="0" collapsed="false">
      <c r="A1518" s="0" t="n">
        <v>126</v>
      </c>
      <c r="B1518" s="0" t="s">
        <v>1850</v>
      </c>
      <c r="C1518" s="0" t="s">
        <v>68</v>
      </c>
      <c r="D1518" s="0" t="s">
        <v>296</v>
      </c>
      <c r="E1518" s="0" t="s">
        <v>58</v>
      </c>
      <c r="F1518" s="0" t="s">
        <v>28</v>
      </c>
      <c r="I1518" s="0" t="n">
        <v>2500</v>
      </c>
      <c r="J1518" s="0" t="n">
        <v>0.657894736842105</v>
      </c>
      <c r="K1518" s="0" t="s">
        <v>1904</v>
      </c>
    </row>
    <row r="1519" customFormat="false" ht="15" hidden="false" customHeight="false" outlineLevel="0" collapsed="false">
      <c r="A1519" s="0" t="n">
        <v>126</v>
      </c>
      <c r="B1519" s="0" t="s">
        <v>1850</v>
      </c>
      <c r="C1519" s="0" t="s">
        <v>68</v>
      </c>
      <c r="D1519" s="0" t="s">
        <v>296</v>
      </c>
      <c r="E1519" s="0" t="s">
        <v>1855</v>
      </c>
      <c r="F1519" s="0" t="s">
        <v>29</v>
      </c>
      <c r="G1519" s="0" t="n">
        <v>15000</v>
      </c>
      <c r="H1519" s="0" t="n">
        <v>3</v>
      </c>
      <c r="I1519" s="0" t="n">
        <v>5000</v>
      </c>
      <c r="J1519" s="0" t="n">
        <v>1.31578947368421</v>
      </c>
      <c r="K1519" s="0" t="s">
        <v>1905</v>
      </c>
      <c r="L1519" s="0" t="s">
        <v>1857</v>
      </c>
    </row>
    <row r="1520" customFormat="false" ht="15" hidden="false" customHeight="false" outlineLevel="0" collapsed="false">
      <c r="A1520" s="0" t="n">
        <v>126</v>
      </c>
      <c r="B1520" s="0" t="s">
        <v>1850</v>
      </c>
      <c r="C1520" s="0" t="s">
        <v>68</v>
      </c>
      <c r="D1520" s="0" t="s">
        <v>296</v>
      </c>
      <c r="E1520" s="0" t="s">
        <v>203</v>
      </c>
      <c r="F1520" s="0" t="s">
        <v>29</v>
      </c>
      <c r="I1520" s="0" t="n">
        <v>1000</v>
      </c>
      <c r="J1520" s="0" t="n">
        <v>0.263157894736842</v>
      </c>
      <c r="K1520" s="0" t="s">
        <v>1906</v>
      </c>
    </row>
    <row r="1521" customFormat="false" ht="15" hidden="false" customHeight="false" outlineLevel="0" collapsed="false">
      <c r="A1521" s="0" t="n">
        <v>126</v>
      </c>
      <c r="B1521" s="0" t="s">
        <v>1850</v>
      </c>
      <c r="C1521" s="0" t="s">
        <v>68</v>
      </c>
      <c r="D1521" s="0" t="s">
        <v>296</v>
      </c>
      <c r="E1521" s="0" t="s">
        <v>128</v>
      </c>
      <c r="F1521" s="0" t="s">
        <v>28</v>
      </c>
      <c r="I1521" s="0" t="n">
        <v>1000</v>
      </c>
      <c r="J1521" s="0" t="n">
        <v>0.263157894736842</v>
      </c>
      <c r="K1521" s="0" t="s">
        <v>1907</v>
      </c>
    </row>
    <row r="1522" customFormat="false" ht="15" hidden="false" customHeight="false" outlineLevel="0" collapsed="false">
      <c r="A1522" s="0" t="n">
        <v>126</v>
      </c>
      <c r="B1522" s="0" t="s">
        <v>1850</v>
      </c>
      <c r="C1522" s="0" t="s">
        <v>68</v>
      </c>
      <c r="D1522" s="0" t="s">
        <v>296</v>
      </c>
      <c r="E1522" s="0" t="s">
        <v>158</v>
      </c>
      <c r="F1522" s="0" t="s">
        <v>28</v>
      </c>
      <c r="I1522" s="0" t="n">
        <v>2000</v>
      </c>
      <c r="J1522" s="0" t="n">
        <v>0.526315789473684</v>
      </c>
      <c r="K1522" s="0" t="s">
        <v>1908</v>
      </c>
    </row>
    <row r="1523" customFormat="false" ht="15" hidden="false" customHeight="false" outlineLevel="0" collapsed="false">
      <c r="A1523" s="0" t="n">
        <v>126</v>
      </c>
      <c r="B1523" s="0" t="s">
        <v>1850</v>
      </c>
      <c r="C1523" s="0" t="s">
        <v>68</v>
      </c>
      <c r="D1523" s="0" t="s">
        <v>296</v>
      </c>
      <c r="E1523" s="0" t="s">
        <v>132</v>
      </c>
      <c r="F1523" s="0" t="s">
        <v>29</v>
      </c>
      <c r="I1523" s="0" t="n">
        <v>200</v>
      </c>
      <c r="J1523" s="0" t="n">
        <v>0.0526315789473684</v>
      </c>
      <c r="K1523" s="0" t="s">
        <v>1909</v>
      </c>
    </row>
    <row r="1524" customFormat="false" ht="15" hidden="false" customHeight="false" outlineLevel="0" collapsed="false">
      <c r="A1524" s="0" t="n">
        <v>126</v>
      </c>
      <c r="B1524" s="0" t="s">
        <v>1850</v>
      </c>
      <c r="C1524" s="0" t="s">
        <v>68</v>
      </c>
      <c r="D1524" s="0" t="s">
        <v>296</v>
      </c>
      <c r="E1524" s="0" t="s">
        <v>134</v>
      </c>
      <c r="F1524" s="0" t="s">
        <v>28</v>
      </c>
      <c r="I1524" s="0" t="n">
        <v>200</v>
      </c>
      <c r="J1524" s="0" t="n">
        <v>0.0526315789473684</v>
      </c>
      <c r="K1524" s="0" t="s">
        <v>1910</v>
      </c>
    </row>
    <row r="1525" customFormat="false" ht="15" hidden="false" customHeight="false" outlineLevel="0" collapsed="false">
      <c r="A1525" s="0" t="n">
        <v>126</v>
      </c>
      <c r="B1525" s="0" t="s">
        <v>1850</v>
      </c>
      <c r="C1525" s="0" t="s">
        <v>68</v>
      </c>
      <c r="D1525" s="0" t="s">
        <v>296</v>
      </c>
      <c r="E1525" s="0" t="s">
        <v>60</v>
      </c>
      <c r="F1525" s="0" t="s">
        <v>27</v>
      </c>
      <c r="I1525" s="0" t="n">
        <v>200</v>
      </c>
      <c r="J1525" s="0" t="n">
        <v>0.0526315789473684</v>
      </c>
      <c r="K1525" s="0" t="s">
        <v>1911</v>
      </c>
    </row>
    <row r="1526" customFormat="false" ht="15" hidden="false" customHeight="false" outlineLevel="0" collapsed="false">
      <c r="A1526" s="0" t="n">
        <v>126</v>
      </c>
      <c r="B1526" s="0" t="s">
        <v>1850</v>
      </c>
      <c r="C1526" s="0" t="s">
        <v>68</v>
      </c>
      <c r="D1526" s="0" t="s">
        <v>296</v>
      </c>
      <c r="E1526" s="0" t="s">
        <v>62</v>
      </c>
      <c r="F1526" s="0" t="s">
        <v>27</v>
      </c>
      <c r="I1526" s="0" t="n">
        <v>100</v>
      </c>
      <c r="J1526" s="0" t="n">
        <v>0.0263157894736842</v>
      </c>
      <c r="K1526" s="0" t="s">
        <v>1912</v>
      </c>
    </row>
    <row r="1527" customFormat="false" ht="15" hidden="false" customHeight="false" outlineLevel="0" collapsed="false">
      <c r="A1527" s="0" t="n">
        <v>126</v>
      </c>
      <c r="B1527" s="0" t="s">
        <v>1850</v>
      </c>
      <c r="C1527" s="0" t="s">
        <v>68</v>
      </c>
      <c r="D1527" s="0" t="s">
        <v>296</v>
      </c>
      <c r="E1527" s="0" t="s">
        <v>66</v>
      </c>
      <c r="F1527" s="0" t="s">
        <v>27</v>
      </c>
      <c r="I1527" s="0" t="n">
        <v>350</v>
      </c>
      <c r="J1527" s="0" t="n">
        <v>0.0921052631578947</v>
      </c>
      <c r="K1527" s="0" t="s">
        <v>1913</v>
      </c>
      <c r="L1527" s="0" t="s">
        <v>1143</v>
      </c>
    </row>
    <row r="1528" customFormat="false" ht="15" hidden="false" customHeight="false" outlineLevel="0" collapsed="false">
      <c r="A1528" s="0" t="n">
        <v>126</v>
      </c>
      <c r="B1528" s="0" t="s">
        <v>1850</v>
      </c>
      <c r="C1528" s="0" t="s">
        <v>68</v>
      </c>
      <c r="D1528" s="0" t="s">
        <v>296</v>
      </c>
      <c r="E1528" s="0" t="s">
        <v>64</v>
      </c>
      <c r="F1528" s="0" t="s">
        <v>27</v>
      </c>
      <c r="I1528" s="0" t="n">
        <v>750</v>
      </c>
      <c r="J1528" s="0" t="n">
        <v>0.197368421052632</v>
      </c>
      <c r="K1528" s="0" t="s">
        <v>1914</v>
      </c>
      <c r="L1528" s="0" t="s">
        <v>1915</v>
      </c>
    </row>
    <row r="1529" customFormat="false" ht="15" hidden="false" customHeight="false" outlineLevel="0" collapsed="false">
      <c r="A1529" s="0" t="n">
        <v>126</v>
      </c>
      <c r="B1529" s="0" t="s">
        <v>1850</v>
      </c>
      <c r="C1529" s="0" t="s">
        <v>68</v>
      </c>
      <c r="D1529" s="0" t="s">
        <v>296</v>
      </c>
      <c r="E1529" s="0" t="s">
        <v>68</v>
      </c>
      <c r="F1529" s="0" t="s">
        <v>30</v>
      </c>
      <c r="I1529" s="0" t="n">
        <v>4000</v>
      </c>
      <c r="J1529" s="0" t="n">
        <v>1.05263157894737</v>
      </c>
      <c r="K1529" s="0" t="s">
        <v>1916</v>
      </c>
      <c r="L1529" s="0" t="s">
        <v>1917</v>
      </c>
    </row>
    <row r="1530" customFormat="false" ht="15" hidden="false" customHeight="false" outlineLevel="0" collapsed="false">
      <c r="A1530" s="0" t="n">
        <v>127</v>
      </c>
      <c r="B1530" s="0" t="s">
        <v>1918</v>
      </c>
      <c r="C1530" s="0" t="s">
        <v>1919</v>
      </c>
      <c r="D1530" s="0" t="s">
        <v>1920</v>
      </c>
      <c r="E1530" s="0" t="s">
        <v>53</v>
      </c>
      <c r="F1530" s="0" t="s">
        <v>27</v>
      </c>
      <c r="G1530" s="0" t="n">
        <v>0.7</v>
      </c>
      <c r="H1530" s="0" t="n">
        <v>1.7</v>
      </c>
      <c r="I1530" s="0" t="n">
        <v>4760</v>
      </c>
      <c r="J1530" s="0" t="n">
        <v>1.19</v>
      </c>
      <c r="K1530" s="0" t="s">
        <v>1921</v>
      </c>
      <c r="L1530" s="0" t="s">
        <v>1922</v>
      </c>
    </row>
    <row r="1531" customFormat="false" ht="15" hidden="false" customHeight="false" outlineLevel="0" collapsed="false">
      <c r="A1531" s="0" t="n">
        <v>127</v>
      </c>
      <c r="B1531" s="0" t="s">
        <v>1918</v>
      </c>
      <c r="C1531" s="0" t="s">
        <v>1919</v>
      </c>
      <c r="D1531" s="0" t="s">
        <v>1920</v>
      </c>
      <c r="E1531" s="0" t="s">
        <v>56</v>
      </c>
      <c r="F1531" s="0" t="s">
        <v>28</v>
      </c>
      <c r="I1531" s="0" t="n">
        <v>700</v>
      </c>
      <c r="J1531" s="0" t="n">
        <v>0.175</v>
      </c>
      <c r="K1531" s="0" t="s">
        <v>1923</v>
      </c>
    </row>
    <row r="1532" customFormat="false" ht="15" hidden="false" customHeight="false" outlineLevel="0" collapsed="false">
      <c r="A1532" s="0" t="n">
        <v>127</v>
      </c>
      <c r="B1532" s="0" t="s">
        <v>1918</v>
      </c>
      <c r="C1532" s="0" t="s">
        <v>1919</v>
      </c>
      <c r="D1532" s="0" t="s">
        <v>1920</v>
      </c>
      <c r="E1532" s="0" t="s">
        <v>58</v>
      </c>
      <c r="F1532" s="0" t="s">
        <v>28</v>
      </c>
      <c r="I1532" s="0" t="n">
        <v>2500</v>
      </c>
      <c r="J1532" s="0" t="n">
        <v>0.625</v>
      </c>
      <c r="K1532" s="0" t="s">
        <v>1924</v>
      </c>
    </row>
    <row r="1533" customFormat="false" ht="15" hidden="false" customHeight="false" outlineLevel="0" collapsed="false">
      <c r="A1533" s="0" t="n">
        <v>127</v>
      </c>
      <c r="B1533" s="0" t="s">
        <v>1918</v>
      </c>
      <c r="C1533" s="0" t="s">
        <v>1919</v>
      </c>
      <c r="D1533" s="0" t="s">
        <v>1920</v>
      </c>
      <c r="E1533" s="0" t="s">
        <v>379</v>
      </c>
      <c r="F1533" s="0" t="s">
        <v>29</v>
      </c>
      <c r="G1533" s="0" t="n">
        <v>1</v>
      </c>
      <c r="H1533" s="0" t="n">
        <v>8500</v>
      </c>
      <c r="I1533" s="0" t="n">
        <v>8500</v>
      </c>
      <c r="J1533" s="0" t="n">
        <v>2.125</v>
      </c>
      <c r="K1533" s="0" t="s">
        <v>1925</v>
      </c>
      <c r="L1533" s="0" t="s">
        <v>1926</v>
      </c>
    </row>
    <row r="1534" customFormat="false" ht="15" hidden="false" customHeight="false" outlineLevel="0" collapsed="false">
      <c r="A1534" s="0" t="n">
        <v>127</v>
      </c>
      <c r="B1534" s="0" t="s">
        <v>1918</v>
      </c>
      <c r="C1534" s="0" t="s">
        <v>1919</v>
      </c>
      <c r="D1534" s="0" t="s">
        <v>1920</v>
      </c>
      <c r="E1534" s="0" t="s">
        <v>128</v>
      </c>
      <c r="F1534" s="0" t="s">
        <v>28</v>
      </c>
      <c r="I1534" s="0" t="n">
        <v>2000</v>
      </c>
      <c r="J1534" s="0" t="n">
        <v>0.5</v>
      </c>
      <c r="K1534" s="0" t="s">
        <v>1927</v>
      </c>
    </row>
    <row r="1535" customFormat="false" ht="15" hidden="false" customHeight="false" outlineLevel="0" collapsed="false">
      <c r="A1535" s="0" t="n">
        <v>127</v>
      </c>
      <c r="B1535" s="0" t="s">
        <v>1918</v>
      </c>
      <c r="C1535" s="0" t="s">
        <v>1919</v>
      </c>
      <c r="D1535" s="0" t="s">
        <v>1920</v>
      </c>
      <c r="E1535" s="0" t="s">
        <v>130</v>
      </c>
      <c r="F1535" s="0" t="s">
        <v>29</v>
      </c>
      <c r="I1535" s="0" t="n">
        <v>0</v>
      </c>
      <c r="J1535" s="0" t="n">
        <v>0</v>
      </c>
      <c r="K1535" s="0" t="s">
        <v>1928</v>
      </c>
    </row>
    <row r="1536" customFormat="false" ht="15" hidden="false" customHeight="false" outlineLevel="0" collapsed="false">
      <c r="A1536" s="0" t="n">
        <v>127</v>
      </c>
      <c r="B1536" s="0" t="s">
        <v>1918</v>
      </c>
      <c r="C1536" s="0" t="s">
        <v>1919</v>
      </c>
      <c r="D1536" s="0" t="s">
        <v>1920</v>
      </c>
      <c r="E1536" s="0" t="s">
        <v>158</v>
      </c>
      <c r="F1536" s="0" t="s">
        <v>28</v>
      </c>
      <c r="I1536" s="0" t="n">
        <v>1000</v>
      </c>
      <c r="J1536" s="0" t="n">
        <v>0.25</v>
      </c>
      <c r="K1536" s="0" t="s">
        <v>1929</v>
      </c>
    </row>
    <row r="1537" customFormat="false" ht="15" hidden="false" customHeight="false" outlineLevel="0" collapsed="false">
      <c r="A1537" s="0" t="n">
        <v>127</v>
      </c>
      <c r="B1537" s="0" t="s">
        <v>1918</v>
      </c>
      <c r="C1537" s="0" t="s">
        <v>1919</v>
      </c>
      <c r="D1537" s="0" t="s">
        <v>1920</v>
      </c>
      <c r="E1537" s="0" t="s">
        <v>132</v>
      </c>
      <c r="F1537" s="0" t="s">
        <v>29</v>
      </c>
      <c r="I1537" s="0" t="n">
        <v>0</v>
      </c>
      <c r="J1537" s="0" t="n">
        <v>0</v>
      </c>
      <c r="K1537" s="0" t="s">
        <v>1930</v>
      </c>
    </row>
    <row r="1538" customFormat="false" ht="15" hidden="false" customHeight="false" outlineLevel="0" collapsed="false">
      <c r="A1538" s="0" t="n">
        <v>127</v>
      </c>
      <c r="B1538" s="0" t="s">
        <v>1918</v>
      </c>
      <c r="C1538" s="0" t="s">
        <v>1919</v>
      </c>
      <c r="D1538" s="0" t="s">
        <v>1920</v>
      </c>
      <c r="E1538" s="0" t="s">
        <v>134</v>
      </c>
      <c r="F1538" s="0" t="s">
        <v>28</v>
      </c>
      <c r="I1538" s="0" t="n">
        <v>0</v>
      </c>
      <c r="J1538" s="0" t="n">
        <v>0</v>
      </c>
      <c r="K1538" s="0" t="s">
        <v>1931</v>
      </c>
    </row>
    <row r="1539" customFormat="false" ht="15" hidden="false" customHeight="false" outlineLevel="0" collapsed="false">
      <c r="A1539" s="0" t="n">
        <v>127</v>
      </c>
      <c r="B1539" s="0" t="s">
        <v>1918</v>
      </c>
      <c r="C1539" s="0" t="s">
        <v>1919</v>
      </c>
      <c r="D1539" s="0" t="s">
        <v>1920</v>
      </c>
      <c r="E1539" s="0" t="s">
        <v>60</v>
      </c>
      <c r="F1539" s="0" t="s">
        <v>27</v>
      </c>
      <c r="I1539" s="0" t="n">
        <v>0</v>
      </c>
      <c r="J1539" s="0" t="n">
        <v>0</v>
      </c>
      <c r="K1539" s="0" t="s">
        <v>1932</v>
      </c>
    </row>
    <row r="1540" customFormat="false" ht="15" hidden="false" customHeight="false" outlineLevel="0" collapsed="false">
      <c r="A1540" s="0" t="n">
        <v>127</v>
      </c>
      <c r="B1540" s="0" t="s">
        <v>1918</v>
      </c>
      <c r="C1540" s="0" t="s">
        <v>1919</v>
      </c>
      <c r="D1540" s="0" t="s">
        <v>1920</v>
      </c>
      <c r="E1540" s="0" t="s">
        <v>62</v>
      </c>
      <c r="F1540" s="0" t="s">
        <v>27</v>
      </c>
      <c r="I1540" s="0" t="n">
        <v>100</v>
      </c>
      <c r="J1540" s="0" t="n">
        <v>0.025</v>
      </c>
      <c r="K1540" s="0" t="s">
        <v>1933</v>
      </c>
    </row>
    <row r="1541" customFormat="false" ht="15" hidden="false" customHeight="false" outlineLevel="0" collapsed="false">
      <c r="A1541" s="0" t="n">
        <v>127</v>
      </c>
      <c r="B1541" s="0" t="s">
        <v>1918</v>
      </c>
      <c r="C1541" s="0" t="s">
        <v>1919</v>
      </c>
      <c r="D1541" s="0" t="s">
        <v>1920</v>
      </c>
      <c r="E1541" s="0" t="s">
        <v>66</v>
      </c>
      <c r="F1541" s="0" t="s">
        <v>27</v>
      </c>
      <c r="I1541" s="0" t="n">
        <v>350</v>
      </c>
      <c r="J1541" s="0" t="n">
        <v>0.0875</v>
      </c>
      <c r="K1541" s="0" t="s">
        <v>1934</v>
      </c>
    </row>
    <row r="1542" customFormat="false" ht="15" hidden="false" customHeight="false" outlineLevel="0" collapsed="false">
      <c r="A1542" s="0" t="n">
        <v>127</v>
      </c>
      <c r="B1542" s="0" t="s">
        <v>1918</v>
      </c>
      <c r="C1542" s="0" t="s">
        <v>1919</v>
      </c>
      <c r="D1542" s="0" t="s">
        <v>1920</v>
      </c>
      <c r="E1542" s="0" t="s">
        <v>64</v>
      </c>
      <c r="F1542" s="0" t="s">
        <v>27</v>
      </c>
      <c r="I1542" s="0" t="n">
        <v>350</v>
      </c>
      <c r="J1542" s="0" t="n">
        <v>0.0875</v>
      </c>
      <c r="K1542" s="0" t="s">
        <v>1935</v>
      </c>
    </row>
    <row r="1543" customFormat="false" ht="15" hidden="false" customHeight="false" outlineLevel="0" collapsed="false">
      <c r="A1543" s="0" t="n">
        <v>127</v>
      </c>
      <c r="B1543" s="0" t="s">
        <v>1918</v>
      </c>
      <c r="C1543" s="0" t="s">
        <v>1919</v>
      </c>
      <c r="D1543" s="0" t="s">
        <v>1920</v>
      </c>
      <c r="E1543" s="0" t="s">
        <v>68</v>
      </c>
      <c r="F1543" s="0" t="s">
        <v>30</v>
      </c>
      <c r="I1543" s="0" t="n">
        <v>2700</v>
      </c>
      <c r="J1543" s="0" t="n">
        <v>0.675</v>
      </c>
      <c r="K1543" s="0" t="s">
        <v>1936</v>
      </c>
    </row>
    <row r="1544" customFormat="false" ht="15" hidden="false" customHeight="false" outlineLevel="0" collapsed="false">
      <c r="A1544" s="0" t="n">
        <v>128</v>
      </c>
      <c r="B1544" s="0" t="s">
        <v>1918</v>
      </c>
      <c r="C1544" s="0" t="s">
        <v>1919</v>
      </c>
      <c r="D1544" s="0" t="s">
        <v>1920</v>
      </c>
      <c r="E1544" s="0" t="s">
        <v>53</v>
      </c>
      <c r="F1544" s="0" t="s">
        <v>27</v>
      </c>
      <c r="G1544" s="0" t="n">
        <v>0.8</v>
      </c>
      <c r="H1544" s="0" t="n">
        <v>1.5</v>
      </c>
      <c r="I1544" s="0" t="n">
        <v>4560</v>
      </c>
      <c r="J1544" s="0" t="n">
        <v>1.14</v>
      </c>
      <c r="K1544" s="0" t="s">
        <v>1937</v>
      </c>
      <c r="L1544" s="0" t="s">
        <v>1938</v>
      </c>
    </row>
    <row r="1545" customFormat="false" ht="15" hidden="false" customHeight="false" outlineLevel="0" collapsed="false">
      <c r="A1545" s="0" t="n">
        <v>128</v>
      </c>
      <c r="B1545" s="0" t="s">
        <v>1918</v>
      </c>
      <c r="C1545" s="0" t="s">
        <v>1919</v>
      </c>
      <c r="D1545" s="0" t="s">
        <v>1920</v>
      </c>
      <c r="E1545" s="0" t="s">
        <v>56</v>
      </c>
      <c r="F1545" s="0" t="s">
        <v>28</v>
      </c>
      <c r="I1545" s="0" t="n">
        <v>700</v>
      </c>
      <c r="J1545" s="0" t="n">
        <v>0.175</v>
      </c>
      <c r="K1545" s="0" t="s">
        <v>1939</v>
      </c>
    </row>
    <row r="1546" customFormat="false" ht="15" hidden="false" customHeight="false" outlineLevel="0" collapsed="false">
      <c r="A1546" s="0" t="n">
        <v>128</v>
      </c>
      <c r="B1546" s="0" t="s">
        <v>1918</v>
      </c>
      <c r="C1546" s="0" t="s">
        <v>1919</v>
      </c>
      <c r="D1546" s="0" t="s">
        <v>1920</v>
      </c>
      <c r="E1546" s="0" t="s">
        <v>58</v>
      </c>
      <c r="F1546" s="0" t="s">
        <v>28</v>
      </c>
      <c r="I1546" s="0" t="n">
        <v>2500</v>
      </c>
      <c r="J1546" s="0" t="n">
        <v>0.625</v>
      </c>
      <c r="K1546" s="0" t="s">
        <v>1940</v>
      </c>
    </row>
    <row r="1547" customFormat="false" ht="15" hidden="false" customHeight="false" outlineLevel="0" collapsed="false">
      <c r="A1547" s="0" t="n">
        <v>128</v>
      </c>
      <c r="B1547" s="0" t="s">
        <v>1918</v>
      </c>
      <c r="C1547" s="0" t="s">
        <v>1919</v>
      </c>
      <c r="D1547" s="0" t="s">
        <v>1920</v>
      </c>
      <c r="E1547" s="0" t="s">
        <v>379</v>
      </c>
      <c r="F1547" s="0" t="s">
        <v>29</v>
      </c>
      <c r="I1547" s="0" t="n">
        <v>9000</v>
      </c>
      <c r="J1547" s="0" t="n">
        <v>2.25</v>
      </c>
      <c r="K1547" s="0" t="s">
        <v>1941</v>
      </c>
    </row>
    <row r="1548" customFormat="false" ht="15" hidden="false" customHeight="false" outlineLevel="0" collapsed="false">
      <c r="A1548" s="0" t="n">
        <v>128</v>
      </c>
      <c r="B1548" s="0" t="s">
        <v>1918</v>
      </c>
      <c r="C1548" s="0" t="s">
        <v>1919</v>
      </c>
      <c r="D1548" s="0" t="s">
        <v>1920</v>
      </c>
      <c r="E1548" s="0" t="s">
        <v>128</v>
      </c>
      <c r="F1548" s="0" t="s">
        <v>28</v>
      </c>
      <c r="I1548" s="0" t="n">
        <v>2000</v>
      </c>
      <c r="J1548" s="0" t="n">
        <v>0.5</v>
      </c>
      <c r="K1548" s="0" t="s">
        <v>1942</v>
      </c>
    </row>
    <row r="1549" customFormat="false" ht="15" hidden="false" customHeight="false" outlineLevel="0" collapsed="false">
      <c r="A1549" s="0" t="n">
        <v>128</v>
      </c>
      <c r="B1549" s="0" t="s">
        <v>1918</v>
      </c>
      <c r="C1549" s="0" t="s">
        <v>1919</v>
      </c>
      <c r="D1549" s="0" t="s">
        <v>1920</v>
      </c>
      <c r="E1549" s="0" t="s">
        <v>130</v>
      </c>
      <c r="F1549" s="0" t="s">
        <v>29</v>
      </c>
      <c r="I1549" s="0" t="n">
        <v>0</v>
      </c>
      <c r="J1549" s="0" t="n">
        <v>0</v>
      </c>
      <c r="K1549" s="0" t="s">
        <v>1943</v>
      </c>
    </row>
    <row r="1550" customFormat="false" ht="15" hidden="false" customHeight="false" outlineLevel="0" collapsed="false">
      <c r="A1550" s="0" t="n">
        <v>128</v>
      </c>
      <c r="B1550" s="0" t="s">
        <v>1918</v>
      </c>
      <c r="C1550" s="0" t="s">
        <v>1919</v>
      </c>
      <c r="D1550" s="0" t="s">
        <v>1920</v>
      </c>
      <c r="E1550" s="0" t="s">
        <v>158</v>
      </c>
      <c r="F1550" s="0" t="s">
        <v>28</v>
      </c>
      <c r="I1550" s="0" t="n">
        <v>0</v>
      </c>
      <c r="J1550" s="0" t="n">
        <v>0</v>
      </c>
      <c r="K1550" s="0" t="s">
        <v>1944</v>
      </c>
    </row>
    <row r="1551" customFormat="false" ht="15" hidden="false" customHeight="false" outlineLevel="0" collapsed="false">
      <c r="A1551" s="0" t="n">
        <v>128</v>
      </c>
      <c r="B1551" s="0" t="s">
        <v>1918</v>
      </c>
      <c r="C1551" s="0" t="s">
        <v>1919</v>
      </c>
      <c r="D1551" s="0" t="s">
        <v>1920</v>
      </c>
      <c r="E1551" s="0" t="s">
        <v>132</v>
      </c>
      <c r="F1551" s="0" t="s">
        <v>29</v>
      </c>
      <c r="I1551" s="0" t="n">
        <v>0</v>
      </c>
      <c r="J1551" s="0" t="n">
        <v>0</v>
      </c>
      <c r="K1551" s="0" t="s">
        <v>1945</v>
      </c>
    </row>
    <row r="1552" customFormat="false" ht="15" hidden="false" customHeight="false" outlineLevel="0" collapsed="false">
      <c r="A1552" s="0" t="n">
        <v>128</v>
      </c>
      <c r="B1552" s="0" t="s">
        <v>1918</v>
      </c>
      <c r="C1552" s="0" t="s">
        <v>1919</v>
      </c>
      <c r="D1552" s="0" t="s">
        <v>1920</v>
      </c>
      <c r="E1552" s="0" t="s">
        <v>134</v>
      </c>
      <c r="F1552" s="0" t="s">
        <v>28</v>
      </c>
      <c r="I1552" s="0" t="n">
        <v>0</v>
      </c>
      <c r="J1552" s="0" t="n">
        <v>0</v>
      </c>
      <c r="K1552" s="0" t="s">
        <v>1946</v>
      </c>
    </row>
    <row r="1553" customFormat="false" ht="15" hidden="false" customHeight="false" outlineLevel="0" collapsed="false">
      <c r="A1553" s="0" t="n">
        <v>128</v>
      </c>
      <c r="B1553" s="0" t="s">
        <v>1918</v>
      </c>
      <c r="C1553" s="0" t="s">
        <v>1919</v>
      </c>
      <c r="D1553" s="0" t="s">
        <v>1920</v>
      </c>
      <c r="E1553" s="0" t="s">
        <v>60</v>
      </c>
      <c r="F1553" s="0" t="s">
        <v>27</v>
      </c>
      <c r="I1553" s="0" t="n">
        <v>0</v>
      </c>
      <c r="J1553" s="0" t="n">
        <v>0</v>
      </c>
      <c r="K1553" s="0" t="s">
        <v>1947</v>
      </c>
    </row>
    <row r="1554" customFormat="false" ht="15" hidden="false" customHeight="false" outlineLevel="0" collapsed="false">
      <c r="A1554" s="0" t="n">
        <v>128</v>
      </c>
      <c r="B1554" s="0" t="s">
        <v>1918</v>
      </c>
      <c r="C1554" s="0" t="s">
        <v>1919</v>
      </c>
      <c r="D1554" s="0" t="s">
        <v>1920</v>
      </c>
      <c r="E1554" s="0" t="s">
        <v>62</v>
      </c>
      <c r="F1554" s="0" t="s">
        <v>27</v>
      </c>
      <c r="I1554" s="0" t="n">
        <v>50</v>
      </c>
      <c r="J1554" s="0" t="n">
        <v>0.0125</v>
      </c>
      <c r="K1554" s="0" t="s">
        <v>1948</v>
      </c>
    </row>
    <row r="1555" customFormat="false" ht="15" hidden="false" customHeight="false" outlineLevel="0" collapsed="false">
      <c r="A1555" s="0" t="n">
        <v>128</v>
      </c>
      <c r="B1555" s="0" t="s">
        <v>1918</v>
      </c>
      <c r="C1555" s="0" t="s">
        <v>1919</v>
      </c>
      <c r="D1555" s="0" t="s">
        <v>1920</v>
      </c>
      <c r="E1555" s="0" t="s">
        <v>66</v>
      </c>
      <c r="F1555" s="0" t="s">
        <v>27</v>
      </c>
      <c r="I1555" s="0" t="n">
        <v>250</v>
      </c>
      <c r="J1555" s="0" t="n">
        <v>0.0625</v>
      </c>
      <c r="K1555" s="0" t="s">
        <v>1949</v>
      </c>
    </row>
    <row r="1556" customFormat="false" ht="15" hidden="false" customHeight="false" outlineLevel="0" collapsed="false">
      <c r="A1556" s="0" t="n">
        <v>128</v>
      </c>
      <c r="B1556" s="0" t="s">
        <v>1918</v>
      </c>
      <c r="C1556" s="0" t="s">
        <v>1919</v>
      </c>
      <c r="D1556" s="0" t="s">
        <v>1920</v>
      </c>
      <c r="E1556" s="0" t="s">
        <v>64</v>
      </c>
      <c r="F1556" s="0" t="s">
        <v>27</v>
      </c>
      <c r="I1556" s="0" t="n">
        <v>70</v>
      </c>
      <c r="J1556" s="0" t="n">
        <v>0.0175</v>
      </c>
      <c r="K1556" s="0" t="s">
        <v>1950</v>
      </c>
    </row>
    <row r="1557" customFormat="false" ht="15" hidden="false" customHeight="false" outlineLevel="0" collapsed="false">
      <c r="A1557" s="0" t="n">
        <v>128</v>
      </c>
      <c r="B1557" s="0" t="s">
        <v>1918</v>
      </c>
      <c r="C1557" s="0" t="s">
        <v>1919</v>
      </c>
      <c r="D1557" s="0" t="s">
        <v>1920</v>
      </c>
      <c r="E1557" s="0" t="s">
        <v>68</v>
      </c>
      <c r="F1557" s="0" t="s">
        <v>30</v>
      </c>
      <c r="I1557" s="0" t="n">
        <v>3000</v>
      </c>
      <c r="J1557" s="0" t="n">
        <v>0.75</v>
      </c>
      <c r="K1557" s="0" t="s">
        <v>1951</v>
      </c>
    </row>
    <row r="1558" customFormat="false" ht="15" hidden="false" customHeight="false" outlineLevel="0" collapsed="false">
      <c r="A1558" s="0" t="n">
        <v>129</v>
      </c>
      <c r="B1558" s="0" t="s">
        <v>1918</v>
      </c>
      <c r="C1558" s="0" t="s">
        <v>68</v>
      </c>
      <c r="D1558" s="0" t="s">
        <v>1920</v>
      </c>
      <c r="E1558" s="0" t="s">
        <v>53</v>
      </c>
      <c r="F1558" s="0" t="s">
        <v>27</v>
      </c>
      <c r="G1558" s="0" t="n">
        <v>0.55</v>
      </c>
      <c r="H1558" s="0" t="n">
        <v>1.6</v>
      </c>
      <c r="I1558" s="0" t="n">
        <v>3344</v>
      </c>
      <c r="J1558" s="0" t="n">
        <v>0.836</v>
      </c>
      <c r="K1558" s="0" t="s">
        <v>1952</v>
      </c>
      <c r="L1558" s="0" t="s">
        <v>1953</v>
      </c>
    </row>
    <row r="1559" customFormat="false" ht="15" hidden="false" customHeight="false" outlineLevel="0" collapsed="false">
      <c r="A1559" s="0" t="n">
        <v>129</v>
      </c>
      <c r="B1559" s="0" t="s">
        <v>1918</v>
      </c>
      <c r="C1559" s="0" t="s">
        <v>68</v>
      </c>
      <c r="D1559" s="0" t="s">
        <v>1920</v>
      </c>
      <c r="E1559" s="0" t="s">
        <v>56</v>
      </c>
      <c r="F1559" s="0" t="s">
        <v>28</v>
      </c>
      <c r="I1559" s="0" t="n">
        <v>700</v>
      </c>
      <c r="J1559" s="0" t="n">
        <v>0.175</v>
      </c>
      <c r="K1559" s="0" t="s">
        <v>1954</v>
      </c>
    </row>
    <row r="1560" customFormat="false" ht="15" hidden="false" customHeight="false" outlineLevel="0" collapsed="false">
      <c r="A1560" s="0" t="n">
        <v>129</v>
      </c>
      <c r="B1560" s="0" t="s">
        <v>1918</v>
      </c>
      <c r="C1560" s="0" t="s">
        <v>68</v>
      </c>
      <c r="D1560" s="0" t="s">
        <v>1920</v>
      </c>
      <c r="E1560" s="0" t="s">
        <v>58</v>
      </c>
      <c r="F1560" s="0" t="s">
        <v>28</v>
      </c>
      <c r="I1560" s="0" t="n">
        <v>2500</v>
      </c>
      <c r="J1560" s="0" t="n">
        <v>0.625</v>
      </c>
      <c r="K1560" s="0" t="s">
        <v>1955</v>
      </c>
    </row>
    <row r="1561" customFormat="false" ht="15" hidden="false" customHeight="false" outlineLevel="0" collapsed="false">
      <c r="A1561" s="0" t="n">
        <v>129</v>
      </c>
      <c r="B1561" s="0" t="s">
        <v>1918</v>
      </c>
      <c r="C1561" s="0" t="s">
        <v>68</v>
      </c>
      <c r="D1561" s="0" t="s">
        <v>1920</v>
      </c>
      <c r="E1561" s="0" t="s">
        <v>379</v>
      </c>
      <c r="F1561" s="0" t="s">
        <v>29</v>
      </c>
      <c r="G1561" s="0" t="n">
        <v>15000</v>
      </c>
      <c r="H1561" s="0" t="n">
        <v>1.4</v>
      </c>
      <c r="I1561" s="0" t="n">
        <v>3500</v>
      </c>
      <c r="J1561" s="0" t="n">
        <v>0.875</v>
      </c>
      <c r="K1561" s="0" t="s">
        <v>1956</v>
      </c>
      <c r="L1561" s="0" t="s">
        <v>1957</v>
      </c>
    </row>
    <row r="1562" customFormat="false" ht="15" hidden="false" customHeight="false" outlineLevel="0" collapsed="false">
      <c r="A1562" s="0" t="n">
        <v>129</v>
      </c>
      <c r="B1562" s="0" t="s">
        <v>1918</v>
      </c>
      <c r="C1562" s="0" t="s">
        <v>68</v>
      </c>
      <c r="D1562" s="0" t="s">
        <v>1920</v>
      </c>
      <c r="E1562" s="0" t="s">
        <v>128</v>
      </c>
      <c r="F1562" s="0" t="s">
        <v>28</v>
      </c>
      <c r="I1562" s="0" t="n">
        <v>1000</v>
      </c>
      <c r="J1562" s="0" t="n">
        <v>0.25</v>
      </c>
      <c r="K1562" s="0" t="s">
        <v>1958</v>
      </c>
    </row>
    <row r="1563" customFormat="false" ht="15" hidden="false" customHeight="false" outlineLevel="0" collapsed="false">
      <c r="A1563" s="0" t="n">
        <v>129</v>
      </c>
      <c r="B1563" s="0" t="s">
        <v>1918</v>
      </c>
      <c r="C1563" s="0" t="s">
        <v>68</v>
      </c>
      <c r="D1563" s="0" t="s">
        <v>1920</v>
      </c>
      <c r="E1563" s="0" t="s">
        <v>130</v>
      </c>
      <c r="F1563" s="0" t="s">
        <v>29</v>
      </c>
      <c r="I1563" s="0" t="n">
        <v>1500</v>
      </c>
      <c r="J1563" s="0" t="n">
        <v>0.375</v>
      </c>
      <c r="K1563" s="0" t="s">
        <v>1959</v>
      </c>
    </row>
    <row r="1564" customFormat="false" ht="15" hidden="false" customHeight="false" outlineLevel="0" collapsed="false">
      <c r="A1564" s="0" t="n">
        <v>129</v>
      </c>
      <c r="B1564" s="0" t="s">
        <v>1918</v>
      </c>
      <c r="C1564" s="0" t="s">
        <v>68</v>
      </c>
      <c r="D1564" s="0" t="s">
        <v>1920</v>
      </c>
      <c r="E1564" s="0" t="s">
        <v>158</v>
      </c>
      <c r="F1564" s="0" t="s">
        <v>28</v>
      </c>
      <c r="I1564" s="0" t="n">
        <v>1000</v>
      </c>
      <c r="J1564" s="0" t="n">
        <v>0.25</v>
      </c>
      <c r="K1564" s="0" t="s">
        <v>1960</v>
      </c>
    </row>
    <row r="1565" customFormat="false" ht="15" hidden="false" customHeight="false" outlineLevel="0" collapsed="false">
      <c r="A1565" s="0" t="n">
        <v>129</v>
      </c>
      <c r="B1565" s="0" t="s">
        <v>1918</v>
      </c>
      <c r="C1565" s="0" t="s">
        <v>68</v>
      </c>
      <c r="D1565" s="0" t="s">
        <v>1920</v>
      </c>
      <c r="E1565" s="0" t="s">
        <v>132</v>
      </c>
      <c r="F1565" s="0" t="s">
        <v>29</v>
      </c>
      <c r="I1565" s="0" t="n">
        <v>200</v>
      </c>
      <c r="J1565" s="0" t="n">
        <v>0.05</v>
      </c>
      <c r="K1565" s="0" t="s">
        <v>1961</v>
      </c>
    </row>
    <row r="1566" customFormat="false" ht="15" hidden="false" customHeight="false" outlineLevel="0" collapsed="false">
      <c r="A1566" s="0" t="n">
        <v>129</v>
      </c>
      <c r="B1566" s="0" t="s">
        <v>1918</v>
      </c>
      <c r="C1566" s="0" t="s">
        <v>68</v>
      </c>
      <c r="D1566" s="0" t="s">
        <v>1920</v>
      </c>
      <c r="E1566" s="0" t="s">
        <v>134</v>
      </c>
      <c r="F1566" s="0" t="s">
        <v>28</v>
      </c>
      <c r="I1566" s="0" t="n">
        <v>200</v>
      </c>
      <c r="J1566" s="0" t="n">
        <v>0.05</v>
      </c>
      <c r="K1566" s="0" t="s">
        <v>1962</v>
      </c>
    </row>
    <row r="1567" customFormat="false" ht="15" hidden="false" customHeight="false" outlineLevel="0" collapsed="false">
      <c r="A1567" s="0" t="n">
        <v>129</v>
      </c>
      <c r="B1567" s="0" t="s">
        <v>1918</v>
      </c>
      <c r="C1567" s="0" t="s">
        <v>68</v>
      </c>
      <c r="D1567" s="0" t="s">
        <v>1920</v>
      </c>
      <c r="E1567" s="0" t="s">
        <v>60</v>
      </c>
      <c r="F1567" s="0" t="s">
        <v>27</v>
      </c>
      <c r="I1567" s="0" t="n">
        <v>200</v>
      </c>
      <c r="J1567" s="0" t="n">
        <v>0.05</v>
      </c>
      <c r="K1567" s="0" t="s">
        <v>1963</v>
      </c>
    </row>
    <row r="1568" customFormat="false" ht="15" hidden="false" customHeight="false" outlineLevel="0" collapsed="false">
      <c r="A1568" s="0" t="n">
        <v>129</v>
      </c>
      <c r="B1568" s="0" t="s">
        <v>1918</v>
      </c>
      <c r="C1568" s="0" t="s">
        <v>68</v>
      </c>
      <c r="D1568" s="0" t="s">
        <v>1920</v>
      </c>
      <c r="E1568" s="0" t="s">
        <v>62</v>
      </c>
      <c r="F1568" s="0" t="s">
        <v>27</v>
      </c>
      <c r="I1568" s="0" t="n">
        <v>100</v>
      </c>
      <c r="J1568" s="0" t="n">
        <v>0.025</v>
      </c>
      <c r="K1568" s="0" t="s">
        <v>1964</v>
      </c>
    </row>
    <row r="1569" customFormat="false" ht="15" hidden="false" customHeight="false" outlineLevel="0" collapsed="false">
      <c r="A1569" s="0" t="n">
        <v>129</v>
      </c>
      <c r="B1569" s="0" t="s">
        <v>1918</v>
      </c>
      <c r="C1569" s="0" t="s">
        <v>68</v>
      </c>
      <c r="D1569" s="0" t="s">
        <v>1920</v>
      </c>
      <c r="E1569" s="0" t="s">
        <v>66</v>
      </c>
      <c r="F1569" s="0" t="s">
        <v>27</v>
      </c>
      <c r="I1569" s="0" t="n">
        <v>350</v>
      </c>
      <c r="J1569" s="0" t="n">
        <v>0.0875</v>
      </c>
      <c r="K1569" s="0" t="s">
        <v>1965</v>
      </c>
    </row>
    <row r="1570" customFormat="false" ht="15" hidden="false" customHeight="false" outlineLevel="0" collapsed="false">
      <c r="A1570" s="0" t="n">
        <v>129</v>
      </c>
      <c r="B1570" s="0" t="s">
        <v>1918</v>
      </c>
      <c r="C1570" s="0" t="s">
        <v>68</v>
      </c>
      <c r="D1570" s="0" t="s">
        <v>1920</v>
      </c>
      <c r="E1570" s="0" t="s">
        <v>64</v>
      </c>
      <c r="F1570" s="0" t="s">
        <v>27</v>
      </c>
      <c r="I1570" s="0" t="n">
        <v>750</v>
      </c>
      <c r="J1570" s="0" t="n">
        <v>0.1875</v>
      </c>
      <c r="K1570" s="0" t="s">
        <v>1966</v>
      </c>
    </row>
    <row r="1571" customFormat="false" ht="15" hidden="false" customHeight="false" outlineLevel="0" collapsed="false">
      <c r="A1571" s="0" t="n">
        <v>129</v>
      </c>
      <c r="B1571" s="0" t="s">
        <v>1918</v>
      </c>
      <c r="C1571" s="0" t="s">
        <v>68</v>
      </c>
      <c r="D1571" s="0" t="s">
        <v>1920</v>
      </c>
      <c r="E1571" s="0" t="s">
        <v>68</v>
      </c>
      <c r="F1571" s="0" t="s">
        <v>30</v>
      </c>
      <c r="I1571" s="0" t="n">
        <v>4000</v>
      </c>
      <c r="J1571" s="0" t="n">
        <v>1</v>
      </c>
      <c r="K1571" s="0" t="s">
        <v>1967</v>
      </c>
    </row>
    <row r="1572" customFormat="false" ht="15" hidden="false" customHeight="false" outlineLevel="0" collapsed="false">
      <c r="A1572" s="0" t="n">
        <v>130</v>
      </c>
      <c r="B1572" s="0" t="s">
        <v>1918</v>
      </c>
      <c r="C1572" s="0" t="s">
        <v>68</v>
      </c>
      <c r="D1572" s="0" t="s">
        <v>1920</v>
      </c>
      <c r="E1572" s="0" t="s">
        <v>53</v>
      </c>
      <c r="F1572" s="0" t="s">
        <v>27</v>
      </c>
      <c r="G1572" s="0" t="n">
        <v>0.5</v>
      </c>
      <c r="H1572" s="0" t="n">
        <v>1</v>
      </c>
      <c r="I1572" s="0" t="n">
        <v>950</v>
      </c>
      <c r="J1572" s="0" t="n">
        <v>0.2375</v>
      </c>
      <c r="K1572" s="0" t="s">
        <v>1968</v>
      </c>
      <c r="L1572" s="0" t="s">
        <v>1969</v>
      </c>
    </row>
    <row r="1573" customFormat="false" ht="15" hidden="false" customHeight="false" outlineLevel="0" collapsed="false">
      <c r="A1573" s="0" t="n">
        <v>130</v>
      </c>
      <c r="B1573" s="0" t="s">
        <v>1918</v>
      </c>
      <c r="C1573" s="0" t="s">
        <v>68</v>
      </c>
      <c r="D1573" s="0" t="s">
        <v>1920</v>
      </c>
      <c r="E1573" s="0" t="s">
        <v>56</v>
      </c>
      <c r="F1573" s="0" t="s">
        <v>28</v>
      </c>
      <c r="I1573" s="0" t="n">
        <v>500</v>
      </c>
      <c r="J1573" s="0" t="n">
        <v>0.125</v>
      </c>
      <c r="K1573" s="0" t="s">
        <v>1970</v>
      </c>
    </row>
    <row r="1574" customFormat="false" ht="15" hidden="false" customHeight="false" outlineLevel="0" collapsed="false">
      <c r="A1574" s="0" t="n">
        <v>130</v>
      </c>
      <c r="B1574" s="0" t="s">
        <v>1918</v>
      </c>
      <c r="C1574" s="0" t="s">
        <v>68</v>
      </c>
      <c r="D1574" s="0" t="s">
        <v>1920</v>
      </c>
      <c r="E1574" s="0" t="s">
        <v>58</v>
      </c>
      <c r="F1574" s="0" t="s">
        <v>28</v>
      </c>
      <c r="I1574" s="0" t="n">
        <v>1000</v>
      </c>
      <c r="J1574" s="0" t="n">
        <v>0.25</v>
      </c>
      <c r="K1574" s="0" t="s">
        <v>1971</v>
      </c>
    </row>
    <row r="1575" customFormat="false" ht="15" hidden="false" customHeight="false" outlineLevel="0" collapsed="false">
      <c r="A1575" s="0" t="n">
        <v>130</v>
      </c>
      <c r="B1575" s="0" t="s">
        <v>1918</v>
      </c>
      <c r="C1575" s="0" t="s">
        <v>68</v>
      </c>
      <c r="D1575" s="0" t="s">
        <v>1920</v>
      </c>
      <c r="E1575" s="0" t="s">
        <v>379</v>
      </c>
      <c r="F1575" s="0" t="s">
        <v>29</v>
      </c>
      <c r="I1575" s="0" t="n">
        <v>0</v>
      </c>
      <c r="J1575" s="0" t="n">
        <v>0</v>
      </c>
      <c r="K1575" s="0" t="s">
        <v>1972</v>
      </c>
    </row>
    <row r="1576" customFormat="false" ht="15" hidden="false" customHeight="false" outlineLevel="0" collapsed="false">
      <c r="A1576" s="0" t="n">
        <v>130</v>
      </c>
      <c r="B1576" s="0" t="s">
        <v>1918</v>
      </c>
      <c r="C1576" s="0" t="s">
        <v>68</v>
      </c>
      <c r="D1576" s="0" t="s">
        <v>1920</v>
      </c>
      <c r="E1576" s="0" t="s">
        <v>128</v>
      </c>
      <c r="F1576" s="0" t="s">
        <v>28</v>
      </c>
      <c r="I1576" s="0" t="n">
        <v>500</v>
      </c>
      <c r="J1576" s="0" t="n">
        <v>0.125</v>
      </c>
      <c r="K1576" s="0" t="s">
        <v>1973</v>
      </c>
    </row>
    <row r="1577" customFormat="false" ht="15" hidden="false" customHeight="false" outlineLevel="0" collapsed="false">
      <c r="A1577" s="0" t="n">
        <v>130</v>
      </c>
      <c r="B1577" s="0" t="s">
        <v>1918</v>
      </c>
      <c r="C1577" s="0" t="s">
        <v>68</v>
      </c>
      <c r="D1577" s="0" t="s">
        <v>1920</v>
      </c>
      <c r="E1577" s="0" t="s">
        <v>130</v>
      </c>
      <c r="F1577" s="0" t="s">
        <v>29</v>
      </c>
      <c r="I1577" s="0" t="n">
        <v>0</v>
      </c>
      <c r="J1577" s="0" t="n">
        <v>0</v>
      </c>
      <c r="K1577" s="0" t="s">
        <v>1974</v>
      </c>
    </row>
    <row r="1578" customFormat="false" ht="15" hidden="false" customHeight="false" outlineLevel="0" collapsed="false">
      <c r="A1578" s="0" t="n">
        <v>130</v>
      </c>
      <c r="B1578" s="0" t="s">
        <v>1918</v>
      </c>
      <c r="C1578" s="0" t="s">
        <v>68</v>
      </c>
      <c r="D1578" s="0" t="s">
        <v>1920</v>
      </c>
      <c r="E1578" s="0" t="s">
        <v>158</v>
      </c>
      <c r="F1578" s="0" t="s">
        <v>28</v>
      </c>
      <c r="I1578" s="0" t="n">
        <v>0</v>
      </c>
      <c r="J1578" s="0" t="n">
        <v>0</v>
      </c>
      <c r="K1578" s="0" t="s">
        <v>1975</v>
      </c>
    </row>
    <row r="1579" customFormat="false" ht="15" hidden="false" customHeight="false" outlineLevel="0" collapsed="false">
      <c r="A1579" s="0" t="n">
        <v>130</v>
      </c>
      <c r="B1579" s="0" t="s">
        <v>1918</v>
      </c>
      <c r="C1579" s="0" t="s">
        <v>68</v>
      </c>
      <c r="D1579" s="0" t="s">
        <v>1920</v>
      </c>
      <c r="E1579" s="0" t="s">
        <v>132</v>
      </c>
      <c r="F1579" s="0" t="s">
        <v>29</v>
      </c>
      <c r="I1579" s="0" t="n">
        <v>0</v>
      </c>
      <c r="J1579" s="0" t="n">
        <v>0</v>
      </c>
      <c r="K1579" s="0" t="s">
        <v>1976</v>
      </c>
    </row>
    <row r="1580" customFormat="false" ht="15" hidden="false" customHeight="false" outlineLevel="0" collapsed="false">
      <c r="A1580" s="0" t="n">
        <v>130</v>
      </c>
      <c r="B1580" s="0" t="s">
        <v>1918</v>
      </c>
      <c r="C1580" s="0" t="s">
        <v>68</v>
      </c>
      <c r="D1580" s="0" t="s">
        <v>1920</v>
      </c>
      <c r="E1580" s="0" t="s">
        <v>134</v>
      </c>
      <c r="F1580" s="0" t="s">
        <v>28</v>
      </c>
      <c r="I1580" s="0" t="n">
        <v>0</v>
      </c>
      <c r="J1580" s="0" t="n">
        <v>0</v>
      </c>
      <c r="K1580" s="0" t="s">
        <v>1977</v>
      </c>
    </row>
    <row r="1581" customFormat="false" ht="15" hidden="false" customHeight="false" outlineLevel="0" collapsed="false">
      <c r="A1581" s="0" t="n">
        <v>130</v>
      </c>
      <c r="B1581" s="0" t="s">
        <v>1918</v>
      </c>
      <c r="C1581" s="0" t="s">
        <v>68</v>
      </c>
      <c r="D1581" s="0" t="s">
        <v>1920</v>
      </c>
      <c r="E1581" s="0" t="s">
        <v>60</v>
      </c>
      <c r="F1581" s="0" t="s">
        <v>27</v>
      </c>
      <c r="I1581" s="0" t="n">
        <v>0</v>
      </c>
      <c r="J1581" s="0" t="n">
        <v>0</v>
      </c>
      <c r="K1581" s="0" t="s">
        <v>1978</v>
      </c>
    </row>
    <row r="1582" customFormat="false" ht="15" hidden="false" customHeight="false" outlineLevel="0" collapsed="false">
      <c r="A1582" s="0" t="n">
        <v>130</v>
      </c>
      <c r="B1582" s="0" t="s">
        <v>1918</v>
      </c>
      <c r="C1582" s="0" t="s">
        <v>68</v>
      </c>
      <c r="D1582" s="0" t="s">
        <v>1920</v>
      </c>
      <c r="E1582" s="0" t="s">
        <v>62</v>
      </c>
      <c r="F1582" s="0" t="s">
        <v>27</v>
      </c>
      <c r="I1582" s="0" t="n">
        <v>0</v>
      </c>
      <c r="J1582" s="0" t="n">
        <v>0</v>
      </c>
      <c r="K1582" s="0" t="s">
        <v>1979</v>
      </c>
    </row>
    <row r="1583" customFormat="false" ht="15" hidden="false" customHeight="false" outlineLevel="0" collapsed="false">
      <c r="A1583" s="0" t="n">
        <v>130</v>
      </c>
      <c r="B1583" s="0" t="s">
        <v>1918</v>
      </c>
      <c r="C1583" s="0" t="s">
        <v>68</v>
      </c>
      <c r="D1583" s="0" t="s">
        <v>1920</v>
      </c>
      <c r="E1583" s="0" t="s">
        <v>66</v>
      </c>
      <c r="F1583" s="0" t="s">
        <v>27</v>
      </c>
      <c r="I1583" s="0" t="n">
        <v>350</v>
      </c>
      <c r="J1583" s="0" t="n">
        <v>0.0875</v>
      </c>
      <c r="K1583" s="0" t="s">
        <v>1980</v>
      </c>
    </row>
    <row r="1584" customFormat="false" ht="15" hidden="false" customHeight="false" outlineLevel="0" collapsed="false">
      <c r="A1584" s="0" t="n">
        <v>130</v>
      </c>
      <c r="B1584" s="0" t="s">
        <v>1918</v>
      </c>
      <c r="C1584" s="0" t="s">
        <v>68</v>
      </c>
      <c r="D1584" s="0" t="s">
        <v>1920</v>
      </c>
      <c r="E1584" s="0" t="s">
        <v>64</v>
      </c>
      <c r="F1584" s="0" t="s">
        <v>27</v>
      </c>
      <c r="I1584" s="0" t="n">
        <v>200</v>
      </c>
      <c r="J1584" s="0" t="n">
        <v>0.05</v>
      </c>
      <c r="K1584" s="0" t="s">
        <v>1981</v>
      </c>
    </row>
    <row r="1585" customFormat="false" ht="15" hidden="false" customHeight="false" outlineLevel="0" collapsed="false">
      <c r="A1585" s="0" t="n">
        <v>130</v>
      </c>
      <c r="B1585" s="0" t="s">
        <v>1918</v>
      </c>
      <c r="C1585" s="0" t="s">
        <v>68</v>
      </c>
      <c r="D1585" s="0" t="s">
        <v>1920</v>
      </c>
      <c r="E1585" s="0" t="s">
        <v>68</v>
      </c>
      <c r="F1585" s="0" t="s">
        <v>30</v>
      </c>
      <c r="I1585" s="0" t="n">
        <v>0</v>
      </c>
      <c r="J1585" s="0" t="n">
        <v>0</v>
      </c>
      <c r="K1585" s="0" t="s">
        <v>1982</v>
      </c>
    </row>
    <row r="1586" customFormat="false" ht="15" hidden="false" customHeight="false" outlineLevel="0" collapsed="false">
      <c r="A1586" s="0" t="n">
        <v>131</v>
      </c>
      <c r="B1586" s="0" t="s">
        <v>1918</v>
      </c>
      <c r="C1586" s="0" t="s">
        <v>1983</v>
      </c>
      <c r="D1586" s="0" t="s">
        <v>1920</v>
      </c>
      <c r="E1586" s="0" t="s">
        <v>53</v>
      </c>
      <c r="F1586" s="0" t="s">
        <v>27</v>
      </c>
      <c r="G1586" s="0" t="n">
        <v>0.9</v>
      </c>
      <c r="H1586" s="0" t="n">
        <v>1.3</v>
      </c>
      <c r="I1586" s="0" t="n">
        <v>4446</v>
      </c>
      <c r="J1586" s="0" t="n">
        <v>1.1115</v>
      </c>
      <c r="K1586" s="0" t="s">
        <v>1984</v>
      </c>
      <c r="L1586" s="0" t="s">
        <v>1985</v>
      </c>
    </row>
    <row r="1587" customFormat="false" ht="15" hidden="false" customHeight="false" outlineLevel="0" collapsed="false">
      <c r="A1587" s="0" t="n">
        <v>131</v>
      </c>
      <c r="B1587" s="0" t="s">
        <v>1918</v>
      </c>
      <c r="C1587" s="0" t="s">
        <v>1983</v>
      </c>
      <c r="D1587" s="0" t="s">
        <v>1920</v>
      </c>
      <c r="E1587" s="0" t="s">
        <v>56</v>
      </c>
      <c r="F1587" s="0" t="s">
        <v>28</v>
      </c>
      <c r="I1587" s="0" t="n">
        <v>700</v>
      </c>
      <c r="J1587" s="0" t="n">
        <v>0.175</v>
      </c>
      <c r="K1587" s="0" t="s">
        <v>1986</v>
      </c>
    </row>
    <row r="1588" customFormat="false" ht="15" hidden="false" customHeight="false" outlineLevel="0" collapsed="false">
      <c r="A1588" s="0" t="n">
        <v>131</v>
      </c>
      <c r="B1588" s="0" t="s">
        <v>1918</v>
      </c>
      <c r="C1588" s="0" t="s">
        <v>1983</v>
      </c>
      <c r="D1588" s="0" t="s">
        <v>1920</v>
      </c>
      <c r="E1588" s="0" t="s">
        <v>58</v>
      </c>
      <c r="F1588" s="0" t="s">
        <v>28</v>
      </c>
      <c r="I1588" s="0" t="n">
        <v>3500</v>
      </c>
      <c r="J1588" s="0" t="n">
        <v>0.875</v>
      </c>
      <c r="K1588" s="0" t="s">
        <v>1987</v>
      </c>
    </row>
    <row r="1589" customFormat="false" ht="15" hidden="false" customHeight="false" outlineLevel="0" collapsed="false">
      <c r="A1589" s="0" t="n">
        <v>131</v>
      </c>
      <c r="B1589" s="0" t="s">
        <v>1918</v>
      </c>
      <c r="C1589" s="0" t="s">
        <v>1983</v>
      </c>
      <c r="D1589" s="0" t="s">
        <v>1920</v>
      </c>
      <c r="E1589" s="0" t="s">
        <v>379</v>
      </c>
      <c r="F1589" s="0" t="s">
        <v>29</v>
      </c>
      <c r="G1589" s="0" t="n">
        <v>0.9</v>
      </c>
      <c r="H1589" s="0" t="n">
        <v>9500</v>
      </c>
      <c r="I1589" s="0" t="n">
        <v>8550</v>
      </c>
      <c r="J1589" s="0" t="n">
        <v>2.1375</v>
      </c>
      <c r="K1589" s="0" t="s">
        <v>1988</v>
      </c>
      <c r="L1589" s="0" t="s">
        <v>1989</v>
      </c>
    </row>
    <row r="1590" customFormat="false" ht="15" hidden="false" customHeight="false" outlineLevel="0" collapsed="false">
      <c r="A1590" s="0" t="n">
        <v>131</v>
      </c>
      <c r="B1590" s="0" t="s">
        <v>1918</v>
      </c>
      <c r="C1590" s="0" t="s">
        <v>1983</v>
      </c>
      <c r="D1590" s="0" t="s">
        <v>1920</v>
      </c>
      <c r="E1590" s="0" t="s">
        <v>128</v>
      </c>
      <c r="F1590" s="0" t="s">
        <v>28</v>
      </c>
      <c r="I1590" s="0" t="n">
        <v>2000</v>
      </c>
      <c r="J1590" s="0" t="n">
        <v>0.5</v>
      </c>
      <c r="K1590" s="0" t="s">
        <v>1990</v>
      </c>
    </row>
    <row r="1591" customFormat="false" ht="15" hidden="false" customHeight="false" outlineLevel="0" collapsed="false">
      <c r="A1591" s="0" t="n">
        <v>131</v>
      </c>
      <c r="B1591" s="0" t="s">
        <v>1918</v>
      </c>
      <c r="C1591" s="0" t="s">
        <v>1983</v>
      </c>
      <c r="D1591" s="0" t="s">
        <v>1920</v>
      </c>
      <c r="E1591" s="0" t="s">
        <v>130</v>
      </c>
      <c r="F1591" s="0" t="s">
        <v>29</v>
      </c>
      <c r="I1591" s="0" t="n">
        <v>0</v>
      </c>
      <c r="J1591" s="0" t="n">
        <v>0</v>
      </c>
      <c r="K1591" s="0" t="s">
        <v>1991</v>
      </c>
    </row>
    <row r="1592" customFormat="false" ht="15" hidden="false" customHeight="false" outlineLevel="0" collapsed="false">
      <c r="A1592" s="0" t="n">
        <v>131</v>
      </c>
      <c r="B1592" s="0" t="s">
        <v>1918</v>
      </c>
      <c r="C1592" s="0" t="s">
        <v>1983</v>
      </c>
      <c r="D1592" s="0" t="s">
        <v>1920</v>
      </c>
      <c r="E1592" s="0" t="s">
        <v>158</v>
      </c>
      <c r="F1592" s="0" t="s">
        <v>28</v>
      </c>
      <c r="I1592" s="0" t="n">
        <v>1000</v>
      </c>
      <c r="J1592" s="0" t="n">
        <v>0.25</v>
      </c>
      <c r="K1592" s="0" t="s">
        <v>1992</v>
      </c>
    </row>
    <row r="1593" customFormat="false" ht="15" hidden="false" customHeight="false" outlineLevel="0" collapsed="false">
      <c r="A1593" s="0" t="n">
        <v>131</v>
      </c>
      <c r="B1593" s="0" t="s">
        <v>1918</v>
      </c>
      <c r="C1593" s="0" t="s">
        <v>1983</v>
      </c>
      <c r="D1593" s="0" t="s">
        <v>1920</v>
      </c>
      <c r="E1593" s="0" t="s">
        <v>132</v>
      </c>
      <c r="F1593" s="0" t="s">
        <v>29</v>
      </c>
      <c r="I1593" s="0" t="n">
        <v>0</v>
      </c>
      <c r="J1593" s="0" t="n">
        <v>0</v>
      </c>
      <c r="K1593" s="0" t="s">
        <v>1993</v>
      </c>
    </row>
    <row r="1594" customFormat="false" ht="15" hidden="false" customHeight="false" outlineLevel="0" collapsed="false">
      <c r="A1594" s="0" t="n">
        <v>131</v>
      </c>
      <c r="B1594" s="0" t="s">
        <v>1918</v>
      </c>
      <c r="C1594" s="0" t="s">
        <v>1983</v>
      </c>
      <c r="D1594" s="0" t="s">
        <v>1920</v>
      </c>
      <c r="E1594" s="0" t="s">
        <v>134</v>
      </c>
      <c r="F1594" s="0" t="s">
        <v>28</v>
      </c>
      <c r="I1594" s="0" t="n">
        <v>0</v>
      </c>
      <c r="J1594" s="0" t="n">
        <v>0</v>
      </c>
      <c r="K1594" s="0" t="s">
        <v>1994</v>
      </c>
    </row>
    <row r="1595" customFormat="false" ht="15" hidden="false" customHeight="false" outlineLevel="0" collapsed="false">
      <c r="A1595" s="0" t="n">
        <v>131</v>
      </c>
      <c r="B1595" s="0" t="s">
        <v>1918</v>
      </c>
      <c r="C1595" s="0" t="s">
        <v>1983</v>
      </c>
      <c r="D1595" s="0" t="s">
        <v>1920</v>
      </c>
      <c r="E1595" s="0" t="s">
        <v>60</v>
      </c>
      <c r="F1595" s="0" t="s">
        <v>27</v>
      </c>
      <c r="I1595" s="0" t="n">
        <v>50</v>
      </c>
      <c r="J1595" s="0" t="n">
        <v>0.0125</v>
      </c>
      <c r="K1595" s="0" t="s">
        <v>1995</v>
      </c>
    </row>
    <row r="1596" customFormat="false" ht="15" hidden="false" customHeight="false" outlineLevel="0" collapsed="false">
      <c r="A1596" s="0" t="n">
        <v>131</v>
      </c>
      <c r="B1596" s="0" t="s">
        <v>1918</v>
      </c>
      <c r="C1596" s="0" t="s">
        <v>1983</v>
      </c>
      <c r="D1596" s="0" t="s">
        <v>1920</v>
      </c>
      <c r="E1596" s="0" t="s">
        <v>62</v>
      </c>
      <c r="F1596" s="0" t="s">
        <v>27</v>
      </c>
      <c r="I1596" s="0" t="n">
        <v>100</v>
      </c>
      <c r="J1596" s="0" t="n">
        <v>0.025</v>
      </c>
      <c r="K1596" s="0" t="s">
        <v>1996</v>
      </c>
    </row>
    <row r="1597" customFormat="false" ht="15" hidden="false" customHeight="false" outlineLevel="0" collapsed="false">
      <c r="A1597" s="0" t="n">
        <v>131</v>
      </c>
      <c r="B1597" s="0" t="s">
        <v>1918</v>
      </c>
      <c r="C1597" s="0" t="s">
        <v>1983</v>
      </c>
      <c r="D1597" s="0" t="s">
        <v>1920</v>
      </c>
      <c r="E1597" s="0" t="s">
        <v>66</v>
      </c>
      <c r="F1597" s="0" t="s">
        <v>27</v>
      </c>
      <c r="I1597" s="0" t="n">
        <v>350</v>
      </c>
      <c r="J1597" s="0" t="n">
        <v>0.0875</v>
      </c>
      <c r="K1597" s="0" t="s">
        <v>1997</v>
      </c>
    </row>
    <row r="1598" customFormat="false" ht="15" hidden="false" customHeight="false" outlineLevel="0" collapsed="false">
      <c r="A1598" s="0" t="n">
        <v>131</v>
      </c>
      <c r="B1598" s="0" t="s">
        <v>1918</v>
      </c>
      <c r="C1598" s="0" t="s">
        <v>1983</v>
      </c>
      <c r="D1598" s="0" t="s">
        <v>1920</v>
      </c>
      <c r="E1598" s="0" t="s">
        <v>64</v>
      </c>
      <c r="F1598" s="0" t="s">
        <v>27</v>
      </c>
      <c r="I1598" s="0" t="n">
        <v>50</v>
      </c>
      <c r="J1598" s="0" t="n">
        <v>0.0125</v>
      </c>
      <c r="K1598" s="0" t="s">
        <v>1998</v>
      </c>
    </row>
    <row r="1599" customFormat="false" ht="15" hidden="false" customHeight="false" outlineLevel="0" collapsed="false">
      <c r="A1599" s="0" t="n">
        <v>131</v>
      </c>
      <c r="B1599" s="0" t="s">
        <v>1918</v>
      </c>
      <c r="C1599" s="0" t="s">
        <v>1983</v>
      </c>
      <c r="D1599" s="0" t="s">
        <v>1920</v>
      </c>
      <c r="E1599" s="0" t="s">
        <v>68</v>
      </c>
      <c r="F1599" s="0" t="s">
        <v>30</v>
      </c>
      <c r="I1599" s="0" t="n">
        <v>4000</v>
      </c>
      <c r="J1599" s="0" t="n">
        <v>1</v>
      </c>
      <c r="K1599" s="0" t="s">
        <v>1999</v>
      </c>
    </row>
    <row r="1600" customFormat="false" ht="15" hidden="false" customHeight="false" outlineLevel="0" collapsed="false">
      <c r="A1600" s="0" t="n">
        <v>132</v>
      </c>
      <c r="B1600" s="0" t="s">
        <v>1918</v>
      </c>
      <c r="C1600" s="0" t="s">
        <v>68</v>
      </c>
      <c r="D1600" s="0" t="s">
        <v>1920</v>
      </c>
      <c r="E1600" s="0" t="s">
        <v>53</v>
      </c>
      <c r="F1600" s="0" t="s">
        <v>27</v>
      </c>
      <c r="G1600" s="0" t="n">
        <v>0.8</v>
      </c>
      <c r="H1600" s="0" t="n">
        <v>1.8</v>
      </c>
      <c r="I1600" s="0" t="n">
        <v>5472</v>
      </c>
      <c r="J1600" s="0" t="n">
        <v>1.368</v>
      </c>
      <c r="K1600" s="0" t="s">
        <v>2000</v>
      </c>
      <c r="L1600" s="0" t="s">
        <v>2001</v>
      </c>
    </row>
    <row r="1601" customFormat="false" ht="15" hidden="false" customHeight="false" outlineLevel="0" collapsed="false">
      <c r="A1601" s="0" t="n">
        <v>132</v>
      </c>
      <c r="B1601" s="0" t="s">
        <v>1918</v>
      </c>
      <c r="C1601" s="0" t="s">
        <v>68</v>
      </c>
      <c r="D1601" s="0" t="s">
        <v>1920</v>
      </c>
      <c r="E1601" s="0" t="s">
        <v>56</v>
      </c>
      <c r="F1601" s="0" t="s">
        <v>28</v>
      </c>
      <c r="I1601" s="0" t="n">
        <v>1000</v>
      </c>
      <c r="J1601" s="0" t="n">
        <v>0.25</v>
      </c>
      <c r="K1601" s="0" t="s">
        <v>2002</v>
      </c>
    </row>
    <row r="1602" customFormat="false" ht="15" hidden="false" customHeight="false" outlineLevel="0" collapsed="false">
      <c r="A1602" s="0" t="n">
        <v>132</v>
      </c>
      <c r="B1602" s="0" t="s">
        <v>1918</v>
      </c>
      <c r="C1602" s="0" t="s">
        <v>68</v>
      </c>
      <c r="D1602" s="0" t="s">
        <v>1920</v>
      </c>
      <c r="E1602" s="0" t="s">
        <v>58</v>
      </c>
      <c r="F1602" s="0" t="s">
        <v>28</v>
      </c>
      <c r="I1602" s="0" t="n">
        <v>2500</v>
      </c>
      <c r="J1602" s="0" t="n">
        <v>0.625</v>
      </c>
      <c r="K1602" s="0" t="s">
        <v>2003</v>
      </c>
    </row>
    <row r="1603" customFormat="false" ht="15" hidden="false" customHeight="false" outlineLevel="0" collapsed="false">
      <c r="A1603" s="0" t="n">
        <v>132</v>
      </c>
      <c r="B1603" s="0" t="s">
        <v>1918</v>
      </c>
      <c r="C1603" s="0" t="s">
        <v>68</v>
      </c>
      <c r="D1603" s="0" t="s">
        <v>1920</v>
      </c>
      <c r="E1603" s="0" t="s">
        <v>1428</v>
      </c>
      <c r="F1603" s="0" t="s">
        <v>27</v>
      </c>
      <c r="I1603" s="0" t="n">
        <v>800</v>
      </c>
      <c r="J1603" s="0" t="n">
        <v>0.2</v>
      </c>
      <c r="K1603" s="0" t="s">
        <v>2004</v>
      </c>
    </row>
    <row r="1604" customFormat="false" ht="15" hidden="false" customHeight="false" outlineLevel="0" collapsed="false">
      <c r="A1604" s="0" t="n">
        <v>132</v>
      </c>
      <c r="B1604" s="0" t="s">
        <v>1918</v>
      </c>
      <c r="C1604" s="0" t="s">
        <v>68</v>
      </c>
      <c r="D1604" s="0" t="s">
        <v>1920</v>
      </c>
      <c r="E1604" s="0" t="s">
        <v>379</v>
      </c>
      <c r="F1604" s="0" t="s">
        <v>29</v>
      </c>
      <c r="G1604" s="0" t="n">
        <v>15000</v>
      </c>
      <c r="H1604" s="0" t="n">
        <v>1.4</v>
      </c>
      <c r="I1604" s="0" t="n">
        <v>3500</v>
      </c>
      <c r="J1604" s="0" t="n">
        <v>0.875</v>
      </c>
      <c r="K1604" s="0" t="s">
        <v>2005</v>
      </c>
      <c r="L1604" s="0" t="s">
        <v>1957</v>
      </c>
    </row>
    <row r="1605" customFormat="false" ht="15" hidden="false" customHeight="false" outlineLevel="0" collapsed="false">
      <c r="A1605" s="0" t="n">
        <v>132</v>
      </c>
      <c r="B1605" s="0" t="s">
        <v>1918</v>
      </c>
      <c r="C1605" s="0" t="s">
        <v>68</v>
      </c>
      <c r="D1605" s="0" t="s">
        <v>1920</v>
      </c>
      <c r="E1605" s="0" t="s">
        <v>128</v>
      </c>
      <c r="F1605" s="0" t="s">
        <v>28</v>
      </c>
      <c r="I1605" s="0" t="n">
        <v>1000</v>
      </c>
      <c r="J1605" s="0" t="n">
        <v>0.25</v>
      </c>
      <c r="K1605" s="0" t="s">
        <v>2006</v>
      </c>
    </row>
    <row r="1606" customFormat="false" ht="15" hidden="false" customHeight="false" outlineLevel="0" collapsed="false">
      <c r="A1606" s="0" t="n">
        <v>132</v>
      </c>
      <c r="B1606" s="0" t="s">
        <v>1918</v>
      </c>
      <c r="C1606" s="0" t="s">
        <v>68</v>
      </c>
      <c r="D1606" s="0" t="s">
        <v>1920</v>
      </c>
      <c r="E1606" s="0" t="s">
        <v>130</v>
      </c>
      <c r="F1606" s="0" t="s">
        <v>29</v>
      </c>
      <c r="I1606" s="0" t="n">
        <v>1000</v>
      </c>
      <c r="J1606" s="0" t="n">
        <v>0.25</v>
      </c>
      <c r="K1606" s="0" t="s">
        <v>2007</v>
      </c>
    </row>
    <row r="1607" customFormat="false" ht="15" hidden="false" customHeight="false" outlineLevel="0" collapsed="false">
      <c r="A1607" s="0" t="n">
        <v>132</v>
      </c>
      <c r="B1607" s="0" t="s">
        <v>1918</v>
      </c>
      <c r="C1607" s="0" t="s">
        <v>68</v>
      </c>
      <c r="D1607" s="0" t="s">
        <v>1920</v>
      </c>
      <c r="E1607" s="0" t="s">
        <v>158</v>
      </c>
      <c r="F1607" s="0" t="s">
        <v>28</v>
      </c>
      <c r="I1607" s="0" t="n">
        <v>1000</v>
      </c>
      <c r="J1607" s="0" t="n">
        <v>0.25</v>
      </c>
      <c r="K1607" s="0" t="s">
        <v>2008</v>
      </c>
    </row>
    <row r="1608" customFormat="false" ht="15" hidden="false" customHeight="false" outlineLevel="0" collapsed="false">
      <c r="A1608" s="0" t="n">
        <v>132</v>
      </c>
      <c r="B1608" s="0" t="s">
        <v>1918</v>
      </c>
      <c r="C1608" s="0" t="s">
        <v>68</v>
      </c>
      <c r="D1608" s="0" t="s">
        <v>1920</v>
      </c>
      <c r="E1608" s="0" t="s">
        <v>132</v>
      </c>
      <c r="F1608" s="0" t="s">
        <v>29</v>
      </c>
      <c r="I1608" s="0" t="n">
        <v>200</v>
      </c>
      <c r="J1608" s="0" t="n">
        <v>0.05</v>
      </c>
      <c r="K1608" s="0" t="s">
        <v>2009</v>
      </c>
    </row>
    <row r="1609" customFormat="false" ht="15" hidden="false" customHeight="false" outlineLevel="0" collapsed="false">
      <c r="A1609" s="0" t="n">
        <v>132</v>
      </c>
      <c r="B1609" s="0" t="s">
        <v>1918</v>
      </c>
      <c r="C1609" s="0" t="s">
        <v>68</v>
      </c>
      <c r="D1609" s="0" t="s">
        <v>1920</v>
      </c>
      <c r="E1609" s="0" t="s">
        <v>134</v>
      </c>
      <c r="F1609" s="0" t="s">
        <v>28</v>
      </c>
      <c r="I1609" s="0" t="n">
        <v>200</v>
      </c>
      <c r="J1609" s="0" t="n">
        <v>0.05</v>
      </c>
      <c r="K1609" s="0" t="s">
        <v>2010</v>
      </c>
    </row>
    <row r="1610" customFormat="false" ht="15" hidden="false" customHeight="false" outlineLevel="0" collapsed="false">
      <c r="A1610" s="0" t="n">
        <v>132</v>
      </c>
      <c r="B1610" s="0" t="s">
        <v>1918</v>
      </c>
      <c r="C1610" s="0" t="s">
        <v>68</v>
      </c>
      <c r="D1610" s="0" t="s">
        <v>1920</v>
      </c>
      <c r="E1610" s="0" t="s">
        <v>60</v>
      </c>
      <c r="F1610" s="0" t="s">
        <v>27</v>
      </c>
      <c r="I1610" s="0" t="n">
        <v>200</v>
      </c>
      <c r="J1610" s="0" t="n">
        <v>0.05</v>
      </c>
      <c r="K1610" s="0" t="s">
        <v>2011</v>
      </c>
    </row>
    <row r="1611" customFormat="false" ht="15" hidden="false" customHeight="false" outlineLevel="0" collapsed="false">
      <c r="A1611" s="0" t="n">
        <v>132</v>
      </c>
      <c r="B1611" s="0" t="s">
        <v>1918</v>
      </c>
      <c r="C1611" s="0" t="s">
        <v>68</v>
      </c>
      <c r="D1611" s="0" t="s">
        <v>1920</v>
      </c>
      <c r="E1611" s="0" t="s">
        <v>62</v>
      </c>
      <c r="F1611" s="0" t="s">
        <v>27</v>
      </c>
      <c r="I1611" s="0" t="n">
        <v>100</v>
      </c>
      <c r="J1611" s="0" t="n">
        <v>0.025</v>
      </c>
      <c r="K1611" s="0" t="s">
        <v>2012</v>
      </c>
    </row>
    <row r="1612" customFormat="false" ht="15" hidden="false" customHeight="false" outlineLevel="0" collapsed="false">
      <c r="A1612" s="0" t="n">
        <v>132</v>
      </c>
      <c r="B1612" s="0" t="s">
        <v>1918</v>
      </c>
      <c r="C1612" s="0" t="s">
        <v>68</v>
      </c>
      <c r="D1612" s="0" t="s">
        <v>1920</v>
      </c>
      <c r="E1612" s="0" t="s">
        <v>66</v>
      </c>
      <c r="F1612" s="0" t="s">
        <v>27</v>
      </c>
      <c r="I1612" s="0" t="n">
        <v>350</v>
      </c>
      <c r="J1612" s="0" t="n">
        <v>0.0875</v>
      </c>
      <c r="K1612" s="0" t="s">
        <v>2013</v>
      </c>
    </row>
    <row r="1613" customFormat="false" ht="15" hidden="false" customHeight="false" outlineLevel="0" collapsed="false">
      <c r="A1613" s="0" t="n">
        <v>132</v>
      </c>
      <c r="B1613" s="0" t="s">
        <v>1918</v>
      </c>
      <c r="C1613" s="0" t="s">
        <v>68</v>
      </c>
      <c r="D1613" s="0" t="s">
        <v>1920</v>
      </c>
      <c r="E1613" s="0" t="s">
        <v>64</v>
      </c>
      <c r="F1613" s="0" t="s">
        <v>27</v>
      </c>
      <c r="I1613" s="0" t="n">
        <v>750</v>
      </c>
      <c r="J1613" s="0" t="n">
        <v>0.1875</v>
      </c>
      <c r="K1613" s="0" t="s">
        <v>2014</v>
      </c>
    </row>
    <row r="1614" customFormat="false" ht="15" hidden="false" customHeight="false" outlineLevel="0" collapsed="false">
      <c r="A1614" s="0" t="n">
        <v>132</v>
      </c>
      <c r="B1614" s="0" t="s">
        <v>1918</v>
      </c>
      <c r="C1614" s="0" t="s">
        <v>68</v>
      </c>
      <c r="D1614" s="0" t="s">
        <v>1920</v>
      </c>
      <c r="E1614" s="0" t="s">
        <v>68</v>
      </c>
      <c r="F1614" s="0" t="s">
        <v>30</v>
      </c>
      <c r="I1614" s="0" t="n">
        <v>4000</v>
      </c>
      <c r="J1614" s="0" t="n">
        <v>1</v>
      </c>
      <c r="K1614" s="0" t="s">
        <v>2015</v>
      </c>
    </row>
    <row r="1615" customFormat="false" ht="15" hidden="false" customHeight="false" outlineLevel="0" collapsed="false">
      <c r="A1615" s="0" t="n">
        <v>133</v>
      </c>
      <c r="B1615" s="0" t="s">
        <v>1918</v>
      </c>
      <c r="C1615" s="0" t="s">
        <v>68</v>
      </c>
      <c r="D1615" s="0" t="s">
        <v>1407</v>
      </c>
      <c r="E1615" s="0" t="s">
        <v>53</v>
      </c>
      <c r="F1615" s="0" t="s">
        <v>27</v>
      </c>
      <c r="G1615" s="0" t="n">
        <v>0.6</v>
      </c>
      <c r="H1615" s="0" t="n">
        <v>1.8</v>
      </c>
      <c r="I1615" s="0" t="n">
        <v>2160</v>
      </c>
      <c r="J1615" s="0" t="n">
        <v>0.54</v>
      </c>
      <c r="K1615" s="0" t="s">
        <v>2016</v>
      </c>
      <c r="L1615" s="0" t="s">
        <v>2017</v>
      </c>
    </row>
    <row r="1616" customFormat="false" ht="15" hidden="false" customHeight="false" outlineLevel="0" collapsed="false">
      <c r="A1616" s="0" t="n">
        <v>133</v>
      </c>
      <c r="B1616" s="0" t="s">
        <v>1918</v>
      </c>
      <c r="C1616" s="0" t="s">
        <v>68</v>
      </c>
      <c r="D1616" s="0" t="s">
        <v>1407</v>
      </c>
      <c r="E1616" s="0" t="s">
        <v>56</v>
      </c>
      <c r="F1616" s="0" t="s">
        <v>28</v>
      </c>
      <c r="I1616" s="0" t="n">
        <v>1000</v>
      </c>
      <c r="J1616" s="0" t="n">
        <v>0.25</v>
      </c>
      <c r="K1616" s="0" t="s">
        <v>2018</v>
      </c>
    </row>
    <row r="1617" customFormat="false" ht="15" hidden="false" customHeight="false" outlineLevel="0" collapsed="false">
      <c r="A1617" s="0" t="n">
        <v>133</v>
      </c>
      <c r="B1617" s="0" t="s">
        <v>1918</v>
      </c>
      <c r="C1617" s="0" t="s">
        <v>68</v>
      </c>
      <c r="D1617" s="0" t="s">
        <v>1407</v>
      </c>
      <c r="E1617" s="0" t="s">
        <v>58</v>
      </c>
      <c r="F1617" s="0" t="s">
        <v>28</v>
      </c>
      <c r="I1617" s="0" t="n">
        <v>1500</v>
      </c>
      <c r="J1617" s="0" t="n">
        <v>0.375</v>
      </c>
      <c r="K1617" s="0" t="s">
        <v>2019</v>
      </c>
    </row>
    <row r="1618" customFormat="false" ht="15" hidden="false" customHeight="false" outlineLevel="0" collapsed="false">
      <c r="A1618" s="0" t="n">
        <v>133</v>
      </c>
      <c r="B1618" s="0" t="s">
        <v>1918</v>
      </c>
      <c r="C1618" s="0" t="s">
        <v>68</v>
      </c>
      <c r="D1618" s="0" t="s">
        <v>1407</v>
      </c>
      <c r="E1618" s="0" t="s">
        <v>1428</v>
      </c>
      <c r="F1618" s="0" t="s">
        <v>27</v>
      </c>
      <c r="I1618" s="0" t="n">
        <v>1000</v>
      </c>
      <c r="J1618" s="0" t="n">
        <v>0.25</v>
      </c>
      <c r="K1618" s="0" t="s">
        <v>2020</v>
      </c>
    </row>
    <row r="1619" customFormat="false" ht="15" hidden="false" customHeight="false" outlineLevel="0" collapsed="false">
      <c r="A1619" s="0" t="n">
        <v>133</v>
      </c>
      <c r="B1619" s="0" t="s">
        <v>1918</v>
      </c>
      <c r="C1619" s="0" t="s">
        <v>68</v>
      </c>
      <c r="D1619" s="0" t="s">
        <v>1407</v>
      </c>
      <c r="E1619" s="0" t="s">
        <v>128</v>
      </c>
      <c r="F1619" s="0" t="s">
        <v>28</v>
      </c>
      <c r="I1619" s="0" t="n">
        <v>1000</v>
      </c>
      <c r="J1619" s="0" t="n">
        <v>0.25</v>
      </c>
      <c r="K1619" s="0" t="s">
        <v>2021</v>
      </c>
    </row>
    <row r="1620" customFormat="false" ht="15" hidden="false" customHeight="false" outlineLevel="0" collapsed="false">
      <c r="A1620" s="0" t="n">
        <v>133</v>
      </c>
      <c r="B1620" s="0" t="s">
        <v>1918</v>
      </c>
      <c r="C1620" s="0" t="s">
        <v>68</v>
      </c>
      <c r="D1620" s="0" t="s">
        <v>1407</v>
      </c>
      <c r="E1620" s="0" t="s">
        <v>130</v>
      </c>
      <c r="F1620" s="0" t="s">
        <v>29</v>
      </c>
      <c r="I1620" s="0" t="n">
        <v>1000</v>
      </c>
      <c r="J1620" s="0" t="n">
        <v>0.25</v>
      </c>
      <c r="K1620" s="0" t="s">
        <v>2022</v>
      </c>
    </row>
    <row r="1621" customFormat="false" ht="15" hidden="false" customHeight="false" outlineLevel="0" collapsed="false">
      <c r="A1621" s="0" t="n">
        <v>133</v>
      </c>
      <c r="B1621" s="0" t="s">
        <v>1918</v>
      </c>
      <c r="C1621" s="0" t="s">
        <v>68</v>
      </c>
      <c r="D1621" s="0" t="s">
        <v>1407</v>
      </c>
      <c r="E1621" s="0" t="s">
        <v>158</v>
      </c>
      <c r="F1621" s="0" t="s">
        <v>28</v>
      </c>
      <c r="I1621" s="0" t="n">
        <v>1000</v>
      </c>
      <c r="J1621" s="0" t="n">
        <v>0.25</v>
      </c>
      <c r="K1621" s="0" t="s">
        <v>2023</v>
      </c>
    </row>
    <row r="1622" customFormat="false" ht="15" hidden="false" customHeight="false" outlineLevel="0" collapsed="false">
      <c r="A1622" s="0" t="n">
        <v>133</v>
      </c>
      <c r="B1622" s="0" t="s">
        <v>1918</v>
      </c>
      <c r="C1622" s="0" t="s">
        <v>68</v>
      </c>
      <c r="D1622" s="0" t="s">
        <v>1407</v>
      </c>
      <c r="E1622" s="0" t="s">
        <v>132</v>
      </c>
      <c r="F1622" s="0" t="s">
        <v>29</v>
      </c>
      <c r="I1622" s="0" t="n">
        <v>200</v>
      </c>
      <c r="J1622" s="0" t="n">
        <v>0.05</v>
      </c>
      <c r="K1622" s="0" t="s">
        <v>2024</v>
      </c>
    </row>
    <row r="1623" customFormat="false" ht="15" hidden="false" customHeight="false" outlineLevel="0" collapsed="false">
      <c r="A1623" s="0" t="n">
        <v>133</v>
      </c>
      <c r="B1623" s="0" t="s">
        <v>1918</v>
      </c>
      <c r="C1623" s="0" t="s">
        <v>68</v>
      </c>
      <c r="D1623" s="0" t="s">
        <v>1407</v>
      </c>
      <c r="E1623" s="0" t="s">
        <v>134</v>
      </c>
      <c r="F1623" s="0" t="s">
        <v>28</v>
      </c>
      <c r="I1623" s="0" t="n">
        <v>200</v>
      </c>
      <c r="J1623" s="0" t="n">
        <v>0.05</v>
      </c>
      <c r="K1623" s="0" t="s">
        <v>2025</v>
      </c>
    </row>
    <row r="1624" customFormat="false" ht="15" hidden="false" customHeight="false" outlineLevel="0" collapsed="false">
      <c r="A1624" s="0" t="n">
        <v>133</v>
      </c>
      <c r="B1624" s="0" t="s">
        <v>1918</v>
      </c>
      <c r="C1624" s="0" t="s">
        <v>68</v>
      </c>
      <c r="D1624" s="0" t="s">
        <v>1407</v>
      </c>
      <c r="E1624" s="0" t="s">
        <v>60</v>
      </c>
      <c r="F1624" s="0" t="s">
        <v>27</v>
      </c>
      <c r="I1624" s="0" t="n">
        <v>200</v>
      </c>
      <c r="J1624" s="0" t="n">
        <v>0.05</v>
      </c>
      <c r="K1624" s="0" t="s">
        <v>2026</v>
      </c>
    </row>
    <row r="1625" customFormat="false" ht="15" hidden="false" customHeight="false" outlineLevel="0" collapsed="false">
      <c r="A1625" s="0" t="n">
        <v>133</v>
      </c>
      <c r="B1625" s="0" t="s">
        <v>1918</v>
      </c>
      <c r="C1625" s="0" t="s">
        <v>68</v>
      </c>
      <c r="D1625" s="0" t="s">
        <v>1407</v>
      </c>
      <c r="E1625" s="0" t="s">
        <v>62</v>
      </c>
      <c r="F1625" s="0" t="s">
        <v>27</v>
      </c>
      <c r="I1625" s="0" t="n">
        <v>100</v>
      </c>
      <c r="J1625" s="0" t="n">
        <v>0.025</v>
      </c>
      <c r="K1625" s="0" t="s">
        <v>2027</v>
      </c>
    </row>
    <row r="1626" customFormat="false" ht="15" hidden="false" customHeight="false" outlineLevel="0" collapsed="false">
      <c r="A1626" s="0" t="n">
        <v>133</v>
      </c>
      <c r="B1626" s="0" t="s">
        <v>1918</v>
      </c>
      <c r="C1626" s="0" t="s">
        <v>68</v>
      </c>
      <c r="D1626" s="0" t="s">
        <v>1407</v>
      </c>
      <c r="E1626" s="0" t="s">
        <v>66</v>
      </c>
      <c r="F1626" s="0" t="s">
        <v>27</v>
      </c>
      <c r="I1626" s="0" t="n">
        <v>350</v>
      </c>
      <c r="J1626" s="0" t="n">
        <v>0.0875</v>
      </c>
      <c r="K1626" s="0" t="s">
        <v>2028</v>
      </c>
    </row>
    <row r="1627" customFormat="false" ht="15" hidden="false" customHeight="false" outlineLevel="0" collapsed="false">
      <c r="A1627" s="0" t="n">
        <v>133</v>
      </c>
      <c r="B1627" s="0" t="s">
        <v>1918</v>
      </c>
      <c r="C1627" s="0" t="s">
        <v>68</v>
      </c>
      <c r="D1627" s="0" t="s">
        <v>1407</v>
      </c>
      <c r="E1627" s="0" t="s">
        <v>64</v>
      </c>
      <c r="F1627" s="0" t="s">
        <v>27</v>
      </c>
      <c r="I1627" s="0" t="n">
        <v>200</v>
      </c>
      <c r="J1627" s="0" t="n">
        <v>0.05</v>
      </c>
      <c r="K1627" s="0" t="s">
        <v>2029</v>
      </c>
    </row>
    <row r="1628" customFormat="false" ht="15" hidden="false" customHeight="false" outlineLevel="0" collapsed="false">
      <c r="A1628" s="0" t="n">
        <v>133</v>
      </c>
      <c r="B1628" s="0" t="s">
        <v>1918</v>
      </c>
      <c r="C1628" s="0" t="s">
        <v>68</v>
      </c>
      <c r="D1628" s="0" t="s">
        <v>1407</v>
      </c>
      <c r="E1628" s="0" t="s">
        <v>68</v>
      </c>
      <c r="F1628" s="0" t="s">
        <v>30</v>
      </c>
      <c r="I1628" s="0" t="n">
        <v>4000</v>
      </c>
      <c r="J1628" s="0" t="n">
        <v>1</v>
      </c>
      <c r="K1628" s="0" t="s">
        <v>2030</v>
      </c>
    </row>
    <row r="1629" customFormat="false" ht="15" hidden="false" customHeight="false" outlineLevel="0" collapsed="false">
      <c r="A1629" s="0" t="n">
        <v>134</v>
      </c>
      <c r="B1629" s="0" t="s">
        <v>1918</v>
      </c>
      <c r="C1629" s="0" t="s">
        <v>68</v>
      </c>
      <c r="D1629" s="0" t="s">
        <v>311</v>
      </c>
      <c r="E1629" s="0" t="s">
        <v>53</v>
      </c>
      <c r="F1629" s="0" t="s">
        <v>27</v>
      </c>
      <c r="G1629" s="0" t="n">
        <v>0.5</v>
      </c>
      <c r="H1629" s="0" t="n">
        <v>1.7</v>
      </c>
      <c r="I1629" s="0" t="n">
        <v>3400</v>
      </c>
      <c r="J1629" s="0" t="n">
        <v>0.894736842105263</v>
      </c>
      <c r="K1629" s="0" t="s">
        <v>2031</v>
      </c>
      <c r="L1629" s="0" t="s">
        <v>2032</v>
      </c>
    </row>
    <row r="1630" customFormat="false" ht="15" hidden="false" customHeight="false" outlineLevel="0" collapsed="false">
      <c r="A1630" s="0" t="n">
        <v>134</v>
      </c>
      <c r="B1630" s="0" t="s">
        <v>1918</v>
      </c>
      <c r="C1630" s="0" t="s">
        <v>68</v>
      </c>
      <c r="D1630" s="0" t="s">
        <v>311</v>
      </c>
      <c r="E1630" s="0" t="s">
        <v>56</v>
      </c>
      <c r="F1630" s="0" t="s">
        <v>28</v>
      </c>
      <c r="I1630" s="0" t="n">
        <v>700</v>
      </c>
      <c r="J1630" s="0" t="n">
        <v>0.18421052631579</v>
      </c>
      <c r="K1630" s="0" t="s">
        <v>2033</v>
      </c>
    </row>
    <row r="1631" customFormat="false" ht="15" hidden="false" customHeight="false" outlineLevel="0" collapsed="false">
      <c r="A1631" s="0" t="n">
        <v>134</v>
      </c>
      <c r="B1631" s="0" t="s">
        <v>1918</v>
      </c>
      <c r="C1631" s="0" t="s">
        <v>68</v>
      </c>
      <c r="D1631" s="0" t="s">
        <v>311</v>
      </c>
      <c r="E1631" s="0" t="s">
        <v>58</v>
      </c>
      <c r="F1631" s="0" t="s">
        <v>28</v>
      </c>
      <c r="I1631" s="0" t="n">
        <v>1500</v>
      </c>
      <c r="J1631" s="0" t="n">
        <v>0.394736842105263</v>
      </c>
      <c r="K1631" s="0" t="s">
        <v>2034</v>
      </c>
    </row>
    <row r="1632" customFormat="false" ht="15" hidden="false" customHeight="false" outlineLevel="0" collapsed="false">
      <c r="A1632" s="0" t="n">
        <v>134</v>
      </c>
      <c r="B1632" s="0" t="s">
        <v>1918</v>
      </c>
      <c r="C1632" s="0" t="s">
        <v>68</v>
      </c>
      <c r="D1632" s="0" t="s">
        <v>311</v>
      </c>
      <c r="E1632" s="0" t="s">
        <v>1428</v>
      </c>
      <c r="F1632" s="0" t="s">
        <v>27</v>
      </c>
      <c r="I1632" s="0" t="n">
        <v>800</v>
      </c>
      <c r="J1632" s="0" t="n">
        <v>0.210526315789474</v>
      </c>
      <c r="K1632" s="0" t="s">
        <v>2035</v>
      </c>
    </row>
    <row r="1633" customFormat="false" ht="15" hidden="false" customHeight="false" outlineLevel="0" collapsed="false">
      <c r="A1633" s="0" t="n">
        <v>134</v>
      </c>
      <c r="B1633" s="0" t="s">
        <v>1918</v>
      </c>
      <c r="C1633" s="0" t="s">
        <v>68</v>
      </c>
      <c r="D1633" s="0" t="s">
        <v>311</v>
      </c>
      <c r="E1633" s="0" t="s">
        <v>128</v>
      </c>
      <c r="F1633" s="0" t="s">
        <v>28</v>
      </c>
      <c r="I1633" s="0" t="n">
        <v>1000</v>
      </c>
      <c r="J1633" s="0" t="n">
        <v>0.263157894736842</v>
      </c>
      <c r="K1633" s="0" t="s">
        <v>2036</v>
      </c>
    </row>
    <row r="1634" customFormat="false" ht="15" hidden="false" customHeight="false" outlineLevel="0" collapsed="false">
      <c r="A1634" s="0" t="n">
        <v>134</v>
      </c>
      <c r="B1634" s="0" t="s">
        <v>1918</v>
      </c>
      <c r="C1634" s="0" t="s">
        <v>68</v>
      </c>
      <c r="D1634" s="0" t="s">
        <v>311</v>
      </c>
      <c r="E1634" s="0" t="s">
        <v>2037</v>
      </c>
      <c r="F1634" s="0" t="s">
        <v>29</v>
      </c>
      <c r="I1634" s="0" t="n">
        <v>0</v>
      </c>
      <c r="J1634" s="0" t="n">
        <v>0</v>
      </c>
      <c r="K1634" s="0" t="s">
        <v>2038</v>
      </c>
    </row>
    <row r="1635" customFormat="false" ht="15" hidden="false" customHeight="false" outlineLevel="0" collapsed="false">
      <c r="A1635" s="0" t="n">
        <v>134</v>
      </c>
      <c r="B1635" s="0" t="s">
        <v>1918</v>
      </c>
      <c r="C1635" s="0" t="s">
        <v>68</v>
      </c>
      <c r="D1635" s="0" t="s">
        <v>311</v>
      </c>
      <c r="E1635" s="0" t="s">
        <v>158</v>
      </c>
      <c r="F1635" s="0" t="s">
        <v>28</v>
      </c>
      <c r="I1635" s="0" t="n">
        <v>1000</v>
      </c>
      <c r="J1635" s="0" t="n">
        <v>0.263157894736842</v>
      </c>
      <c r="K1635" s="0" t="s">
        <v>2039</v>
      </c>
    </row>
    <row r="1636" customFormat="false" ht="15" hidden="false" customHeight="false" outlineLevel="0" collapsed="false">
      <c r="A1636" s="0" t="n">
        <v>134</v>
      </c>
      <c r="B1636" s="0" t="s">
        <v>1918</v>
      </c>
      <c r="C1636" s="0" t="s">
        <v>68</v>
      </c>
      <c r="D1636" s="0" t="s">
        <v>311</v>
      </c>
      <c r="E1636" s="0" t="s">
        <v>132</v>
      </c>
      <c r="F1636" s="0" t="s">
        <v>29</v>
      </c>
      <c r="I1636" s="0" t="n">
        <v>0</v>
      </c>
      <c r="J1636" s="0" t="n">
        <v>0</v>
      </c>
      <c r="K1636" s="0" t="s">
        <v>2040</v>
      </c>
    </row>
    <row r="1637" customFormat="false" ht="15" hidden="false" customHeight="false" outlineLevel="0" collapsed="false">
      <c r="A1637" s="0" t="n">
        <v>134</v>
      </c>
      <c r="B1637" s="0" t="s">
        <v>1918</v>
      </c>
      <c r="C1637" s="0" t="s">
        <v>68</v>
      </c>
      <c r="D1637" s="0" t="s">
        <v>311</v>
      </c>
      <c r="E1637" s="0" t="s">
        <v>134</v>
      </c>
      <c r="F1637" s="0" t="s">
        <v>28</v>
      </c>
      <c r="I1637" s="0" t="n">
        <v>0</v>
      </c>
      <c r="J1637" s="0" t="n">
        <v>0</v>
      </c>
      <c r="K1637" s="0" t="s">
        <v>2041</v>
      </c>
    </row>
    <row r="1638" customFormat="false" ht="15" hidden="false" customHeight="false" outlineLevel="0" collapsed="false">
      <c r="A1638" s="0" t="n">
        <v>134</v>
      </c>
      <c r="B1638" s="0" t="s">
        <v>1918</v>
      </c>
      <c r="C1638" s="0" t="s">
        <v>68</v>
      </c>
      <c r="D1638" s="0" t="s">
        <v>311</v>
      </c>
      <c r="E1638" s="0" t="s">
        <v>60</v>
      </c>
      <c r="F1638" s="0" t="s">
        <v>27</v>
      </c>
      <c r="I1638" s="0" t="n">
        <v>50</v>
      </c>
      <c r="J1638" s="0" t="n">
        <v>0.0131578947368421</v>
      </c>
      <c r="K1638" s="0" t="s">
        <v>2042</v>
      </c>
    </row>
    <row r="1639" customFormat="false" ht="15" hidden="false" customHeight="false" outlineLevel="0" collapsed="false">
      <c r="A1639" s="0" t="n">
        <v>134</v>
      </c>
      <c r="B1639" s="0" t="s">
        <v>1918</v>
      </c>
      <c r="C1639" s="0" t="s">
        <v>68</v>
      </c>
      <c r="D1639" s="0" t="s">
        <v>311</v>
      </c>
      <c r="E1639" s="0" t="s">
        <v>62</v>
      </c>
      <c r="F1639" s="0" t="s">
        <v>27</v>
      </c>
      <c r="I1639" s="0" t="n">
        <v>50</v>
      </c>
      <c r="J1639" s="0" t="n">
        <v>0.0131578947368421</v>
      </c>
      <c r="K1639" s="0" t="s">
        <v>2043</v>
      </c>
    </row>
    <row r="1640" customFormat="false" ht="15" hidden="false" customHeight="false" outlineLevel="0" collapsed="false">
      <c r="A1640" s="0" t="n">
        <v>134</v>
      </c>
      <c r="B1640" s="0" t="s">
        <v>1918</v>
      </c>
      <c r="C1640" s="0" t="s">
        <v>68</v>
      </c>
      <c r="D1640" s="0" t="s">
        <v>311</v>
      </c>
      <c r="E1640" s="0" t="s">
        <v>66</v>
      </c>
      <c r="F1640" s="0" t="s">
        <v>27</v>
      </c>
      <c r="I1640" s="0" t="n">
        <v>250</v>
      </c>
      <c r="J1640" s="0" t="n">
        <v>0.0657894736842105</v>
      </c>
      <c r="K1640" s="0" t="s">
        <v>2044</v>
      </c>
    </row>
    <row r="1641" customFormat="false" ht="15" hidden="false" customHeight="false" outlineLevel="0" collapsed="false">
      <c r="A1641" s="0" t="n">
        <v>134</v>
      </c>
      <c r="B1641" s="0" t="s">
        <v>1918</v>
      </c>
      <c r="C1641" s="0" t="s">
        <v>68</v>
      </c>
      <c r="D1641" s="0" t="s">
        <v>311</v>
      </c>
      <c r="E1641" s="0" t="s">
        <v>64</v>
      </c>
      <c r="F1641" s="0" t="s">
        <v>27</v>
      </c>
      <c r="I1641" s="0" t="n">
        <v>70</v>
      </c>
      <c r="J1641" s="0" t="n">
        <v>0.018421052631579</v>
      </c>
      <c r="K1641" s="0" t="s">
        <v>2045</v>
      </c>
    </row>
    <row r="1642" customFormat="false" ht="15" hidden="false" customHeight="false" outlineLevel="0" collapsed="false">
      <c r="A1642" s="0" t="n">
        <v>134</v>
      </c>
      <c r="B1642" s="0" t="s">
        <v>1918</v>
      </c>
      <c r="C1642" s="0" t="s">
        <v>68</v>
      </c>
      <c r="D1642" s="0" t="s">
        <v>311</v>
      </c>
      <c r="E1642" s="0" t="s">
        <v>68</v>
      </c>
      <c r="F1642" s="0" t="s">
        <v>30</v>
      </c>
      <c r="I1642" s="0" t="n">
        <v>2700</v>
      </c>
      <c r="J1642" s="0" t="n">
        <v>0.710526315789474</v>
      </c>
      <c r="K1642" s="0" t="s">
        <v>2046</v>
      </c>
    </row>
    <row r="1643" customFormat="false" ht="15" hidden="false" customHeight="false" outlineLevel="0" collapsed="false">
      <c r="A1643" s="0" t="n">
        <v>135</v>
      </c>
      <c r="B1643" s="0" t="s">
        <v>1918</v>
      </c>
      <c r="C1643" s="0" t="s">
        <v>68</v>
      </c>
      <c r="D1643" s="0" t="s">
        <v>2047</v>
      </c>
      <c r="E1643" s="0" t="s">
        <v>53</v>
      </c>
      <c r="F1643" s="0" t="s">
        <v>27</v>
      </c>
      <c r="G1643" s="0" t="n">
        <v>0.5</v>
      </c>
      <c r="H1643" s="0" t="n">
        <v>1.2</v>
      </c>
      <c r="I1643" s="0" t="n">
        <v>2400</v>
      </c>
      <c r="J1643" s="0" t="n">
        <v>0.6</v>
      </c>
      <c r="K1643" s="0" t="s">
        <v>2048</v>
      </c>
      <c r="L1643" s="0" t="s">
        <v>2049</v>
      </c>
    </row>
    <row r="1644" customFormat="false" ht="15" hidden="false" customHeight="false" outlineLevel="0" collapsed="false">
      <c r="A1644" s="0" t="n">
        <v>135</v>
      </c>
      <c r="B1644" s="0" t="s">
        <v>1918</v>
      </c>
      <c r="C1644" s="0" t="s">
        <v>68</v>
      </c>
      <c r="D1644" s="0" t="s">
        <v>2047</v>
      </c>
      <c r="E1644" s="0" t="s">
        <v>56</v>
      </c>
      <c r="F1644" s="0" t="s">
        <v>28</v>
      </c>
      <c r="I1644" s="0" t="n">
        <v>700</v>
      </c>
      <c r="J1644" s="0" t="n">
        <v>0.175</v>
      </c>
      <c r="K1644" s="0" t="s">
        <v>2050</v>
      </c>
    </row>
    <row r="1645" customFormat="false" ht="15" hidden="false" customHeight="false" outlineLevel="0" collapsed="false">
      <c r="A1645" s="0" t="n">
        <v>135</v>
      </c>
      <c r="B1645" s="0" t="s">
        <v>1918</v>
      </c>
      <c r="C1645" s="0" t="s">
        <v>68</v>
      </c>
      <c r="D1645" s="0" t="s">
        <v>2047</v>
      </c>
      <c r="E1645" s="0" t="s">
        <v>58</v>
      </c>
      <c r="F1645" s="0" t="s">
        <v>28</v>
      </c>
      <c r="I1645" s="0" t="n">
        <v>1500</v>
      </c>
      <c r="J1645" s="0" t="n">
        <v>0.375</v>
      </c>
      <c r="K1645" s="0" t="s">
        <v>2051</v>
      </c>
    </row>
    <row r="1646" customFormat="false" ht="15" hidden="false" customHeight="false" outlineLevel="0" collapsed="false">
      <c r="A1646" s="0" t="n">
        <v>135</v>
      </c>
      <c r="B1646" s="0" t="s">
        <v>1918</v>
      </c>
      <c r="C1646" s="0" t="s">
        <v>68</v>
      </c>
      <c r="D1646" s="0" t="s">
        <v>2047</v>
      </c>
      <c r="E1646" s="0" t="s">
        <v>1428</v>
      </c>
      <c r="F1646" s="0" t="s">
        <v>27</v>
      </c>
      <c r="I1646" s="0" t="n">
        <v>600</v>
      </c>
      <c r="J1646" s="0" t="n">
        <v>0.15</v>
      </c>
      <c r="K1646" s="0" t="s">
        <v>2052</v>
      </c>
    </row>
    <row r="1647" customFormat="false" ht="15" hidden="false" customHeight="false" outlineLevel="0" collapsed="false">
      <c r="A1647" s="0" t="n">
        <v>135</v>
      </c>
      <c r="B1647" s="0" t="s">
        <v>1918</v>
      </c>
      <c r="C1647" s="0" t="s">
        <v>68</v>
      </c>
      <c r="D1647" s="0" t="s">
        <v>2047</v>
      </c>
      <c r="E1647" s="0" t="s">
        <v>128</v>
      </c>
      <c r="F1647" s="0" t="s">
        <v>28</v>
      </c>
      <c r="I1647" s="0" t="n">
        <v>500</v>
      </c>
      <c r="J1647" s="0" t="n">
        <v>0.125</v>
      </c>
      <c r="K1647" s="0" t="s">
        <v>2053</v>
      </c>
    </row>
    <row r="1648" customFormat="false" ht="15" hidden="false" customHeight="false" outlineLevel="0" collapsed="false">
      <c r="A1648" s="0" t="n">
        <v>135</v>
      </c>
      <c r="B1648" s="0" t="s">
        <v>1918</v>
      </c>
      <c r="C1648" s="0" t="s">
        <v>68</v>
      </c>
      <c r="D1648" s="0" t="s">
        <v>2047</v>
      </c>
      <c r="E1648" s="0" t="s">
        <v>130</v>
      </c>
      <c r="F1648" s="0" t="s">
        <v>29</v>
      </c>
      <c r="I1648" s="0" t="n">
        <v>1500</v>
      </c>
      <c r="J1648" s="0" t="n">
        <v>0.375</v>
      </c>
      <c r="K1648" s="0" t="s">
        <v>2054</v>
      </c>
    </row>
    <row r="1649" customFormat="false" ht="15" hidden="false" customHeight="false" outlineLevel="0" collapsed="false">
      <c r="A1649" s="0" t="n">
        <v>135</v>
      </c>
      <c r="B1649" s="0" t="s">
        <v>1918</v>
      </c>
      <c r="C1649" s="0" t="s">
        <v>68</v>
      </c>
      <c r="D1649" s="0" t="s">
        <v>2047</v>
      </c>
      <c r="E1649" s="0" t="s">
        <v>158</v>
      </c>
      <c r="F1649" s="0" t="s">
        <v>28</v>
      </c>
      <c r="I1649" s="0" t="n">
        <v>0</v>
      </c>
      <c r="J1649" s="0" t="n">
        <v>0</v>
      </c>
      <c r="K1649" s="0" t="s">
        <v>2055</v>
      </c>
    </row>
    <row r="1650" customFormat="false" ht="15" hidden="false" customHeight="false" outlineLevel="0" collapsed="false">
      <c r="A1650" s="0" t="n">
        <v>135</v>
      </c>
      <c r="B1650" s="0" t="s">
        <v>1918</v>
      </c>
      <c r="C1650" s="0" t="s">
        <v>68</v>
      </c>
      <c r="D1650" s="0" t="s">
        <v>2047</v>
      </c>
      <c r="E1650" s="0" t="s">
        <v>132</v>
      </c>
      <c r="F1650" s="0" t="s">
        <v>29</v>
      </c>
      <c r="I1650" s="0" t="n">
        <v>0</v>
      </c>
      <c r="J1650" s="0" t="n">
        <v>0</v>
      </c>
      <c r="K1650" s="0" t="s">
        <v>2056</v>
      </c>
    </row>
    <row r="1651" customFormat="false" ht="15" hidden="false" customHeight="false" outlineLevel="0" collapsed="false">
      <c r="A1651" s="0" t="n">
        <v>135</v>
      </c>
      <c r="B1651" s="0" t="s">
        <v>1918</v>
      </c>
      <c r="C1651" s="0" t="s">
        <v>68</v>
      </c>
      <c r="D1651" s="0" t="s">
        <v>2047</v>
      </c>
      <c r="E1651" s="0" t="s">
        <v>134</v>
      </c>
      <c r="F1651" s="0" t="s">
        <v>28</v>
      </c>
      <c r="I1651" s="0" t="n">
        <v>0</v>
      </c>
      <c r="J1651" s="0" t="n">
        <v>0</v>
      </c>
      <c r="K1651" s="0" t="s">
        <v>2057</v>
      </c>
    </row>
    <row r="1652" customFormat="false" ht="15" hidden="false" customHeight="false" outlineLevel="0" collapsed="false">
      <c r="A1652" s="0" t="n">
        <v>135</v>
      </c>
      <c r="B1652" s="0" t="s">
        <v>1918</v>
      </c>
      <c r="C1652" s="0" t="s">
        <v>68</v>
      </c>
      <c r="D1652" s="0" t="s">
        <v>2047</v>
      </c>
      <c r="E1652" s="0" t="s">
        <v>60</v>
      </c>
      <c r="F1652" s="0" t="s">
        <v>27</v>
      </c>
      <c r="I1652" s="0" t="n">
        <v>0</v>
      </c>
      <c r="J1652" s="0" t="n">
        <v>0</v>
      </c>
      <c r="K1652" s="0" t="s">
        <v>2058</v>
      </c>
    </row>
    <row r="1653" customFormat="false" ht="15" hidden="false" customHeight="false" outlineLevel="0" collapsed="false">
      <c r="A1653" s="0" t="n">
        <v>135</v>
      </c>
      <c r="B1653" s="0" t="s">
        <v>1918</v>
      </c>
      <c r="C1653" s="0" t="s">
        <v>68</v>
      </c>
      <c r="D1653" s="0" t="s">
        <v>2047</v>
      </c>
      <c r="E1653" s="0" t="s">
        <v>62</v>
      </c>
      <c r="F1653" s="0" t="s">
        <v>27</v>
      </c>
      <c r="I1653" s="0" t="n">
        <v>0</v>
      </c>
      <c r="J1653" s="0" t="n">
        <v>0</v>
      </c>
      <c r="K1653" s="0" t="s">
        <v>2059</v>
      </c>
    </row>
    <row r="1654" customFormat="false" ht="15" hidden="false" customHeight="false" outlineLevel="0" collapsed="false">
      <c r="A1654" s="0" t="n">
        <v>135</v>
      </c>
      <c r="B1654" s="0" t="s">
        <v>1918</v>
      </c>
      <c r="C1654" s="0" t="s">
        <v>68</v>
      </c>
      <c r="D1654" s="0" t="s">
        <v>2047</v>
      </c>
      <c r="E1654" s="0" t="s">
        <v>66</v>
      </c>
      <c r="F1654" s="0" t="s">
        <v>27</v>
      </c>
      <c r="I1654" s="0" t="n">
        <v>350</v>
      </c>
      <c r="J1654" s="0" t="n">
        <v>0.0875</v>
      </c>
      <c r="K1654" s="0" t="s">
        <v>2060</v>
      </c>
    </row>
    <row r="1655" customFormat="false" ht="15" hidden="false" customHeight="false" outlineLevel="0" collapsed="false">
      <c r="A1655" s="0" t="n">
        <v>135</v>
      </c>
      <c r="B1655" s="0" t="s">
        <v>1918</v>
      </c>
      <c r="C1655" s="0" t="s">
        <v>68</v>
      </c>
      <c r="D1655" s="0" t="s">
        <v>2047</v>
      </c>
      <c r="E1655" s="0" t="s">
        <v>64</v>
      </c>
      <c r="F1655" s="0" t="s">
        <v>27</v>
      </c>
      <c r="I1655" s="0" t="n">
        <v>50</v>
      </c>
      <c r="J1655" s="0" t="n">
        <v>0.0125</v>
      </c>
      <c r="K1655" s="0" t="s">
        <v>2061</v>
      </c>
    </row>
    <row r="1656" customFormat="false" ht="15" hidden="false" customHeight="false" outlineLevel="0" collapsed="false">
      <c r="A1656" s="0" t="n">
        <v>135</v>
      </c>
      <c r="B1656" s="0" t="s">
        <v>1918</v>
      </c>
      <c r="C1656" s="0" t="s">
        <v>68</v>
      </c>
      <c r="D1656" s="0" t="s">
        <v>2047</v>
      </c>
      <c r="E1656" s="0" t="s">
        <v>68</v>
      </c>
      <c r="F1656" s="0" t="s">
        <v>30</v>
      </c>
      <c r="I1656" s="0" t="n">
        <v>2700</v>
      </c>
      <c r="J1656" s="0" t="n">
        <v>0.675</v>
      </c>
      <c r="K1656" s="0" t="s">
        <v>2062</v>
      </c>
    </row>
    <row r="1657" customFormat="false" ht="15" hidden="false" customHeight="false" outlineLevel="0" collapsed="false">
      <c r="A1657" s="0" t="n">
        <v>136</v>
      </c>
      <c r="B1657" s="0" t="s">
        <v>1918</v>
      </c>
      <c r="C1657" s="0" t="s">
        <v>68</v>
      </c>
      <c r="D1657" s="0" t="s">
        <v>2063</v>
      </c>
      <c r="E1657" s="0" t="s">
        <v>53</v>
      </c>
      <c r="F1657" s="0" t="s">
        <v>27</v>
      </c>
      <c r="G1657" s="0" t="n">
        <v>0.8</v>
      </c>
      <c r="H1657" s="0" t="n">
        <v>1.8</v>
      </c>
      <c r="I1657" s="0" t="n">
        <v>5472</v>
      </c>
      <c r="J1657" s="0" t="n">
        <v>1.44</v>
      </c>
      <c r="K1657" s="0" t="s">
        <v>2064</v>
      </c>
      <c r="L1657" s="0" t="s">
        <v>2065</v>
      </c>
    </row>
    <row r="1658" customFormat="false" ht="15" hidden="false" customHeight="false" outlineLevel="0" collapsed="false">
      <c r="A1658" s="0" t="n">
        <v>136</v>
      </c>
      <c r="B1658" s="0" t="s">
        <v>1918</v>
      </c>
      <c r="C1658" s="0" t="s">
        <v>68</v>
      </c>
      <c r="D1658" s="0" t="s">
        <v>2063</v>
      </c>
      <c r="E1658" s="0" t="s">
        <v>56</v>
      </c>
      <c r="F1658" s="0" t="s">
        <v>28</v>
      </c>
      <c r="I1658" s="0" t="n">
        <v>1000</v>
      </c>
      <c r="J1658" s="0" t="n">
        <v>0.263157894736842</v>
      </c>
      <c r="K1658" s="0" t="s">
        <v>2066</v>
      </c>
    </row>
    <row r="1659" customFormat="false" ht="15" hidden="false" customHeight="false" outlineLevel="0" collapsed="false">
      <c r="A1659" s="0" t="n">
        <v>136</v>
      </c>
      <c r="B1659" s="0" t="s">
        <v>1918</v>
      </c>
      <c r="C1659" s="0" t="s">
        <v>68</v>
      </c>
      <c r="D1659" s="0" t="s">
        <v>2063</v>
      </c>
      <c r="E1659" s="0" t="s">
        <v>58</v>
      </c>
      <c r="F1659" s="0" t="s">
        <v>28</v>
      </c>
      <c r="I1659" s="0" t="n">
        <v>2500</v>
      </c>
      <c r="J1659" s="0" t="n">
        <v>0.657894736842105</v>
      </c>
      <c r="K1659" s="0" t="s">
        <v>2067</v>
      </c>
    </row>
    <row r="1660" customFormat="false" ht="15" hidden="false" customHeight="false" outlineLevel="0" collapsed="false">
      <c r="A1660" s="0" t="n">
        <v>136</v>
      </c>
      <c r="B1660" s="0" t="s">
        <v>1918</v>
      </c>
      <c r="C1660" s="0" t="s">
        <v>68</v>
      </c>
      <c r="D1660" s="0" t="s">
        <v>2063</v>
      </c>
      <c r="E1660" s="0" t="s">
        <v>1428</v>
      </c>
      <c r="F1660" s="0" t="s">
        <v>27</v>
      </c>
      <c r="I1660" s="0" t="n">
        <v>800</v>
      </c>
      <c r="J1660" s="0" t="n">
        <v>0.210526315789474</v>
      </c>
      <c r="K1660" s="0" t="s">
        <v>2068</v>
      </c>
    </row>
    <row r="1661" customFormat="false" ht="15" hidden="false" customHeight="false" outlineLevel="0" collapsed="false">
      <c r="A1661" s="0" t="n">
        <v>136</v>
      </c>
      <c r="B1661" s="0" t="s">
        <v>1918</v>
      </c>
      <c r="C1661" s="0" t="s">
        <v>68</v>
      </c>
      <c r="D1661" s="0" t="s">
        <v>2063</v>
      </c>
      <c r="E1661" s="0" t="s">
        <v>128</v>
      </c>
      <c r="F1661" s="0" t="s">
        <v>28</v>
      </c>
      <c r="I1661" s="0" t="n">
        <v>1000</v>
      </c>
      <c r="J1661" s="0" t="n">
        <v>0.263157894736842</v>
      </c>
      <c r="K1661" s="0" t="s">
        <v>2069</v>
      </c>
    </row>
    <row r="1662" customFormat="false" ht="15" hidden="false" customHeight="false" outlineLevel="0" collapsed="false">
      <c r="A1662" s="0" t="n">
        <v>136</v>
      </c>
      <c r="B1662" s="0" t="s">
        <v>1918</v>
      </c>
      <c r="C1662" s="0" t="s">
        <v>68</v>
      </c>
      <c r="D1662" s="0" t="s">
        <v>2063</v>
      </c>
      <c r="E1662" s="0" t="s">
        <v>130</v>
      </c>
      <c r="F1662" s="0" t="s">
        <v>29</v>
      </c>
      <c r="I1662" s="0" t="n">
        <v>1000</v>
      </c>
      <c r="J1662" s="0" t="n">
        <v>0.263157894736842</v>
      </c>
      <c r="K1662" s="0" t="s">
        <v>2070</v>
      </c>
    </row>
    <row r="1663" customFormat="false" ht="15" hidden="false" customHeight="false" outlineLevel="0" collapsed="false">
      <c r="A1663" s="0" t="n">
        <v>136</v>
      </c>
      <c r="B1663" s="0" t="s">
        <v>1918</v>
      </c>
      <c r="C1663" s="0" t="s">
        <v>68</v>
      </c>
      <c r="D1663" s="0" t="s">
        <v>2063</v>
      </c>
      <c r="E1663" s="0" t="s">
        <v>158</v>
      </c>
      <c r="F1663" s="0" t="s">
        <v>28</v>
      </c>
      <c r="I1663" s="0" t="n">
        <v>1000</v>
      </c>
      <c r="J1663" s="0" t="n">
        <v>0.263157894736842</v>
      </c>
      <c r="K1663" s="0" t="s">
        <v>2071</v>
      </c>
    </row>
    <row r="1664" customFormat="false" ht="15" hidden="false" customHeight="false" outlineLevel="0" collapsed="false">
      <c r="A1664" s="0" t="n">
        <v>136</v>
      </c>
      <c r="B1664" s="0" t="s">
        <v>1918</v>
      </c>
      <c r="C1664" s="0" t="s">
        <v>68</v>
      </c>
      <c r="D1664" s="0" t="s">
        <v>2063</v>
      </c>
      <c r="E1664" s="0" t="s">
        <v>132</v>
      </c>
      <c r="F1664" s="0" t="s">
        <v>29</v>
      </c>
      <c r="I1664" s="0" t="n">
        <v>200</v>
      </c>
      <c r="J1664" s="0" t="n">
        <v>0.0526315789473684</v>
      </c>
      <c r="K1664" s="0" t="s">
        <v>2072</v>
      </c>
    </row>
    <row r="1665" customFormat="false" ht="15" hidden="false" customHeight="false" outlineLevel="0" collapsed="false">
      <c r="A1665" s="0" t="n">
        <v>136</v>
      </c>
      <c r="B1665" s="0" t="s">
        <v>1918</v>
      </c>
      <c r="C1665" s="0" t="s">
        <v>68</v>
      </c>
      <c r="D1665" s="0" t="s">
        <v>2063</v>
      </c>
      <c r="E1665" s="0" t="s">
        <v>134</v>
      </c>
      <c r="F1665" s="0" t="s">
        <v>28</v>
      </c>
      <c r="I1665" s="0" t="n">
        <v>200</v>
      </c>
      <c r="J1665" s="0" t="n">
        <v>0.0526315789473684</v>
      </c>
      <c r="K1665" s="0" t="s">
        <v>2073</v>
      </c>
    </row>
    <row r="1666" customFormat="false" ht="15" hidden="false" customHeight="false" outlineLevel="0" collapsed="false">
      <c r="A1666" s="0" t="n">
        <v>136</v>
      </c>
      <c r="B1666" s="0" t="s">
        <v>1918</v>
      </c>
      <c r="C1666" s="0" t="s">
        <v>68</v>
      </c>
      <c r="D1666" s="0" t="s">
        <v>2063</v>
      </c>
      <c r="E1666" s="0" t="s">
        <v>60</v>
      </c>
      <c r="F1666" s="0" t="s">
        <v>27</v>
      </c>
      <c r="I1666" s="0" t="n">
        <v>200</v>
      </c>
      <c r="J1666" s="0" t="n">
        <v>0.0526315789473684</v>
      </c>
      <c r="K1666" s="0" t="s">
        <v>2074</v>
      </c>
    </row>
    <row r="1667" customFormat="false" ht="15" hidden="false" customHeight="false" outlineLevel="0" collapsed="false">
      <c r="A1667" s="0" t="n">
        <v>136</v>
      </c>
      <c r="B1667" s="0" t="s">
        <v>1918</v>
      </c>
      <c r="C1667" s="0" t="s">
        <v>68</v>
      </c>
      <c r="D1667" s="0" t="s">
        <v>2063</v>
      </c>
      <c r="E1667" s="0" t="s">
        <v>62</v>
      </c>
      <c r="F1667" s="0" t="s">
        <v>27</v>
      </c>
      <c r="I1667" s="0" t="n">
        <v>100</v>
      </c>
      <c r="J1667" s="0" t="n">
        <v>0.0263157894736842</v>
      </c>
      <c r="K1667" s="0" t="s">
        <v>2075</v>
      </c>
    </row>
    <row r="1668" customFormat="false" ht="15" hidden="false" customHeight="false" outlineLevel="0" collapsed="false">
      <c r="A1668" s="0" t="n">
        <v>136</v>
      </c>
      <c r="B1668" s="0" t="s">
        <v>1918</v>
      </c>
      <c r="C1668" s="0" t="s">
        <v>68</v>
      </c>
      <c r="D1668" s="0" t="s">
        <v>2063</v>
      </c>
      <c r="E1668" s="0" t="s">
        <v>66</v>
      </c>
      <c r="F1668" s="0" t="s">
        <v>27</v>
      </c>
      <c r="I1668" s="0" t="n">
        <v>350</v>
      </c>
      <c r="J1668" s="0" t="n">
        <v>0.0921052631578947</v>
      </c>
      <c r="K1668" s="0" t="s">
        <v>2076</v>
      </c>
    </row>
    <row r="1669" customFormat="false" ht="15" hidden="false" customHeight="false" outlineLevel="0" collapsed="false">
      <c r="A1669" s="0" t="n">
        <v>136</v>
      </c>
      <c r="B1669" s="0" t="s">
        <v>1918</v>
      </c>
      <c r="C1669" s="0" t="s">
        <v>68</v>
      </c>
      <c r="D1669" s="0" t="s">
        <v>2063</v>
      </c>
      <c r="E1669" s="0" t="s">
        <v>64</v>
      </c>
      <c r="F1669" s="0" t="s">
        <v>27</v>
      </c>
      <c r="I1669" s="0" t="n">
        <v>750</v>
      </c>
      <c r="J1669" s="0" t="n">
        <v>0.197368421052632</v>
      </c>
      <c r="K1669" s="0" t="s">
        <v>2077</v>
      </c>
    </row>
    <row r="1670" customFormat="false" ht="15" hidden="false" customHeight="false" outlineLevel="0" collapsed="false">
      <c r="A1670" s="0" t="n">
        <v>136</v>
      </c>
      <c r="B1670" s="0" t="s">
        <v>1918</v>
      </c>
      <c r="C1670" s="0" t="s">
        <v>68</v>
      </c>
      <c r="D1670" s="0" t="s">
        <v>2063</v>
      </c>
      <c r="E1670" s="0" t="s">
        <v>68</v>
      </c>
      <c r="F1670" s="0" t="s">
        <v>30</v>
      </c>
      <c r="I1670" s="0" t="n">
        <v>4000</v>
      </c>
      <c r="J1670" s="0" t="n">
        <v>1.05263157894737</v>
      </c>
      <c r="K1670" s="0" t="s">
        <v>2078</v>
      </c>
    </row>
    <row r="1671" customFormat="false" ht="15" hidden="false" customHeight="false" outlineLevel="0" collapsed="false">
      <c r="A1671" s="0" t="n">
        <v>137</v>
      </c>
      <c r="B1671" s="0" t="s">
        <v>1918</v>
      </c>
      <c r="C1671" s="0" t="s">
        <v>68</v>
      </c>
      <c r="D1671" s="0" t="s">
        <v>349</v>
      </c>
      <c r="E1671" s="0" t="s">
        <v>53</v>
      </c>
      <c r="F1671" s="0" t="s">
        <v>27</v>
      </c>
      <c r="G1671" s="0" t="n">
        <v>0.6</v>
      </c>
      <c r="H1671" s="0" t="n">
        <v>1.5</v>
      </c>
      <c r="I1671" s="0" t="n">
        <v>3420</v>
      </c>
      <c r="J1671" s="0" t="n">
        <v>0.855</v>
      </c>
      <c r="K1671" s="0" t="s">
        <v>2079</v>
      </c>
      <c r="L1671" s="0" t="s">
        <v>2080</v>
      </c>
    </row>
    <row r="1672" customFormat="false" ht="15" hidden="false" customHeight="false" outlineLevel="0" collapsed="false">
      <c r="A1672" s="0" t="n">
        <v>137</v>
      </c>
      <c r="B1672" s="0" t="s">
        <v>1918</v>
      </c>
      <c r="C1672" s="0" t="s">
        <v>68</v>
      </c>
      <c r="D1672" s="0" t="s">
        <v>349</v>
      </c>
      <c r="E1672" s="0" t="s">
        <v>56</v>
      </c>
      <c r="F1672" s="0" t="s">
        <v>28</v>
      </c>
      <c r="I1672" s="0" t="n">
        <v>700</v>
      </c>
      <c r="J1672" s="0" t="n">
        <v>0.175</v>
      </c>
      <c r="K1672" s="0" t="s">
        <v>2081</v>
      </c>
    </row>
    <row r="1673" customFormat="false" ht="15" hidden="false" customHeight="false" outlineLevel="0" collapsed="false">
      <c r="A1673" s="0" t="n">
        <v>137</v>
      </c>
      <c r="B1673" s="0" t="s">
        <v>1918</v>
      </c>
      <c r="C1673" s="0" t="s">
        <v>68</v>
      </c>
      <c r="D1673" s="0" t="s">
        <v>349</v>
      </c>
      <c r="E1673" s="0" t="s">
        <v>58</v>
      </c>
      <c r="F1673" s="0" t="s">
        <v>28</v>
      </c>
      <c r="I1673" s="0" t="n">
        <v>2500</v>
      </c>
      <c r="J1673" s="0" t="n">
        <v>0.625</v>
      </c>
      <c r="K1673" s="0" t="s">
        <v>2082</v>
      </c>
    </row>
    <row r="1674" customFormat="false" ht="15" hidden="false" customHeight="false" outlineLevel="0" collapsed="false">
      <c r="A1674" s="0" t="n">
        <v>137</v>
      </c>
      <c r="B1674" s="0" t="s">
        <v>1918</v>
      </c>
      <c r="C1674" s="0" t="s">
        <v>68</v>
      </c>
      <c r="D1674" s="0" t="s">
        <v>349</v>
      </c>
      <c r="E1674" s="0" t="s">
        <v>1428</v>
      </c>
      <c r="F1674" s="0" t="s">
        <v>27</v>
      </c>
      <c r="I1674" s="0" t="n">
        <v>1000</v>
      </c>
      <c r="J1674" s="0" t="n">
        <v>0.25</v>
      </c>
      <c r="K1674" s="0" t="s">
        <v>2083</v>
      </c>
    </row>
    <row r="1675" customFormat="false" ht="15" hidden="false" customHeight="false" outlineLevel="0" collapsed="false">
      <c r="A1675" s="0" t="n">
        <v>137</v>
      </c>
      <c r="B1675" s="0" t="s">
        <v>1918</v>
      </c>
      <c r="C1675" s="0" t="s">
        <v>68</v>
      </c>
      <c r="D1675" s="0" t="s">
        <v>349</v>
      </c>
      <c r="E1675" s="0" t="s">
        <v>128</v>
      </c>
      <c r="F1675" s="0" t="s">
        <v>28</v>
      </c>
      <c r="I1675" s="0" t="n">
        <v>0</v>
      </c>
      <c r="J1675" s="0" t="n">
        <v>0</v>
      </c>
      <c r="K1675" s="0" t="s">
        <v>2084</v>
      </c>
    </row>
    <row r="1676" customFormat="false" ht="15" hidden="false" customHeight="false" outlineLevel="0" collapsed="false">
      <c r="A1676" s="0" t="n">
        <v>137</v>
      </c>
      <c r="B1676" s="0" t="s">
        <v>1918</v>
      </c>
      <c r="C1676" s="0" t="s">
        <v>68</v>
      </c>
      <c r="D1676" s="0" t="s">
        <v>349</v>
      </c>
      <c r="E1676" s="0" t="s">
        <v>130</v>
      </c>
      <c r="F1676" s="0" t="s">
        <v>29</v>
      </c>
      <c r="I1676" s="0" t="n">
        <v>3000</v>
      </c>
      <c r="J1676" s="0" t="n">
        <v>0.75</v>
      </c>
      <c r="K1676" s="0" t="s">
        <v>2085</v>
      </c>
    </row>
    <row r="1677" customFormat="false" ht="15" hidden="false" customHeight="false" outlineLevel="0" collapsed="false">
      <c r="A1677" s="0" t="n">
        <v>137</v>
      </c>
      <c r="B1677" s="0" t="s">
        <v>1918</v>
      </c>
      <c r="C1677" s="0" t="s">
        <v>68</v>
      </c>
      <c r="D1677" s="0" t="s">
        <v>349</v>
      </c>
      <c r="E1677" s="0" t="s">
        <v>158</v>
      </c>
      <c r="F1677" s="0" t="s">
        <v>28</v>
      </c>
      <c r="I1677" s="0" t="n">
        <v>1000</v>
      </c>
      <c r="J1677" s="0" t="n">
        <v>0.25</v>
      </c>
      <c r="K1677" s="0" t="s">
        <v>2086</v>
      </c>
    </row>
    <row r="1678" customFormat="false" ht="15" hidden="false" customHeight="false" outlineLevel="0" collapsed="false">
      <c r="A1678" s="0" t="n">
        <v>137</v>
      </c>
      <c r="B1678" s="0" t="s">
        <v>1918</v>
      </c>
      <c r="C1678" s="0" t="s">
        <v>68</v>
      </c>
      <c r="D1678" s="0" t="s">
        <v>349</v>
      </c>
      <c r="E1678" s="0" t="s">
        <v>132</v>
      </c>
      <c r="F1678" s="0" t="s">
        <v>29</v>
      </c>
      <c r="I1678" s="0" t="n">
        <v>200</v>
      </c>
      <c r="J1678" s="0" t="n">
        <v>0.05</v>
      </c>
      <c r="K1678" s="0" t="s">
        <v>2087</v>
      </c>
    </row>
    <row r="1679" customFormat="false" ht="15" hidden="false" customHeight="false" outlineLevel="0" collapsed="false">
      <c r="A1679" s="0" t="n">
        <v>137</v>
      </c>
      <c r="B1679" s="0" t="s">
        <v>1918</v>
      </c>
      <c r="C1679" s="0" t="s">
        <v>68</v>
      </c>
      <c r="D1679" s="0" t="s">
        <v>349</v>
      </c>
      <c r="E1679" s="0" t="s">
        <v>134</v>
      </c>
      <c r="F1679" s="0" t="s">
        <v>28</v>
      </c>
      <c r="I1679" s="0" t="n">
        <v>0</v>
      </c>
      <c r="J1679" s="0" t="n">
        <v>0</v>
      </c>
      <c r="K1679" s="0" t="s">
        <v>2088</v>
      </c>
    </row>
    <row r="1680" customFormat="false" ht="15" hidden="false" customHeight="false" outlineLevel="0" collapsed="false">
      <c r="A1680" s="0" t="n">
        <v>137</v>
      </c>
      <c r="B1680" s="0" t="s">
        <v>1918</v>
      </c>
      <c r="C1680" s="0" t="s">
        <v>68</v>
      </c>
      <c r="D1680" s="0" t="s">
        <v>349</v>
      </c>
      <c r="E1680" s="0" t="s">
        <v>60</v>
      </c>
      <c r="F1680" s="0" t="s">
        <v>27</v>
      </c>
      <c r="I1680" s="0" t="n">
        <v>200</v>
      </c>
      <c r="J1680" s="0" t="n">
        <v>0.05</v>
      </c>
      <c r="K1680" s="0" t="s">
        <v>2089</v>
      </c>
    </row>
    <row r="1681" customFormat="false" ht="15" hidden="false" customHeight="false" outlineLevel="0" collapsed="false">
      <c r="A1681" s="0" t="n">
        <v>137</v>
      </c>
      <c r="B1681" s="0" t="s">
        <v>1918</v>
      </c>
      <c r="C1681" s="0" t="s">
        <v>68</v>
      </c>
      <c r="D1681" s="0" t="s">
        <v>349</v>
      </c>
      <c r="E1681" s="0" t="s">
        <v>62</v>
      </c>
      <c r="F1681" s="0" t="s">
        <v>27</v>
      </c>
      <c r="I1681" s="0" t="n">
        <v>100</v>
      </c>
      <c r="J1681" s="0" t="n">
        <v>0.025</v>
      </c>
      <c r="K1681" s="0" t="s">
        <v>2090</v>
      </c>
    </row>
    <row r="1682" customFormat="false" ht="15" hidden="false" customHeight="false" outlineLevel="0" collapsed="false">
      <c r="A1682" s="0" t="n">
        <v>137</v>
      </c>
      <c r="B1682" s="0" t="s">
        <v>1918</v>
      </c>
      <c r="C1682" s="0" t="s">
        <v>68</v>
      </c>
      <c r="D1682" s="0" t="s">
        <v>349</v>
      </c>
      <c r="E1682" s="0" t="s">
        <v>66</v>
      </c>
      <c r="F1682" s="0" t="s">
        <v>27</v>
      </c>
      <c r="I1682" s="0" t="n">
        <v>350</v>
      </c>
      <c r="J1682" s="0" t="n">
        <v>0.0875</v>
      </c>
      <c r="K1682" s="0" t="s">
        <v>2091</v>
      </c>
    </row>
    <row r="1683" customFormat="false" ht="15" hidden="false" customHeight="false" outlineLevel="0" collapsed="false">
      <c r="A1683" s="0" t="n">
        <v>137</v>
      </c>
      <c r="B1683" s="0" t="s">
        <v>1918</v>
      </c>
      <c r="C1683" s="0" t="s">
        <v>68</v>
      </c>
      <c r="D1683" s="0" t="s">
        <v>349</v>
      </c>
      <c r="E1683" s="0" t="s">
        <v>64</v>
      </c>
      <c r="F1683" s="0" t="s">
        <v>27</v>
      </c>
      <c r="I1683" s="0" t="n">
        <v>550</v>
      </c>
      <c r="J1683" s="0" t="n">
        <v>0.1375</v>
      </c>
      <c r="K1683" s="0" t="s">
        <v>2092</v>
      </c>
    </row>
    <row r="1684" customFormat="false" ht="15" hidden="false" customHeight="false" outlineLevel="0" collapsed="false">
      <c r="A1684" s="0" t="n">
        <v>137</v>
      </c>
      <c r="B1684" s="0" t="s">
        <v>1918</v>
      </c>
      <c r="C1684" s="0" t="s">
        <v>68</v>
      </c>
      <c r="D1684" s="0" t="s">
        <v>349</v>
      </c>
      <c r="E1684" s="0" t="s">
        <v>68</v>
      </c>
      <c r="F1684" s="0" t="s">
        <v>30</v>
      </c>
      <c r="I1684" s="0" t="n">
        <v>2700</v>
      </c>
      <c r="J1684" s="0" t="n">
        <v>0.675</v>
      </c>
      <c r="K1684" s="0" t="s">
        <v>2093</v>
      </c>
    </row>
    <row r="1685" customFormat="false" ht="15" hidden="false" customHeight="false" outlineLevel="0" collapsed="false">
      <c r="A1685" s="0" t="n">
        <v>138</v>
      </c>
      <c r="B1685" s="0" t="s">
        <v>1918</v>
      </c>
      <c r="C1685" s="0" t="s">
        <v>68</v>
      </c>
      <c r="D1685" s="0" t="s">
        <v>1407</v>
      </c>
      <c r="E1685" s="0" t="s">
        <v>53</v>
      </c>
      <c r="F1685" s="0" t="s">
        <v>27</v>
      </c>
      <c r="G1685" s="0" t="n">
        <v>0.6</v>
      </c>
      <c r="H1685" s="0" t="n">
        <v>1.14</v>
      </c>
      <c r="I1685" s="0" t="n">
        <v>2736</v>
      </c>
      <c r="J1685" s="0" t="n">
        <v>0.684</v>
      </c>
      <c r="K1685" s="0" t="s">
        <v>2094</v>
      </c>
      <c r="L1685" s="0" t="s">
        <v>2095</v>
      </c>
    </row>
    <row r="1686" customFormat="false" ht="15" hidden="false" customHeight="false" outlineLevel="0" collapsed="false">
      <c r="A1686" s="0" t="n">
        <v>138</v>
      </c>
      <c r="B1686" s="0" t="s">
        <v>1918</v>
      </c>
      <c r="C1686" s="0" t="s">
        <v>68</v>
      </c>
      <c r="D1686" s="0" t="s">
        <v>1407</v>
      </c>
      <c r="E1686" s="0" t="s">
        <v>56</v>
      </c>
      <c r="F1686" s="0" t="s">
        <v>28</v>
      </c>
      <c r="I1686" s="0" t="n">
        <v>700</v>
      </c>
      <c r="J1686" s="0" t="n">
        <v>0.175</v>
      </c>
      <c r="K1686" s="0" t="s">
        <v>2096</v>
      </c>
    </row>
    <row r="1687" customFormat="false" ht="15" hidden="false" customHeight="false" outlineLevel="0" collapsed="false">
      <c r="A1687" s="0" t="n">
        <v>138</v>
      </c>
      <c r="B1687" s="0" t="s">
        <v>1918</v>
      </c>
      <c r="C1687" s="0" t="s">
        <v>68</v>
      </c>
      <c r="D1687" s="0" t="s">
        <v>1407</v>
      </c>
      <c r="E1687" s="0" t="s">
        <v>58</v>
      </c>
      <c r="F1687" s="0" t="s">
        <v>28</v>
      </c>
      <c r="I1687" s="0" t="n">
        <v>2000</v>
      </c>
      <c r="J1687" s="0" t="n">
        <v>0.5</v>
      </c>
      <c r="K1687" s="0" t="s">
        <v>2097</v>
      </c>
    </row>
    <row r="1688" customFormat="false" ht="15" hidden="false" customHeight="false" outlineLevel="0" collapsed="false">
      <c r="A1688" s="0" t="n">
        <v>138</v>
      </c>
      <c r="B1688" s="0" t="s">
        <v>1918</v>
      </c>
      <c r="C1688" s="0" t="s">
        <v>68</v>
      </c>
      <c r="D1688" s="0" t="s">
        <v>1407</v>
      </c>
      <c r="E1688" s="0" t="s">
        <v>379</v>
      </c>
      <c r="F1688" s="0" t="s">
        <v>29</v>
      </c>
      <c r="I1688" s="0" t="n">
        <v>0</v>
      </c>
      <c r="J1688" s="0" t="n">
        <v>0</v>
      </c>
      <c r="K1688" s="0" t="s">
        <v>2098</v>
      </c>
    </row>
    <row r="1689" customFormat="false" ht="15" hidden="false" customHeight="false" outlineLevel="0" collapsed="false">
      <c r="A1689" s="0" t="n">
        <v>138</v>
      </c>
      <c r="B1689" s="0" t="s">
        <v>1918</v>
      </c>
      <c r="C1689" s="0" t="s">
        <v>68</v>
      </c>
      <c r="D1689" s="0" t="s">
        <v>1407</v>
      </c>
      <c r="E1689" s="0" t="s">
        <v>1428</v>
      </c>
      <c r="F1689" s="0" t="s">
        <v>27</v>
      </c>
      <c r="I1689" s="0" t="n">
        <v>500</v>
      </c>
      <c r="J1689" s="0" t="n">
        <v>0.125</v>
      </c>
      <c r="K1689" s="0" t="s">
        <v>2099</v>
      </c>
    </row>
    <row r="1690" customFormat="false" ht="15" hidden="false" customHeight="false" outlineLevel="0" collapsed="false">
      <c r="A1690" s="0" t="n">
        <v>138</v>
      </c>
      <c r="B1690" s="0" t="s">
        <v>1918</v>
      </c>
      <c r="C1690" s="0" t="s">
        <v>68</v>
      </c>
      <c r="D1690" s="0" t="s">
        <v>1407</v>
      </c>
      <c r="E1690" s="0" t="s">
        <v>128</v>
      </c>
      <c r="F1690" s="0" t="s">
        <v>28</v>
      </c>
      <c r="I1690" s="0" t="n">
        <v>1000</v>
      </c>
      <c r="J1690" s="0" t="n">
        <v>0.25</v>
      </c>
      <c r="K1690" s="0" t="s">
        <v>2100</v>
      </c>
    </row>
    <row r="1691" customFormat="false" ht="15" hidden="false" customHeight="false" outlineLevel="0" collapsed="false">
      <c r="A1691" s="0" t="n">
        <v>138</v>
      </c>
      <c r="B1691" s="0" t="s">
        <v>1918</v>
      </c>
      <c r="C1691" s="0" t="s">
        <v>68</v>
      </c>
      <c r="D1691" s="0" t="s">
        <v>1407</v>
      </c>
      <c r="E1691" s="0" t="s">
        <v>130</v>
      </c>
      <c r="F1691" s="0" t="s">
        <v>29</v>
      </c>
      <c r="I1691" s="0" t="n">
        <v>500</v>
      </c>
      <c r="J1691" s="0" t="n">
        <v>0.125</v>
      </c>
      <c r="K1691" s="0" t="s">
        <v>2101</v>
      </c>
    </row>
    <row r="1692" customFormat="false" ht="15" hidden="false" customHeight="false" outlineLevel="0" collapsed="false">
      <c r="A1692" s="0" t="n">
        <v>138</v>
      </c>
      <c r="B1692" s="0" t="s">
        <v>1918</v>
      </c>
      <c r="C1692" s="0" t="s">
        <v>68</v>
      </c>
      <c r="D1692" s="0" t="s">
        <v>1407</v>
      </c>
      <c r="E1692" s="0" t="s">
        <v>158</v>
      </c>
      <c r="F1692" s="0" t="s">
        <v>28</v>
      </c>
      <c r="I1692" s="0" t="n">
        <v>1000</v>
      </c>
      <c r="J1692" s="0" t="n">
        <v>0.25</v>
      </c>
      <c r="K1692" s="0" t="s">
        <v>2102</v>
      </c>
    </row>
    <row r="1693" customFormat="false" ht="15" hidden="false" customHeight="false" outlineLevel="0" collapsed="false">
      <c r="A1693" s="0" t="n">
        <v>138</v>
      </c>
      <c r="B1693" s="0" t="s">
        <v>1918</v>
      </c>
      <c r="C1693" s="0" t="s">
        <v>68</v>
      </c>
      <c r="D1693" s="0" t="s">
        <v>1407</v>
      </c>
      <c r="E1693" s="0" t="s">
        <v>132</v>
      </c>
      <c r="F1693" s="0" t="s">
        <v>29</v>
      </c>
      <c r="I1693" s="0" t="n">
        <v>0</v>
      </c>
      <c r="J1693" s="0" t="n">
        <v>0</v>
      </c>
      <c r="K1693" s="0" t="s">
        <v>2103</v>
      </c>
    </row>
    <row r="1694" customFormat="false" ht="15" hidden="false" customHeight="false" outlineLevel="0" collapsed="false">
      <c r="A1694" s="0" t="n">
        <v>138</v>
      </c>
      <c r="B1694" s="0" t="s">
        <v>1918</v>
      </c>
      <c r="C1694" s="0" t="s">
        <v>68</v>
      </c>
      <c r="D1694" s="0" t="s">
        <v>1407</v>
      </c>
      <c r="E1694" s="0" t="s">
        <v>134</v>
      </c>
      <c r="F1694" s="0" t="s">
        <v>28</v>
      </c>
      <c r="I1694" s="0" t="n">
        <v>500</v>
      </c>
      <c r="J1694" s="0" t="n">
        <v>0.125</v>
      </c>
      <c r="K1694" s="0" t="s">
        <v>2104</v>
      </c>
    </row>
    <row r="1695" customFormat="false" ht="15" hidden="false" customHeight="false" outlineLevel="0" collapsed="false">
      <c r="A1695" s="0" t="n">
        <v>138</v>
      </c>
      <c r="B1695" s="0" t="s">
        <v>1918</v>
      </c>
      <c r="C1695" s="0" t="s">
        <v>68</v>
      </c>
      <c r="D1695" s="0" t="s">
        <v>1407</v>
      </c>
      <c r="E1695" s="0" t="s">
        <v>60</v>
      </c>
      <c r="F1695" s="0" t="s">
        <v>27</v>
      </c>
      <c r="I1695" s="0" t="n">
        <v>50</v>
      </c>
      <c r="J1695" s="0" t="n">
        <v>0.0125</v>
      </c>
      <c r="K1695" s="0" t="s">
        <v>2105</v>
      </c>
    </row>
    <row r="1696" customFormat="false" ht="15" hidden="false" customHeight="false" outlineLevel="0" collapsed="false">
      <c r="A1696" s="0" t="n">
        <v>138</v>
      </c>
      <c r="B1696" s="0" t="s">
        <v>1918</v>
      </c>
      <c r="C1696" s="0" t="s">
        <v>68</v>
      </c>
      <c r="D1696" s="0" t="s">
        <v>1407</v>
      </c>
      <c r="E1696" s="0" t="s">
        <v>62</v>
      </c>
      <c r="F1696" s="0" t="s">
        <v>27</v>
      </c>
      <c r="I1696" s="0" t="n">
        <v>50</v>
      </c>
      <c r="J1696" s="0" t="n">
        <v>0.0125</v>
      </c>
      <c r="K1696" s="0" t="s">
        <v>2106</v>
      </c>
    </row>
    <row r="1697" customFormat="false" ht="15" hidden="false" customHeight="false" outlineLevel="0" collapsed="false">
      <c r="A1697" s="0" t="n">
        <v>138</v>
      </c>
      <c r="B1697" s="0" t="s">
        <v>1918</v>
      </c>
      <c r="C1697" s="0" t="s">
        <v>68</v>
      </c>
      <c r="D1697" s="0" t="s">
        <v>1407</v>
      </c>
      <c r="E1697" s="0" t="s">
        <v>66</v>
      </c>
      <c r="F1697" s="0" t="s">
        <v>27</v>
      </c>
      <c r="I1697" s="0" t="n">
        <v>250</v>
      </c>
      <c r="J1697" s="0" t="n">
        <v>0.0625</v>
      </c>
      <c r="K1697" s="0" t="s">
        <v>2107</v>
      </c>
    </row>
    <row r="1698" customFormat="false" ht="15" hidden="false" customHeight="false" outlineLevel="0" collapsed="false">
      <c r="A1698" s="0" t="n">
        <v>138</v>
      </c>
      <c r="B1698" s="0" t="s">
        <v>1918</v>
      </c>
      <c r="C1698" s="0" t="s">
        <v>68</v>
      </c>
      <c r="D1698" s="0" t="s">
        <v>1407</v>
      </c>
      <c r="E1698" s="0" t="s">
        <v>64</v>
      </c>
      <c r="F1698" s="0" t="s">
        <v>27</v>
      </c>
      <c r="I1698" s="0" t="n">
        <v>50</v>
      </c>
      <c r="J1698" s="0" t="n">
        <v>0.0125</v>
      </c>
      <c r="K1698" s="0" t="s">
        <v>2108</v>
      </c>
    </row>
    <row r="1699" customFormat="false" ht="15" hidden="false" customHeight="false" outlineLevel="0" collapsed="false">
      <c r="A1699" s="0" t="n">
        <v>138</v>
      </c>
      <c r="B1699" s="0" t="s">
        <v>1918</v>
      </c>
      <c r="C1699" s="0" t="s">
        <v>68</v>
      </c>
      <c r="D1699" s="0" t="s">
        <v>1407</v>
      </c>
      <c r="E1699" s="0" t="s">
        <v>68</v>
      </c>
      <c r="F1699" s="0" t="s">
        <v>30</v>
      </c>
      <c r="I1699" s="0" t="n">
        <v>4000</v>
      </c>
      <c r="J1699" s="0" t="n">
        <v>1</v>
      </c>
      <c r="K1699" s="0" t="s">
        <v>2109</v>
      </c>
    </row>
    <row r="1700" customFormat="false" ht="15" hidden="false" customHeight="false" outlineLevel="0" collapsed="false">
      <c r="A1700" s="0" t="n">
        <v>139</v>
      </c>
      <c r="B1700" s="0" t="s">
        <v>1918</v>
      </c>
      <c r="C1700" s="0" t="s">
        <v>68</v>
      </c>
      <c r="D1700" s="0" t="s">
        <v>2110</v>
      </c>
      <c r="E1700" s="0" t="s">
        <v>53</v>
      </c>
      <c r="F1700" s="0" t="s">
        <v>27</v>
      </c>
      <c r="G1700" s="0" t="n">
        <v>0.7</v>
      </c>
      <c r="H1700" s="0" t="n">
        <v>1.8</v>
      </c>
      <c r="I1700" s="0" t="n">
        <v>5040</v>
      </c>
      <c r="J1700" s="0" t="n">
        <v>1.26</v>
      </c>
      <c r="K1700" s="0" t="s">
        <v>2111</v>
      </c>
      <c r="L1700" s="0" t="s">
        <v>2112</v>
      </c>
    </row>
    <row r="1701" customFormat="false" ht="15" hidden="false" customHeight="false" outlineLevel="0" collapsed="false">
      <c r="A1701" s="0" t="n">
        <v>139</v>
      </c>
      <c r="B1701" s="0" t="s">
        <v>1918</v>
      </c>
      <c r="C1701" s="0" t="s">
        <v>68</v>
      </c>
      <c r="D1701" s="0" t="s">
        <v>2110</v>
      </c>
      <c r="E1701" s="0" t="s">
        <v>56</v>
      </c>
      <c r="F1701" s="0" t="s">
        <v>28</v>
      </c>
      <c r="I1701" s="0" t="n">
        <v>700</v>
      </c>
      <c r="J1701" s="0" t="n">
        <v>0.175</v>
      </c>
      <c r="K1701" s="0" t="s">
        <v>2113</v>
      </c>
    </row>
    <row r="1702" customFormat="false" ht="15" hidden="false" customHeight="false" outlineLevel="0" collapsed="false">
      <c r="A1702" s="0" t="n">
        <v>139</v>
      </c>
      <c r="B1702" s="0" t="s">
        <v>1918</v>
      </c>
      <c r="C1702" s="0" t="s">
        <v>68</v>
      </c>
      <c r="D1702" s="0" t="s">
        <v>2110</v>
      </c>
      <c r="E1702" s="0" t="s">
        <v>58</v>
      </c>
      <c r="F1702" s="0" t="s">
        <v>28</v>
      </c>
      <c r="I1702" s="0" t="n">
        <v>1500</v>
      </c>
      <c r="J1702" s="0" t="n">
        <v>0.375</v>
      </c>
      <c r="K1702" s="0" t="s">
        <v>2114</v>
      </c>
    </row>
    <row r="1703" customFormat="false" ht="15" hidden="false" customHeight="false" outlineLevel="0" collapsed="false">
      <c r="A1703" s="0" t="n">
        <v>139</v>
      </c>
      <c r="B1703" s="0" t="s">
        <v>1918</v>
      </c>
      <c r="C1703" s="0" t="s">
        <v>68</v>
      </c>
      <c r="D1703" s="0" t="s">
        <v>2110</v>
      </c>
      <c r="E1703" s="0" t="s">
        <v>379</v>
      </c>
      <c r="F1703" s="0" t="s">
        <v>29</v>
      </c>
      <c r="G1703" s="0" t="n">
        <v>0.8</v>
      </c>
      <c r="H1703" s="0" t="n">
        <v>11000</v>
      </c>
      <c r="I1703" s="0" t="n">
        <v>8800</v>
      </c>
      <c r="J1703" s="0" t="n">
        <v>2.2</v>
      </c>
      <c r="K1703" s="0" t="s">
        <v>2115</v>
      </c>
      <c r="L1703" s="0" t="s">
        <v>2116</v>
      </c>
    </row>
    <row r="1704" customFormat="false" ht="15" hidden="false" customHeight="false" outlineLevel="0" collapsed="false">
      <c r="A1704" s="0" t="n">
        <v>139</v>
      </c>
      <c r="B1704" s="0" t="s">
        <v>1918</v>
      </c>
      <c r="C1704" s="0" t="s">
        <v>68</v>
      </c>
      <c r="D1704" s="0" t="s">
        <v>2110</v>
      </c>
      <c r="E1704" s="0" t="s">
        <v>1428</v>
      </c>
      <c r="F1704" s="0" t="s">
        <v>27</v>
      </c>
      <c r="I1704" s="0" t="n">
        <v>800</v>
      </c>
      <c r="J1704" s="0" t="n">
        <v>0.2</v>
      </c>
      <c r="K1704" s="0" t="s">
        <v>2117</v>
      </c>
    </row>
    <row r="1705" customFormat="false" ht="15" hidden="false" customHeight="false" outlineLevel="0" collapsed="false">
      <c r="A1705" s="0" t="n">
        <v>139</v>
      </c>
      <c r="B1705" s="0" t="s">
        <v>1918</v>
      </c>
      <c r="C1705" s="0" t="s">
        <v>68</v>
      </c>
      <c r="D1705" s="0" t="s">
        <v>2110</v>
      </c>
      <c r="E1705" s="0" t="s">
        <v>128</v>
      </c>
      <c r="F1705" s="0" t="s">
        <v>28</v>
      </c>
      <c r="I1705" s="0" t="n">
        <v>1000</v>
      </c>
      <c r="J1705" s="0" t="n">
        <v>0.25</v>
      </c>
      <c r="K1705" s="0" t="s">
        <v>2118</v>
      </c>
    </row>
    <row r="1706" customFormat="false" ht="15" hidden="false" customHeight="false" outlineLevel="0" collapsed="false">
      <c r="A1706" s="0" t="n">
        <v>139</v>
      </c>
      <c r="B1706" s="0" t="s">
        <v>1918</v>
      </c>
      <c r="C1706" s="0" t="s">
        <v>68</v>
      </c>
      <c r="D1706" s="0" t="s">
        <v>2110</v>
      </c>
      <c r="E1706" s="0" t="s">
        <v>130</v>
      </c>
      <c r="F1706" s="0" t="s">
        <v>29</v>
      </c>
      <c r="I1706" s="0" t="n">
        <v>0</v>
      </c>
      <c r="J1706" s="0" t="n">
        <v>0</v>
      </c>
      <c r="K1706" s="0" t="s">
        <v>2119</v>
      </c>
    </row>
    <row r="1707" customFormat="false" ht="15" hidden="false" customHeight="false" outlineLevel="0" collapsed="false">
      <c r="A1707" s="0" t="n">
        <v>139</v>
      </c>
      <c r="B1707" s="0" t="s">
        <v>1918</v>
      </c>
      <c r="C1707" s="0" t="s">
        <v>68</v>
      </c>
      <c r="D1707" s="0" t="s">
        <v>2110</v>
      </c>
      <c r="E1707" s="0" t="s">
        <v>158</v>
      </c>
      <c r="F1707" s="0" t="s">
        <v>28</v>
      </c>
      <c r="I1707" s="0" t="n">
        <v>1000</v>
      </c>
      <c r="J1707" s="0" t="n">
        <v>0.25</v>
      </c>
      <c r="K1707" s="0" t="s">
        <v>2120</v>
      </c>
    </row>
    <row r="1708" customFormat="false" ht="15" hidden="false" customHeight="false" outlineLevel="0" collapsed="false">
      <c r="A1708" s="0" t="n">
        <v>139</v>
      </c>
      <c r="B1708" s="0" t="s">
        <v>1918</v>
      </c>
      <c r="C1708" s="0" t="s">
        <v>68</v>
      </c>
      <c r="D1708" s="0" t="s">
        <v>2110</v>
      </c>
      <c r="E1708" s="0" t="s">
        <v>132</v>
      </c>
      <c r="F1708" s="0" t="s">
        <v>29</v>
      </c>
      <c r="I1708" s="0" t="n">
        <v>0</v>
      </c>
      <c r="J1708" s="0" t="n">
        <v>0</v>
      </c>
      <c r="K1708" s="0" t="s">
        <v>2121</v>
      </c>
    </row>
    <row r="1709" customFormat="false" ht="15" hidden="false" customHeight="false" outlineLevel="0" collapsed="false">
      <c r="A1709" s="0" t="n">
        <v>139</v>
      </c>
      <c r="B1709" s="0" t="s">
        <v>1918</v>
      </c>
      <c r="C1709" s="0" t="s">
        <v>68</v>
      </c>
      <c r="D1709" s="0" t="s">
        <v>2110</v>
      </c>
      <c r="E1709" s="0" t="s">
        <v>134</v>
      </c>
      <c r="F1709" s="0" t="s">
        <v>28</v>
      </c>
      <c r="I1709" s="0" t="n">
        <v>0</v>
      </c>
      <c r="J1709" s="0" t="n">
        <v>0</v>
      </c>
      <c r="K1709" s="0" t="s">
        <v>2122</v>
      </c>
    </row>
    <row r="1710" customFormat="false" ht="15" hidden="false" customHeight="false" outlineLevel="0" collapsed="false">
      <c r="A1710" s="0" t="n">
        <v>139</v>
      </c>
      <c r="B1710" s="0" t="s">
        <v>1918</v>
      </c>
      <c r="C1710" s="0" t="s">
        <v>68</v>
      </c>
      <c r="D1710" s="0" t="s">
        <v>2110</v>
      </c>
      <c r="E1710" s="0" t="s">
        <v>60</v>
      </c>
      <c r="F1710" s="0" t="s">
        <v>27</v>
      </c>
      <c r="I1710" s="0" t="n">
        <v>0</v>
      </c>
      <c r="J1710" s="0" t="n">
        <v>0</v>
      </c>
      <c r="K1710" s="0" t="s">
        <v>2123</v>
      </c>
    </row>
    <row r="1711" customFormat="false" ht="15" hidden="false" customHeight="false" outlineLevel="0" collapsed="false">
      <c r="A1711" s="0" t="n">
        <v>139</v>
      </c>
      <c r="B1711" s="0" t="s">
        <v>1918</v>
      </c>
      <c r="C1711" s="0" t="s">
        <v>68</v>
      </c>
      <c r="D1711" s="0" t="s">
        <v>2110</v>
      </c>
      <c r="E1711" s="0" t="s">
        <v>62</v>
      </c>
      <c r="F1711" s="0" t="s">
        <v>27</v>
      </c>
      <c r="I1711" s="0" t="n">
        <v>100</v>
      </c>
      <c r="J1711" s="0" t="n">
        <v>0.025</v>
      </c>
      <c r="K1711" s="0" t="s">
        <v>2124</v>
      </c>
    </row>
    <row r="1712" customFormat="false" ht="15" hidden="false" customHeight="false" outlineLevel="0" collapsed="false">
      <c r="A1712" s="0" t="n">
        <v>139</v>
      </c>
      <c r="B1712" s="0" t="s">
        <v>1918</v>
      </c>
      <c r="C1712" s="0" t="s">
        <v>68</v>
      </c>
      <c r="D1712" s="0" t="s">
        <v>2110</v>
      </c>
      <c r="E1712" s="0" t="s">
        <v>66</v>
      </c>
      <c r="F1712" s="0" t="s">
        <v>27</v>
      </c>
      <c r="I1712" s="0" t="n">
        <v>250</v>
      </c>
      <c r="J1712" s="0" t="n">
        <v>0.0625</v>
      </c>
      <c r="K1712" s="0" t="s">
        <v>2125</v>
      </c>
    </row>
    <row r="1713" customFormat="false" ht="15" hidden="false" customHeight="false" outlineLevel="0" collapsed="false">
      <c r="A1713" s="0" t="n">
        <v>139</v>
      </c>
      <c r="B1713" s="0" t="s">
        <v>1918</v>
      </c>
      <c r="C1713" s="0" t="s">
        <v>68</v>
      </c>
      <c r="D1713" s="0" t="s">
        <v>2110</v>
      </c>
      <c r="E1713" s="0" t="s">
        <v>64</v>
      </c>
      <c r="F1713" s="0" t="s">
        <v>27</v>
      </c>
      <c r="I1713" s="0" t="n">
        <v>750</v>
      </c>
      <c r="J1713" s="0" t="n">
        <v>0.1875</v>
      </c>
      <c r="K1713" s="0" t="s">
        <v>2126</v>
      </c>
    </row>
    <row r="1714" customFormat="false" ht="15" hidden="false" customHeight="false" outlineLevel="0" collapsed="false">
      <c r="A1714" s="0" t="n">
        <v>139</v>
      </c>
      <c r="B1714" s="0" t="s">
        <v>1918</v>
      </c>
      <c r="C1714" s="0" t="s">
        <v>68</v>
      </c>
      <c r="D1714" s="0" t="s">
        <v>2110</v>
      </c>
      <c r="E1714" s="0" t="s">
        <v>68</v>
      </c>
      <c r="F1714" s="0" t="s">
        <v>30</v>
      </c>
      <c r="I1714" s="0" t="n">
        <v>3500</v>
      </c>
      <c r="J1714" s="0" t="n">
        <v>0.875</v>
      </c>
      <c r="K1714" s="0" t="s">
        <v>2127</v>
      </c>
    </row>
    <row r="1715" customFormat="false" ht="15" hidden="false" customHeight="false" outlineLevel="0" collapsed="false">
      <c r="A1715" s="0" t="n">
        <v>140</v>
      </c>
      <c r="B1715" s="0" t="s">
        <v>2128</v>
      </c>
      <c r="D1715" s="0" t="s">
        <v>2129</v>
      </c>
      <c r="E1715" s="0" t="s">
        <v>53</v>
      </c>
      <c r="F1715" s="0" t="s">
        <v>27</v>
      </c>
      <c r="G1715" s="0" t="n">
        <v>0.8</v>
      </c>
      <c r="H1715" s="0" t="n">
        <v>3</v>
      </c>
      <c r="I1715" s="0" t="n">
        <v>9120</v>
      </c>
      <c r="J1715" s="0" t="n">
        <v>2.4</v>
      </c>
      <c r="K1715" s="0" t="s">
        <v>2130</v>
      </c>
      <c r="L1715" s="0" t="s">
        <v>2131</v>
      </c>
    </row>
    <row r="1716" customFormat="false" ht="15" hidden="false" customHeight="false" outlineLevel="0" collapsed="false">
      <c r="A1716" s="0" t="n">
        <v>140</v>
      </c>
      <c r="B1716" s="0" t="s">
        <v>2128</v>
      </c>
      <c r="D1716" s="0" t="s">
        <v>2129</v>
      </c>
      <c r="E1716" s="0" t="s">
        <v>56</v>
      </c>
      <c r="F1716" s="0" t="s">
        <v>28</v>
      </c>
      <c r="I1716" s="0" t="n">
        <v>1000</v>
      </c>
      <c r="J1716" s="0" t="n">
        <v>0.263157894736842</v>
      </c>
      <c r="K1716" s="0" t="s">
        <v>2132</v>
      </c>
    </row>
    <row r="1717" customFormat="false" ht="15" hidden="false" customHeight="false" outlineLevel="0" collapsed="false">
      <c r="A1717" s="0" t="n">
        <v>140</v>
      </c>
      <c r="B1717" s="0" t="s">
        <v>2128</v>
      </c>
      <c r="D1717" s="0" t="s">
        <v>2129</v>
      </c>
      <c r="E1717" s="0" t="s">
        <v>58</v>
      </c>
      <c r="F1717" s="0" t="s">
        <v>28</v>
      </c>
      <c r="I1717" s="0" t="n">
        <v>2500</v>
      </c>
      <c r="J1717" s="0" t="n">
        <v>0.657894736842105</v>
      </c>
      <c r="K1717" s="0" t="s">
        <v>2133</v>
      </c>
    </row>
    <row r="1718" customFormat="false" ht="15" hidden="false" customHeight="false" outlineLevel="0" collapsed="false">
      <c r="A1718" s="0" t="n">
        <v>140</v>
      </c>
      <c r="B1718" s="0" t="s">
        <v>2128</v>
      </c>
      <c r="D1718" s="0" t="s">
        <v>2129</v>
      </c>
      <c r="E1718" s="0" t="s">
        <v>128</v>
      </c>
      <c r="F1718" s="0" t="s">
        <v>28</v>
      </c>
      <c r="I1718" s="0" t="n">
        <v>3000</v>
      </c>
      <c r="J1718" s="0" t="n">
        <v>0.789473684210526</v>
      </c>
      <c r="K1718" s="0" t="s">
        <v>2134</v>
      </c>
    </row>
    <row r="1719" customFormat="false" ht="15" hidden="false" customHeight="false" outlineLevel="0" collapsed="false">
      <c r="A1719" s="0" t="n">
        <v>140</v>
      </c>
      <c r="B1719" s="0" t="s">
        <v>2128</v>
      </c>
      <c r="D1719" s="0" t="s">
        <v>2129</v>
      </c>
      <c r="E1719" s="0" t="s">
        <v>2135</v>
      </c>
      <c r="F1719" s="0" t="s">
        <v>29</v>
      </c>
      <c r="G1719" s="0" t="n">
        <v>15000</v>
      </c>
      <c r="H1719" s="0" t="n">
        <v>1.3</v>
      </c>
      <c r="I1719" s="0" t="n">
        <v>11538.4615384615</v>
      </c>
      <c r="J1719" s="0" t="n">
        <v>3.03643724696356</v>
      </c>
      <c r="K1719" s="0" t="s">
        <v>2136</v>
      </c>
      <c r="L1719" s="0" t="s">
        <v>1186</v>
      </c>
    </row>
    <row r="1720" customFormat="false" ht="15" hidden="false" customHeight="false" outlineLevel="0" collapsed="false">
      <c r="A1720" s="0" t="n">
        <v>140</v>
      </c>
      <c r="B1720" s="0" t="s">
        <v>2128</v>
      </c>
      <c r="D1720" s="0" t="s">
        <v>2129</v>
      </c>
      <c r="E1720" s="0" t="s">
        <v>158</v>
      </c>
      <c r="F1720" s="0" t="s">
        <v>28</v>
      </c>
      <c r="I1720" s="0" t="n">
        <v>2000</v>
      </c>
      <c r="J1720" s="0" t="n">
        <v>0.526315789473684</v>
      </c>
      <c r="K1720" s="0" t="s">
        <v>2137</v>
      </c>
    </row>
    <row r="1721" customFormat="false" ht="15" hidden="false" customHeight="false" outlineLevel="0" collapsed="false">
      <c r="A1721" s="0" t="n">
        <v>140</v>
      </c>
      <c r="B1721" s="0" t="s">
        <v>2128</v>
      </c>
      <c r="D1721" s="0" t="s">
        <v>2129</v>
      </c>
      <c r="E1721" s="0" t="s">
        <v>132</v>
      </c>
      <c r="F1721" s="0" t="s">
        <v>29</v>
      </c>
      <c r="I1721" s="0" t="n">
        <v>300</v>
      </c>
      <c r="J1721" s="0" t="n">
        <v>0.0789473684210526</v>
      </c>
      <c r="K1721" s="0" t="s">
        <v>2138</v>
      </c>
    </row>
    <row r="1722" customFormat="false" ht="15" hidden="false" customHeight="false" outlineLevel="0" collapsed="false">
      <c r="A1722" s="0" t="n">
        <v>140</v>
      </c>
      <c r="B1722" s="0" t="s">
        <v>2128</v>
      </c>
      <c r="D1722" s="0" t="s">
        <v>2129</v>
      </c>
      <c r="E1722" s="0" t="s">
        <v>134</v>
      </c>
      <c r="F1722" s="0" t="s">
        <v>28</v>
      </c>
      <c r="I1722" s="0" t="n">
        <v>200</v>
      </c>
      <c r="J1722" s="0" t="n">
        <v>0.0526315789473684</v>
      </c>
      <c r="K1722" s="0" t="s">
        <v>2139</v>
      </c>
    </row>
    <row r="1723" customFormat="false" ht="15" hidden="false" customHeight="false" outlineLevel="0" collapsed="false">
      <c r="A1723" s="0" t="n">
        <v>140</v>
      </c>
      <c r="B1723" s="0" t="s">
        <v>2128</v>
      </c>
      <c r="D1723" s="0" t="s">
        <v>2129</v>
      </c>
      <c r="E1723" s="0" t="s">
        <v>60</v>
      </c>
      <c r="F1723" s="0" t="s">
        <v>27</v>
      </c>
      <c r="I1723" s="0" t="n">
        <v>500</v>
      </c>
      <c r="J1723" s="0" t="n">
        <v>0.131578947368421</v>
      </c>
      <c r="K1723" s="0" t="s">
        <v>2140</v>
      </c>
    </row>
    <row r="1724" customFormat="false" ht="15" hidden="false" customHeight="false" outlineLevel="0" collapsed="false">
      <c r="A1724" s="0" t="n">
        <v>140</v>
      </c>
      <c r="B1724" s="0" t="s">
        <v>2128</v>
      </c>
      <c r="D1724" s="0" t="s">
        <v>2129</v>
      </c>
      <c r="E1724" s="0" t="s">
        <v>62</v>
      </c>
      <c r="F1724" s="0" t="s">
        <v>27</v>
      </c>
      <c r="I1724" s="0" t="n">
        <v>100</v>
      </c>
      <c r="J1724" s="0" t="n">
        <v>0.0263157894736842</v>
      </c>
      <c r="K1724" s="0" t="s">
        <v>2141</v>
      </c>
    </row>
    <row r="1725" customFormat="false" ht="15" hidden="false" customHeight="false" outlineLevel="0" collapsed="false">
      <c r="A1725" s="0" t="n">
        <v>140</v>
      </c>
      <c r="B1725" s="0" t="s">
        <v>2128</v>
      </c>
      <c r="D1725" s="0" t="s">
        <v>2129</v>
      </c>
      <c r="E1725" s="0" t="s">
        <v>66</v>
      </c>
      <c r="F1725" s="0" t="s">
        <v>27</v>
      </c>
      <c r="I1725" s="0" t="n">
        <v>250</v>
      </c>
      <c r="J1725" s="0" t="n">
        <v>0.0657894736842105</v>
      </c>
      <c r="K1725" s="0" t="s">
        <v>2142</v>
      </c>
    </row>
    <row r="1726" customFormat="false" ht="15" hidden="false" customHeight="false" outlineLevel="0" collapsed="false">
      <c r="A1726" s="0" t="n">
        <v>140</v>
      </c>
      <c r="B1726" s="0" t="s">
        <v>2128</v>
      </c>
      <c r="D1726" s="0" t="s">
        <v>2129</v>
      </c>
      <c r="E1726" s="0" t="s">
        <v>64</v>
      </c>
      <c r="F1726" s="0" t="s">
        <v>27</v>
      </c>
      <c r="I1726" s="0" t="n">
        <v>750</v>
      </c>
      <c r="J1726" s="0" t="n">
        <v>0.197368421052632</v>
      </c>
      <c r="K1726" s="0" t="s">
        <v>2143</v>
      </c>
    </row>
    <row r="1727" customFormat="false" ht="15" hidden="false" customHeight="false" outlineLevel="0" collapsed="false">
      <c r="A1727" s="0" t="n">
        <v>140</v>
      </c>
      <c r="B1727" s="0" t="s">
        <v>2128</v>
      </c>
      <c r="D1727" s="0" t="s">
        <v>2129</v>
      </c>
      <c r="E1727" s="0" t="s">
        <v>68</v>
      </c>
      <c r="F1727" s="0" t="s">
        <v>30</v>
      </c>
      <c r="I1727" s="0" t="n">
        <v>4000</v>
      </c>
      <c r="J1727" s="0" t="n">
        <v>1.05263157894737</v>
      </c>
      <c r="K1727" s="0" t="s">
        <v>2144</v>
      </c>
    </row>
    <row r="1728" customFormat="false" ht="15" hidden="false" customHeight="false" outlineLevel="0" collapsed="false">
      <c r="A1728" s="0" t="n">
        <v>141</v>
      </c>
      <c r="B1728" s="0" t="s">
        <v>2128</v>
      </c>
      <c r="D1728" s="0" t="s">
        <v>90</v>
      </c>
      <c r="E1728" s="0" t="s">
        <v>53</v>
      </c>
      <c r="F1728" s="0" t="s">
        <v>27</v>
      </c>
      <c r="G1728" s="0" t="n">
        <v>0.6</v>
      </c>
      <c r="H1728" s="0" t="n">
        <v>3</v>
      </c>
      <c r="I1728" s="0" t="n">
        <v>6840</v>
      </c>
      <c r="J1728" s="0" t="n">
        <v>1.8</v>
      </c>
      <c r="K1728" s="0" t="s">
        <v>2145</v>
      </c>
      <c r="L1728" s="0" t="s">
        <v>2146</v>
      </c>
    </row>
    <row r="1729" customFormat="false" ht="15" hidden="false" customHeight="false" outlineLevel="0" collapsed="false">
      <c r="A1729" s="0" t="n">
        <v>141</v>
      </c>
      <c r="B1729" s="0" t="s">
        <v>2128</v>
      </c>
      <c r="D1729" s="0" t="s">
        <v>90</v>
      </c>
      <c r="E1729" s="0" t="s">
        <v>56</v>
      </c>
      <c r="F1729" s="0" t="s">
        <v>28</v>
      </c>
      <c r="I1729" s="0" t="n">
        <v>1000</v>
      </c>
      <c r="J1729" s="0" t="n">
        <v>0.263157894736842</v>
      </c>
      <c r="K1729" s="0" t="s">
        <v>2147</v>
      </c>
    </row>
    <row r="1730" customFormat="false" ht="15" hidden="false" customHeight="false" outlineLevel="0" collapsed="false">
      <c r="A1730" s="0" t="n">
        <v>141</v>
      </c>
      <c r="B1730" s="0" t="s">
        <v>2128</v>
      </c>
      <c r="D1730" s="0" t="s">
        <v>90</v>
      </c>
      <c r="E1730" s="0" t="s">
        <v>58</v>
      </c>
      <c r="F1730" s="0" t="s">
        <v>28</v>
      </c>
      <c r="I1730" s="0" t="n">
        <v>2500</v>
      </c>
      <c r="J1730" s="0" t="n">
        <v>0.657894736842105</v>
      </c>
      <c r="K1730" s="0" t="s">
        <v>2148</v>
      </c>
    </row>
    <row r="1731" customFormat="false" ht="15" hidden="false" customHeight="false" outlineLevel="0" collapsed="false">
      <c r="A1731" s="0" t="n">
        <v>141</v>
      </c>
      <c r="B1731" s="0" t="s">
        <v>2128</v>
      </c>
      <c r="D1731" s="0" t="s">
        <v>90</v>
      </c>
      <c r="E1731" s="0" t="s">
        <v>128</v>
      </c>
      <c r="F1731" s="0" t="s">
        <v>28</v>
      </c>
      <c r="I1731" s="0" t="n">
        <v>2000</v>
      </c>
      <c r="J1731" s="0" t="n">
        <v>0.526315789473684</v>
      </c>
      <c r="K1731" s="0" t="s">
        <v>2149</v>
      </c>
    </row>
    <row r="1732" customFormat="false" ht="15" hidden="false" customHeight="false" outlineLevel="0" collapsed="false">
      <c r="A1732" s="0" t="n">
        <v>141</v>
      </c>
      <c r="B1732" s="0" t="s">
        <v>2128</v>
      </c>
      <c r="D1732" s="0" t="s">
        <v>90</v>
      </c>
      <c r="E1732" s="0" t="s">
        <v>2135</v>
      </c>
      <c r="F1732" s="0" t="s">
        <v>29</v>
      </c>
      <c r="G1732" s="0" t="n">
        <v>15000</v>
      </c>
      <c r="H1732" s="0" t="n">
        <v>2</v>
      </c>
      <c r="I1732" s="0" t="n">
        <v>7500</v>
      </c>
      <c r="J1732" s="0" t="n">
        <v>1.97368421052632</v>
      </c>
      <c r="K1732" s="0" t="s">
        <v>2150</v>
      </c>
      <c r="L1732" s="0" t="s">
        <v>2151</v>
      </c>
    </row>
    <row r="1733" customFormat="false" ht="15" hidden="false" customHeight="false" outlineLevel="0" collapsed="false">
      <c r="A1733" s="0" t="n">
        <v>141</v>
      </c>
      <c r="B1733" s="0" t="s">
        <v>2128</v>
      </c>
      <c r="D1733" s="0" t="s">
        <v>90</v>
      </c>
      <c r="E1733" s="0" t="s">
        <v>158</v>
      </c>
      <c r="F1733" s="0" t="s">
        <v>28</v>
      </c>
      <c r="I1733" s="0" t="n">
        <v>1000</v>
      </c>
      <c r="J1733" s="0" t="n">
        <v>0.263157894736842</v>
      </c>
      <c r="K1733" s="0" t="s">
        <v>2152</v>
      </c>
    </row>
    <row r="1734" customFormat="false" ht="15" hidden="false" customHeight="false" outlineLevel="0" collapsed="false">
      <c r="A1734" s="0" t="n">
        <v>141</v>
      </c>
      <c r="B1734" s="0" t="s">
        <v>2128</v>
      </c>
      <c r="D1734" s="0" t="s">
        <v>90</v>
      </c>
      <c r="E1734" s="0" t="s">
        <v>132</v>
      </c>
      <c r="F1734" s="0" t="s">
        <v>29</v>
      </c>
      <c r="I1734" s="0" t="n">
        <v>300</v>
      </c>
      <c r="J1734" s="0" t="n">
        <v>0.0789473684210526</v>
      </c>
      <c r="K1734" s="0" t="s">
        <v>2153</v>
      </c>
    </row>
    <row r="1735" customFormat="false" ht="15" hidden="false" customHeight="false" outlineLevel="0" collapsed="false">
      <c r="A1735" s="0" t="n">
        <v>141</v>
      </c>
      <c r="B1735" s="0" t="s">
        <v>2128</v>
      </c>
      <c r="D1735" s="0" t="s">
        <v>90</v>
      </c>
      <c r="E1735" s="0" t="s">
        <v>134</v>
      </c>
      <c r="F1735" s="0" t="s">
        <v>28</v>
      </c>
      <c r="I1735" s="0" t="n">
        <v>200</v>
      </c>
      <c r="J1735" s="0" t="n">
        <v>0.0526315789473684</v>
      </c>
      <c r="K1735" s="0" t="s">
        <v>2154</v>
      </c>
    </row>
    <row r="1736" customFormat="false" ht="15" hidden="false" customHeight="false" outlineLevel="0" collapsed="false">
      <c r="A1736" s="0" t="n">
        <v>141</v>
      </c>
      <c r="B1736" s="0" t="s">
        <v>2128</v>
      </c>
      <c r="D1736" s="0" t="s">
        <v>90</v>
      </c>
      <c r="E1736" s="0" t="s">
        <v>60</v>
      </c>
      <c r="F1736" s="0" t="s">
        <v>27</v>
      </c>
      <c r="I1736" s="0" t="n">
        <v>500</v>
      </c>
      <c r="J1736" s="0" t="n">
        <v>0.131578947368421</v>
      </c>
      <c r="K1736" s="0" t="s">
        <v>2155</v>
      </c>
    </row>
    <row r="1737" customFormat="false" ht="15" hidden="false" customHeight="false" outlineLevel="0" collapsed="false">
      <c r="A1737" s="0" t="n">
        <v>141</v>
      </c>
      <c r="B1737" s="0" t="s">
        <v>2128</v>
      </c>
      <c r="D1737" s="0" t="s">
        <v>90</v>
      </c>
      <c r="E1737" s="0" t="s">
        <v>62</v>
      </c>
      <c r="F1737" s="0" t="s">
        <v>27</v>
      </c>
      <c r="I1737" s="0" t="n">
        <v>100</v>
      </c>
      <c r="J1737" s="0" t="n">
        <v>0.0263157894736842</v>
      </c>
      <c r="K1737" s="0" t="s">
        <v>2156</v>
      </c>
    </row>
    <row r="1738" customFormat="false" ht="15" hidden="false" customHeight="false" outlineLevel="0" collapsed="false">
      <c r="A1738" s="0" t="n">
        <v>141</v>
      </c>
      <c r="B1738" s="0" t="s">
        <v>2128</v>
      </c>
      <c r="D1738" s="0" t="s">
        <v>90</v>
      </c>
      <c r="E1738" s="0" t="s">
        <v>66</v>
      </c>
      <c r="F1738" s="0" t="s">
        <v>27</v>
      </c>
      <c r="I1738" s="0" t="n">
        <v>250</v>
      </c>
      <c r="J1738" s="0" t="n">
        <v>0.0657894736842105</v>
      </c>
      <c r="K1738" s="0" t="s">
        <v>2157</v>
      </c>
    </row>
    <row r="1739" customFormat="false" ht="15" hidden="false" customHeight="false" outlineLevel="0" collapsed="false">
      <c r="A1739" s="0" t="n">
        <v>141</v>
      </c>
      <c r="B1739" s="0" t="s">
        <v>2128</v>
      </c>
      <c r="D1739" s="0" t="s">
        <v>90</v>
      </c>
      <c r="E1739" s="0" t="s">
        <v>64</v>
      </c>
      <c r="F1739" s="0" t="s">
        <v>27</v>
      </c>
      <c r="I1739" s="0" t="n">
        <v>750</v>
      </c>
      <c r="J1739" s="0" t="n">
        <v>0.197368421052632</v>
      </c>
      <c r="K1739" s="0" t="s">
        <v>2158</v>
      </c>
    </row>
    <row r="1740" customFormat="false" ht="15" hidden="false" customHeight="false" outlineLevel="0" collapsed="false">
      <c r="A1740" s="0" t="n">
        <v>141</v>
      </c>
      <c r="B1740" s="0" t="s">
        <v>2128</v>
      </c>
      <c r="D1740" s="0" t="s">
        <v>90</v>
      </c>
      <c r="E1740" s="0" t="s">
        <v>68</v>
      </c>
      <c r="F1740" s="0" t="s">
        <v>30</v>
      </c>
      <c r="I1740" s="0" t="n">
        <v>4000</v>
      </c>
      <c r="J1740" s="0" t="n">
        <v>1.05263157894737</v>
      </c>
      <c r="K1740" s="0" t="s">
        <v>2159</v>
      </c>
    </row>
    <row r="1741" customFormat="false" ht="15" hidden="false" customHeight="false" outlineLevel="0" collapsed="false">
      <c r="A1741" s="0" t="n">
        <v>142</v>
      </c>
      <c r="B1741" s="0" t="s">
        <v>2128</v>
      </c>
      <c r="C1741" s="0" t="s">
        <v>2160</v>
      </c>
      <c r="D1741" s="0" t="s">
        <v>2160</v>
      </c>
      <c r="E1741" s="0" t="s">
        <v>53</v>
      </c>
      <c r="F1741" s="0" t="s">
        <v>27</v>
      </c>
      <c r="G1741" s="0" t="n">
        <v>1.1</v>
      </c>
      <c r="H1741" s="0" t="n">
        <v>3</v>
      </c>
      <c r="I1741" s="0" t="n">
        <v>12540</v>
      </c>
      <c r="J1741" s="0" t="n">
        <v>3.3</v>
      </c>
      <c r="K1741" s="0" t="s">
        <v>2161</v>
      </c>
      <c r="L1741" s="0" t="s">
        <v>1647</v>
      </c>
    </row>
    <row r="1742" customFormat="false" ht="15" hidden="false" customHeight="false" outlineLevel="0" collapsed="false">
      <c r="A1742" s="0" t="n">
        <v>142</v>
      </c>
      <c r="B1742" s="0" t="s">
        <v>2128</v>
      </c>
      <c r="C1742" s="0" t="s">
        <v>2160</v>
      </c>
      <c r="D1742" s="0" t="s">
        <v>2160</v>
      </c>
      <c r="E1742" s="0" t="s">
        <v>56</v>
      </c>
      <c r="F1742" s="0" t="s">
        <v>28</v>
      </c>
      <c r="I1742" s="0" t="n">
        <v>1000</v>
      </c>
      <c r="J1742" s="0" t="n">
        <v>0.263157894736842</v>
      </c>
      <c r="K1742" s="0" t="s">
        <v>2162</v>
      </c>
    </row>
    <row r="1743" customFormat="false" ht="15" hidden="false" customHeight="false" outlineLevel="0" collapsed="false">
      <c r="A1743" s="0" t="n">
        <v>142</v>
      </c>
      <c r="B1743" s="0" t="s">
        <v>2128</v>
      </c>
      <c r="C1743" s="0" t="s">
        <v>2160</v>
      </c>
      <c r="D1743" s="0" t="s">
        <v>2160</v>
      </c>
      <c r="E1743" s="0" t="s">
        <v>58</v>
      </c>
      <c r="F1743" s="0" t="s">
        <v>28</v>
      </c>
      <c r="I1743" s="0" t="n">
        <v>2500</v>
      </c>
      <c r="J1743" s="0" t="n">
        <v>0.657894736842105</v>
      </c>
      <c r="K1743" s="0" t="s">
        <v>2163</v>
      </c>
    </row>
    <row r="1744" customFormat="false" ht="15" hidden="false" customHeight="false" outlineLevel="0" collapsed="false">
      <c r="A1744" s="0" t="n">
        <v>142</v>
      </c>
      <c r="B1744" s="0" t="s">
        <v>2128</v>
      </c>
      <c r="C1744" s="0" t="s">
        <v>2160</v>
      </c>
      <c r="D1744" s="0" t="s">
        <v>2160</v>
      </c>
      <c r="E1744" s="0" t="s">
        <v>2164</v>
      </c>
      <c r="F1744" s="0" t="s">
        <v>29</v>
      </c>
      <c r="G1744" s="0" t="n">
        <v>15000</v>
      </c>
      <c r="H1744" s="0" t="n">
        <v>1</v>
      </c>
      <c r="I1744" s="0" t="n">
        <v>15000</v>
      </c>
      <c r="J1744" s="0" t="n">
        <v>3.94736842105263</v>
      </c>
      <c r="K1744" s="0" t="s">
        <v>2165</v>
      </c>
      <c r="L1744" s="0" t="s">
        <v>2166</v>
      </c>
    </row>
    <row r="1745" customFormat="false" ht="15" hidden="false" customHeight="false" outlineLevel="0" collapsed="false">
      <c r="A1745" s="0" t="n">
        <v>142</v>
      </c>
      <c r="B1745" s="0" t="s">
        <v>2128</v>
      </c>
      <c r="C1745" s="0" t="s">
        <v>2160</v>
      </c>
      <c r="D1745" s="0" t="s">
        <v>2160</v>
      </c>
      <c r="E1745" s="0" t="s">
        <v>128</v>
      </c>
      <c r="F1745" s="0" t="s">
        <v>28</v>
      </c>
      <c r="I1745" s="0" t="n">
        <v>3000</v>
      </c>
      <c r="J1745" s="0" t="n">
        <v>0.789473684210526</v>
      </c>
      <c r="K1745" s="0" t="s">
        <v>2167</v>
      </c>
    </row>
    <row r="1746" customFormat="false" ht="15" hidden="false" customHeight="false" outlineLevel="0" collapsed="false">
      <c r="A1746" s="0" t="n">
        <v>142</v>
      </c>
      <c r="B1746" s="0" t="s">
        <v>2128</v>
      </c>
      <c r="C1746" s="0" t="s">
        <v>2160</v>
      </c>
      <c r="D1746" s="0" t="s">
        <v>2160</v>
      </c>
      <c r="E1746" s="0" t="s">
        <v>158</v>
      </c>
      <c r="F1746" s="0" t="s">
        <v>28</v>
      </c>
      <c r="I1746" s="0" t="n">
        <v>2000</v>
      </c>
      <c r="J1746" s="0" t="n">
        <v>0.526315789473684</v>
      </c>
      <c r="K1746" s="0" t="s">
        <v>2168</v>
      </c>
    </row>
    <row r="1747" customFormat="false" ht="15" hidden="false" customHeight="false" outlineLevel="0" collapsed="false">
      <c r="A1747" s="0" t="n">
        <v>142</v>
      </c>
      <c r="B1747" s="0" t="s">
        <v>2128</v>
      </c>
      <c r="C1747" s="0" t="s">
        <v>2160</v>
      </c>
      <c r="D1747" s="0" t="s">
        <v>2160</v>
      </c>
      <c r="E1747" s="0" t="s">
        <v>132</v>
      </c>
      <c r="F1747" s="0" t="s">
        <v>29</v>
      </c>
      <c r="I1747" s="0" t="n">
        <v>300</v>
      </c>
      <c r="J1747" s="0" t="n">
        <v>0.0789473684210526</v>
      </c>
      <c r="K1747" s="0" t="s">
        <v>2169</v>
      </c>
    </row>
    <row r="1748" customFormat="false" ht="15" hidden="false" customHeight="false" outlineLevel="0" collapsed="false">
      <c r="A1748" s="0" t="n">
        <v>142</v>
      </c>
      <c r="B1748" s="0" t="s">
        <v>2128</v>
      </c>
      <c r="C1748" s="0" t="s">
        <v>2160</v>
      </c>
      <c r="D1748" s="0" t="s">
        <v>2160</v>
      </c>
      <c r="E1748" s="0" t="s">
        <v>134</v>
      </c>
      <c r="F1748" s="0" t="s">
        <v>28</v>
      </c>
      <c r="I1748" s="0" t="n">
        <v>200</v>
      </c>
      <c r="J1748" s="0" t="n">
        <v>0.0526315789473684</v>
      </c>
      <c r="K1748" s="0" t="s">
        <v>2170</v>
      </c>
    </row>
    <row r="1749" customFormat="false" ht="15" hidden="false" customHeight="false" outlineLevel="0" collapsed="false">
      <c r="A1749" s="0" t="n">
        <v>142</v>
      </c>
      <c r="B1749" s="0" t="s">
        <v>2128</v>
      </c>
      <c r="C1749" s="0" t="s">
        <v>2160</v>
      </c>
      <c r="D1749" s="0" t="s">
        <v>2160</v>
      </c>
      <c r="E1749" s="0" t="s">
        <v>60</v>
      </c>
      <c r="F1749" s="0" t="s">
        <v>27</v>
      </c>
      <c r="I1749" s="0" t="n">
        <v>500</v>
      </c>
      <c r="J1749" s="0" t="n">
        <v>0.131578947368421</v>
      </c>
      <c r="K1749" s="0" t="s">
        <v>2171</v>
      </c>
    </row>
    <row r="1750" customFormat="false" ht="15" hidden="false" customHeight="false" outlineLevel="0" collapsed="false">
      <c r="A1750" s="0" t="n">
        <v>142</v>
      </c>
      <c r="B1750" s="0" t="s">
        <v>2128</v>
      </c>
      <c r="C1750" s="0" t="s">
        <v>2160</v>
      </c>
      <c r="D1750" s="0" t="s">
        <v>2160</v>
      </c>
      <c r="E1750" s="0" t="s">
        <v>62</v>
      </c>
      <c r="F1750" s="0" t="s">
        <v>27</v>
      </c>
      <c r="I1750" s="0" t="n">
        <v>100</v>
      </c>
      <c r="J1750" s="0" t="n">
        <v>0.0263157894736842</v>
      </c>
      <c r="K1750" s="0" t="s">
        <v>2172</v>
      </c>
    </row>
    <row r="1751" customFormat="false" ht="15" hidden="false" customHeight="false" outlineLevel="0" collapsed="false">
      <c r="A1751" s="0" t="n">
        <v>142</v>
      </c>
      <c r="B1751" s="0" t="s">
        <v>2128</v>
      </c>
      <c r="C1751" s="0" t="s">
        <v>2160</v>
      </c>
      <c r="D1751" s="0" t="s">
        <v>2160</v>
      </c>
      <c r="E1751" s="0" t="s">
        <v>66</v>
      </c>
      <c r="F1751" s="0" t="s">
        <v>27</v>
      </c>
      <c r="I1751" s="0" t="n">
        <v>250</v>
      </c>
      <c r="J1751" s="0" t="n">
        <v>0.0657894736842105</v>
      </c>
      <c r="K1751" s="0" t="s">
        <v>2173</v>
      </c>
    </row>
    <row r="1752" customFormat="false" ht="15" hidden="false" customHeight="false" outlineLevel="0" collapsed="false">
      <c r="A1752" s="0" t="n">
        <v>142</v>
      </c>
      <c r="B1752" s="0" t="s">
        <v>2128</v>
      </c>
      <c r="C1752" s="0" t="s">
        <v>2160</v>
      </c>
      <c r="D1752" s="0" t="s">
        <v>2160</v>
      </c>
      <c r="E1752" s="0" t="s">
        <v>64</v>
      </c>
      <c r="F1752" s="0" t="s">
        <v>27</v>
      </c>
      <c r="I1752" s="0" t="n">
        <v>750</v>
      </c>
      <c r="J1752" s="0" t="n">
        <v>0.197368421052632</v>
      </c>
      <c r="K1752" s="0" t="s">
        <v>2174</v>
      </c>
    </row>
    <row r="1753" customFormat="false" ht="15" hidden="false" customHeight="false" outlineLevel="0" collapsed="false">
      <c r="A1753" s="0" t="n">
        <v>142</v>
      </c>
      <c r="B1753" s="0" t="s">
        <v>2128</v>
      </c>
      <c r="C1753" s="0" t="s">
        <v>2160</v>
      </c>
      <c r="D1753" s="0" t="s">
        <v>2160</v>
      </c>
      <c r="E1753" s="0" t="s">
        <v>68</v>
      </c>
      <c r="F1753" s="0" t="s">
        <v>30</v>
      </c>
      <c r="I1753" s="0" t="n">
        <v>4000</v>
      </c>
      <c r="J1753" s="0" t="n">
        <v>1.05263157894737</v>
      </c>
      <c r="K1753" s="0" t="s">
        <v>2175</v>
      </c>
    </row>
    <row r="1754" customFormat="false" ht="15" hidden="false" customHeight="false" outlineLevel="0" collapsed="false">
      <c r="A1754" s="0" t="n">
        <v>143</v>
      </c>
      <c r="B1754" s="0" t="s">
        <v>2128</v>
      </c>
      <c r="C1754" s="0" t="s">
        <v>68</v>
      </c>
      <c r="D1754" s="0" t="s">
        <v>2176</v>
      </c>
      <c r="E1754" s="0" t="s">
        <v>53</v>
      </c>
      <c r="F1754" s="0" t="s">
        <v>27</v>
      </c>
      <c r="G1754" s="0" t="n">
        <v>0.6</v>
      </c>
      <c r="H1754" s="0" t="n">
        <v>1.7</v>
      </c>
      <c r="I1754" s="0" t="n">
        <v>3876</v>
      </c>
      <c r="J1754" s="0" t="n">
        <v>1.02</v>
      </c>
      <c r="K1754" s="0" t="s">
        <v>2177</v>
      </c>
      <c r="L1754" s="0" t="s">
        <v>2178</v>
      </c>
    </row>
    <row r="1755" customFormat="false" ht="15" hidden="false" customHeight="false" outlineLevel="0" collapsed="false">
      <c r="A1755" s="0" t="n">
        <v>143</v>
      </c>
      <c r="B1755" s="0" t="s">
        <v>2128</v>
      </c>
      <c r="C1755" s="0" t="s">
        <v>68</v>
      </c>
      <c r="D1755" s="0" t="s">
        <v>2176</v>
      </c>
      <c r="E1755" s="0" t="s">
        <v>56</v>
      </c>
      <c r="F1755" s="0" t="s">
        <v>28</v>
      </c>
      <c r="I1755" s="0" t="n">
        <v>1000</v>
      </c>
      <c r="J1755" s="0" t="n">
        <v>0.263157894736842</v>
      </c>
      <c r="K1755" s="0" t="s">
        <v>2179</v>
      </c>
    </row>
    <row r="1756" customFormat="false" ht="15" hidden="false" customHeight="false" outlineLevel="0" collapsed="false">
      <c r="A1756" s="0" t="n">
        <v>143</v>
      </c>
      <c r="B1756" s="0" t="s">
        <v>2128</v>
      </c>
      <c r="C1756" s="0" t="s">
        <v>68</v>
      </c>
      <c r="D1756" s="0" t="s">
        <v>2176</v>
      </c>
      <c r="E1756" s="0" t="s">
        <v>58</v>
      </c>
      <c r="F1756" s="0" t="s">
        <v>28</v>
      </c>
      <c r="I1756" s="0" t="n">
        <v>2500</v>
      </c>
      <c r="J1756" s="0" t="n">
        <v>0.657894736842105</v>
      </c>
      <c r="K1756" s="0" t="s">
        <v>2180</v>
      </c>
    </row>
    <row r="1757" customFormat="false" ht="15" hidden="false" customHeight="false" outlineLevel="0" collapsed="false">
      <c r="A1757" s="0" t="n">
        <v>143</v>
      </c>
      <c r="B1757" s="0" t="s">
        <v>2128</v>
      </c>
      <c r="C1757" s="0" t="s">
        <v>68</v>
      </c>
      <c r="D1757" s="0" t="s">
        <v>2176</v>
      </c>
      <c r="E1757" s="0" t="s">
        <v>128</v>
      </c>
      <c r="F1757" s="0" t="s">
        <v>28</v>
      </c>
      <c r="I1757" s="0" t="n">
        <v>2000</v>
      </c>
      <c r="J1757" s="0" t="n">
        <v>0.526315789473684</v>
      </c>
      <c r="K1757" s="0" t="s">
        <v>2181</v>
      </c>
    </row>
    <row r="1758" customFormat="false" ht="15" hidden="false" customHeight="false" outlineLevel="0" collapsed="false">
      <c r="A1758" s="0" t="n">
        <v>143</v>
      </c>
      <c r="B1758" s="0" t="s">
        <v>2128</v>
      </c>
      <c r="C1758" s="0" t="s">
        <v>68</v>
      </c>
      <c r="D1758" s="0" t="s">
        <v>2176</v>
      </c>
      <c r="E1758" s="0" t="s">
        <v>2135</v>
      </c>
      <c r="F1758" s="0" t="s">
        <v>29</v>
      </c>
      <c r="G1758" s="0" t="n">
        <v>15000</v>
      </c>
      <c r="H1758" s="0" t="n">
        <v>2</v>
      </c>
      <c r="I1758" s="0" t="n">
        <v>7500</v>
      </c>
      <c r="J1758" s="0" t="n">
        <v>1.97368421052632</v>
      </c>
      <c r="K1758" s="0" t="s">
        <v>2182</v>
      </c>
      <c r="L1758" s="0" t="s">
        <v>2151</v>
      </c>
    </row>
    <row r="1759" customFormat="false" ht="15" hidden="false" customHeight="false" outlineLevel="0" collapsed="false">
      <c r="A1759" s="0" t="n">
        <v>143</v>
      </c>
      <c r="B1759" s="0" t="s">
        <v>2128</v>
      </c>
      <c r="C1759" s="0" t="s">
        <v>68</v>
      </c>
      <c r="D1759" s="0" t="s">
        <v>2176</v>
      </c>
      <c r="E1759" s="0" t="s">
        <v>158</v>
      </c>
      <c r="F1759" s="0" t="s">
        <v>28</v>
      </c>
      <c r="I1759" s="0" t="n">
        <v>1000</v>
      </c>
      <c r="J1759" s="0" t="n">
        <v>0.263157894736842</v>
      </c>
      <c r="K1759" s="0" t="s">
        <v>2183</v>
      </c>
    </row>
    <row r="1760" customFormat="false" ht="15" hidden="false" customHeight="false" outlineLevel="0" collapsed="false">
      <c r="A1760" s="0" t="n">
        <v>143</v>
      </c>
      <c r="B1760" s="0" t="s">
        <v>2128</v>
      </c>
      <c r="C1760" s="0" t="s">
        <v>68</v>
      </c>
      <c r="D1760" s="0" t="s">
        <v>2176</v>
      </c>
      <c r="E1760" s="0" t="s">
        <v>132</v>
      </c>
      <c r="F1760" s="0" t="s">
        <v>29</v>
      </c>
      <c r="I1760" s="0" t="n">
        <v>300</v>
      </c>
      <c r="J1760" s="0" t="n">
        <v>0.0789473684210526</v>
      </c>
      <c r="K1760" s="0" t="s">
        <v>2184</v>
      </c>
    </row>
    <row r="1761" customFormat="false" ht="15" hidden="false" customHeight="false" outlineLevel="0" collapsed="false">
      <c r="A1761" s="0" t="n">
        <v>143</v>
      </c>
      <c r="B1761" s="0" t="s">
        <v>2128</v>
      </c>
      <c r="C1761" s="0" t="s">
        <v>68</v>
      </c>
      <c r="D1761" s="0" t="s">
        <v>2176</v>
      </c>
      <c r="E1761" s="0" t="s">
        <v>134</v>
      </c>
      <c r="F1761" s="0" t="s">
        <v>28</v>
      </c>
      <c r="I1761" s="0" t="n">
        <v>200</v>
      </c>
      <c r="J1761" s="0" t="n">
        <v>0.0526315789473684</v>
      </c>
      <c r="K1761" s="0" t="s">
        <v>2185</v>
      </c>
    </row>
    <row r="1762" customFormat="false" ht="15" hidden="false" customHeight="false" outlineLevel="0" collapsed="false">
      <c r="A1762" s="0" t="n">
        <v>143</v>
      </c>
      <c r="B1762" s="0" t="s">
        <v>2128</v>
      </c>
      <c r="C1762" s="0" t="s">
        <v>68</v>
      </c>
      <c r="D1762" s="0" t="s">
        <v>2176</v>
      </c>
      <c r="E1762" s="0" t="s">
        <v>60</v>
      </c>
      <c r="F1762" s="0" t="s">
        <v>27</v>
      </c>
      <c r="I1762" s="0" t="n">
        <v>500</v>
      </c>
      <c r="J1762" s="0" t="n">
        <v>0.131578947368421</v>
      </c>
      <c r="K1762" s="0" t="s">
        <v>2186</v>
      </c>
    </row>
    <row r="1763" customFormat="false" ht="15" hidden="false" customHeight="false" outlineLevel="0" collapsed="false">
      <c r="A1763" s="0" t="n">
        <v>143</v>
      </c>
      <c r="B1763" s="0" t="s">
        <v>2128</v>
      </c>
      <c r="C1763" s="0" t="s">
        <v>68</v>
      </c>
      <c r="D1763" s="0" t="s">
        <v>2176</v>
      </c>
      <c r="E1763" s="0" t="s">
        <v>62</v>
      </c>
      <c r="F1763" s="0" t="s">
        <v>27</v>
      </c>
      <c r="I1763" s="0" t="n">
        <v>100</v>
      </c>
      <c r="J1763" s="0" t="n">
        <v>0.0263157894736842</v>
      </c>
      <c r="K1763" s="0" t="s">
        <v>2187</v>
      </c>
    </row>
    <row r="1764" customFormat="false" ht="15" hidden="false" customHeight="false" outlineLevel="0" collapsed="false">
      <c r="A1764" s="0" t="n">
        <v>143</v>
      </c>
      <c r="B1764" s="0" t="s">
        <v>2128</v>
      </c>
      <c r="C1764" s="0" t="s">
        <v>68</v>
      </c>
      <c r="D1764" s="0" t="s">
        <v>2176</v>
      </c>
      <c r="E1764" s="0" t="s">
        <v>66</v>
      </c>
      <c r="F1764" s="0" t="s">
        <v>27</v>
      </c>
      <c r="I1764" s="0" t="n">
        <v>250</v>
      </c>
      <c r="J1764" s="0" t="n">
        <v>0.0657894736842105</v>
      </c>
      <c r="K1764" s="0" t="s">
        <v>2188</v>
      </c>
    </row>
    <row r="1765" customFormat="false" ht="15" hidden="false" customHeight="false" outlineLevel="0" collapsed="false">
      <c r="A1765" s="0" t="n">
        <v>143</v>
      </c>
      <c r="B1765" s="0" t="s">
        <v>2128</v>
      </c>
      <c r="C1765" s="0" t="s">
        <v>68</v>
      </c>
      <c r="D1765" s="0" t="s">
        <v>2176</v>
      </c>
      <c r="E1765" s="0" t="s">
        <v>64</v>
      </c>
      <c r="F1765" s="0" t="s">
        <v>27</v>
      </c>
      <c r="I1765" s="0" t="n">
        <v>750</v>
      </c>
      <c r="J1765" s="0" t="n">
        <v>0.197368421052632</v>
      </c>
      <c r="K1765" s="0" t="s">
        <v>2189</v>
      </c>
    </row>
    <row r="1766" customFormat="false" ht="15" hidden="false" customHeight="false" outlineLevel="0" collapsed="false">
      <c r="A1766" s="0" t="n">
        <v>143</v>
      </c>
      <c r="B1766" s="0" t="s">
        <v>2128</v>
      </c>
      <c r="C1766" s="0" t="s">
        <v>68</v>
      </c>
      <c r="D1766" s="0" t="s">
        <v>2176</v>
      </c>
      <c r="E1766" s="0" t="s">
        <v>68</v>
      </c>
      <c r="F1766" s="0" t="s">
        <v>30</v>
      </c>
      <c r="I1766" s="0" t="n">
        <v>4000</v>
      </c>
      <c r="J1766" s="0" t="n">
        <v>1.05263157894737</v>
      </c>
      <c r="K1766" s="0" t="s">
        <v>2190</v>
      </c>
    </row>
    <row r="1767" customFormat="false" ht="15" hidden="false" customHeight="false" outlineLevel="0" collapsed="false">
      <c r="A1767" s="0" t="n">
        <v>144</v>
      </c>
      <c r="B1767" s="0" t="s">
        <v>2128</v>
      </c>
      <c r="C1767" s="0" t="s">
        <v>52</v>
      </c>
      <c r="D1767" s="0" t="s">
        <v>52</v>
      </c>
      <c r="E1767" s="0" t="s">
        <v>53</v>
      </c>
      <c r="F1767" s="0" t="s">
        <v>27</v>
      </c>
      <c r="G1767" s="0" t="n">
        <v>0.8</v>
      </c>
      <c r="H1767" s="0" t="n">
        <v>1.7</v>
      </c>
      <c r="I1767" s="0" t="n">
        <v>5168</v>
      </c>
      <c r="J1767" s="0" t="n">
        <v>1.36</v>
      </c>
      <c r="K1767" s="0" t="s">
        <v>2191</v>
      </c>
      <c r="L1767" s="0" t="s">
        <v>2192</v>
      </c>
    </row>
    <row r="1768" customFormat="false" ht="15" hidden="false" customHeight="false" outlineLevel="0" collapsed="false">
      <c r="A1768" s="0" t="n">
        <v>144</v>
      </c>
      <c r="B1768" s="0" t="s">
        <v>2128</v>
      </c>
      <c r="C1768" s="0" t="s">
        <v>52</v>
      </c>
      <c r="D1768" s="0" t="s">
        <v>52</v>
      </c>
      <c r="E1768" s="0" t="s">
        <v>56</v>
      </c>
      <c r="F1768" s="0" t="s">
        <v>28</v>
      </c>
      <c r="I1768" s="0" t="n">
        <v>1000</v>
      </c>
      <c r="J1768" s="0" t="n">
        <v>0.263157894736842</v>
      </c>
      <c r="K1768" s="0" t="s">
        <v>2193</v>
      </c>
    </row>
    <row r="1769" customFormat="false" ht="15" hidden="false" customHeight="false" outlineLevel="0" collapsed="false">
      <c r="A1769" s="0" t="n">
        <v>144</v>
      </c>
      <c r="B1769" s="0" t="s">
        <v>2128</v>
      </c>
      <c r="C1769" s="0" t="s">
        <v>52</v>
      </c>
      <c r="D1769" s="0" t="s">
        <v>52</v>
      </c>
      <c r="E1769" s="0" t="s">
        <v>58</v>
      </c>
      <c r="F1769" s="0" t="s">
        <v>28</v>
      </c>
      <c r="I1769" s="0" t="n">
        <v>2500</v>
      </c>
      <c r="J1769" s="0" t="n">
        <v>0.657894736842105</v>
      </c>
      <c r="K1769" s="0" t="s">
        <v>2194</v>
      </c>
    </row>
    <row r="1770" customFormat="false" ht="15" hidden="false" customHeight="false" outlineLevel="0" collapsed="false">
      <c r="A1770" s="0" t="n">
        <v>144</v>
      </c>
      <c r="B1770" s="0" t="s">
        <v>2128</v>
      </c>
      <c r="C1770" s="0" t="s">
        <v>52</v>
      </c>
      <c r="D1770" s="0" t="s">
        <v>52</v>
      </c>
      <c r="E1770" s="0" t="s">
        <v>128</v>
      </c>
      <c r="F1770" s="0" t="s">
        <v>28</v>
      </c>
      <c r="I1770" s="0" t="n">
        <v>2000</v>
      </c>
      <c r="J1770" s="0" t="n">
        <v>0.526315789473684</v>
      </c>
      <c r="K1770" s="0" t="s">
        <v>2195</v>
      </c>
    </row>
    <row r="1771" customFormat="false" ht="15" hidden="false" customHeight="false" outlineLevel="0" collapsed="false">
      <c r="A1771" s="0" t="n">
        <v>144</v>
      </c>
      <c r="B1771" s="0" t="s">
        <v>2128</v>
      </c>
      <c r="C1771" s="0" t="s">
        <v>52</v>
      </c>
      <c r="D1771" s="0" t="s">
        <v>52</v>
      </c>
      <c r="E1771" s="0" t="s">
        <v>2135</v>
      </c>
      <c r="F1771" s="0" t="s">
        <v>29</v>
      </c>
      <c r="G1771" s="0" t="n">
        <v>15000</v>
      </c>
      <c r="H1771" s="0" t="n">
        <v>1.5</v>
      </c>
      <c r="I1771" s="0" t="n">
        <v>10000</v>
      </c>
      <c r="J1771" s="0" t="n">
        <v>2.63157894736842</v>
      </c>
      <c r="K1771" s="0" t="s">
        <v>2196</v>
      </c>
      <c r="L1771" s="0" t="s">
        <v>2197</v>
      </c>
    </row>
    <row r="1772" customFormat="false" ht="15" hidden="false" customHeight="false" outlineLevel="0" collapsed="false">
      <c r="A1772" s="0" t="n">
        <v>144</v>
      </c>
      <c r="B1772" s="0" t="s">
        <v>2128</v>
      </c>
      <c r="C1772" s="0" t="s">
        <v>52</v>
      </c>
      <c r="D1772" s="0" t="s">
        <v>52</v>
      </c>
      <c r="E1772" s="0" t="s">
        <v>158</v>
      </c>
      <c r="F1772" s="0" t="s">
        <v>28</v>
      </c>
      <c r="I1772" s="0" t="n">
        <v>1000</v>
      </c>
      <c r="J1772" s="0" t="n">
        <v>0.263157894736842</v>
      </c>
      <c r="K1772" s="0" t="s">
        <v>2198</v>
      </c>
    </row>
    <row r="1773" customFormat="false" ht="15" hidden="false" customHeight="false" outlineLevel="0" collapsed="false">
      <c r="A1773" s="0" t="n">
        <v>144</v>
      </c>
      <c r="B1773" s="0" t="s">
        <v>2128</v>
      </c>
      <c r="C1773" s="0" t="s">
        <v>52</v>
      </c>
      <c r="D1773" s="0" t="s">
        <v>52</v>
      </c>
      <c r="E1773" s="0" t="s">
        <v>132</v>
      </c>
      <c r="F1773" s="0" t="s">
        <v>29</v>
      </c>
      <c r="I1773" s="0" t="n">
        <v>300</v>
      </c>
      <c r="J1773" s="0" t="n">
        <v>0.0789473684210526</v>
      </c>
      <c r="K1773" s="0" t="s">
        <v>2199</v>
      </c>
    </row>
    <row r="1774" customFormat="false" ht="15" hidden="false" customHeight="false" outlineLevel="0" collapsed="false">
      <c r="A1774" s="0" t="n">
        <v>144</v>
      </c>
      <c r="B1774" s="0" t="s">
        <v>2128</v>
      </c>
      <c r="C1774" s="0" t="s">
        <v>52</v>
      </c>
      <c r="D1774" s="0" t="s">
        <v>52</v>
      </c>
      <c r="E1774" s="0" t="s">
        <v>134</v>
      </c>
      <c r="F1774" s="0" t="s">
        <v>28</v>
      </c>
      <c r="I1774" s="0" t="n">
        <v>200</v>
      </c>
      <c r="J1774" s="0" t="n">
        <v>0.0526315789473684</v>
      </c>
      <c r="K1774" s="0" t="s">
        <v>2200</v>
      </c>
    </row>
    <row r="1775" customFormat="false" ht="15" hidden="false" customHeight="false" outlineLevel="0" collapsed="false">
      <c r="A1775" s="0" t="n">
        <v>144</v>
      </c>
      <c r="B1775" s="0" t="s">
        <v>2128</v>
      </c>
      <c r="C1775" s="0" t="s">
        <v>52</v>
      </c>
      <c r="D1775" s="0" t="s">
        <v>52</v>
      </c>
      <c r="E1775" s="0" t="s">
        <v>60</v>
      </c>
      <c r="F1775" s="0" t="s">
        <v>27</v>
      </c>
      <c r="I1775" s="0" t="n">
        <v>500</v>
      </c>
      <c r="J1775" s="0" t="n">
        <v>0.131578947368421</v>
      </c>
      <c r="K1775" s="0" t="s">
        <v>2201</v>
      </c>
    </row>
    <row r="1776" customFormat="false" ht="15" hidden="false" customHeight="false" outlineLevel="0" collapsed="false">
      <c r="A1776" s="0" t="n">
        <v>144</v>
      </c>
      <c r="B1776" s="0" t="s">
        <v>2128</v>
      </c>
      <c r="C1776" s="0" t="s">
        <v>52</v>
      </c>
      <c r="D1776" s="0" t="s">
        <v>52</v>
      </c>
      <c r="E1776" s="0" t="s">
        <v>62</v>
      </c>
      <c r="F1776" s="0" t="s">
        <v>27</v>
      </c>
      <c r="I1776" s="0" t="n">
        <v>100</v>
      </c>
      <c r="J1776" s="0" t="n">
        <v>0.0263157894736842</v>
      </c>
      <c r="K1776" s="0" t="s">
        <v>2202</v>
      </c>
    </row>
    <row r="1777" customFormat="false" ht="15" hidden="false" customHeight="false" outlineLevel="0" collapsed="false">
      <c r="A1777" s="0" t="n">
        <v>144</v>
      </c>
      <c r="B1777" s="0" t="s">
        <v>2128</v>
      </c>
      <c r="C1777" s="0" t="s">
        <v>52</v>
      </c>
      <c r="D1777" s="0" t="s">
        <v>52</v>
      </c>
      <c r="E1777" s="0" t="s">
        <v>66</v>
      </c>
      <c r="F1777" s="0" t="s">
        <v>27</v>
      </c>
      <c r="I1777" s="0" t="n">
        <v>250</v>
      </c>
      <c r="J1777" s="0" t="n">
        <v>0.0657894736842105</v>
      </c>
      <c r="K1777" s="0" t="s">
        <v>2203</v>
      </c>
    </row>
    <row r="1778" customFormat="false" ht="15" hidden="false" customHeight="false" outlineLevel="0" collapsed="false">
      <c r="A1778" s="0" t="n">
        <v>144</v>
      </c>
      <c r="B1778" s="0" t="s">
        <v>2128</v>
      </c>
      <c r="C1778" s="0" t="s">
        <v>52</v>
      </c>
      <c r="D1778" s="0" t="s">
        <v>52</v>
      </c>
      <c r="E1778" s="0" t="s">
        <v>64</v>
      </c>
      <c r="F1778" s="0" t="s">
        <v>27</v>
      </c>
      <c r="I1778" s="0" t="n">
        <v>750</v>
      </c>
      <c r="J1778" s="0" t="n">
        <v>0.197368421052632</v>
      </c>
      <c r="K1778" s="0" t="s">
        <v>2204</v>
      </c>
    </row>
    <row r="1779" customFormat="false" ht="15" hidden="false" customHeight="false" outlineLevel="0" collapsed="false">
      <c r="A1779" s="0" t="n">
        <v>144</v>
      </c>
      <c r="B1779" s="0" t="s">
        <v>2128</v>
      </c>
      <c r="C1779" s="0" t="s">
        <v>52</v>
      </c>
      <c r="D1779" s="0" t="s">
        <v>52</v>
      </c>
      <c r="E1779" s="0" t="s">
        <v>68</v>
      </c>
      <c r="F1779" s="0" t="s">
        <v>30</v>
      </c>
      <c r="I1779" s="0" t="n">
        <v>4000</v>
      </c>
      <c r="J1779" s="0" t="n">
        <v>1.05263157894737</v>
      </c>
      <c r="K1779" s="0" t="s">
        <v>2205</v>
      </c>
    </row>
    <row r="1780" customFormat="false" ht="15" hidden="false" customHeight="false" outlineLevel="0" collapsed="false">
      <c r="A1780" s="0" t="n">
        <v>145</v>
      </c>
      <c r="B1780" s="0" t="s">
        <v>2128</v>
      </c>
      <c r="C1780" s="0" t="s">
        <v>68</v>
      </c>
      <c r="D1780" s="0" t="s">
        <v>349</v>
      </c>
      <c r="E1780" s="0" t="s">
        <v>53</v>
      </c>
      <c r="F1780" s="0" t="s">
        <v>27</v>
      </c>
      <c r="G1780" s="0" t="n">
        <v>1.1</v>
      </c>
      <c r="H1780" s="0" t="n">
        <v>1.7</v>
      </c>
      <c r="I1780" s="0" t="n">
        <v>7106</v>
      </c>
      <c r="J1780" s="0" t="n">
        <v>1.87</v>
      </c>
      <c r="K1780" s="0" t="s">
        <v>2206</v>
      </c>
      <c r="L1780" s="0" t="s">
        <v>2207</v>
      </c>
    </row>
    <row r="1781" customFormat="false" ht="15" hidden="false" customHeight="false" outlineLevel="0" collapsed="false">
      <c r="A1781" s="0" t="n">
        <v>145</v>
      </c>
      <c r="B1781" s="0" t="s">
        <v>2128</v>
      </c>
      <c r="C1781" s="0" t="s">
        <v>68</v>
      </c>
      <c r="D1781" s="0" t="s">
        <v>349</v>
      </c>
      <c r="E1781" s="0" t="s">
        <v>56</v>
      </c>
      <c r="F1781" s="0" t="s">
        <v>28</v>
      </c>
      <c r="I1781" s="0" t="n">
        <v>1000</v>
      </c>
      <c r="J1781" s="0" t="n">
        <v>0.263157894736842</v>
      </c>
      <c r="K1781" s="0" t="s">
        <v>2208</v>
      </c>
    </row>
    <row r="1782" customFormat="false" ht="15" hidden="false" customHeight="false" outlineLevel="0" collapsed="false">
      <c r="A1782" s="0" t="n">
        <v>145</v>
      </c>
      <c r="B1782" s="0" t="s">
        <v>2128</v>
      </c>
      <c r="C1782" s="0" t="s">
        <v>68</v>
      </c>
      <c r="D1782" s="0" t="s">
        <v>349</v>
      </c>
      <c r="E1782" s="0" t="s">
        <v>58</v>
      </c>
      <c r="F1782" s="0" t="s">
        <v>28</v>
      </c>
      <c r="I1782" s="0" t="n">
        <v>2500</v>
      </c>
      <c r="J1782" s="0" t="n">
        <v>0.657894736842105</v>
      </c>
      <c r="K1782" s="0" t="s">
        <v>2209</v>
      </c>
    </row>
    <row r="1783" customFormat="false" ht="15" hidden="false" customHeight="false" outlineLevel="0" collapsed="false">
      <c r="A1783" s="0" t="n">
        <v>145</v>
      </c>
      <c r="B1783" s="0" t="s">
        <v>2128</v>
      </c>
      <c r="C1783" s="0" t="s">
        <v>68</v>
      </c>
      <c r="D1783" s="0" t="s">
        <v>349</v>
      </c>
      <c r="E1783" s="0" t="s">
        <v>2164</v>
      </c>
      <c r="F1783" s="0" t="s">
        <v>29</v>
      </c>
      <c r="I1783" s="0" t="n">
        <v>15000</v>
      </c>
      <c r="J1783" s="0" t="n">
        <v>3.94736842105263</v>
      </c>
      <c r="K1783" s="0" t="s">
        <v>2210</v>
      </c>
    </row>
    <row r="1784" customFormat="false" ht="15" hidden="false" customHeight="false" outlineLevel="0" collapsed="false">
      <c r="A1784" s="0" t="n">
        <v>145</v>
      </c>
      <c r="B1784" s="0" t="s">
        <v>2128</v>
      </c>
      <c r="C1784" s="0" t="s">
        <v>68</v>
      </c>
      <c r="D1784" s="0" t="s">
        <v>349</v>
      </c>
      <c r="E1784" s="0" t="s">
        <v>128</v>
      </c>
      <c r="F1784" s="0" t="s">
        <v>28</v>
      </c>
      <c r="I1784" s="0" t="n">
        <v>2000</v>
      </c>
      <c r="J1784" s="0" t="n">
        <v>0.526315789473684</v>
      </c>
      <c r="K1784" s="0" t="s">
        <v>2211</v>
      </c>
    </row>
    <row r="1785" customFormat="false" ht="15" hidden="false" customHeight="false" outlineLevel="0" collapsed="false">
      <c r="A1785" s="0" t="n">
        <v>145</v>
      </c>
      <c r="B1785" s="0" t="s">
        <v>2128</v>
      </c>
      <c r="C1785" s="0" t="s">
        <v>68</v>
      </c>
      <c r="D1785" s="0" t="s">
        <v>349</v>
      </c>
      <c r="E1785" s="0" t="s">
        <v>158</v>
      </c>
      <c r="F1785" s="0" t="s">
        <v>28</v>
      </c>
      <c r="I1785" s="0" t="n">
        <v>1000</v>
      </c>
      <c r="J1785" s="0" t="n">
        <v>0.263157894736842</v>
      </c>
      <c r="K1785" s="0" t="s">
        <v>2212</v>
      </c>
    </row>
    <row r="1786" customFormat="false" ht="15" hidden="false" customHeight="false" outlineLevel="0" collapsed="false">
      <c r="A1786" s="0" t="n">
        <v>145</v>
      </c>
      <c r="B1786" s="0" t="s">
        <v>2128</v>
      </c>
      <c r="C1786" s="0" t="s">
        <v>68</v>
      </c>
      <c r="D1786" s="0" t="s">
        <v>349</v>
      </c>
      <c r="E1786" s="0" t="s">
        <v>132</v>
      </c>
      <c r="F1786" s="0" t="s">
        <v>29</v>
      </c>
      <c r="I1786" s="0" t="n">
        <v>300</v>
      </c>
      <c r="J1786" s="0" t="n">
        <v>0.0789473684210526</v>
      </c>
      <c r="K1786" s="0" t="s">
        <v>2213</v>
      </c>
    </row>
    <row r="1787" customFormat="false" ht="15" hidden="false" customHeight="false" outlineLevel="0" collapsed="false">
      <c r="A1787" s="0" t="n">
        <v>145</v>
      </c>
      <c r="B1787" s="0" t="s">
        <v>2128</v>
      </c>
      <c r="C1787" s="0" t="s">
        <v>68</v>
      </c>
      <c r="D1787" s="0" t="s">
        <v>349</v>
      </c>
      <c r="E1787" s="0" t="s">
        <v>134</v>
      </c>
      <c r="F1787" s="0" t="s">
        <v>28</v>
      </c>
      <c r="I1787" s="0" t="n">
        <v>200</v>
      </c>
      <c r="J1787" s="0" t="n">
        <v>0.0526315789473684</v>
      </c>
      <c r="K1787" s="0" t="s">
        <v>2214</v>
      </c>
    </row>
    <row r="1788" customFormat="false" ht="15" hidden="false" customHeight="false" outlineLevel="0" collapsed="false">
      <c r="A1788" s="0" t="n">
        <v>145</v>
      </c>
      <c r="B1788" s="0" t="s">
        <v>2128</v>
      </c>
      <c r="C1788" s="0" t="s">
        <v>68</v>
      </c>
      <c r="D1788" s="0" t="s">
        <v>349</v>
      </c>
      <c r="E1788" s="0" t="s">
        <v>60</v>
      </c>
      <c r="F1788" s="0" t="s">
        <v>27</v>
      </c>
      <c r="I1788" s="0" t="n">
        <v>200</v>
      </c>
      <c r="J1788" s="0" t="n">
        <v>0.0526315789473684</v>
      </c>
      <c r="K1788" s="0" t="s">
        <v>2215</v>
      </c>
    </row>
    <row r="1789" customFormat="false" ht="15" hidden="false" customHeight="false" outlineLevel="0" collapsed="false">
      <c r="A1789" s="0" t="n">
        <v>145</v>
      </c>
      <c r="B1789" s="0" t="s">
        <v>2128</v>
      </c>
      <c r="C1789" s="0" t="s">
        <v>68</v>
      </c>
      <c r="D1789" s="0" t="s">
        <v>349</v>
      </c>
      <c r="E1789" s="0" t="s">
        <v>62</v>
      </c>
      <c r="F1789" s="0" t="s">
        <v>27</v>
      </c>
      <c r="I1789" s="0" t="n">
        <v>100</v>
      </c>
      <c r="J1789" s="0" t="n">
        <v>0.0263157894736842</v>
      </c>
      <c r="K1789" s="0" t="s">
        <v>2216</v>
      </c>
    </row>
    <row r="1790" customFormat="false" ht="15" hidden="false" customHeight="false" outlineLevel="0" collapsed="false">
      <c r="A1790" s="0" t="n">
        <v>145</v>
      </c>
      <c r="B1790" s="0" t="s">
        <v>2128</v>
      </c>
      <c r="C1790" s="0" t="s">
        <v>68</v>
      </c>
      <c r="D1790" s="0" t="s">
        <v>349</v>
      </c>
      <c r="E1790" s="0" t="s">
        <v>66</v>
      </c>
      <c r="F1790" s="0" t="s">
        <v>27</v>
      </c>
      <c r="I1790" s="0" t="n">
        <v>250</v>
      </c>
      <c r="J1790" s="0" t="n">
        <v>0.0657894736842105</v>
      </c>
      <c r="K1790" s="0" t="s">
        <v>2217</v>
      </c>
    </row>
    <row r="1791" customFormat="false" ht="15" hidden="false" customHeight="false" outlineLevel="0" collapsed="false">
      <c r="A1791" s="0" t="n">
        <v>145</v>
      </c>
      <c r="B1791" s="0" t="s">
        <v>2128</v>
      </c>
      <c r="C1791" s="0" t="s">
        <v>68</v>
      </c>
      <c r="D1791" s="0" t="s">
        <v>349</v>
      </c>
      <c r="E1791" s="0" t="s">
        <v>64</v>
      </c>
      <c r="F1791" s="0" t="s">
        <v>27</v>
      </c>
      <c r="I1791" s="0" t="n">
        <v>750</v>
      </c>
      <c r="J1791" s="0" t="n">
        <v>0.197368421052632</v>
      </c>
      <c r="K1791" s="0" t="s">
        <v>2218</v>
      </c>
    </row>
    <row r="1792" customFormat="false" ht="15" hidden="false" customHeight="false" outlineLevel="0" collapsed="false">
      <c r="A1792" s="0" t="n">
        <v>145</v>
      </c>
      <c r="B1792" s="0" t="s">
        <v>2128</v>
      </c>
      <c r="C1792" s="0" t="s">
        <v>68</v>
      </c>
      <c r="D1792" s="0" t="s">
        <v>349</v>
      </c>
      <c r="E1792" s="0" t="s">
        <v>68</v>
      </c>
      <c r="F1792" s="0" t="s">
        <v>30</v>
      </c>
      <c r="I1792" s="0" t="n">
        <v>4000</v>
      </c>
      <c r="J1792" s="0" t="n">
        <v>1.05263157894737</v>
      </c>
      <c r="K1792" s="0" t="s">
        <v>2219</v>
      </c>
    </row>
    <row r="1793" customFormat="false" ht="15" hidden="false" customHeight="false" outlineLevel="0" collapsed="false">
      <c r="A1793" s="0" t="n">
        <v>146</v>
      </c>
      <c r="B1793" s="0" t="s">
        <v>2220</v>
      </c>
      <c r="C1793" s="0" t="s">
        <v>2221</v>
      </c>
      <c r="D1793" s="0" t="s">
        <v>311</v>
      </c>
      <c r="E1793" s="0" t="s">
        <v>53</v>
      </c>
      <c r="F1793" s="0" t="s">
        <v>27</v>
      </c>
      <c r="G1793" s="0" t="n">
        <v>1</v>
      </c>
      <c r="H1793" s="0" t="n">
        <v>2.2</v>
      </c>
      <c r="I1793" s="0" t="n">
        <v>4400</v>
      </c>
      <c r="J1793" s="0" t="n">
        <v>1.15789473684211</v>
      </c>
      <c r="K1793" s="0" t="s">
        <v>2222</v>
      </c>
      <c r="L1793" s="0" t="s">
        <v>2223</v>
      </c>
    </row>
    <row r="1794" customFormat="false" ht="15" hidden="false" customHeight="false" outlineLevel="0" collapsed="false">
      <c r="A1794" s="0" t="n">
        <v>146</v>
      </c>
      <c r="B1794" s="0" t="s">
        <v>2220</v>
      </c>
      <c r="C1794" s="0" t="s">
        <v>2221</v>
      </c>
      <c r="D1794" s="0" t="s">
        <v>311</v>
      </c>
      <c r="E1794" s="0" t="s">
        <v>1428</v>
      </c>
      <c r="F1794" s="0" t="s">
        <v>27</v>
      </c>
      <c r="G1794" s="0" t="n">
        <v>2000</v>
      </c>
      <c r="H1794" s="0" t="n">
        <v>0.55</v>
      </c>
      <c r="I1794" s="0" t="n">
        <v>1100</v>
      </c>
      <c r="J1794" s="0" t="n">
        <v>0.289473684210526</v>
      </c>
      <c r="K1794" s="0" t="s">
        <v>2224</v>
      </c>
      <c r="L1794" s="0" t="s">
        <v>2225</v>
      </c>
    </row>
    <row r="1795" customFormat="false" ht="15" hidden="false" customHeight="false" outlineLevel="0" collapsed="false">
      <c r="A1795" s="0" t="n">
        <v>146</v>
      </c>
      <c r="B1795" s="0" t="s">
        <v>2220</v>
      </c>
      <c r="C1795" s="0" t="s">
        <v>2221</v>
      </c>
      <c r="D1795" s="0" t="s">
        <v>311</v>
      </c>
      <c r="E1795" s="0" t="s">
        <v>56</v>
      </c>
      <c r="F1795" s="0" t="s">
        <v>28</v>
      </c>
      <c r="I1795" s="0" t="n">
        <v>700</v>
      </c>
      <c r="J1795" s="0" t="n">
        <v>0.18421052631579</v>
      </c>
      <c r="K1795" s="0" t="s">
        <v>2226</v>
      </c>
    </row>
    <row r="1796" customFormat="false" ht="15" hidden="false" customHeight="false" outlineLevel="0" collapsed="false">
      <c r="A1796" s="0" t="n">
        <v>146</v>
      </c>
      <c r="B1796" s="0" t="s">
        <v>2220</v>
      </c>
      <c r="C1796" s="0" t="s">
        <v>2221</v>
      </c>
      <c r="D1796" s="0" t="s">
        <v>311</v>
      </c>
      <c r="E1796" s="0" t="s">
        <v>58</v>
      </c>
      <c r="F1796" s="0" t="s">
        <v>28</v>
      </c>
      <c r="I1796" s="0" t="n">
        <v>4000</v>
      </c>
      <c r="J1796" s="0" t="n">
        <v>1.05263157894737</v>
      </c>
      <c r="K1796" s="0" t="s">
        <v>2227</v>
      </c>
    </row>
    <row r="1797" customFormat="false" ht="15" hidden="false" customHeight="false" outlineLevel="0" collapsed="false">
      <c r="A1797" s="0" t="n">
        <v>146</v>
      </c>
      <c r="B1797" s="0" t="s">
        <v>2220</v>
      </c>
      <c r="C1797" s="0" t="s">
        <v>2221</v>
      </c>
      <c r="D1797" s="0" t="s">
        <v>311</v>
      </c>
      <c r="E1797" s="0" t="s">
        <v>128</v>
      </c>
      <c r="F1797" s="0" t="s">
        <v>28</v>
      </c>
      <c r="I1797" s="0" t="n">
        <v>500</v>
      </c>
      <c r="J1797" s="0" t="n">
        <v>0.131578947368421</v>
      </c>
      <c r="K1797" s="0" t="s">
        <v>2228</v>
      </c>
    </row>
    <row r="1798" customFormat="false" ht="15" hidden="false" customHeight="false" outlineLevel="0" collapsed="false">
      <c r="A1798" s="0" t="n">
        <v>146</v>
      </c>
      <c r="B1798" s="0" t="s">
        <v>2220</v>
      </c>
      <c r="C1798" s="0" t="s">
        <v>2221</v>
      </c>
      <c r="D1798" s="0" t="s">
        <v>311</v>
      </c>
      <c r="E1798" s="0" t="s">
        <v>203</v>
      </c>
      <c r="F1798" s="0" t="s">
        <v>29</v>
      </c>
      <c r="I1798" s="0" t="n">
        <v>500</v>
      </c>
      <c r="J1798" s="0" t="n">
        <v>0.131578947368421</v>
      </c>
      <c r="K1798" s="0" t="s">
        <v>2229</v>
      </c>
    </row>
    <row r="1799" customFormat="false" ht="15" hidden="false" customHeight="false" outlineLevel="0" collapsed="false">
      <c r="A1799" s="0" t="n">
        <v>146</v>
      </c>
      <c r="B1799" s="0" t="s">
        <v>2220</v>
      </c>
      <c r="C1799" s="0" t="s">
        <v>2221</v>
      </c>
      <c r="D1799" s="0" t="s">
        <v>311</v>
      </c>
      <c r="E1799" s="0" t="s">
        <v>132</v>
      </c>
      <c r="F1799" s="0" t="s">
        <v>29</v>
      </c>
      <c r="I1799" s="0" t="n">
        <v>200</v>
      </c>
      <c r="J1799" s="0" t="n">
        <v>0.0526315789473684</v>
      </c>
      <c r="K1799" s="0" t="s">
        <v>2230</v>
      </c>
    </row>
    <row r="1800" customFormat="false" ht="15" hidden="false" customHeight="false" outlineLevel="0" collapsed="false">
      <c r="A1800" s="0" t="n">
        <v>146</v>
      </c>
      <c r="B1800" s="0" t="s">
        <v>2220</v>
      </c>
      <c r="C1800" s="0" t="s">
        <v>2221</v>
      </c>
      <c r="D1800" s="0" t="s">
        <v>311</v>
      </c>
      <c r="E1800" s="0" t="s">
        <v>134</v>
      </c>
      <c r="F1800" s="0" t="s">
        <v>28</v>
      </c>
      <c r="I1800" s="0" t="n">
        <v>200</v>
      </c>
      <c r="J1800" s="0" t="n">
        <v>0.0526315789473684</v>
      </c>
      <c r="K1800" s="0" t="s">
        <v>2231</v>
      </c>
    </row>
    <row r="1801" customFormat="false" ht="15" hidden="false" customHeight="false" outlineLevel="0" collapsed="false">
      <c r="A1801" s="0" t="n">
        <v>146</v>
      </c>
      <c r="B1801" s="0" t="s">
        <v>2220</v>
      </c>
      <c r="C1801" s="0" t="s">
        <v>2221</v>
      </c>
      <c r="D1801" s="0" t="s">
        <v>311</v>
      </c>
      <c r="E1801" s="0" t="s">
        <v>60</v>
      </c>
      <c r="F1801" s="0" t="s">
        <v>27</v>
      </c>
      <c r="I1801" s="0" t="n">
        <v>500</v>
      </c>
      <c r="J1801" s="0" t="n">
        <v>0.131578947368421</v>
      </c>
      <c r="K1801" s="0" t="s">
        <v>2232</v>
      </c>
    </row>
    <row r="1802" customFormat="false" ht="15" hidden="false" customHeight="false" outlineLevel="0" collapsed="false">
      <c r="A1802" s="0" t="n">
        <v>146</v>
      </c>
      <c r="B1802" s="0" t="s">
        <v>2220</v>
      </c>
      <c r="C1802" s="0" t="s">
        <v>2221</v>
      </c>
      <c r="D1802" s="0" t="s">
        <v>311</v>
      </c>
      <c r="E1802" s="0" t="s">
        <v>62</v>
      </c>
      <c r="F1802" s="0" t="s">
        <v>27</v>
      </c>
      <c r="I1802" s="0" t="n">
        <v>100</v>
      </c>
      <c r="J1802" s="0" t="n">
        <v>0.0263157894736842</v>
      </c>
      <c r="K1802" s="0" t="s">
        <v>2233</v>
      </c>
    </row>
    <row r="1803" customFormat="false" ht="15" hidden="false" customHeight="false" outlineLevel="0" collapsed="false">
      <c r="A1803" s="0" t="n">
        <v>146</v>
      </c>
      <c r="B1803" s="0" t="s">
        <v>2220</v>
      </c>
      <c r="C1803" s="0" t="s">
        <v>2221</v>
      </c>
      <c r="D1803" s="0" t="s">
        <v>311</v>
      </c>
      <c r="E1803" s="0" t="s">
        <v>66</v>
      </c>
      <c r="F1803" s="0" t="s">
        <v>27</v>
      </c>
      <c r="I1803" s="0" t="n">
        <v>350</v>
      </c>
      <c r="J1803" s="0" t="n">
        <v>0.0921052631578947</v>
      </c>
      <c r="K1803" s="0" t="s">
        <v>2234</v>
      </c>
    </row>
    <row r="1804" customFormat="false" ht="15" hidden="false" customHeight="false" outlineLevel="0" collapsed="false">
      <c r="A1804" s="0" t="n">
        <v>146</v>
      </c>
      <c r="B1804" s="0" t="s">
        <v>2220</v>
      </c>
      <c r="C1804" s="0" t="s">
        <v>2221</v>
      </c>
      <c r="D1804" s="0" t="s">
        <v>311</v>
      </c>
      <c r="E1804" s="0" t="s">
        <v>64</v>
      </c>
      <c r="F1804" s="0" t="s">
        <v>27</v>
      </c>
      <c r="I1804" s="0" t="n">
        <v>400</v>
      </c>
      <c r="J1804" s="0" t="n">
        <v>0.105263157894737</v>
      </c>
      <c r="K1804" s="0" t="s">
        <v>2235</v>
      </c>
    </row>
    <row r="1805" customFormat="false" ht="15" hidden="false" customHeight="false" outlineLevel="0" collapsed="false">
      <c r="A1805" s="0" t="n">
        <v>146</v>
      </c>
      <c r="B1805" s="0" t="s">
        <v>2220</v>
      </c>
      <c r="C1805" s="0" t="s">
        <v>2221</v>
      </c>
      <c r="D1805" s="0" t="s">
        <v>311</v>
      </c>
      <c r="E1805" s="0" t="s">
        <v>68</v>
      </c>
      <c r="F1805" s="0" t="s">
        <v>30</v>
      </c>
      <c r="I1805" s="0" t="n">
        <v>4000</v>
      </c>
      <c r="J1805" s="0" t="n">
        <v>1.05263157894737</v>
      </c>
      <c r="K1805" s="0" t="s">
        <v>2236</v>
      </c>
    </row>
    <row r="1806" customFormat="false" ht="15" hidden="false" customHeight="false" outlineLevel="0" collapsed="false">
      <c r="A1806" s="0" t="n">
        <v>147</v>
      </c>
      <c r="B1806" s="0" t="s">
        <v>2220</v>
      </c>
      <c r="C1806" s="0" t="s">
        <v>2221</v>
      </c>
      <c r="D1806" s="0" t="s">
        <v>311</v>
      </c>
      <c r="E1806" s="0" t="s">
        <v>53</v>
      </c>
      <c r="F1806" s="0" t="s">
        <v>27</v>
      </c>
      <c r="G1806" s="0" t="n">
        <v>0.7</v>
      </c>
      <c r="H1806" s="0" t="n">
        <v>4</v>
      </c>
      <c r="I1806" s="0" t="n">
        <v>5320</v>
      </c>
      <c r="J1806" s="0" t="n">
        <v>1.4</v>
      </c>
      <c r="K1806" s="0" t="s">
        <v>2237</v>
      </c>
      <c r="L1806" s="0" t="s">
        <v>2238</v>
      </c>
    </row>
    <row r="1807" customFormat="false" ht="15" hidden="false" customHeight="false" outlineLevel="0" collapsed="false">
      <c r="A1807" s="0" t="n">
        <v>147</v>
      </c>
      <c r="B1807" s="0" t="s">
        <v>2220</v>
      </c>
      <c r="C1807" s="0" t="s">
        <v>2221</v>
      </c>
      <c r="D1807" s="0" t="s">
        <v>311</v>
      </c>
      <c r="E1807" s="0" t="s">
        <v>1428</v>
      </c>
      <c r="F1807" s="0" t="s">
        <v>27</v>
      </c>
      <c r="I1807" s="0" t="n">
        <v>2000</v>
      </c>
      <c r="J1807" s="0" t="n">
        <v>0.526315789473684</v>
      </c>
      <c r="K1807" s="0" t="s">
        <v>2239</v>
      </c>
    </row>
    <row r="1808" customFormat="false" ht="15" hidden="false" customHeight="false" outlineLevel="0" collapsed="false">
      <c r="A1808" s="0" t="n">
        <v>147</v>
      </c>
      <c r="B1808" s="0" t="s">
        <v>2220</v>
      </c>
      <c r="C1808" s="0" t="s">
        <v>2221</v>
      </c>
      <c r="D1808" s="0" t="s">
        <v>311</v>
      </c>
      <c r="E1808" s="0" t="s">
        <v>56</v>
      </c>
      <c r="F1808" s="0" t="s">
        <v>28</v>
      </c>
      <c r="I1808" s="0" t="n">
        <v>700</v>
      </c>
      <c r="J1808" s="0" t="n">
        <v>0.18421052631579</v>
      </c>
      <c r="K1808" s="0" t="s">
        <v>2240</v>
      </c>
    </row>
    <row r="1809" customFormat="false" ht="15" hidden="false" customHeight="false" outlineLevel="0" collapsed="false">
      <c r="A1809" s="0" t="n">
        <v>147</v>
      </c>
      <c r="B1809" s="0" t="s">
        <v>2220</v>
      </c>
      <c r="C1809" s="0" t="s">
        <v>2221</v>
      </c>
      <c r="D1809" s="0" t="s">
        <v>311</v>
      </c>
      <c r="E1809" s="0" t="s">
        <v>58</v>
      </c>
      <c r="F1809" s="0" t="s">
        <v>28</v>
      </c>
      <c r="I1809" s="0" t="n">
        <v>3500</v>
      </c>
      <c r="J1809" s="0" t="n">
        <v>0.921052631578947</v>
      </c>
      <c r="K1809" s="0" t="s">
        <v>2241</v>
      </c>
    </row>
    <row r="1810" customFormat="false" ht="15" hidden="false" customHeight="false" outlineLevel="0" collapsed="false">
      <c r="A1810" s="0" t="n">
        <v>147</v>
      </c>
      <c r="B1810" s="0" t="s">
        <v>2220</v>
      </c>
      <c r="C1810" s="0" t="s">
        <v>2221</v>
      </c>
      <c r="D1810" s="0" t="s">
        <v>311</v>
      </c>
      <c r="E1810" s="0" t="s">
        <v>128</v>
      </c>
      <c r="F1810" s="0" t="s">
        <v>28</v>
      </c>
      <c r="I1810" s="0" t="n">
        <v>200</v>
      </c>
      <c r="J1810" s="0" t="n">
        <v>0.0526315789473684</v>
      </c>
      <c r="K1810" s="0" t="s">
        <v>2242</v>
      </c>
    </row>
    <row r="1811" customFormat="false" ht="15" hidden="false" customHeight="false" outlineLevel="0" collapsed="false">
      <c r="A1811" s="0" t="n">
        <v>147</v>
      </c>
      <c r="B1811" s="0" t="s">
        <v>2220</v>
      </c>
      <c r="C1811" s="0" t="s">
        <v>2221</v>
      </c>
      <c r="D1811" s="0" t="s">
        <v>311</v>
      </c>
      <c r="E1811" s="0" t="s">
        <v>203</v>
      </c>
      <c r="F1811" s="0" t="s">
        <v>29</v>
      </c>
      <c r="I1811" s="0" t="n">
        <v>500</v>
      </c>
      <c r="J1811" s="0" t="n">
        <v>0.131578947368421</v>
      </c>
      <c r="K1811" s="0" t="s">
        <v>2243</v>
      </c>
    </row>
    <row r="1812" customFormat="false" ht="15" hidden="false" customHeight="false" outlineLevel="0" collapsed="false">
      <c r="A1812" s="0" t="n">
        <v>147</v>
      </c>
      <c r="B1812" s="0" t="s">
        <v>2220</v>
      </c>
      <c r="C1812" s="0" t="s">
        <v>2221</v>
      </c>
      <c r="D1812" s="0" t="s">
        <v>311</v>
      </c>
      <c r="E1812" s="0" t="s">
        <v>132</v>
      </c>
      <c r="F1812" s="0" t="s">
        <v>29</v>
      </c>
      <c r="I1812" s="0" t="n">
        <v>200</v>
      </c>
      <c r="J1812" s="0" t="n">
        <v>0.0526315789473684</v>
      </c>
      <c r="K1812" s="0" t="s">
        <v>2244</v>
      </c>
    </row>
    <row r="1813" customFormat="false" ht="15" hidden="false" customHeight="false" outlineLevel="0" collapsed="false">
      <c r="A1813" s="0" t="n">
        <v>147</v>
      </c>
      <c r="B1813" s="0" t="s">
        <v>2220</v>
      </c>
      <c r="C1813" s="0" t="s">
        <v>2221</v>
      </c>
      <c r="D1813" s="0" t="s">
        <v>311</v>
      </c>
      <c r="E1813" s="0" t="s">
        <v>134</v>
      </c>
      <c r="F1813" s="0" t="s">
        <v>28</v>
      </c>
      <c r="I1813" s="0" t="n">
        <v>200</v>
      </c>
      <c r="J1813" s="0" t="n">
        <v>0.0526315789473684</v>
      </c>
      <c r="K1813" s="0" t="s">
        <v>2245</v>
      </c>
    </row>
    <row r="1814" customFormat="false" ht="15" hidden="false" customHeight="false" outlineLevel="0" collapsed="false">
      <c r="A1814" s="0" t="n">
        <v>147</v>
      </c>
      <c r="B1814" s="0" t="s">
        <v>2220</v>
      </c>
      <c r="C1814" s="0" t="s">
        <v>2221</v>
      </c>
      <c r="D1814" s="0" t="s">
        <v>311</v>
      </c>
      <c r="E1814" s="0" t="s">
        <v>60</v>
      </c>
      <c r="F1814" s="0" t="s">
        <v>27</v>
      </c>
      <c r="I1814" s="0" t="n">
        <v>500</v>
      </c>
      <c r="J1814" s="0" t="n">
        <v>0.131578947368421</v>
      </c>
      <c r="K1814" s="0" t="s">
        <v>2246</v>
      </c>
    </row>
    <row r="1815" customFormat="false" ht="15" hidden="false" customHeight="false" outlineLevel="0" collapsed="false">
      <c r="A1815" s="0" t="n">
        <v>147</v>
      </c>
      <c r="B1815" s="0" t="s">
        <v>2220</v>
      </c>
      <c r="C1815" s="0" t="s">
        <v>2221</v>
      </c>
      <c r="D1815" s="0" t="s">
        <v>311</v>
      </c>
      <c r="E1815" s="0" t="s">
        <v>62</v>
      </c>
      <c r="F1815" s="0" t="s">
        <v>27</v>
      </c>
      <c r="I1815" s="0" t="n">
        <v>100</v>
      </c>
      <c r="J1815" s="0" t="n">
        <v>0.0263157894736842</v>
      </c>
      <c r="K1815" s="0" t="s">
        <v>2247</v>
      </c>
    </row>
    <row r="1816" customFormat="false" ht="15" hidden="false" customHeight="false" outlineLevel="0" collapsed="false">
      <c r="A1816" s="0" t="n">
        <v>147</v>
      </c>
      <c r="B1816" s="0" t="s">
        <v>2220</v>
      </c>
      <c r="C1816" s="0" t="s">
        <v>2221</v>
      </c>
      <c r="D1816" s="0" t="s">
        <v>311</v>
      </c>
      <c r="E1816" s="0" t="s">
        <v>66</v>
      </c>
      <c r="F1816" s="0" t="s">
        <v>27</v>
      </c>
      <c r="I1816" s="0" t="n">
        <v>350</v>
      </c>
      <c r="J1816" s="0" t="n">
        <v>0.0921052631578947</v>
      </c>
      <c r="K1816" s="0" t="s">
        <v>2248</v>
      </c>
    </row>
    <row r="1817" customFormat="false" ht="15" hidden="false" customHeight="false" outlineLevel="0" collapsed="false">
      <c r="A1817" s="0" t="n">
        <v>147</v>
      </c>
      <c r="B1817" s="0" t="s">
        <v>2220</v>
      </c>
      <c r="C1817" s="0" t="s">
        <v>2221</v>
      </c>
      <c r="D1817" s="0" t="s">
        <v>311</v>
      </c>
      <c r="E1817" s="0" t="s">
        <v>64</v>
      </c>
      <c r="F1817" s="0" t="s">
        <v>27</v>
      </c>
      <c r="I1817" s="0" t="n">
        <v>400</v>
      </c>
      <c r="J1817" s="0" t="n">
        <v>0.105263157894737</v>
      </c>
      <c r="K1817" s="0" t="s">
        <v>2249</v>
      </c>
    </row>
    <row r="1818" customFormat="false" ht="15" hidden="false" customHeight="false" outlineLevel="0" collapsed="false">
      <c r="A1818" s="0" t="n">
        <v>147</v>
      </c>
      <c r="B1818" s="0" t="s">
        <v>2220</v>
      </c>
      <c r="C1818" s="0" t="s">
        <v>2221</v>
      </c>
      <c r="D1818" s="0" t="s">
        <v>311</v>
      </c>
      <c r="E1818" s="0" t="s">
        <v>68</v>
      </c>
      <c r="F1818" s="0" t="s">
        <v>30</v>
      </c>
      <c r="I1818" s="0" t="n">
        <v>3700</v>
      </c>
      <c r="J1818" s="0" t="n">
        <v>0.973684210526316</v>
      </c>
      <c r="K1818" s="0" t="s">
        <v>2250</v>
      </c>
    </row>
    <row r="1819" customFormat="false" ht="15" hidden="false" customHeight="false" outlineLevel="0" collapsed="false">
      <c r="A1819" s="0" t="n">
        <v>148</v>
      </c>
      <c r="B1819" s="0" t="s">
        <v>2220</v>
      </c>
      <c r="C1819" s="0" t="s">
        <v>2221</v>
      </c>
      <c r="D1819" s="0" t="s">
        <v>311</v>
      </c>
      <c r="E1819" s="0" t="s">
        <v>158</v>
      </c>
      <c r="F1819" s="0" t="s">
        <v>28</v>
      </c>
      <c r="I1819" s="0" t="n">
        <v>45000</v>
      </c>
      <c r="J1819" s="0" t="n">
        <v>11.8421052631579</v>
      </c>
      <c r="K1819" s="0" t="s">
        <v>2251</v>
      </c>
      <c r="L1819" s="0" t="s">
        <v>2252</v>
      </c>
    </row>
    <row r="1820" customFormat="false" ht="15" hidden="false" customHeight="false" outlineLevel="0" collapsed="false">
      <c r="A1820" s="0" t="n">
        <v>148</v>
      </c>
      <c r="B1820" s="0" t="s">
        <v>2220</v>
      </c>
      <c r="C1820" s="0" t="s">
        <v>2221</v>
      </c>
      <c r="D1820" s="0" t="s">
        <v>311</v>
      </c>
      <c r="E1820" s="0" t="s">
        <v>1428</v>
      </c>
      <c r="F1820" s="0" t="s">
        <v>27</v>
      </c>
      <c r="G1820" s="0" t="n">
        <v>2000</v>
      </c>
      <c r="H1820" s="0" t="n">
        <v>0.65</v>
      </c>
      <c r="I1820" s="0" t="n">
        <v>1300</v>
      </c>
      <c r="J1820" s="0" t="n">
        <v>0.342105263157895</v>
      </c>
      <c r="K1820" s="0" t="s">
        <v>2253</v>
      </c>
      <c r="L1820" s="0" t="s">
        <v>2254</v>
      </c>
    </row>
    <row r="1821" customFormat="false" ht="15" hidden="false" customHeight="false" outlineLevel="0" collapsed="false">
      <c r="A1821" s="0" t="n">
        <v>148</v>
      </c>
      <c r="B1821" s="0" t="s">
        <v>2220</v>
      </c>
      <c r="C1821" s="0" t="s">
        <v>2221</v>
      </c>
      <c r="D1821" s="0" t="s">
        <v>311</v>
      </c>
      <c r="E1821" s="0" t="s">
        <v>56</v>
      </c>
      <c r="F1821" s="0" t="s">
        <v>28</v>
      </c>
      <c r="I1821" s="0" t="n">
        <v>700</v>
      </c>
      <c r="J1821" s="0" t="n">
        <v>0.18421052631579</v>
      </c>
      <c r="K1821" s="0" t="s">
        <v>2255</v>
      </c>
    </row>
    <row r="1822" customFormat="false" ht="15" hidden="false" customHeight="false" outlineLevel="0" collapsed="false">
      <c r="A1822" s="0" t="n">
        <v>148</v>
      </c>
      <c r="B1822" s="0" t="s">
        <v>2220</v>
      </c>
      <c r="C1822" s="0" t="s">
        <v>2221</v>
      </c>
      <c r="D1822" s="0" t="s">
        <v>311</v>
      </c>
      <c r="E1822" s="0" t="s">
        <v>58</v>
      </c>
      <c r="F1822" s="0" t="s">
        <v>28</v>
      </c>
      <c r="I1822" s="0" t="n">
        <v>8000</v>
      </c>
      <c r="J1822" s="0" t="n">
        <v>2.10526315789474</v>
      </c>
      <c r="K1822" s="0" t="s">
        <v>2256</v>
      </c>
    </row>
    <row r="1823" customFormat="false" ht="15" hidden="false" customHeight="false" outlineLevel="0" collapsed="false">
      <c r="A1823" s="0" t="n">
        <v>148</v>
      </c>
      <c r="B1823" s="0" t="s">
        <v>2220</v>
      </c>
      <c r="C1823" s="0" t="s">
        <v>2221</v>
      </c>
      <c r="D1823" s="0" t="s">
        <v>311</v>
      </c>
      <c r="E1823" s="0" t="s">
        <v>128</v>
      </c>
      <c r="F1823" s="0" t="s">
        <v>28</v>
      </c>
      <c r="I1823" s="0" t="n">
        <v>2000</v>
      </c>
      <c r="J1823" s="0" t="n">
        <v>0.526315789473684</v>
      </c>
      <c r="K1823" s="0" t="s">
        <v>2257</v>
      </c>
    </row>
    <row r="1824" customFormat="false" ht="15" hidden="false" customHeight="false" outlineLevel="0" collapsed="false">
      <c r="A1824" s="0" t="n">
        <v>148</v>
      </c>
      <c r="B1824" s="0" t="s">
        <v>2220</v>
      </c>
      <c r="C1824" s="0" t="s">
        <v>2221</v>
      </c>
      <c r="D1824" s="0" t="s">
        <v>311</v>
      </c>
      <c r="E1824" s="0" t="s">
        <v>379</v>
      </c>
      <c r="F1824" s="0" t="s">
        <v>29</v>
      </c>
      <c r="G1824" s="0" t="n">
        <v>1</v>
      </c>
      <c r="H1824" s="0" t="n">
        <v>13000</v>
      </c>
      <c r="I1824" s="0" t="n">
        <v>13000</v>
      </c>
      <c r="J1824" s="0" t="n">
        <v>3.42105263157895</v>
      </c>
      <c r="K1824" s="0" t="s">
        <v>2258</v>
      </c>
      <c r="L1824" s="0" t="s">
        <v>480</v>
      </c>
    </row>
    <row r="1825" customFormat="false" ht="15" hidden="false" customHeight="false" outlineLevel="0" collapsed="false">
      <c r="A1825" s="0" t="n">
        <v>148</v>
      </c>
      <c r="B1825" s="0" t="s">
        <v>2220</v>
      </c>
      <c r="C1825" s="0" t="s">
        <v>2221</v>
      </c>
      <c r="D1825" s="0" t="s">
        <v>311</v>
      </c>
      <c r="E1825" s="0" t="s">
        <v>132</v>
      </c>
      <c r="F1825" s="0" t="s">
        <v>29</v>
      </c>
      <c r="I1825" s="0" t="n">
        <v>0</v>
      </c>
      <c r="J1825" s="0" t="n">
        <v>0</v>
      </c>
      <c r="K1825" s="0" t="s">
        <v>2259</v>
      </c>
    </row>
    <row r="1826" customFormat="false" ht="15" hidden="false" customHeight="false" outlineLevel="0" collapsed="false">
      <c r="A1826" s="0" t="n">
        <v>148</v>
      </c>
      <c r="B1826" s="0" t="s">
        <v>2220</v>
      </c>
      <c r="C1826" s="0" t="s">
        <v>2221</v>
      </c>
      <c r="D1826" s="0" t="s">
        <v>311</v>
      </c>
      <c r="E1826" s="0" t="s">
        <v>134</v>
      </c>
      <c r="F1826" s="0" t="s">
        <v>28</v>
      </c>
      <c r="I1826" s="0" t="n">
        <v>0</v>
      </c>
      <c r="J1826" s="0" t="n">
        <v>0</v>
      </c>
      <c r="K1826" s="0" t="s">
        <v>2260</v>
      </c>
    </row>
    <row r="1827" customFormat="false" ht="15" hidden="false" customHeight="false" outlineLevel="0" collapsed="false">
      <c r="A1827" s="0" t="n">
        <v>148</v>
      </c>
      <c r="B1827" s="0" t="s">
        <v>2220</v>
      </c>
      <c r="C1827" s="0" t="s">
        <v>2221</v>
      </c>
      <c r="D1827" s="0" t="s">
        <v>311</v>
      </c>
      <c r="E1827" s="0" t="s">
        <v>60</v>
      </c>
      <c r="F1827" s="0" t="s">
        <v>27</v>
      </c>
      <c r="I1827" s="0" t="n">
        <v>500</v>
      </c>
      <c r="J1827" s="0" t="n">
        <v>0.131578947368421</v>
      </c>
      <c r="K1827" s="0" t="s">
        <v>2261</v>
      </c>
    </row>
    <row r="1828" customFormat="false" ht="15" hidden="false" customHeight="false" outlineLevel="0" collapsed="false">
      <c r="A1828" s="0" t="n">
        <v>148</v>
      </c>
      <c r="B1828" s="0" t="s">
        <v>2220</v>
      </c>
      <c r="C1828" s="0" t="s">
        <v>2221</v>
      </c>
      <c r="D1828" s="0" t="s">
        <v>311</v>
      </c>
      <c r="E1828" s="0" t="s">
        <v>62</v>
      </c>
      <c r="F1828" s="0" t="s">
        <v>27</v>
      </c>
      <c r="I1828" s="0" t="n">
        <v>100</v>
      </c>
      <c r="J1828" s="0" t="n">
        <v>0.0263157894736842</v>
      </c>
      <c r="K1828" s="0" t="s">
        <v>2262</v>
      </c>
    </row>
    <row r="1829" customFormat="false" ht="15" hidden="false" customHeight="false" outlineLevel="0" collapsed="false">
      <c r="A1829" s="0" t="n">
        <v>148</v>
      </c>
      <c r="B1829" s="0" t="s">
        <v>2220</v>
      </c>
      <c r="C1829" s="0" t="s">
        <v>2221</v>
      </c>
      <c r="D1829" s="0" t="s">
        <v>311</v>
      </c>
      <c r="E1829" s="0" t="s">
        <v>66</v>
      </c>
      <c r="F1829" s="0" t="s">
        <v>27</v>
      </c>
      <c r="I1829" s="0" t="n">
        <v>350</v>
      </c>
      <c r="J1829" s="0" t="n">
        <v>0.0921052631578947</v>
      </c>
      <c r="K1829" s="0" t="s">
        <v>2263</v>
      </c>
    </row>
    <row r="1830" customFormat="false" ht="15" hidden="false" customHeight="false" outlineLevel="0" collapsed="false">
      <c r="A1830" s="0" t="n">
        <v>148</v>
      </c>
      <c r="B1830" s="0" t="s">
        <v>2220</v>
      </c>
      <c r="C1830" s="0" t="s">
        <v>2221</v>
      </c>
      <c r="D1830" s="0" t="s">
        <v>311</v>
      </c>
      <c r="E1830" s="0" t="s">
        <v>64</v>
      </c>
      <c r="F1830" s="0" t="s">
        <v>27</v>
      </c>
      <c r="I1830" s="0" t="n">
        <v>400</v>
      </c>
      <c r="J1830" s="0" t="n">
        <v>0.105263157894737</v>
      </c>
      <c r="K1830" s="0" t="s">
        <v>2264</v>
      </c>
    </row>
    <row r="1831" customFormat="false" ht="15" hidden="false" customHeight="false" outlineLevel="0" collapsed="false">
      <c r="A1831" s="0" t="n">
        <v>148</v>
      </c>
      <c r="B1831" s="0" t="s">
        <v>2220</v>
      </c>
      <c r="C1831" s="0" t="s">
        <v>2221</v>
      </c>
      <c r="D1831" s="0" t="s">
        <v>311</v>
      </c>
      <c r="E1831" s="0" t="s">
        <v>68</v>
      </c>
      <c r="F1831" s="0" t="s">
        <v>30</v>
      </c>
      <c r="I1831" s="0" t="n">
        <v>4000</v>
      </c>
      <c r="J1831" s="0" t="n">
        <v>1.05263157894737</v>
      </c>
      <c r="K1831" s="0" t="s">
        <v>2265</v>
      </c>
    </row>
    <row r="1832" customFormat="false" ht="15" hidden="false" customHeight="false" outlineLevel="0" collapsed="false">
      <c r="A1832" s="0" t="n">
        <v>149</v>
      </c>
      <c r="B1832" s="0" t="s">
        <v>2220</v>
      </c>
      <c r="C1832" s="0" t="s">
        <v>68</v>
      </c>
      <c r="D1832" s="0" t="s">
        <v>2221</v>
      </c>
      <c r="E1832" s="0" t="s">
        <v>53</v>
      </c>
      <c r="F1832" s="0" t="s">
        <v>27</v>
      </c>
      <c r="G1832" s="0" t="n">
        <v>0.9</v>
      </c>
      <c r="H1832" s="0" t="n">
        <v>4</v>
      </c>
      <c r="I1832" s="0" t="n">
        <v>10080</v>
      </c>
      <c r="J1832" s="0" t="n">
        <v>2.65263157894737</v>
      </c>
      <c r="K1832" s="0" t="s">
        <v>2266</v>
      </c>
      <c r="L1832" s="0" t="s">
        <v>2267</v>
      </c>
    </row>
    <row r="1833" customFormat="false" ht="15" hidden="false" customHeight="false" outlineLevel="0" collapsed="false">
      <c r="A1833" s="0" t="n">
        <v>149</v>
      </c>
      <c r="B1833" s="0" t="s">
        <v>2220</v>
      </c>
      <c r="C1833" s="0" t="s">
        <v>68</v>
      </c>
      <c r="D1833" s="0" t="s">
        <v>2221</v>
      </c>
      <c r="E1833" s="0" t="s">
        <v>1428</v>
      </c>
      <c r="F1833" s="0" t="s">
        <v>27</v>
      </c>
      <c r="I1833" s="0" t="n">
        <v>1000</v>
      </c>
      <c r="J1833" s="0" t="n">
        <v>0.263157894736842</v>
      </c>
      <c r="K1833" s="0" t="s">
        <v>2268</v>
      </c>
    </row>
    <row r="1834" customFormat="false" ht="15" hidden="false" customHeight="false" outlineLevel="0" collapsed="false">
      <c r="A1834" s="0" t="n">
        <v>149</v>
      </c>
      <c r="B1834" s="0" t="s">
        <v>2220</v>
      </c>
      <c r="C1834" s="0" t="s">
        <v>68</v>
      </c>
      <c r="D1834" s="0" t="s">
        <v>2221</v>
      </c>
      <c r="E1834" s="0" t="s">
        <v>56</v>
      </c>
      <c r="F1834" s="0" t="s">
        <v>28</v>
      </c>
      <c r="I1834" s="0" t="n">
        <v>500</v>
      </c>
      <c r="J1834" s="0" t="n">
        <v>0.131578947368421</v>
      </c>
      <c r="K1834" s="0" t="s">
        <v>2269</v>
      </c>
    </row>
    <row r="1835" customFormat="false" ht="15" hidden="false" customHeight="false" outlineLevel="0" collapsed="false">
      <c r="A1835" s="0" t="n">
        <v>149</v>
      </c>
      <c r="B1835" s="0" t="s">
        <v>2220</v>
      </c>
      <c r="C1835" s="0" t="s">
        <v>68</v>
      </c>
      <c r="D1835" s="0" t="s">
        <v>2221</v>
      </c>
      <c r="E1835" s="0" t="s">
        <v>58</v>
      </c>
      <c r="F1835" s="0" t="s">
        <v>28</v>
      </c>
      <c r="I1835" s="0" t="n">
        <v>4500</v>
      </c>
      <c r="J1835" s="0" t="n">
        <v>1.18421052631579</v>
      </c>
      <c r="K1835" s="0" t="s">
        <v>2270</v>
      </c>
    </row>
    <row r="1836" customFormat="false" ht="15" hidden="false" customHeight="false" outlineLevel="0" collapsed="false">
      <c r="A1836" s="0" t="n">
        <v>149</v>
      </c>
      <c r="B1836" s="0" t="s">
        <v>2220</v>
      </c>
      <c r="C1836" s="0" t="s">
        <v>68</v>
      </c>
      <c r="D1836" s="0" t="s">
        <v>2221</v>
      </c>
      <c r="E1836" s="0" t="s">
        <v>128</v>
      </c>
      <c r="F1836" s="0" t="s">
        <v>28</v>
      </c>
      <c r="I1836" s="0" t="n">
        <v>500</v>
      </c>
      <c r="J1836" s="0" t="n">
        <v>0.131578947368421</v>
      </c>
      <c r="K1836" s="0" t="s">
        <v>2271</v>
      </c>
    </row>
    <row r="1837" customFormat="false" ht="15" hidden="false" customHeight="false" outlineLevel="0" collapsed="false">
      <c r="A1837" s="0" t="n">
        <v>149</v>
      </c>
      <c r="B1837" s="0" t="s">
        <v>2220</v>
      </c>
      <c r="C1837" s="0" t="s">
        <v>68</v>
      </c>
      <c r="D1837" s="0" t="s">
        <v>2221</v>
      </c>
      <c r="E1837" s="0" t="s">
        <v>203</v>
      </c>
      <c r="F1837" s="0" t="s">
        <v>29</v>
      </c>
      <c r="I1837" s="0" t="n">
        <v>500</v>
      </c>
      <c r="J1837" s="0" t="n">
        <v>0.131578947368421</v>
      </c>
      <c r="K1837" s="0" t="s">
        <v>2272</v>
      </c>
    </row>
    <row r="1838" customFormat="false" ht="15" hidden="false" customHeight="false" outlineLevel="0" collapsed="false">
      <c r="A1838" s="0" t="n">
        <v>149</v>
      </c>
      <c r="B1838" s="0" t="s">
        <v>2220</v>
      </c>
      <c r="C1838" s="0" t="s">
        <v>68</v>
      </c>
      <c r="D1838" s="0" t="s">
        <v>2221</v>
      </c>
      <c r="E1838" s="0" t="s">
        <v>132</v>
      </c>
      <c r="F1838" s="0" t="s">
        <v>29</v>
      </c>
      <c r="I1838" s="0" t="n">
        <v>100</v>
      </c>
      <c r="J1838" s="0" t="n">
        <v>0.0263157894736842</v>
      </c>
      <c r="K1838" s="0" t="s">
        <v>2273</v>
      </c>
    </row>
    <row r="1839" customFormat="false" ht="15" hidden="false" customHeight="false" outlineLevel="0" collapsed="false">
      <c r="A1839" s="0" t="n">
        <v>149</v>
      </c>
      <c r="B1839" s="0" t="s">
        <v>2220</v>
      </c>
      <c r="C1839" s="0" t="s">
        <v>68</v>
      </c>
      <c r="D1839" s="0" t="s">
        <v>2221</v>
      </c>
      <c r="E1839" s="0" t="s">
        <v>134</v>
      </c>
      <c r="F1839" s="0" t="s">
        <v>28</v>
      </c>
      <c r="I1839" s="0" t="n">
        <v>100</v>
      </c>
      <c r="J1839" s="0" t="n">
        <v>0.0263157894736842</v>
      </c>
      <c r="K1839" s="0" t="s">
        <v>2274</v>
      </c>
    </row>
    <row r="1840" customFormat="false" ht="15" hidden="false" customHeight="false" outlineLevel="0" collapsed="false">
      <c r="A1840" s="0" t="n">
        <v>149</v>
      </c>
      <c r="B1840" s="0" t="s">
        <v>2220</v>
      </c>
      <c r="C1840" s="0" t="s">
        <v>68</v>
      </c>
      <c r="D1840" s="0" t="s">
        <v>2221</v>
      </c>
      <c r="E1840" s="0" t="s">
        <v>60</v>
      </c>
      <c r="F1840" s="0" t="s">
        <v>27</v>
      </c>
      <c r="I1840" s="0" t="n">
        <v>200</v>
      </c>
      <c r="J1840" s="0" t="n">
        <v>0.0526315789473684</v>
      </c>
      <c r="K1840" s="0" t="s">
        <v>2275</v>
      </c>
    </row>
    <row r="1841" customFormat="false" ht="15" hidden="false" customHeight="false" outlineLevel="0" collapsed="false">
      <c r="A1841" s="0" t="n">
        <v>149</v>
      </c>
      <c r="B1841" s="0" t="s">
        <v>2220</v>
      </c>
      <c r="C1841" s="0" t="s">
        <v>68</v>
      </c>
      <c r="D1841" s="0" t="s">
        <v>2221</v>
      </c>
      <c r="E1841" s="0" t="s">
        <v>62</v>
      </c>
      <c r="F1841" s="0" t="s">
        <v>27</v>
      </c>
      <c r="I1841" s="0" t="n">
        <v>0</v>
      </c>
      <c r="J1841" s="0" t="n">
        <v>0</v>
      </c>
      <c r="K1841" s="0" t="s">
        <v>2276</v>
      </c>
    </row>
    <row r="1842" customFormat="false" ht="15" hidden="false" customHeight="false" outlineLevel="0" collapsed="false">
      <c r="A1842" s="0" t="n">
        <v>149</v>
      </c>
      <c r="B1842" s="0" t="s">
        <v>2220</v>
      </c>
      <c r="C1842" s="0" t="s">
        <v>68</v>
      </c>
      <c r="D1842" s="0" t="s">
        <v>2221</v>
      </c>
      <c r="E1842" s="0" t="s">
        <v>66</v>
      </c>
      <c r="F1842" s="0" t="s">
        <v>27</v>
      </c>
      <c r="I1842" s="0" t="n">
        <v>350</v>
      </c>
      <c r="J1842" s="0" t="n">
        <v>0.0921052631578947</v>
      </c>
      <c r="K1842" s="0" t="s">
        <v>2277</v>
      </c>
    </row>
    <row r="1843" customFormat="false" ht="15" hidden="false" customHeight="false" outlineLevel="0" collapsed="false">
      <c r="A1843" s="0" t="n">
        <v>149</v>
      </c>
      <c r="B1843" s="0" t="s">
        <v>2220</v>
      </c>
      <c r="C1843" s="0" t="s">
        <v>68</v>
      </c>
      <c r="D1843" s="0" t="s">
        <v>2221</v>
      </c>
      <c r="E1843" s="0" t="s">
        <v>64</v>
      </c>
      <c r="F1843" s="0" t="s">
        <v>27</v>
      </c>
      <c r="I1843" s="0" t="n">
        <v>500</v>
      </c>
      <c r="J1843" s="0" t="n">
        <v>0.131578947368421</v>
      </c>
      <c r="K1843" s="0" t="s">
        <v>2278</v>
      </c>
    </row>
    <row r="1844" customFormat="false" ht="15" hidden="false" customHeight="false" outlineLevel="0" collapsed="false">
      <c r="A1844" s="0" t="n">
        <v>149</v>
      </c>
      <c r="B1844" s="0" t="s">
        <v>2220</v>
      </c>
      <c r="C1844" s="0" t="s">
        <v>68</v>
      </c>
      <c r="D1844" s="0" t="s">
        <v>2221</v>
      </c>
      <c r="E1844" s="0" t="s">
        <v>68</v>
      </c>
      <c r="F1844" s="0" t="s">
        <v>30</v>
      </c>
      <c r="I1844" s="0" t="n">
        <v>4000</v>
      </c>
      <c r="J1844" s="0" t="n">
        <v>1.05263157894737</v>
      </c>
      <c r="K1844" s="0" t="s">
        <v>2279</v>
      </c>
    </row>
    <row r="1845" customFormat="false" ht="15" hidden="false" customHeight="false" outlineLevel="0" collapsed="false">
      <c r="A1845" s="0" t="n">
        <v>150</v>
      </c>
      <c r="B1845" s="0" t="s">
        <v>2220</v>
      </c>
      <c r="C1845" s="0" t="s">
        <v>2221</v>
      </c>
      <c r="D1845" s="0" t="s">
        <v>2221</v>
      </c>
      <c r="E1845" s="0" t="s">
        <v>53</v>
      </c>
      <c r="F1845" s="0" t="s">
        <v>27</v>
      </c>
      <c r="G1845" s="0" t="n">
        <v>1.1</v>
      </c>
      <c r="H1845" s="0" t="n">
        <v>2.5</v>
      </c>
      <c r="I1845" s="0" t="n">
        <v>7333.33333333333</v>
      </c>
      <c r="J1845" s="0" t="n">
        <v>1.92982456140351</v>
      </c>
      <c r="K1845" s="0" t="s">
        <v>2280</v>
      </c>
      <c r="L1845" s="0" t="s">
        <v>2281</v>
      </c>
    </row>
    <row r="1846" customFormat="false" ht="15" hidden="false" customHeight="false" outlineLevel="0" collapsed="false">
      <c r="A1846" s="0" t="n">
        <v>150</v>
      </c>
      <c r="B1846" s="0" t="s">
        <v>2220</v>
      </c>
      <c r="C1846" s="0" t="s">
        <v>2221</v>
      </c>
      <c r="D1846" s="0" t="s">
        <v>2221</v>
      </c>
      <c r="E1846" s="0" t="s">
        <v>1428</v>
      </c>
      <c r="F1846" s="0" t="s">
        <v>27</v>
      </c>
      <c r="I1846" s="0" t="n">
        <v>1500</v>
      </c>
      <c r="J1846" s="0" t="n">
        <v>0.394736842105263</v>
      </c>
      <c r="K1846" s="0" t="s">
        <v>2282</v>
      </c>
    </row>
    <row r="1847" customFormat="false" ht="15" hidden="false" customHeight="false" outlineLevel="0" collapsed="false">
      <c r="A1847" s="0" t="n">
        <v>150</v>
      </c>
      <c r="B1847" s="0" t="s">
        <v>2220</v>
      </c>
      <c r="C1847" s="0" t="s">
        <v>2221</v>
      </c>
      <c r="D1847" s="0" t="s">
        <v>2221</v>
      </c>
      <c r="E1847" s="0" t="s">
        <v>56</v>
      </c>
      <c r="F1847" s="0" t="s">
        <v>28</v>
      </c>
      <c r="I1847" s="0" t="n">
        <v>700</v>
      </c>
      <c r="J1847" s="0" t="n">
        <v>0.18421052631579</v>
      </c>
      <c r="K1847" s="0" t="s">
        <v>2283</v>
      </c>
    </row>
    <row r="1848" customFormat="false" ht="15" hidden="false" customHeight="false" outlineLevel="0" collapsed="false">
      <c r="A1848" s="0" t="n">
        <v>150</v>
      </c>
      <c r="B1848" s="0" t="s">
        <v>2220</v>
      </c>
      <c r="C1848" s="0" t="s">
        <v>2221</v>
      </c>
      <c r="D1848" s="0" t="s">
        <v>2221</v>
      </c>
      <c r="E1848" s="0" t="s">
        <v>58</v>
      </c>
      <c r="F1848" s="0" t="s">
        <v>28</v>
      </c>
      <c r="I1848" s="0" t="n">
        <v>4000</v>
      </c>
      <c r="J1848" s="0" t="n">
        <v>1.05263157894737</v>
      </c>
      <c r="K1848" s="0" t="s">
        <v>2284</v>
      </c>
    </row>
    <row r="1849" customFormat="false" ht="15" hidden="false" customHeight="false" outlineLevel="0" collapsed="false">
      <c r="A1849" s="0" t="n">
        <v>150</v>
      </c>
      <c r="B1849" s="0" t="s">
        <v>2220</v>
      </c>
      <c r="C1849" s="0" t="s">
        <v>2221</v>
      </c>
      <c r="D1849" s="0" t="s">
        <v>2221</v>
      </c>
      <c r="E1849" s="0" t="s">
        <v>128</v>
      </c>
      <c r="F1849" s="0" t="s">
        <v>28</v>
      </c>
      <c r="I1849" s="0" t="n">
        <v>500</v>
      </c>
      <c r="J1849" s="0" t="n">
        <v>0.131578947368421</v>
      </c>
      <c r="K1849" s="0" t="s">
        <v>2285</v>
      </c>
    </row>
    <row r="1850" customFormat="false" ht="15" hidden="false" customHeight="false" outlineLevel="0" collapsed="false">
      <c r="A1850" s="0" t="n">
        <v>150</v>
      </c>
      <c r="B1850" s="0" t="s">
        <v>2220</v>
      </c>
      <c r="C1850" s="0" t="s">
        <v>2221</v>
      </c>
      <c r="D1850" s="0" t="s">
        <v>2221</v>
      </c>
      <c r="E1850" s="0" t="s">
        <v>203</v>
      </c>
      <c r="F1850" s="0" t="s">
        <v>29</v>
      </c>
      <c r="I1850" s="0" t="n">
        <v>500</v>
      </c>
      <c r="J1850" s="0" t="n">
        <v>0.131578947368421</v>
      </c>
      <c r="K1850" s="0" t="s">
        <v>2286</v>
      </c>
    </row>
    <row r="1851" customFormat="false" ht="15" hidden="false" customHeight="false" outlineLevel="0" collapsed="false">
      <c r="A1851" s="0" t="n">
        <v>150</v>
      </c>
      <c r="B1851" s="0" t="s">
        <v>2220</v>
      </c>
      <c r="C1851" s="0" t="s">
        <v>2221</v>
      </c>
      <c r="D1851" s="0" t="s">
        <v>2221</v>
      </c>
      <c r="E1851" s="0" t="s">
        <v>132</v>
      </c>
      <c r="F1851" s="0" t="s">
        <v>29</v>
      </c>
      <c r="I1851" s="0" t="n">
        <v>200</v>
      </c>
      <c r="J1851" s="0" t="n">
        <v>0.0526315789473684</v>
      </c>
      <c r="K1851" s="0" t="s">
        <v>2287</v>
      </c>
    </row>
    <row r="1852" customFormat="false" ht="15" hidden="false" customHeight="false" outlineLevel="0" collapsed="false">
      <c r="A1852" s="0" t="n">
        <v>150</v>
      </c>
      <c r="B1852" s="0" t="s">
        <v>2220</v>
      </c>
      <c r="C1852" s="0" t="s">
        <v>2221</v>
      </c>
      <c r="D1852" s="0" t="s">
        <v>2221</v>
      </c>
      <c r="E1852" s="0" t="s">
        <v>134</v>
      </c>
      <c r="F1852" s="0" t="s">
        <v>28</v>
      </c>
      <c r="I1852" s="0" t="n">
        <v>200</v>
      </c>
      <c r="J1852" s="0" t="n">
        <v>0.0526315789473684</v>
      </c>
      <c r="K1852" s="0" t="s">
        <v>2288</v>
      </c>
    </row>
    <row r="1853" customFormat="false" ht="15" hidden="false" customHeight="false" outlineLevel="0" collapsed="false">
      <c r="A1853" s="0" t="n">
        <v>150</v>
      </c>
      <c r="B1853" s="0" t="s">
        <v>2220</v>
      </c>
      <c r="C1853" s="0" t="s">
        <v>2221</v>
      </c>
      <c r="D1853" s="0" t="s">
        <v>2221</v>
      </c>
      <c r="E1853" s="0" t="s">
        <v>60</v>
      </c>
      <c r="F1853" s="0" t="s">
        <v>27</v>
      </c>
      <c r="I1853" s="0" t="n">
        <v>500</v>
      </c>
      <c r="J1853" s="0" t="n">
        <v>0.131578947368421</v>
      </c>
      <c r="K1853" s="0" t="s">
        <v>2289</v>
      </c>
    </row>
    <row r="1854" customFormat="false" ht="15" hidden="false" customHeight="false" outlineLevel="0" collapsed="false">
      <c r="A1854" s="0" t="n">
        <v>150</v>
      </c>
      <c r="B1854" s="0" t="s">
        <v>2220</v>
      </c>
      <c r="C1854" s="0" t="s">
        <v>2221</v>
      </c>
      <c r="D1854" s="0" t="s">
        <v>2221</v>
      </c>
      <c r="E1854" s="0" t="s">
        <v>62</v>
      </c>
      <c r="F1854" s="0" t="s">
        <v>27</v>
      </c>
      <c r="I1854" s="0" t="n">
        <v>100</v>
      </c>
      <c r="J1854" s="0" t="n">
        <v>0.0263157894736842</v>
      </c>
      <c r="K1854" s="0" t="s">
        <v>2290</v>
      </c>
    </row>
    <row r="1855" customFormat="false" ht="15" hidden="false" customHeight="false" outlineLevel="0" collapsed="false">
      <c r="A1855" s="0" t="n">
        <v>150</v>
      </c>
      <c r="B1855" s="0" t="s">
        <v>2220</v>
      </c>
      <c r="C1855" s="0" t="s">
        <v>2221</v>
      </c>
      <c r="D1855" s="0" t="s">
        <v>2221</v>
      </c>
      <c r="E1855" s="0" t="s">
        <v>66</v>
      </c>
      <c r="F1855" s="0" t="s">
        <v>27</v>
      </c>
      <c r="I1855" s="0" t="n">
        <v>350</v>
      </c>
      <c r="J1855" s="0" t="n">
        <v>0.0921052631578947</v>
      </c>
      <c r="K1855" s="0" t="s">
        <v>2291</v>
      </c>
    </row>
    <row r="1856" customFormat="false" ht="15" hidden="false" customHeight="false" outlineLevel="0" collapsed="false">
      <c r="A1856" s="0" t="n">
        <v>150</v>
      </c>
      <c r="B1856" s="0" t="s">
        <v>2220</v>
      </c>
      <c r="C1856" s="0" t="s">
        <v>2221</v>
      </c>
      <c r="D1856" s="0" t="s">
        <v>2221</v>
      </c>
      <c r="E1856" s="0" t="s">
        <v>64</v>
      </c>
      <c r="F1856" s="0" t="s">
        <v>27</v>
      </c>
      <c r="I1856" s="0" t="n">
        <v>400</v>
      </c>
      <c r="J1856" s="0" t="n">
        <v>0.105263157894737</v>
      </c>
      <c r="K1856" s="0" t="s">
        <v>2292</v>
      </c>
    </row>
    <row r="1857" customFormat="false" ht="15" hidden="false" customHeight="false" outlineLevel="0" collapsed="false">
      <c r="A1857" s="0" t="n">
        <v>150</v>
      </c>
      <c r="B1857" s="0" t="s">
        <v>2220</v>
      </c>
      <c r="C1857" s="0" t="s">
        <v>2221</v>
      </c>
      <c r="D1857" s="0" t="s">
        <v>2221</v>
      </c>
      <c r="E1857" s="0" t="s">
        <v>68</v>
      </c>
      <c r="F1857" s="0" t="s">
        <v>30</v>
      </c>
      <c r="I1857" s="0" t="n">
        <v>4000</v>
      </c>
      <c r="J1857" s="0" t="n">
        <v>1.05263157894737</v>
      </c>
      <c r="K1857" s="0" t="s">
        <v>2293</v>
      </c>
    </row>
    <row r="1858" customFormat="false" ht="15" hidden="false" customHeight="false" outlineLevel="0" collapsed="false">
      <c r="A1858" s="0" t="n">
        <v>151</v>
      </c>
      <c r="B1858" s="0" t="s">
        <v>2220</v>
      </c>
      <c r="C1858" s="0" t="s">
        <v>68</v>
      </c>
      <c r="D1858" s="0" t="s">
        <v>349</v>
      </c>
      <c r="E1858" s="0" t="s">
        <v>53</v>
      </c>
      <c r="F1858" s="0" t="s">
        <v>27</v>
      </c>
      <c r="G1858" s="0" t="n">
        <v>0.8</v>
      </c>
      <c r="H1858" s="0" t="n">
        <v>4</v>
      </c>
      <c r="I1858" s="0" t="n">
        <v>6080</v>
      </c>
      <c r="J1858" s="0" t="n">
        <v>1.6</v>
      </c>
      <c r="K1858" s="0" t="s">
        <v>2294</v>
      </c>
      <c r="L1858" s="0" t="s">
        <v>2295</v>
      </c>
    </row>
    <row r="1859" customFormat="false" ht="15" hidden="false" customHeight="false" outlineLevel="0" collapsed="false">
      <c r="A1859" s="0" t="n">
        <v>151</v>
      </c>
      <c r="B1859" s="0" t="s">
        <v>2220</v>
      </c>
      <c r="C1859" s="0" t="s">
        <v>68</v>
      </c>
      <c r="D1859" s="0" t="s">
        <v>349</v>
      </c>
      <c r="E1859" s="0" t="s">
        <v>1428</v>
      </c>
      <c r="F1859" s="0" t="s">
        <v>27</v>
      </c>
      <c r="I1859" s="0" t="n">
        <v>2000</v>
      </c>
      <c r="J1859" s="0" t="n">
        <v>0.526315789473684</v>
      </c>
      <c r="K1859" s="0" t="s">
        <v>2296</v>
      </c>
    </row>
    <row r="1860" customFormat="false" ht="15" hidden="false" customHeight="false" outlineLevel="0" collapsed="false">
      <c r="A1860" s="0" t="n">
        <v>151</v>
      </c>
      <c r="B1860" s="0" t="s">
        <v>2220</v>
      </c>
      <c r="C1860" s="0" t="s">
        <v>68</v>
      </c>
      <c r="D1860" s="0" t="s">
        <v>349</v>
      </c>
      <c r="E1860" s="0" t="s">
        <v>56</v>
      </c>
      <c r="F1860" s="0" t="s">
        <v>28</v>
      </c>
      <c r="I1860" s="0" t="n">
        <v>700</v>
      </c>
      <c r="J1860" s="0" t="n">
        <v>0.18421052631579</v>
      </c>
      <c r="K1860" s="0" t="s">
        <v>2297</v>
      </c>
    </row>
    <row r="1861" customFormat="false" ht="15" hidden="false" customHeight="false" outlineLevel="0" collapsed="false">
      <c r="A1861" s="0" t="n">
        <v>151</v>
      </c>
      <c r="B1861" s="0" t="s">
        <v>2220</v>
      </c>
      <c r="C1861" s="0" t="s">
        <v>68</v>
      </c>
      <c r="D1861" s="0" t="s">
        <v>349</v>
      </c>
      <c r="E1861" s="0" t="s">
        <v>58</v>
      </c>
      <c r="F1861" s="0" t="s">
        <v>28</v>
      </c>
      <c r="I1861" s="0" t="n">
        <v>2500</v>
      </c>
      <c r="J1861" s="0" t="n">
        <v>0.657894736842105</v>
      </c>
      <c r="K1861" s="0" t="s">
        <v>2298</v>
      </c>
    </row>
    <row r="1862" customFormat="false" ht="15" hidden="false" customHeight="false" outlineLevel="0" collapsed="false">
      <c r="A1862" s="0" t="n">
        <v>151</v>
      </c>
      <c r="B1862" s="0" t="s">
        <v>2220</v>
      </c>
      <c r="C1862" s="0" t="s">
        <v>68</v>
      </c>
      <c r="D1862" s="0" t="s">
        <v>349</v>
      </c>
      <c r="E1862" s="0" t="s">
        <v>128</v>
      </c>
      <c r="F1862" s="0" t="s">
        <v>28</v>
      </c>
      <c r="I1862" s="0" t="n">
        <v>200</v>
      </c>
      <c r="J1862" s="0" t="n">
        <v>0.0526315789473684</v>
      </c>
      <c r="K1862" s="0" t="s">
        <v>2299</v>
      </c>
    </row>
    <row r="1863" customFormat="false" ht="15" hidden="false" customHeight="false" outlineLevel="0" collapsed="false">
      <c r="A1863" s="0" t="n">
        <v>151</v>
      </c>
      <c r="B1863" s="0" t="s">
        <v>2220</v>
      </c>
      <c r="C1863" s="0" t="s">
        <v>68</v>
      </c>
      <c r="D1863" s="0" t="s">
        <v>349</v>
      </c>
      <c r="E1863" s="0" t="s">
        <v>158</v>
      </c>
      <c r="F1863" s="0" t="s">
        <v>28</v>
      </c>
      <c r="I1863" s="0" t="n">
        <v>0</v>
      </c>
      <c r="J1863" s="0" t="n">
        <v>0</v>
      </c>
      <c r="K1863" s="0" t="s">
        <v>2300</v>
      </c>
    </row>
    <row r="1864" customFormat="false" ht="15" hidden="false" customHeight="false" outlineLevel="0" collapsed="false">
      <c r="A1864" s="0" t="n">
        <v>151</v>
      </c>
      <c r="B1864" s="0" t="s">
        <v>2220</v>
      </c>
      <c r="C1864" s="0" t="s">
        <v>68</v>
      </c>
      <c r="D1864" s="0" t="s">
        <v>349</v>
      </c>
      <c r="E1864" s="0" t="s">
        <v>132</v>
      </c>
      <c r="F1864" s="0" t="s">
        <v>29</v>
      </c>
      <c r="I1864" s="0" t="n">
        <v>200</v>
      </c>
      <c r="J1864" s="0" t="n">
        <v>0.0526315789473684</v>
      </c>
      <c r="K1864" s="0" t="s">
        <v>2301</v>
      </c>
    </row>
    <row r="1865" customFormat="false" ht="15" hidden="false" customHeight="false" outlineLevel="0" collapsed="false">
      <c r="A1865" s="0" t="n">
        <v>151</v>
      </c>
      <c r="B1865" s="0" t="s">
        <v>2220</v>
      </c>
      <c r="C1865" s="0" t="s">
        <v>68</v>
      </c>
      <c r="D1865" s="0" t="s">
        <v>349</v>
      </c>
      <c r="E1865" s="0" t="s">
        <v>134</v>
      </c>
      <c r="F1865" s="0" t="s">
        <v>28</v>
      </c>
      <c r="I1865" s="0" t="n">
        <v>200</v>
      </c>
      <c r="J1865" s="0" t="n">
        <v>0.0526315789473684</v>
      </c>
      <c r="K1865" s="0" t="s">
        <v>2302</v>
      </c>
    </row>
    <row r="1866" customFormat="false" ht="15" hidden="false" customHeight="false" outlineLevel="0" collapsed="false">
      <c r="A1866" s="0" t="n">
        <v>151</v>
      </c>
      <c r="B1866" s="0" t="s">
        <v>2220</v>
      </c>
      <c r="C1866" s="0" t="s">
        <v>68</v>
      </c>
      <c r="D1866" s="0" t="s">
        <v>349</v>
      </c>
      <c r="E1866" s="0" t="s">
        <v>60</v>
      </c>
      <c r="F1866" s="0" t="s">
        <v>27</v>
      </c>
      <c r="I1866" s="0" t="n">
        <v>500</v>
      </c>
      <c r="J1866" s="0" t="n">
        <v>0.131578947368421</v>
      </c>
      <c r="K1866" s="0" t="s">
        <v>2303</v>
      </c>
    </row>
    <row r="1867" customFormat="false" ht="15" hidden="false" customHeight="false" outlineLevel="0" collapsed="false">
      <c r="A1867" s="0" t="n">
        <v>151</v>
      </c>
      <c r="B1867" s="0" t="s">
        <v>2220</v>
      </c>
      <c r="C1867" s="0" t="s">
        <v>68</v>
      </c>
      <c r="D1867" s="0" t="s">
        <v>349</v>
      </c>
      <c r="E1867" s="0" t="s">
        <v>62</v>
      </c>
      <c r="F1867" s="0" t="s">
        <v>27</v>
      </c>
      <c r="I1867" s="0" t="n">
        <v>100</v>
      </c>
      <c r="J1867" s="0" t="n">
        <v>0.0263157894736842</v>
      </c>
      <c r="K1867" s="0" t="s">
        <v>2304</v>
      </c>
    </row>
    <row r="1868" customFormat="false" ht="15" hidden="false" customHeight="false" outlineLevel="0" collapsed="false">
      <c r="A1868" s="0" t="n">
        <v>151</v>
      </c>
      <c r="B1868" s="0" t="s">
        <v>2220</v>
      </c>
      <c r="C1868" s="0" t="s">
        <v>68</v>
      </c>
      <c r="D1868" s="0" t="s">
        <v>349</v>
      </c>
      <c r="E1868" s="0" t="s">
        <v>66</v>
      </c>
      <c r="F1868" s="0" t="s">
        <v>27</v>
      </c>
      <c r="I1868" s="0" t="n">
        <v>100</v>
      </c>
      <c r="J1868" s="0" t="n">
        <v>0.0263157894736842</v>
      </c>
      <c r="K1868" s="0" t="s">
        <v>2305</v>
      </c>
    </row>
    <row r="1869" customFormat="false" ht="15" hidden="false" customHeight="false" outlineLevel="0" collapsed="false">
      <c r="A1869" s="0" t="n">
        <v>151</v>
      </c>
      <c r="B1869" s="0" t="s">
        <v>2220</v>
      </c>
      <c r="C1869" s="0" t="s">
        <v>68</v>
      </c>
      <c r="D1869" s="0" t="s">
        <v>349</v>
      </c>
      <c r="E1869" s="0" t="s">
        <v>64</v>
      </c>
      <c r="F1869" s="0" t="s">
        <v>27</v>
      </c>
      <c r="I1869" s="0" t="n">
        <v>400</v>
      </c>
      <c r="J1869" s="0" t="n">
        <v>0.105263157894737</v>
      </c>
      <c r="K1869" s="0" t="s">
        <v>2306</v>
      </c>
    </row>
    <row r="1870" customFormat="false" ht="15" hidden="false" customHeight="false" outlineLevel="0" collapsed="false">
      <c r="A1870" s="0" t="n">
        <v>151</v>
      </c>
      <c r="B1870" s="0" t="s">
        <v>2220</v>
      </c>
      <c r="C1870" s="0" t="s">
        <v>68</v>
      </c>
      <c r="D1870" s="0" t="s">
        <v>349</v>
      </c>
      <c r="E1870" s="0" t="s">
        <v>68</v>
      </c>
      <c r="F1870" s="0" t="s">
        <v>30</v>
      </c>
      <c r="I1870" s="0" t="n">
        <v>4000</v>
      </c>
      <c r="J1870" s="0" t="n">
        <v>1.05263157894737</v>
      </c>
      <c r="K1870" s="0" t="s">
        <v>2307</v>
      </c>
    </row>
    <row r="1871" customFormat="false" ht="15" hidden="false" customHeight="false" outlineLevel="0" collapsed="false">
      <c r="A1871" s="0" t="n">
        <v>152</v>
      </c>
      <c r="B1871" s="0" t="s">
        <v>2220</v>
      </c>
      <c r="C1871" s="0" t="s">
        <v>68</v>
      </c>
      <c r="D1871" s="0" t="s">
        <v>311</v>
      </c>
      <c r="E1871" s="0" t="s">
        <v>1428</v>
      </c>
      <c r="F1871" s="0" t="s">
        <v>27</v>
      </c>
      <c r="I1871" s="0" t="n">
        <v>1000</v>
      </c>
      <c r="J1871" s="0" t="n">
        <v>0.263157894736842</v>
      </c>
      <c r="K1871" s="0" t="s">
        <v>2308</v>
      </c>
    </row>
    <row r="1872" customFormat="false" ht="15" hidden="false" customHeight="false" outlineLevel="0" collapsed="false">
      <c r="A1872" s="0" t="n">
        <v>152</v>
      </c>
      <c r="B1872" s="0" t="s">
        <v>2220</v>
      </c>
      <c r="C1872" s="0" t="s">
        <v>68</v>
      </c>
      <c r="D1872" s="0" t="s">
        <v>311</v>
      </c>
      <c r="E1872" s="0" t="s">
        <v>53</v>
      </c>
      <c r="F1872" s="0" t="s">
        <v>27</v>
      </c>
      <c r="G1872" s="0" t="n">
        <v>0.5</v>
      </c>
      <c r="H1872" s="0" t="n">
        <v>4.2</v>
      </c>
      <c r="I1872" s="0" t="n">
        <v>3990</v>
      </c>
      <c r="J1872" s="0" t="n">
        <v>1.05</v>
      </c>
      <c r="K1872" s="0" t="s">
        <v>2309</v>
      </c>
      <c r="L1872" s="0" t="s">
        <v>2310</v>
      </c>
    </row>
    <row r="1873" customFormat="false" ht="15" hidden="false" customHeight="false" outlineLevel="0" collapsed="false">
      <c r="A1873" s="0" t="n">
        <v>152</v>
      </c>
      <c r="B1873" s="0" t="s">
        <v>2220</v>
      </c>
      <c r="C1873" s="0" t="s">
        <v>68</v>
      </c>
      <c r="D1873" s="0" t="s">
        <v>311</v>
      </c>
      <c r="E1873" s="0" t="s">
        <v>56</v>
      </c>
      <c r="F1873" s="0" t="s">
        <v>28</v>
      </c>
      <c r="I1873" s="0" t="n">
        <v>1000</v>
      </c>
      <c r="J1873" s="0" t="n">
        <v>0.263157894736842</v>
      </c>
      <c r="K1873" s="0" t="s">
        <v>2311</v>
      </c>
    </row>
    <row r="1874" customFormat="false" ht="15" hidden="false" customHeight="false" outlineLevel="0" collapsed="false">
      <c r="A1874" s="0" t="n">
        <v>152</v>
      </c>
      <c r="B1874" s="0" t="s">
        <v>2220</v>
      </c>
      <c r="C1874" s="0" t="s">
        <v>68</v>
      </c>
      <c r="D1874" s="0" t="s">
        <v>311</v>
      </c>
      <c r="E1874" s="0" t="s">
        <v>58</v>
      </c>
      <c r="F1874" s="0" t="s">
        <v>28</v>
      </c>
      <c r="I1874" s="0" t="n">
        <v>2500</v>
      </c>
      <c r="J1874" s="0" t="n">
        <v>0.657894736842105</v>
      </c>
      <c r="K1874" s="0" t="s">
        <v>2312</v>
      </c>
    </row>
    <row r="1875" customFormat="false" ht="15" hidden="false" customHeight="false" outlineLevel="0" collapsed="false">
      <c r="A1875" s="0" t="n">
        <v>152</v>
      </c>
      <c r="B1875" s="0" t="s">
        <v>2220</v>
      </c>
      <c r="C1875" s="0" t="s">
        <v>68</v>
      </c>
      <c r="D1875" s="0" t="s">
        <v>311</v>
      </c>
      <c r="E1875" s="0" t="s">
        <v>128</v>
      </c>
      <c r="F1875" s="0" t="s">
        <v>28</v>
      </c>
      <c r="I1875" s="0" t="n">
        <v>1000</v>
      </c>
      <c r="J1875" s="0" t="n">
        <v>0.263157894736842</v>
      </c>
      <c r="K1875" s="0" t="s">
        <v>2313</v>
      </c>
    </row>
    <row r="1876" customFormat="false" ht="15" hidden="false" customHeight="false" outlineLevel="0" collapsed="false">
      <c r="A1876" s="0" t="n">
        <v>152</v>
      </c>
      <c r="B1876" s="0" t="s">
        <v>2220</v>
      </c>
      <c r="C1876" s="0" t="s">
        <v>68</v>
      </c>
      <c r="D1876" s="0" t="s">
        <v>311</v>
      </c>
      <c r="E1876" s="0" t="s">
        <v>203</v>
      </c>
      <c r="F1876" s="0" t="s">
        <v>29</v>
      </c>
      <c r="I1876" s="0" t="n">
        <v>1000</v>
      </c>
      <c r="J1876" s="0" t="n">
        <v>0.263157894736842</v>
      </c>
      <c r="K1876" s="0" t="s">
        <v>2314</v>
      </c>
    </row>
    <row r="1877" customFormat="false" ht="15" hidden="false" customHeight="false" outlineLevel="0" collapsed="false">
      <c r="A1877" s="0" t="n">
        <v>152</v>
      </c>
      <c r="B1877" s="0" t="s">
        <v>2220</v>
      </c>
      <c r="C1877" s="0" t="s">
        <v>68</v>
      </c>
      <c r="D1877" s="0" t="s">
        <v>311</v>
      </c>
      <c r="E1877" s="0" t="s">
        <v>132</v>
      </c>
      <c r="F1877" s="0" t="s">
        <v>29</v>
      </c>
      <c r="I1877" s="0" t="n">
        <v>200</v>
      </c>
      <c r="J1877" s="0" t="n">
        <v>0.0526315789473684</v>
      </c>
      <c r="K1877" s="0" t="s">
        <v>2315</v>
      </c>
    </row>
    <row r="1878" customFormat="false" ht="15" hidden="false" customHeight="false" outlineLevel="0" collapsed="false">
      <c r="A1878" s="0" t="n">
        <v>152</v>
      </c>
      <c r="B1878" s="0" t="s">
        <v>2220</v>
      </c>
      <c r="C1878" s="0" t="s">
        <v>68</v>
      </c>
      <c r="D1878" s="0" t="s">
        <v>311</v>
      </c>
      <c r="E1878" s="0" t="s">
        <v>134</v>
      </c>
      <c r="F1878" s="0" t="s">
        <v>28</v>
      </c>
      <c r="I1878" s="0" t="n">
        <v>200</v>
      </c>
      <c r="J1878" s="0" t="n">
        <v>0.0526315789473684</v>
      </c>
      <c r="K1878" s="0" t="s">
        <v>2316</v>
      </c>
    </row>
    <row r="1879" customFormat="false" ht="15" hidden="false" customHeight="false" outlineLevel="0" collapsed="false">
      <c r="A1879" s="0" t="n">
        <v>152</v>
      </c>
      <c r="B1879" s="0" t="s">
        <v>2220</v>
      </c>
      <c r="C1879" s="0" t="s">
        <v>68</v>
      </c>
      <c r="D1879" s="0" t="s">
        <v>311</v>
      </c>
      <c r="E1879" s="0" t="s">
        <v>60</v>
      </c>
      <c r="F1879" s="0" t="s">
        <v>27</v>
      </c>
      <c r="I1879" s="0" t="n">
        <v>500</v>
      </c>
      <c r="J1879" s="0" t="n">
        <v>0.131578947368421</v>
      </c>
      <c r="K1879" s="0" t="s">
        <v>2317</v>
      </c>
    </row>
    <row r="1880" customFormat="false" ht="15" hidden="false" customHeight="false" outlineLevel="0" collapsed="false">
      <c r="A1880" s="0" t="n">
        <v>152</v>
      </c>
      <c r="B1880" s="0" t="s">
        <v>2220</v>
      </c>
      <c r="C1880" s="0" t="s">
        <v>68</v>
      </c>
      <c r="D1880" s="0" t="s">
        <v>311</v>
      </c>
      <c r="E1880" s="0" t="s">
        <v>62</v>
      </c>
      <c r="F1880" s="0" t="s">
        <v>27</v>
      </c>
      <c r="I1880" s="0" t="n">
        <v>60</v>
      </c>
      <c r="J1880" s="0" t="n">
        <v>0.0157894736842105</v>
      </c>
      <c r="K1880" s="0" t="s">
        <v>2318</v>
      </c>
    </row>
    <row r="1881" customFormat="false" ht="15" hidden="false" customHeight="false" outlineLevel="0" collapsed="false">
      <c r="A1881" s="0" t="n">
        <v>152</v>
      </c>
      <c r="B1881" s="0" t="s">
        <v>2220</v>
      </c>
      <c r="C1881" s="0" t="s">
        <v>68</v>
      </c>
      <c r="D1881" s="0" t="s">
        <v>311</v>
      </c>
      <c r="E1881" s="0" t="s">
        <v>66</v>
      </c>
      <c r="F1881" s="0" t="s">
        <v>27</v>
      </c>
      <c r="I1881" s="0" t="n">
        <v>100</v>
      </c>
      <c r="J1881" s="0" t="n">
        <v>0.0263157894736842</v>
      </c>
      <c r="K1881" s="0" t="s">
        <v>2319</v>
      </c>
    </row>
    <row r="1882" customFormat="false" ht="15" hidden="false" customHeight="false" outlineLevel="0" collapsed="false">
      <c r="A1882" s="0" t="n">
        <v>152</v>
      </c>
      <c r="B1882" s="0" t="s">
        <v>2220</v>
      </c>
      <c r="C1882" s="0" t="s">
        <v>68</v>
      </c>
      <c r="D1882" s="0" t="s">
        <v>311</v>
      </c>
      <c r="E1882" s="0" t="s">
        <v>64</v>
      </c>
      <c r="F1882" s="0" t="s">
        <v>27</v>
      </c>
      <c r="I1882" s="0" t="n">
        <v>400</v>
      </c>
      <c r="J1882" s="0" t="n">
        <v>0.105263157894737</v>
      </c>
      <c r="K1882" s="0" t="s">
        <v>2320</v>
      </c>
    </row>
    <row r="1883" customFormat="false" ht="15" hidden="false" customHeight="false" outlineLevel="0" collapsed="false">
      <c r="A1883" s="0" t="n">
        <v>152</v>
      </c>
      <c r="B1883" s="0" t="s">
        <v>2220</v>
      </c>
      <c r="C1883" s="0" t="s">
        <v>68</v>
      </c>
      <c r="D1883" s="0" t="s">
        <v>311</v>
      </c>
      <c r="E1883" s="0" t="s">
        <v>68</v>
      </c>
      <c r="F1883" s="0" t="s">
        <v>30</v>
      </c>
      <c r="I1883" s="0" t="n">
        <v>4000</v>
      </c>
      <c r="J1883" s="0" t="n">
        <v>1.05263157894737</v>
      </c>
      <c r="K1883" s="0" t="s">
        <v>2321</v>
      </c>
    </row>
    <row r="1884" customFormat="false" ht="15" hidden="false" customHeight="false" outlineLevel="0" collapsed="false">
      <c r="A1884" s="0" t="n">
        <v>153</v>
      </c>
      <c r="B1884" s="0" t="s">
        <v>2220</v>
      </c>
      <c r="C1884" s="0" t="s">
        <v>68</v>
      </c>
      <c r="D1884" s="0" t="s">
        <v>2322</v>
      </c>
      <c r="E1884" s="0" t="s">
        <v>53</v>
      </c>
      <c r="F1884" s="0" t="s">
        <v>27</v>
      </c>
      <c r="G1884" s="0" t="n">
        <v>0.7</v>
      </c>
      <c r="H1884" s="0" t="n">
        <v>3</v>
      </c>
      <c r="I1884" s="0" t="n">
        <v>5600</v>
      </c>
      <c r="J1884" s="0" t="n">
        <v>1.47368421052632</v>
      </c>
      <c r="K1884" s="0" t="s">
        <v>2323</v>
      </c>
      <c r="L1884" s="0" t="s">
        <v>2324</v>
      </c>
    </row>
    <row r="1885" customFormat="false" ht="15" hidden="false" customHeight="false" outlineLevel="0" collapsed="false">
      <c r="A1885" s="0" t="n">
        <v>153</v>
      </c>
      <c r="B1885" s="0" t="s">
        <v>2220</v>
      </c>
      <c r="C1885" s="0" t="s">
        <v>68</v>
      </c>
      <c r="D1885" s="0" t="s">
        <v>2322</v>
      </c>
      <c r="E1885" s="0" t="s">
        <v>2135</v>
      </c>
      <c r="F1885" s="0" t="s">
        <v>29</v>
      </c>
      <c r="G1885" s="0" t="n">
        <v>14000</v>
      </c>
      <c r="H1885" s="0" t="n">
        <v>0.7</v>
      </c>
      <c r="I1885" s="0" t="n">
        <v>6533.33333333333</v>
      </c>
      <c r="J1885" s="0" t="n">
        <v>1.71929824561404</v>
      </c>
      <c r="K1885" s="0" t="s">
        <v>2325</v>
      </c>
      <c r="L1885" s="0" t="s">
        <v>2326</v>
      </c>
    </row>
    <row r="1886" customFormat="false" ht="15" hidden="false" customHeight="false" outlineLevel="0" collapsed="false">
      <c r="A1886" s="0" t="n">
        <v>153</v>
      </c>
      <c r="B1886" s="0" t="s">
        <v>2220</v>
      </c>
      <c r="C1886" s="0" t="s">
        <v>68</v>
      </c>
      <c r="D1886" s="0" t="s">
        <v>2322</v>
      </c>
      <c r="E1886" s="0" t="s">
        <v>128</v>
      </c>
      <c r="F1886" s="0" t="s">
        <v>28</v>
      </c>
      <c r="I1886" s="0" t="n">
        <v>3000</v>
      </c>
      <c r="J1886" s="0" t="n">
        <v>0.789473684210526</v>
      </c>
      <c r="K1886" s="0" t="s">
        <v>2327</v>
      </c>
      <c r="L1886" s="0" t="s">
        <v>2328</v>
      </c>
    </row>
    <row r="1887" customFormat="false" ht="15" hidden="false" customHeight="false" outlineLevel="0" collapsed="false">
      <c r="A1887" s="0" t="n">
        <v>153</v>
      </c>
      <c r="B1887" s="0" t="s">
        <v>2220</v>
      </c>
      <c r="C1887" s="0" t="s">
        <v>68</v>
      </c>
      <c r="D1887" s="0" t="s">
        <v>2322</v>
      </c>
      <c r="E1887" s="0" t="s">
        <v>56</v>
      </c>
      <c r="F1887" s="0" t="s">
        <v>28</v>
      </c>
      <c r="I1887" s="0" t="n">
        <v>700</v>
      </c>
      <c r="J1887" s="0" t="n">
        <v>0.18421052631579</v>
      </c>
      <c r="K1887" s="0" t="s">
        <v>2329</v>
      </c>
    </row>
    <row r="1888" customFormat="false" ht="15" hidden="false" customHeight="false" outlineLevel="0" collapsed="false">
      <c r="A1888" s="0" t="n">
        <v>153</v>
      </c>
      <c r="B1888" s="0" t="s">
        <v>2220</v>
      </c>
      <c r="C1888" s="0" t="s">
        <v>68</v>
      </c>
      <c r="D1888" s="0" t="s">
        <v>2322</v>
      </c>
      <c r="E1888" s="0" t="s">
        <v>58</v>
      </c>
      <c r="F1888" s="0" t="s">
        <v>28</v>
      </c>
      <c r="I1888" s="0" t="n">
        <v>2500</v>
      </c>
      <c r="J1888" s="0" t="n">
        <v>0.657894736842105</v>
      </c>
      <c r="K1888" s="0" t="s">
        <v>2330</v>
      </c>
    </row>
    <row r="1889" customFormat="false" ht="15" hidden="false" customHeight="false" outlineLevel="0" collapsed="false">
      <c r="A1889" s="0" t="n">
        <v>153</v>
      </c>
      <c r="B1889" s="0" t="s">
        <v>2220</v>
      </c>
      <c r="C1889" s="0" t="s">
        <v>68</v>
      </c>
      <c r="D1889" s="0" t="s">
        <v>2322</v>
      </c>
      <c r="E1889" s="0" t="s">
        <v>158</v>
      </c>
      <c r="F1889" s="0" t="s">
        <v>28</v>
      </c>
      <c r="I1889" s="0" t="n">
        <v>1000</v>
      </c>
      <c r="J1889" s="0" t="n">
        <v>0.263157894736842</v>
      </c>
      <c r="K1889" s="0" t="s">
        <v>2331</v>
      </c>
    </row>
    <row r="1890" customFormat="false" ht="15" hidden="false" customHeight="false" outlineLevel="0" collapsed="false">
      <c r="A1890" s="0" t="n">
        <v>153</v>
      </c>
      <c r="B1890" s="0" t="s">
        <v>2220</v>
      </c>
      <c r="C1890" s="0" t="s">
        <v>68</v>
      </c>
      <c r="D1890" s="0" t="s">
        <v>2322</v>
      </c>
      <c r="E1890" s="0" t="s">
        <v>132</v>
      </c>
      <c r="F1890" s="0" t="s">
        <v>29</v>
      </c>
      <c r="I1890" s="0" t="n">
        <v>200</v>
      </c>
      <c r="J1890" s="0" t="n">
        <v>0.0526315789473684</v>
      </c>
      <c r="K1890" s="0" t="s">
        <v>2332</v>
      </c>
    </row>
    <row r="1891" customFormat="false" ht="15" hidden="false" customHeight="false" outlineLevel="0" collapsed="false">
      <c r="A1891" s="0" t="n">
        <v>153</v>
      </c>
      <c r="B1891" s="0" t="s">
        <v>2220</v>
      </c>
      <c r="C1891" s="0" t="s">
        <v>68</v>
      </c>
      <c r="D1891" s="0" t="s">
        <v>2322</v>
      </c>
      <c r="E1891" s="0" t="s">
        <v>134</v>
      </c>
      <c r="F1891" s="0" t="s">
        <v>28</v>
      </c>
      <c r="I1891" s="0" t="n">
        <v>200</v>
      </c>
      <c r="J1891" s="0" t="n">
        <v>0.0526315789473684</v>
      </c>
      <c r="K1891" s="0" t="s">
        <v>2333</v>
      </c>
    </row>
    <row r="1892" customFormat="false" ht="15" hidden="false" customHeight="false" outlineLevel="0" collapsed="false">
      <c r="A1892" s="0" t="n">
        <v>153</v>
      </c>
      <c r="B1892" s="0" t="s">
        <v>2220</v>
      </c>
      <c r="C1892" s="0" t="s">
        <v>68</v>
      </c>
      <c r="D1892" s="0" t="s">
        <v>2322</v>
      </c>
      <c r="E1892" s="0" t="s">
        <v>2334</v>
      </c>
      <c r="F1892" s="0" t="s">
        <v>27</v>
      </c>
      <c r="I1892" s="0" t="n">
        <v>100</v>
      </c>
      <c r="J1892" s="0" t="n">
        <v>0.0263157894736842</v>
      </c>
      <c r="K1892" s="0" t="s">
        <v>2335</v>
      </c>
    </row>
    <row r="1893" customFormat="false" ht="15" hidden="false" customHeight="false" outlineLevel="0" collapsed="false">
      <c r="A1893" s="0" t="n">
        <v>153</v>
      </c>
      <c r="B1893" s="0" t="s">
        <v>2220</v>
      </c>
      <c r="C1893" s="0" t="s">
        <v>68</v>
      </c>
      <c r="D1893" s="0" t="s">
        <v>2322</v>
      </c>
      <c r="E1893" s="0" t="s">
        <v>62</v>
      </c>
      <c r="F1893" s="0" t="s">
        <v>27</v>
      </c>
      <c r="I1893" s="0" t="n">
        <v>100</v>
      </c>
      <c r="J1893" s="0" t="n">
        <v>0.0263157894736842</v>
      </c>
      <c r="K1893" s="0" t="s">
        <v>2336</v>
      </c>
    </row>
    <row r="1894" customFormat="false" ht="15" hidden="false" customHeight="false" outlineLevel="0" collapsed="false">
      <c r="A1894" s="0" t="n">
        <v>153</v>
      </c>
      <c r="B1894" s="0" t="s">
        <v>2220</v>
      </c>
      <c r="C1894" s="0" t="s">
        <v>68</v>
      </c>
      <c r="D1894" s="0" t="s">
        <v>2322</v>
      </c>
      <c r="E1894" s="0" t="s">
        <v>66</v>
      </c>
      <c r="F1894" s="0" t="s">
        <v>27</v>
      </c>
      <c r="I1894" s="0" t="n">
        <v>100</v>
      </c>
      <c r="J1894" s="0" t="n">
        <v>0.0263157894736842</v>
      </c>
      <c r="K1894" s="0" t="s">
        <v>2337</v>
      </c>
    </row>
    <row r="1895" customFormat="false" ht="15" hidden="false" customHeight="false" outlineLevel="0" collapsed="false">
      <c r="A1895" s="0" t="n">
        <v>153</v>
      </c>
      <c r="B1895" s="0" t="s">
        <v>2220</v>
      </c>
      <c r="C1895" s="0" t="s">
        <v>68</v>
      </c>
      <c r="D1895" s="0" t="s">
        <v>2322</v>
      </c>
      <c r="E1895" s="0" t="s">
        <v>64</v>
      </c>
      <c r="F1895" s="0" t="s">
        <v>27</v>
      </c>
      <c r="I1895" s="0" t="n">
        <v>760</v>
      </c>
      <c r="J1895" s="0" t="n">
        <v>0.2</v>
      </c>
      <c r="K1895" s="0" t="s">
        <v>2338</v>
      </c>
    </row>
    <row r="1896" customFormat="false" ht="15" hidden="false" customHeight="false" outlineLevel="0" collapsed="false">
      <c r="A1896" s="0" t="n">
        <v>153</v>
      </c>
      <c r="B1896" s="0" t="s">
        <v>2220</v>
      </c>
      <c r="C1896" s="0" t="s">
        <v>68</v>
      </c>
      <c r="D1896" s="0" t="s">
        <v>2322</v>
      </c>
      <c r="E1896" s="0" t="s">
        <v>68</v>
      </c>
      <c r="F1896" s="0" t="s">
        <v>30</v>
      </c>
      <c r="I1896" s="0" t="n">
        <v>2000</v>
      </c>
      <c r="J1896" s="0" t="n">
        <v>0.526315789473684</v>
      </c>
      <c r="K1896" s="0" t="s">
        <v>2339</v>
      </c>
    </row>
    <row r="1897" customFormat="false" ht="15" hidden="false" customHeight="false" outlineLevel="0" collapsed="false">
      <c r="A1897" s="0" t="n">
        <v>154</v>
      </c>
      <c r="B1897" s="0" t="s">
        <v>2220</v>
      </c>
      <c r="C1897" s="0" t="s">
        <v>68</v>
      </c>
      <c r="D1897" s="0" t="s">
        <v>2340</v>
      </c>
      <c r="E1897" s="0" t="s">
        <v>53</v>
      </c>
      <c r="F1897" s="0" t="s">
        <v>27</v>
      </c>
      <c r="G1897" s="0" t="n">
        <v>0.65</v>
      </c>
      <c r="H1897" s="0" t="n">
        <v>7</v>
      </c>
      <c r="I1897" s="0" t="n">
        <v>11526.6666666667</v>
      </c>
      <c r="J1897" s="0" t="n">
        <v>3.03333333333333</v>
      </c>
      <c r="K1897" s="0" t="s">
        <v>2341</v>
      </c>
      <c r="L1897" s="0" t="s">
        <v>2342</v>
      </c>
    </row>
    <row r="1898" customFormat="false" ht="15" hidden="false" customHeight="false" outlineLevel="0" collapsed="false">
      <c r="A1898" s="0" t="n">
        <v>154</v>
      </c>
      <c r="B1898" s="0" t="s">
        <v>2220</v>
      </c>
      <c r="C1898" s="0" t="s">
        <v>68</v>
      </c>
      <c r="D1898" s="0" t="s">
        <v>2340</v>
      </c>
      <c r="E1898" s="0" t="s">
        <v>2135</v>
      </c>
      <c r="F1898" s="0" t="s">
        <v>29</v>
      </c>
      <c r="G1898" s="0" t="n">
        <v>14000</v>
      </c>
      <c r="H1898" s="0" t="n">
        <v>0.65</v>
      </c>
      <c r="I1898" s="0" t="n">
        <v>6066.66666666667</v>
      </c>
      <c r="J1898" s="0" t="n">
        <v>1.59649122807018</v>
      </c>
      <c r="K1898" s="0" t="s">
        <v>2343</v>
      </c>
      <c r="L1898" s="0" t="s">
        <v>2344</v>
      </c>
    </row>
    <row r="1899" customFormat="false" ht="15" hidden="false" customHeight="false" outlineLevel="0" collapsed="false">
      <c r="A1899" s="0" t="n">
        <v>154</v>
      </c>
      <c r="B1899" s="0" t="s">
        <v>2220</v>
      </c>
      <c r="C1899" s="0" t="s">
        <v>68</v>
      </c>
      <c r="D1899" s="0" t="s">
        <v>2340</v>
      </c>
      <c r="E1899" s="0" t="s">
        <v>128</v>
      </c>
      <c r="F1899" s="0" t="s">
        <v>28</v>
      </c>
      <c r="I1899" s="0" t="n">
        <v>500</v>
      </c>
      <c r="J1899" s="0" t="n">
        <v>0.131578947368421</v>
      </c>
      <c r="K1899" s="0" t="s">
        <v>2345</v>
      </c>
    </row>
    <row r="1900" customFormat="false" ht="15" hidden="false" customHeight="false" outlineLevel="0" collapsed="false">
      <c r="A1900" s="0" t="n">
        <v>154</v>
      </c>
      <c r="B1900" s="0" t="s">
        <v>2220</v>
      </c>
      <c r="C1900" s="0" t="s">
        <v>68</v>
      </c>
      <c r="D1900" s="0" t="s">
        <v>2340</v>
      </c>
      <c r="E1900" s="0" t="s">
        <v>1428</v>
      </c>
      <c r="F1900" s="0" t="s">
        <v>27</v>
      </c>
      <c r="I1900" s="0" t="n">
        <v>0</v>
      </c>
      <c r="J1900" s="0" t="n">
        <v>0</v>
      </c>
      <c r="K1900" s="0" t="s">
        <v>2346</v>
      </c>
    </row>
    <row r="1901" customFormat="false" ht="15" hidden="false" customHeight="false" outlineLevel="0" collapsed="false">
      <c r="A1901" s="0" t="n">
        <v>154</v>
      </c>
      <c r="B1901" s="0" t="s">
        <v>2220</v>
      </c>
      <c r="C1901" s="0" t="s">
        <v>68</v>
      </c>
      <c r="D1901" s="0" t="s">
        <v>2340</v>
      </c>
      <c r="E1901" s="0" t="s">
        <v>56</v>
      </c>
      <c r="F1901" s="0" t="s">
        <v>28</v>
      </c>
      <c r="I1901" s="0" t="n">
        <v>700</v>
      </c>
      <c r="J1901" s="0" t="n">
        <v>0.18421052631579</v>
      </c>
      <c r="K1901" s="0" t="s">
        <v>2347</v>
      </c>
    </row>
    <row r="1902" customFormat="false" ht="15" hidden="false" customHeight="false" outlineLevel="0" collapsed="false">
      <c r="A1902" s="0" t="n">
        <v>154</v>
      </c>
      <c r="B1902" s="0" t="s">
        <v>2220</v>
      </c>
      <c r="C1902" s="0" t="s">
        <v>68</v>
      </c>
      <c r="D1902" s="0" t="s">
        <v>2340</v>
      </c>
      <c r="E1902" s="0" t="s">
        <v>58</v>
      </c>
      <c r="F1902" s="0" t="s">
        <v>28</v>
      </c>
      <c r="I1902" s="0" t="n">
        <v>2000</v>
      </c>
      <c r="J1902" s="0" t="n">
        <v>0.526315789473684</v>
      </c>
      <c r="K1902" s="0" t="s">
        <v>2348</v>
      </c>
    </row>
    <row r="1903" customFormat="false" ht="15" hidden="false" customHeight="false" outlineLevel="0" collapsed="false">
      <c r="A1903" s="0" t="n">
        <v>154</v>
      </c>
      <c r="B1903" s="0" t="s">
        <v>2220</v>
      </c>
      <c r="C1903" s="0" t="s">
        <v>68</v>
      </c>
      <c r="D1903" s="0" t="s">
        <v>2340</v>
      </c>
      <c r="E1903" s="0" t="s">
        <v>158</v>
      </c>
      <c r="F1903" s="0" t="s">
        <v>28</v>
      </c>
      <c r="I1903" s="0" t="n">
        <v>2000</v>
      </c>
      <c r="J1903" s="0" t="n">
        <v>0.526315789473684</v>
      </c>
      <c r="K1903" s="0" t="s">
        <v>2349</v>
      </c>
    </row>
    <row r="1904" customFormat="false" ht="15" hidden="false" customHeight="false" outlineLevel="0" collapsed="false">
      <c r="A1904" s="0" t="n">
        <v>154</v>
      </c>
      <c r="B1904" s="0" t="s">
        <v>2220</v>
      </c>
      <c r="C1904" s="0" t="s">
        <v>68</v>
      </c>
      <c r="D1904" s="0" t="s">
        <v>2340</v>
      </c>
      <c r="E1904" s="0" t="s">
        <v>132</v>
      </c>
      <c r="F1904" s="0" t="s">
        <v>29</v>
      </c>
      <c r="I1904" s="0" t="n">
        <v>0</v>
      </c>
      <c r="J1904" s="0" t="n">
        <v>0</v>
      </c>
      <c r="K1904" s="0" t="s">
        <v>2350</v>
      </c>
    </row>
    <row r="1905" customFormat="false" ht="15" hidden="false" customHeight="false" outlineLevel="0" collapsed="false">
      <c r="A1905" s="0" t="n">
        <v>154</v>
      </c>
      <c r="B1905" s="0" t="s">
        <v>2220</v>
      </c>
      <c r="C1905" s="0" t="s">
        <v>68</v>
      </c>
      <c r="D1905" s="0" t="s">
        <v>2340</v>
      </c>
      <c r="E1905" s="0" t="s">
        <v>134</v>
      </c>
      <c r="F1905" s="0" t="s">
        <v>28</v>
      </c>
      <c r="I1905" s="0" t="n">
        <v>0</v>
      </c>
      <c r="J1905" s="0" t="n">
        <v>0</v>
      </c>
      <c r="K1905" s="0" t="s">
        <v>2351</v>
      </c>
    </row>
    <row r="1906" customFormat="false" ht="15" hidden="false" customHeight="false" outlineLevel="0" collapsed="false">
      <c r="A1906" s="0" t="n">
        <v>154</v>
      </c>
      <c r="B1906" s="0" t="s">
        <v>2220</v>
      </c>
      <c r="C1906" s="0" t="s">
        <v>68</v>
      </c>
      <c r="D1906" s="0" t="s">
        <v>2340</v>
      </c>
      <c r="E1906" s="0" t="s">
        <v>2334</v>
      </c>
      <c r="F1906" s="0" t="s">
        <v>27</v>
      </c>
      <c r="I1906" s="0" t="n">
        <v>0</v>
      </c>
      <c r="J1906" s="0" t="n">
        <v>0</v>
      </c>
      <c r="K1906" s="0" t="s">
        <v>2352</v>
      </c>
    </row>
    <row r="1907" customFormat="false" ht="15" hidden="false" customHeight="false" outlineLevel="0" collapsed="false">
      <c r="A1907" s="0" t="n">
        <v>154</v>
      </c>
      <c r="B1907" s="0" t="s">
        <v>2220</v>
      </c>
      <c r="C1907" s="0" t="s">
        <v>68</v>
      </c>
      <c r="D1907" s="0" t="s">
        <v>2340</v>
      </c>
      <c r="E1907" s="0" t="s">
        <v>62</v>
      </c>
      <c r="F1907" s="0" t="s">
        <v>27</v>
      </c>
      <c r="I1907" s="0" t="n">
        <v>100</v>
      </c>
      <c r="J1907" s="0" t="n">
        <v>0.0263157894736842</v>
      </c>
      <c r="K1907" s="0" t="s">
        <v>2353</v>
      </c>
    </row>
    <row r="1908" customFormat="false" ht="15" hidden="false" customHeight="false" outlineLevel="0" collapsed="false">
      <c r="A1908" s="0" t="n">
        <v>154</v>
      </c>
      <c r="B1908" s="0" t="s">
        <v>2220</v>
      </c>
      <c r="C1908" s="0" t="s">
        <v>68</v>
      </c>
      <c r="D1908" s="0" t="s">
        <v>2340</v>
      </c>
      <c r="E1908" s="0" t="s">
        <v>66</v>
      </c>
      <c r="F1908" s="0" t="s">
        <v>27</v>
      </c>
      <c r="I1908" s="0" t="n">
        <v>100</v>
      </c>
      <c r="J1908" s="0" t="n">
        <v>0.0263157894736842</v>
      </c>
      <c r="K1908" s="0" t="s">
        <v>2354</v>
      </c>
    </row>
    <row r="1909" customFormat="false" ht="15" hidden="false" customHeight="false" outlineLevel="0" collapsed="false">
      <c r="A1909" s="0" t="n">
        <v>154</v>
      </c>
      <c r="B1909" s="0" t="s">
        <v>2220</v>
      </c>
      <c r="C1909" s="0" t="s">
        <v>68</v>
      </c>
      <c r="D1909" s="0" t="s">
        <v>2340</v>
      </c>
      <c r="E1909" s="0" t="s">
        <v>64</v>
      </c>
      <c r="F1909" s="0" t="s">
        <v>27</v>
      </c>
      <c r="I1909" s="0" t="n">
        <v>760</v>
      </c>
      <c r="J1909" s="0" t="n">
        <v>0.2</v>
      </c>
      <c r="K1909" s="0" t="s">
        <v>2355</v>
      </c>
    </row>
    <row r="1910" customFormat="false" ht="15" hidden="false" customHeight="false" outlineLevel="0" collapsed="false">
      <c r="A1910" s="0" t="n">
        <v>154</v>
      </c>
      <c r="B1910" s="0" t="s">
        <v>2220</v>
      </c>
      <c r="C1910" s="0" t="s">
        <v>68</v>
      </c>
      <c r="D1910" s="0" t="s">
        <v>2340</v>
      </c>
      <c r="E1910" s="0" t="s">
        <v>68</v>
      </c>
      <c r="F1910" s="0" t="s">
        <v>30</v>
      </c>
      <c r="I1910" s="0" t="n">
        <v>2000</v>
      </c>
      <c r="J1910" s="0" t="n">
        <v>0.526315789473684</v>
      </c>
      <c r="K1910" s="0" t="s">
        <v>2356</v>
      </c>
    </row>
    <row r="1911" customFormat="false" ht="15" hidden="false" customHeight="false" outlineLevel="0" collapsed="false">
      <c r="A1911" s="0" t="n">
        <v>155</v>
      </c>
      <c r="B1911" s="0" t="s">
        <v>2220</v>
      </c>
      <c r="C1911" s="0" t="s">
        <v>68</v>
      </c>
      <c r="D1911" s="0" t="s">
        <v>2357</v>
      </c>
      <c r="E1911" s="0" t="s">
        <v>1567</v>
      </c>
      <c r="F1911" s="0" t="s">
        <v>27</v>
      </c>
      <c r="G1911" s="0" t="n">
        <v>1.5</v>
      </c>
      <c r="H1911" s="0" t="n">
        <v>3</v>
      </c>
      <c r="I1911" s="0" t="n">
        <v>18000</v>
      </c>
      <c r="J1911" s="0" t="n">
        <v>4.73684210526316</v>
      </c>
      <c r="K1911" s="0" t="s">
        <v>2358</v>
      </c>
      <c r="L1911" s="0" t="s">
        <v>2359</v>
      </c>
    </row>
    <row r="1912" customFormat="false" ht="15" hidden="false" customHeight="false" outlineLevel="0" collapsed="false">
      <c r="A1912" s="0" t="n">
        <v>155</v>
      </c>
      <c r="B1912" s="0" t="s">
        <v>2220</v>
      </c>
      <c r="C1912" s="0" t="s">
        <v>68</v>
      </c>
      <c r="D1912" s="0" t="s">
        <v>2357</v>
      </c>
      <c r="E1912" s="0" t="s">
        <v>56</v>
      </c>
      <c r="F1912" s="0" t="s">
        <v>28</v>
      </c>
      <c r="I1912" s="0" t="n">
        <v>1000</v>
      </c>
      <c r="J1912" s="0" t="n">
        <v>0.263157894736842</v>
      </c>
      <c r="K1912" s="0" t="s">
        <v>2360</v>
      </c>
    </row>
    <row r="1913" customFormat="false" ht="15" hidden="false" customHeight="false" outlineLevel="0" collapsed="false">
      <c r="A1913" s="0" t="n">
        <v>155</v>
      </c>
      <c r="B1913" s="0" t="s">
        <v>2220</v>
      </c>
      <c r="C1913" s="0" t="s">
        <v>68</v>
      </c>
      <c r="D1913" s="0" t="s">
        <v>2357</v>
      </c>
      <c r="E1913" s="0" t="s">
        <v>58</v>
      </c>
      <c r="F1913" s="0" t="s">
        <v>28</v>
      </c>
      <c r="I1913" s="0" t="n">
        <v>4000</v>
      </c>
      <c r="J1913" s="0" t="n">
        <v>1.05263157894737</v>
      </c>
      <c r="K1913" s="0" t="s">
        <v>2361</v>
      </c>
    </row>
    <row r="1914" customFormat="false" ht="15" hidden="false" customHeight="false" outlineLevel="0" collapsed="false">
      <c r="A1914" s="0" t="n">
        <v>155</v>
      </c>
      <c r="B1914" s="0" t="s">
        <v>2220</v>
      </c>
      <c r="C1914" s="0" t="s">
        <v>68</v>
      </c>
      <c r="D1914" s="0" t="s">
        <v>2357</v>
      </c>
      <c r="E1914" s="0" t="s">
        <v>740</v>
      </c>
      <c r="F1914" s="0" t="s">
        <v>27</v>
      </c>
      <c r="I1914" s="0" t="n">
        <v>2500</v>
      </c>
      <c r="J1914" s="0" t="n">
        <v>0.657894736842105</v>
      </c>
      <c r="K1914" s="0" t="s">
        <v>2362</v>
      </c>
    </row>
    <row r="1915" customFormat="false" ht="15" hidden="false" customHeight="false" outlineLevel="0" collapsed="false">
      <c r="A1915" s="0" t="n">
        <v>155</v>
      </c>
      <c r="B1915" s="0" t="s">
        <v>2220</v>
      </c>
      <c r="C1915" s="0" t="s">
        <v>68</v>
      </c>
      <c r="D1915" s="0" t="s">
        <v>2357</v>
      </c>
      <c r="E1915" s="0" t="s">
        <v>128</v>
      </c>
      <c r="F1915" s="0" t="s">
        <v>28</v>
      </c>
      <c r="I1915" s="0" t="n">
        <v>200</v>
      </c>
      <c r="J1915" s="0" t="n">
        <v>0.0526315789473684</v>
      </c>
      <c r="K1915" s="0" t="s">
        <v>2363</v>
      </c>
      <c r="L1915" s="0" t="s">
        <v>2364</v>
      </c>
    </row>
    <row r="1916" customFormat="false" ht="15" hidden="false" customHeight="false" outlineLevel="0" collapsed="false">
      <c r="A1916" s="0" t="n">
        <v>155</v>
      </c>
      <c r="B1916" s="0" t="s">
        <v>2220</v>
      </c>
      <c r="C1916" s="0" t="s">
        <v>68</v>
      </c>
      <c r="D1916" s="0" t="s">
        <v>2357</v>
      </c>
      <c r="E1916" s="0" t="s">
        <v>130</v>
      </c>
      <c r="F1916" s="0" t="s">
        <v>29</v>
      </c>
      <c r="I1916" s="0" t="n">
        <v>1000</v>
      </c>
      <c r="J1916" s="0" t="n">
        <v>0.263157894736842</v>
      </c>
      <c r="K1916" s="0" t="s">
        <v>2365</v>
      </c>
    </row>
    <row r="1917" customFormat="false" ht="15" hidden="false" customHeight="false" outlineLevel="0" collapsed="false">
      <c r="A1917" s="0" t="n">
        <v>155</v>
      </c>
      <c r="B1917" s="0" t="s">
        <v>2220</v>
      </c>
      <c r="C1917" s="0" t="s">
        <v>68</v>
      </c>
      <c r="D1917" s="0" t="s">
        <v>2357</v>
      </c>
      <c r="E1917" s="0" t="s">
        <v>158</v>
      </c>
      <c r="F1917" s="0" t="s">
        <v>28</v>
      </c>
      <c r="I1917" s="0" t="n">
        <v>1000</v>
      </c>
      <c r="J1917" s="0" t="n">
        <v>0.263157894736842</v>
      </c>
      <c r="K1917" s="0" t="s">
        <v>2366</v>
      </c>
    </row>
    <row r="1918" customFormat="false" ht="15" hidden="false" customHeight="false" outlineLevel="0" collapsed="false">
      <c r="A1918" s="0" t="n">
        <v>155</v>
      </c>
      <c r="B1918" s="0" t="s">
        <v>2220</v>
      </c>
      <c r="C1918" s="0" t="s">
        <v>68</v>
      </c>
      <c r="D1918" s="0" t="s">
        <v>2357</v>
      </c>
      <c r="E1918" s="0" t="s">
        <v>132</v>
      </c>
      <c r="F1918" s="0" t="s">
        <v>29</v>
      </c>
      <c r="I1918" s="0" t="n">
        <v>200</v>
      </c>
      <c r="J1918" s="0" t="n">
        <v>0.0526315789473684</v>
      </c>
      <c r="K1918" s="0" t="s">
        <v>2367</v>
      </c>
    </row>
    <row r="1919" customFormat="false" ht="15" hidden="false" customHeight="false" outlineLevel="0" collapsed="false">
      <c r="A1919" s="0" t="n">
        <v>155</v>
      </c>
      <c r="B1919" s="0" t="s">
        <v>2220</v>
      </c>
      <c r="C1919" s="0" t="s">
        <v>68</v>
      </c>
      <c r="D1919" s="0" t="s">
        <v>2357</v>
      </c>
      <c r="E1919" s="0" t="s">
        <v>134</v>
      </c>
      <c r="F1919" s="0" t="s">
        <v>28</v>
      </c>
      <c r="I1919" s="0" t="n">
        <v>200</v>
      </c>
      <c r="J1919" s="0" t="n">
        <v>0.0526315789473684</v>
      </c>
      <c r="K1919" s="0" t="s">
        <v>2368</v>
      </c>
    </row>
    <row r="1920" customFormat="false" ht="15" hidden="false" customHeight="false" outlineLevel="0" collapsed="false">
      <c r="A1920" s="0" t="n">
        <v>155</v>
      </c>
      <c r="B1920" s="0" t="s">
        <v>2220</v>
      </c>
      <c r="C1920" s="0" t="s">
        <v>68</v>
      </c>
      <c r="D1920" s="0" t="s">
        <v>2357</v>
      </c>
      <c r="E1920" s="0" t="s">
        <v>60</v>
      </c>
      <c r="F1920" s="0" t="s">
        <v>27</v>
      </c>
      <c r="I1920" s="0" t="n">
        <v>200</v>
      </c>
      <c r="J1920" s="0" t="n">
        <v>0.0526315789473684</v>
      </c>
      <c r="K1920" s="0" t="s">
        <v>2369</v>
      </c>
    </row>
    <row r="1921" customFormat="false" ht="15" hidden="false" customHeight="false" outlineLevel="0" collapsed="false">
      <c r="A1921" s="0" t="n">
        <v>155</v>
      </c>
      <c r="B1921" s="0" t="s">
        <v>2220</v>
      </c>
      <c r="C1921" s="0" t="s">
        <v>68</v>
      </c>
      <c r="D1921" s="0" t="s">
        <v>2357</v>
      </c>
      <c r="E1921" s="0" t="s">
        <v>62</v>
      </c>
      <c r="F1921" s="0" t="s">
        <v>27</v>
      </c>
      <c r="I1921" s="0" t="n">
        <v>100</v>
      </c>
      <c r="J1921" s="0" t="n">
        <v>0.0263157894736842</v>
      </c>
      <c r="K1921" s="0" t="s">
        <v>2370</v>
      </c>
    </row>
    <row r="1922" customFormat="false" ht="15" hidden="false" customHeight="false" outlineLevel="0" collapsed="false">
      <c r="A1922" s="0" t="n">
        <v>155</v>
      </c>
      <c r="B1922" s="0" t="s">
        <v>2220</v>
      </c>
      <c r="C1922" s="0" t="s">
        <v>68</v>
      </c>
      <c r="D1922" s="0" t="s">
        <v>2357</v>
      </c>
      <c r="E1922" s="0" t="s">
        <v>66</v>
      </c>
      <c r="F1922" s="0" t="s">
        <v>27</v>
      </c>
      <c r="I1922" s="0" t="n">
        <v>100</v>
      </c>
      <c r="J1922" s="0" t="n">
        <v>0.0263157894736842</v>
      </c>
      <c r="K1922" s="0" t="s">
        <v>2371</v>
      </c>
    </row>
    <row r="1923" customFormat="false" ht="15" hidden="false" customHeight="false" outlineLevel="0" collapsed="false">
      <c r="A1923" s="0" t="n">
        <v>155</v>
      </c>
      <c r="B1923" s="0" t="s">
        <v>2220</v>
      </c>
      <c r="C1923" s="0" t="s">
        <v>68</v>
      </c>
      <c r="D1923" s="0" t="s">
        <v>2357</v>
      </c>
      <c r="E1923" s="0" t="s">
        <v>64</v>
      </c>
      <c r="F1923" s="0" t="s">
        <v>27</v>
      </c>
      <c r="I1923" s="0" t="n">
        <v>360</v>
      </c>
      <c r="J1923" s="0" t="n">
        <v>0.0947368421052632</v>
      </c>
      <c r="K1923" s="0" t="s">
        <v>2372</v>
      </c>
    </row>
    <row r="1924" customFormat="false" ht="15" hidden="false" customHeight="false" outlineLevel="0" collapsed="false">
      <c r="A1924" s="0" t="n">
        <v>155</v>
      </c>
      <c r="B1924" s="0" t="s">
        <v>2220</v>
      </c>
      <c r="C1924" s="0" t="s">
        <v>68</v>
      </c>
      <c r="D1924" s="0" t="s">
        <v>2357</v>
      </c>
      <c r="E1924" s="0" t="s">
        <v>68</v>
      </c>
      <c r="F1924" s="0" t="s">
        <v>30</v>
      </c>
      <c r="I1924" s="0" t="n">
        <v>3000</v>
      </c>
      <c r="J1924" s="0" t="n">
        <v>0.789473684210526</v>
      </c>
      <c r="K1924" s="0" t="s">
        <v>2373</v>
      </c>
    </row>
    <row r="1925" customFormat="false" ht="15" hidden="false" customHeight="false" outlineLevel="0" collapsed="false">
      <c r="A1925" s="0" t="n">
        <v>156</v>
      </c>
      <c r="B1925" s="0" t="s">
        <v>2220</v>
      </c>
      <c r="C1925" s="0" t="s">
        <v>68</v>
      </c>
      <c r="D1925" s="0" t="s">
        <v>2322</v>
      </c>
      <c r="E1925" s="0" t="s">
        <v>53</v>
      </c>
      <c r="F1925" s="0" t="s">
        <v>27</v>
      </c>
      <c r="G1925" s="0" t="n">
        <v>0.5</v>
      </c>
      <c r="H1925" s="0" t="n">
        <v>7</v>
      </c>
      <c r="I1925" s="0" t="n">
        <v>6650</v>
      </c>
      <c r="J1925" s="0" t="n">
        <v>1.75</v>
      </c>
      <c r="K1925" s="0" t="s">
        <v>2374</v>
      </c>
      <c r="L1925" s="0" t="s">
        <v>2375</v>
      </c>
    </row>
    <row r="1926" customFormat="false" ht="15" hidden="false" customHeight="false" outlineLevel="0" collapsed="false">
      <c r="A1926" s="0" t="n">
        <v>156</v>
      </c>
      <c r="B1926" s="0" t="s">
        <v>2220</v>
      </c>
      <c r="C1926" s="0" t="s">
        <v>68</v>
      </c>
      <c r="D1926" s="0" t="s">
        <v>2322</v>
      </c>
      <c r="E1926" s="0" t="s">
        <v>2135</v>
      </c>
      <c r="F1926" s="0" t="s">
        <v>29</v>
      </c>
      <c r="G1926" s="0" t="n">
        <v>14000</v>
      </c>
      <c r="H1926" s="0" t="n">
        <v>0.5</v>
      </c>
      <c r="I1926" s="0" t="n">
        <v>3500</v>
      </c>
      <c r="J1926" s="0" t="n">
        <v>0.921052631578947</v>
      </c>
      <c r="K1926" s="0" t="s">
        <v>2376</v>
      </c>
      <c r="L1926" s="0" t="s">
        <v>2377</v>
      </c>
    </row>
    <row r="1927" customFormat="false" ht="15" hidden="false" customHeight="false" outlineLevel="0" collapsed="false">
      <c r="A1927" s="0" t="n">
        <v>156</v>
      </c>
      <c r="B1927" s="0" t="s">
        <v>2220</v>
      </c>
      <c r="C1927" s="0" t="s">
        <v>68</v>
      </c>
      <c r="D1927" s="0" t="s">
        <v>2322</v>
      </c>
      <c r="E1927" s="0" t="s">
        <v>128</v>
      </c>
      <c r="F1927" s="0" t="s">
        <v>28</v>
      </c>
      <c r="I1927" s="0" t="n">
        <v>500</v>
      </c>
      <c r="J1927" s="0" t="n">
        <v>0.131578947368421</v>
      </c>
      <c r="K1927" s="0" t="s">
        <v>2378</v>
      </c>
    </row>
    <row r="1928" customFormat="false" ht="15" hidden="false" customHeight="false" outlineLevel="0" collapsed="false">
      <c r="A1928" s="0" t="n">
        <v>156</v>
      </c>
      <c r="B1928" s="0" t="s">
        <v>2220</v>
      </c>
      <c r="C1928" s="0" t="s">
        <v>68</v>
      </c>
      <c r="D1928" s="0" t="s">
        <v>2322</v>
      </c>
      <c r="E1928" s="0" t="s">
        <v>1428</v>
      </c>
      <c r="F1928" s="0" t="s">
        <v>27</v>
      </c>
      <c r="I1928" s="0" t="n">
        <v>1000</v>
      </c>
      <c r="J1928" s="0" t="n">
        <v>0.263157894736842</v>
      </c>
      <c r="K1928" s="0" t="s">
        <v>2379</v>
      </c>
    </row>
    <row r="1929" customFormat="false" ht="15" hidden="false" customHeight="false" outlineLevel="0" collapsed="false">
      <c r="A1929" s="0" t="n">
        <v>156</v>
      </c>
      <c r="B1929" s="0" t="s">
        <v>2220</v>
      </c>
      <c r="C1929" s="0" t="s">
        <v>68</v>
      </c>
      <c r="D1929" s="0" t="s">
        <v>2322</v>
      </c>
      <c r="E1929" s="0" t="s">
        <v>56</v>
      </c>
      <c r="F1929" s="0" t="s">
        <v>28</v>
      </c>
      <c r="I1929" s="0" t="n">
        <v>700</v>
      </c>
      <c r="J1929" s="0" t="n">
        <v>0.18421052631579</v>
      </c>
      <c r="K1929" s="0" t="s">
        <v>2380</v>
      </c>
    </row>
    <row r="1930" customFormat="false" ht="15" hidden="false" customHeight="false" outlineLevel="0" collapsed="false">
      <c r="A1930" s="0" t="n">
        <v>156</v>
      </c>
      <c r="B1930" s="0" t="s">
        <v>2220</v>
      </c>
      <c r="C1930" s="0" t="s">
        <v>68</v>
      </c>
      <c r="D1930" s="0" t="s">
        <v>2322</v>
      </c>
      <c r="E1930" s="0" t="s">
        <v>58</v>
      </c>
      <c r="F1930" s="0" t="s">
        <v>28</v>
      </c>
      <c r="I1930" s="0" t="n">
        <v>2500</v>
      </c>
      <c r="J1930" s="0" t="n">
        <v>0.657894736842105</v>
      </c>
      <c r="K1930" s="0" t="s">
        <v>2381</v>
      </c>
    </row>
    <row r="1931" customFormat="false" ht="15" hidden="false" customHeight="false" outlineLevel="0" collapsed="false">
      <c r="A1931" s="0" t="n">
        <v>156</v>
      </c>
      <c r="B1931" s="0" t="s">
        <v>2220</v>
      </c>
      <c r="C1931" s="0" t="s">
        <v>68</v>
      </c>
      <c r="D1931" s="0" t="s">
        <v>2322</v>
      </c>
      <c r="E1931" s="0" t="s">
        <v>158</v>
      </c>
      <c r="F1931" s="0" t="s">
        <v>28</v>
      </c>
      <c r="I1931" s="0" t="n">
        <v>2000</v>
      </c>
      <c r="J1931" s="0" t="n">
        <v>0.526315789473684</v>
      </c>
      <c r="K1931" s="0" t="s">
        <v>2382</v>
      </c>
    </row>
    <row r="1932" customFormat="false" ht="15" hidden="false" customHeight="false" outlineLevel="0" collapsed="false">
      <c r="A1932" s="0" t="n">
        <v>156</v>
      </c>
      <c r="B1932" s="0" t="s">
        <v>2220</v>
      </c>
      <c r="C1932" s="0" t="s">
        <v>68</v>
      </c>
      <c r="D1932" s="0" t="s">
        <v>2322</v>
      </c>
      <c r="E1932" s="0" t="s">
        <v>132</v>
      </c>
      <c r="F1932" s="0" t="s">
        <v>29</v>
      </c>
      <c r="I1932" s="0" t="n">
        <v>0</v>
      </c>
      <c r="J1932" s="0" t="n">
        <v>0</v>
      </c>
      <c r="K1932" s="0" t="s">
        <v>2383</v>
      </c>
    </row>
    <row r="1933" customFormat="false" ht="15" hidden="false" customHeight="false" outlineLevel="0" collapsed="false">
      <c r="A1933" s="0" t="n">
        <v>156</v>
      </c>
      <c r="B1933" s="0" t="s">
        <v>2220</v>
      </c>
      <c r="C1933" s="0" t="s">
        <v>68</v>
      </c>
      <c r="D1933" s="0" t="s">
        <v>2322</v>
      </c>
      <c r="E1933" s="0" t="s">
        <v>134</v>
      </c>
      <c r="F1933" s="0" t="s">
        <v>28</v>
      </c>
      <c r="I1933" s="0" t="n">
        <v>0</v>
      </c>
      <c r="J1933" s="0" t="n">
        <v>0</v>
      </c>
      <c r="K1933" s="0" t="s">
        <v>2384</v>
      </c>
    </row>
    <row r="1934" customFormat="false" ht="15" hidden="false" customHeight="false" outlineLevel="0" collapsed="false">
      <c r="A1934" s="0" t="n">
        <v>156</v>
      </c>
      <c r="B1934" s="0" t="s">
        <v>2220</v>
      </c>
      <c r="C1934" s="0" t="s">
        <v>68</v>
      </c>
      <c r="D1934" s="0" t="s">
        <v>2322</v>
      </c>
      <c r="E1934" s="0" t="s">
        <v>2385</v>
      </c>
      <c r="F1934" s="0" t="s">
        <v>29</v>
      </c>
      <c r="I1934" s="0" t="n">
        <v>0</v>
      </c>
      <c r="J1934" s="0" t="n">
        <v>0</v>
      </c>
      <c r="K1934" s="0" t="s">
        <v>2386</v>
      </c>
    </row>
    <row r="1935" customFormat="false" ht="15" hidden="false" customHeight="false" outlineLevel="0" collapsed="false">
      <c r="A1935" s="0" t="n">
        <v>156</v>
      </c>
      <c r="B1935" s="0" t="s">
        <v>2220</v>
      </c>
      <c r="C1935" s="0" t="s">
        <v>68</v>
      </c>
      <c r="D1935" s="0" t="s">
        <v>2322</v>
      </c>
      <c r="E1935" s="0" t="s">
        <v>62</v>
      </c>
      <c r="F1935" s="0" t="s">
        <v>27</v>
      </c>
      <c r="I1935" s="0" t="n">
        <v>100</v>
      </c>
      <c r="J1935" s="0" t="n">
        <v>0.0263157894736842</v>
      </c>
      <c r="K1935" s="0" t="s">
        <v>2387</v>
      </c>
    </row>
    <row r="1936" customFormat="false" ht="15" hidden="false" customHeight="false" outlineLevel="0" collapsed="false">
      <c r="A1936" s="0" t="n">
        <v>156</v>
      </c>
      <c r="B1936" s="0" t="s">
        <v>2220</v>
      </c>
      <c r="C1936" s="0" t="s">
        <v>68</v>
      </c>
      <c r="D1936" s="0" t="s">
        <v>2322</v>
      </c>
      <c r="E1936" s="0" t="s">
        <v>66</v>
      </c>
      <c r="F1936" s="0" t="s">
        <v>27</v>
      </c>
      <c r="I1936" s="0" t="n">
        <v>100</v>
      </c>
      <c r="J1936" s="0" t="n">
        <v>0.0263157894736842</v>
      </c>
      <c r="K1936" s="0" t="s">
        <v>2388</v>
      </c>
    </row>
    <row r="1937" customFormat="false" ht="15" hidden="false" customHeight="false" outlineLevel="0" collapsed="false">
      <c r="A1937" s="0" t="n">
        <v>156</v>
      </c>
      <c r="B1937" s="0" t="s">
        <v>2220</v>
      </c>
      <c r="C1937" s="0" t="s">
        <v>68</v>
      </c>
      <c r="D1937" s="0" t="s">
        <v>2322</v>
      </c>
      <c r="E1937" s="0" t="s">
        <v>64</v>
      </c>
      <c r="F1937" s="0" t="s">
        <v>27</v>
      </c>
      <c r="I1937" s="0" t="n">
        <v>500</v>
      </c>
      <c r="J1937" s="0" t="n">
        <v>0.131578947368421</v>
      </c>
      <c r="K1937" s="0" t="s">
        <v>2389</v>
      </c>
    </row>
    <row r="1938" customFormat="false" ht="15" hidden="false" customHeight="false" outlineLevel="0" collapsed="false">
      <c r="A1938" s="0" t="n">
        <v>156</v>
      </c>
      <c r="B1938" s="0" t="s">
        <v>2220</v>
      </c>
      <c r="C1938" s="0" t="s">
        <v>68</v>
      </c>
      <c r="D1938" s="0" t="s">
        <v>2322</v>
      </c>
      <c r="E1938" s="0" t="s">
        <v>68</v>
      </c>
      <c r="F1938" s="0" t="s">
        <v>30</v>
      </c>
      <c r="I1938" s="0" t="n">
        <v>3800</v>
      </c>
      <c r="J1938" s="0" t="n">
        <v>1</v>
      </c>
      <c r="K1938" s="0" t="s">
        <v>2390</v>
      </c>
    </row>
    <row r="1939" customFormat="false" ht="15" hidden="false" customHeight="false" outlineLevel="0" collapsed="false">
      <c r="A1939" s="0" t="n">
        <v>157</v>
      </c>
      <c r="B1939" s="0" t="s">
        <v>2220</v>
      </c>
      <c r="C1939" s="0" t="s">
        <v>68</v>
      </c>
      <c r="D1939" s="0" t="s">
        <v>2391</v>
      </c>
      <c r="E1939" s="0" t="s">
        <v>53</v>
      </c>
      <c r="F1939" s="0" t="s">
        <v>27</v>
      </c>
      <c r="G1939" s="0" t="n">
        <v>0.65</v>
      </c>
      <c r="H1939" s="0" t="n">
        <v>3</v>
      </c>
      <c r="I1939" s="0" t="n">
        <v>5200</v>
      </c>
      <c r="J1939" s="0" t="n">
        <v>1.36842105263158</v>
      </c>
      <c r="K1939" s="0" t="s">
        <v>2392</v>
      </c>
      <c r="L1939" s="0" t="s">
        <v>2393</v>
      </c>
    </row>
    <row r="1940" customFormat="false" ht="15" hidden="false" customHeight="false" outlineLevel="0" collapsed="false">
      <c r="A1940" s="0" t="n">
        <v>157</v>
      </c>
      <c r="B1940" s="0" t="s">
        <v>2220</v>
      </c>
      <c r="C1940" s="0" t="s">
        <v>68</v>
      </c>
      <c r="D1940" s="0" t="s">
        <v>2391</v>
      </c>
      <c r="E1940" s="0" t="s">
        <v>128</v>
      </c>
      <c r="F1940" s="0" t="s">
        <v>28</v>
      </c>
      <c r="I1940" s="0" t="n">
        <v>1000</v>
      </c>
      <c r="J1940" s="0" t="n">
        <v>0.263157894736842</v>
      </c>
      <c r="K1940" s="0" t="s">
        <v>2394</v>
      </c>
    </row>
    <row r="1941" customFormat="false" ht="15" hidden="false" customHeight="false" outlineLevel="0" collapsed="false">
      <c r="A1941" s="0" t="n">
        <v>157</v>
      </c>
      <c r="B1941" s="0" t="s">
        <v>2220</v>
      </c>
      <c r="C1941" s="0" t="s">
        <v>68</v>
      </c>
      <c r="D1941" s="0" t="s">
        <v>2391</v>
      </c>
      <c r="E1941" s="0" t="s">
        <v>1428</v>
      </c>
      <c r="F1941" s="0" t="s">
        <v>27</v>
      </c>
      <c r="G1941" s="0" t="n">
        <v>2000</v>
      </c>
      <c r="H1941" s="0" t="n">
        <v>0.7</v>
      </c>
      <c r="I1941" s="0" t="n">
        <v>1400</v>
      </c>
      <c r="J1941" s="0" t="n">
        <v>0.368421052631579</v>
      </c>
      <c r="K1941" s="0" t="s">
        <v>2395</v>
      </c>
      <c r="L1941" s="0" t="s">
        <v>2396</v>
      </c>
    </row>
    <row r="1942" customFormat="false" ht="15" hidden="false" customHeight="false" outlineLevel="0" collapsed="false">
      <c r="A1942" s="0" t="n">
        <v>157</v>
      </c>
      <c r="B1942" s="0" t="s">
        <v>2220</v>
      </c>
      <c r="C1942" s="0" t="s">
        <v>68</v>
      </c>
      <c r="D1942" s="0" t="s">
        <v>2391</v>
      </c>
      <c r="E1942" s="0" t="s">
        <v>56</v>
      </c>
      <c r="F1942" s="0" t="s">
        <v>28</v>
      </c>
      <c r="I1942" s="0" t="n">
        <v>700</v>
      </c>
      <c r="J1942" s="0" t="n">
        <v>0.18421052631579</v>
      </c>
      <c r="K1942" s="0" t="s">
        <v>2397</v>
      </c>
    </row>
    <row r="1943" customFormat="false" ht="15" hidden="false" customHeight="false" outlineLevel="0" collapsed="false">
      <c r="A1943" s="0" t="n">
        <v>157</v>
      </c>
      <c r="B1943" s="0" t="s">
        <v>2220</v>
      </c>
      <c r="C1943" s="0" t="s">
        <v>68</v>
      </c>
      <c r="D1943" s="0" t="s">
        <v>2391</v>
      </c>
      <c r="E1943" s="0" t="s">
        <v>379</v>
      </c>
      <c r="F1943" s="0" t="s">
        <v>29</v>
      </c>
      <c r="I1943" s="0" t="n">
        <v>6000</v>
      </c>
      <c r="J1943" s="0" t="n">
        <v>1.57894736842105</v>
      </c>
      <c r="K1943" s="0" t="s">
        <v>2398</v>
      </c>
    </row>
    <row r="1944" customFormat="false" ht="15" hidden="false" customHeight="false" outlineLevel="0" collapsed="false">
      <c r="A1944" s="0" t="n">
        <v>157</v>
      </c>
      <c r="B1944" s="0" t="s">
        <v>2220</v>
      </c>
      <c r="C1944" s="0" t="s">
        <v>68</v>
      </c>
      <c r="D1944" s="0" t="s">
        <v>2391</v>
      </c>
      <c r="E1944" s="0" t="s">
        <v>58</v>
      </c>
      <c r="F1944" s="0" t="s">
        <v>28</v>
      </c>
      <c r="I1944" s="0" t="n">
        <v>2500</v>
      </c>
      <c r="J1944" s="0" t="n">
        <v>0.657894736842105</v>
      </c>
      <c r="K1944" s="0" t="s">
        <v>2399</v>
      </c>
    </row>
    <row r="1945" customFormat="false" ht="15" hidden="false" customHeight="false" outlineLevel="0" collapsed="false">
      <c r="A1945" s="0" t="n">
        <v>157</v>
      </c>
      <c r="B1945" s="0" t="s">
        <v>2220</v>
      </c>
      <c r="C1945" s="0" t="s">
        <v>68</v>
      </c>
      <c r="D1945" s="0" t="s">
        <v>2391</v>
      </c>
      <c r="E1945" s="0" t="s">
        <v>158</v>
      </c>
      <c r="F1945" s="0" t="s">
        <v>28</v>
      </c>
      <c r="I1945" s="0" t="n">
        <v>1000</v>
      </c>
      <c r="J1945" s="0" t="n">
        <v>0.263157894736842</v>
      </c>
      <c r="K1945" s="0" t="s">
        <v>2400</v>
      </c>
    </row>
    <row r="1946" customFormat="false" ht="15" hidden="false" customHeight="false" outlineLevel="0" collapsed="false">
      <c r="A1946" s="0" t="n">
        <v>157</v>
      </c>
      <c r="B1946" s="0" t="s">
        <v>2220</v>
      </c>
      <c r="C1946" s="0" t="s">
        <v>68</v>
      </c>
      <c r="D1946" s="0" t="s">
        <v>2391</v>
      </c>
      <c r="E1946" s="0" t="s">
        <v>132</v>
      </c>
      <c r="F1946" s="0" t="s">
        <v>29</v>
      </c>
      <c r="I1946" s="0" t="n">
        <v>200</v>
      </c>
      <c r="J1946" s="0" t="n">
        <v>0.0526315789473684</v>
      </c>
      <c r="K1946" s="0" t="s">
        <v>2401</v>
      </c>
    </row>
    <row r="1947" customFormat="false" ht="15" hidden="false" customHeight="false" outlineLevel="0" collapsed="false">
      <c r="A1947" s="0" t="n">
        <v>157</v>
      </c>
      <c r="B1947" s="0" t="s">
        <v>2220</v>
      </c>
      <c r="C1947" s="0" t="s">
        <v>68</v>
      </c>
      <c r="D1947" s="0" t="s">
        <v>2391</v>
      </c>
      <c r="E1947" s="0" t="s">
        <v>134</v>
      </c>
      <c r="F1947" s="0" t="s">
        <v>28</v>
      </c>
      <c r="I1947" s="0" t="n">
        <v>200</v>
      </c>
      <c r="J1947" s="0" t="n">
        <v>0.0526315789473684</v>
      </c>
      <c r="K1947" s="0" t="s">
        <v>2402</v>
      </c>
    </row>
    <row r="1948" customFormat="false" ht="15" hidden="false" customHeight="false" outlineLevel="0" collapsed="false">
      <c r="A1948" s="0" t="n">
        <v>157</v>
      </c>
      <c r="B1948" s="0" t="s">
        <v>2220</v>
      </c>
      <c r="C1948" s="0" t="s">
        <v>68</v>
      </c>
      <c r="D1948" s="0" t="s">
        <v>2391</v>
      </c>
      <c r="E1948" s="0" t="s">
        <v>2334</v>
      </c>
      <c r="F1948" s="0" t="s">
        <v>27</v>
      </c>
      <c r="I1948" s="0" t="n">
        <v>100</v>
      </c>
      <c r="J1948" s="0" t="n">
        <v>0.0263157894736842</v>
      </c>
      <c r="K1948" s="0" t="s">
        <v>2403</v>
      </c>
    </row>
    <row r="1949" customFormat="false" ht="15" hidden="false" customHeight="false" outlineLevel="0" collapsed="false">
      <c r="A1949" s="0" t="n">
        <v>157</v>
      </c>
      <c r="B1949" s="0" t="s">
        <v>2220</v>
      </c>
      <c r="C1949" s="0" t="s">
        <v>68</v>
      </c>
      <c r="D1949" s="0" t="s">
        <v>2391</v>
      </c>
      <c r="E1949" s="0" t="s">
        <v>62</v>
      </c>
      <c r="F1949" s="0" t="s">
        <v>27</v>
      </c>
      <c r="I1949" s="0" t="n">
        <v>100</v>
      </c>
      <c r="J1949" s="0" t="n">
        <v>0.0263157894736842</v>
      </c>
      <c r="K1949" s="0" t="s">
        <v>2404</v>
      </c>
    </row>
    <row r="1950" customFormat="false" ht="15" hidden="false" customHeight="false" outlineLevel="0" collapsed="false">
      <c r="A1950" s="0" t="n">
        <v>157</v>
      </c>
      <c r="B1950" s="0" t="s">
        <v>2220</v>
      </c>
      <c r="C1950" s="0" t="s">
        <v>68</v>
      </c>
      <c r="D1950" s="0" t="s">
        <v>2391</v>
      </c>
      <c r="E1950" s="0" t="s">
        <v>66</v>
      </c>
      <c r="F1950" s="0" t="s">
        <v>27</v>
      </c>
      <c r="I1950" s="0" t="n">
        <v>100</v>
      </c>
      <c r="J1950" s="0" t="n">
        <v>0.0263157894736842</v>
      </c>
      <c r="K1950" s="0" t="s">
        <v>2405</v>
      </c>
    </row>
    <row r="1951" customFormat="false" ht="15" hidden="false" customHeight="false" outlineLevel="0" collapsed="false">
      <c r="A1951" s="0" t="n">
        <v>157</v>
      </c>
      <c r="B1951" s="0" t="s">
        <v>2220</v>
      </c>
      <c r="C1951" s="0" t="s">
        <v>68</v>
      </c>
      <c r="D1951" s="0" t="s">
        <v>2391</v>
      </c>
      <c r="E1951" s="0" t="s">
        <v>64</v>
      </c>
      <c r="F1951" s="0" t="s">
        <v>27</v>
      </c>
      <c r="I1951" s="0" t="n">
        <v>760</v>
      </c>
      <c r="J1951" s="0" t="n">
        <v>0.2</v>
      </c>
      <c r="K1951" s="0" t="s">
        <v>2406</v>
      </c>
    </row>
    <row r="1952" customFormat="false" ht="15" hidden="false" customHeight="false" outlineLevel="0" collapsed="false">
      <c r="A1952" s="0" t="n">
        <v>157</v>
      </c>
      <c r="B1952" s="0" t="s">
        <v>2220</v>
      </c>
      <c r="C1952" s="0" t="s">
        <v>68</v>
      </c>
      <c r="D1952" s="0" t="s">
        <v>2391</v>
      </c>
      <c r="E1952" s="0" t="s">
        <v>68</v>
      </c>
      <c r="F1952" s="0" t="s">
        <v>30</v>
      </c>
      <c r="I1952" s="0" t="n">
        <v>2000</v>
      </c>
      <c r="J1952" s="0" t="n">
        <v>0.526315789473684</v>
      </c>
      <c r="K1952" s="0" t="s">
        <v>2407</v>
      </c>
    </row>
    <row r="1953" customFormat="false" ht="15" hidden="false" customHeight="false" outlineLevel="0" collapsed="false">
      <c r="A1953" s="0" t="n">
        <v>158</v>
      </c>
      <c r="B1953" s="0" t="s">
        <v>2220</v>
      </c>
      <c r="C1953" s="0" t="s">
        <v>68</v>
      </c>
      <c r="D1953" s="0" t="s">
        <v>2322</v>
      </c>
      <c r="E1953" s="0" t="s">
        <v>53</v>
      </c>
      <c r="F1953" s="0" t="s">
        <v>27</v>
      </c>
      <c r="G1953" s="0" t="n">
        <v>0.7</v>
      </c>
      <c r="H1953" s="0" t="n">
        <v>2</v>
      </c>
      <c r="I1953" s="0" t="n">
        <v>3733.33333333333</v>
      </c>
      <c r="J1953" s="0" t="n">
        <v>0.982456140350877</v>
      </c>
      <c r="K1953" s="0" t="s">
        <v>2408</v>
      </c>
      <c r="L1953" s="0" t="s">
        <v>2409</v>
      </c>
    </row>
    <row r="1954" customFormat="false" ht="15" hidden="false" customHeight="false" outlineLevel="0" collapsed="false">
      <c r="A1954" s="0" t="n">
        <v>158</v>
      </c>
      <c r="B1954" s="0" t="s">
        <v>2220</v>
      </c>
      <c r="C1954" s="0" t="s">
        <v>68</v>
      </c>
      <c r="D1954" s="0" t="s">
        <v>2322</v>
      </c>
      <c r="E1954" s="0" t="s">
        <v>128</v>
      </c>
      <c r="F1954" s="0" t="s">
        <v>28</v>
      </c>
      <c r="I1954" s="0" t="n">
        <v>1500</v>
      </c>
      <c r="J1954" s="0" t="n">
        <v>0.394736842105263</v>
      </c>
      <c r="K1954" s="0" t="s">
        <v>2410</v>
      </c>
    </row>
    <row r="1955" customFormat="false" ht="15" hidden="false" customHeight="false" outlineLevel="0" collapsed="false">
      <c r="A1955" s="0" t="n">
        <v>158</v>
      </c>
      <c r="B1955" s="0" t="s">
        <v>2220</v>
      </c>
      <c r="C1955" s="0" t="s">
        <v>68</v>
      </c>
      <c r="D1955" s="0" t="s">
        <v>2322</v>
      </c>
      <c r="E1955" s="0" t="s">
        <v>2411</v>
      </c>
      <c r="F1955" s="0" t="s">
        <v>29</v>
      </c>
      <c r="I1955" s="0" t="n">
        <v>1000</v>
      </c>
      <c r="J1955" s="0" t="n">
        <v>0.263157894736842</v>
      </c>
      <c r="K1955" s="0" t="s">
        <v>2412</v>
      </c>
    </row>
    <row r="1956" customFormat="false" ht="15" hidden="false" customHeight="false" outlineLevel="0" collapsed="false">
      <c r="A1956" s="0" t="n">
        <v>158</v>
      </c>
      <c r="B1956" s="0" t="s">
        <v>2220</v>
      </c>
      <c r="C1956" s="0" t="s">
        <v>68</v>
      </c>
      <c r="D1956" s="0" t="s">
        <v>2322</v>
      </c>
      <c r="E1956" s="0" t="s">
        <v>56</v>
      </c>
      <c r="F1956" s="0" t="s">
        <v>28</v>
      </c>
      <c r="I1956" s="0" t="n">
        <v>700</v>
      </c>
      <c r="J1956" s="0" t="n">
        <v>0.18421052631579</v>
      </c>
      <c r="K1956" s="0" t="s">
        <v>2413</v>
      </c>
    </row>
    <row r="1957" customFormat="false" ht="15" hidden="false" customHeight="false" outlineLevel="0" collapsed="false">
      <c r="A1957" s="0" t="n">
        <v>158</v>
      </c>
      <c r="B1957" s="0" t="s">
        <v>2220</v>
      </c>
      <c r="C1957" s="0" t="s">
        <v>68</v>
      </c>
      <c r="D1957" s="0" t="s">
        <v>2322</v>
      </c>
      <c r="E1957" s="0" t="s">
        <v>58</v>
      </c>
      <c r="F1957" s="0" t="s">
        <v>28</v>
      </c>
      <c r="I1957" s="0" t="n">
        <v>2500</v>
      </c>
      <c r="J1957" s="0" t="n">
        <v>0.657894736842105</v>
      </c>
      <c r="K1957" s="0" t="s">
        <v>2414</v>
      </c>
    </row>
    <row r="1958" customFormat="false" ht="15" hidden="false" customHeight="false" outlineLevel="0" collapsed="false">
      <c r="A1958" s="0" t="n">
        <v>158</v>
      </c>
      <c r="B1958" s="0" t="s">
        <v>2220</v>
      </c>
      <c r="C1958" s="0" t="s">
        <v>68</v>
      </c>
      <c r="D1958" s="0" t="s">
        <v>2322</v>
      </c>
      <c r="E1958" s="0" t="s">
        <v>158</v>
      </c>
      <c r="F1958" s="0" t="s">
        <v>28</v>
      </c>
      <c r="I1958" s="0" t="n">
        <v>1000</v>
      </c>
      <c r="J1958" s="0" t="n">
        <v>0.263157894736842</v>
      </c>
      <c r="K1958" s="0" t="s">
        <v>2415</v>
      </c>
    </row>
    <row r="1959" customFormat="false" ht="15" hidden="false" customHeight="false" outlineLevel="0" collapsed="false">
      <c r="A1959" s="0" t="n">
        <v>158</v>
      </c>
      <c r="B1959" s="0" t="s">
        <v>2220</v>
      </c>
      <c r="C1959" s="0" t="s">
        <v>68</v>
      </c>
      <c r="D1959" s="0" t="s">
        <v>2322</v>
      </c>
      <c r="E1959" s="0" t="s">
        <v>132</v>
      </c>
      <c r="F1959" s="0" t="s">
        <v>29</v>
      </c>
      <c r="I1959" s="0" t="n">
        <v>200</v>
      </c>
      <c r="J1959" s="0" t="n">
        <v>0.0526315789473684</v>
      </c>
      <c r="K1959" s="0" t="s">
        <v>2416</v>
      </c>
    </row>
    <row r="1960" customFormat="false" ht="15" hidden="false" customHeight="false" outlineLevel="0" collapsed="false">
      <c r="A1960" s="0" t="n">
        <v>158</v>
      </c>
      <c r="B1960" s="0" t="s">
        <v>2220</v>
      </c>
      <c r="C1960" s="0" t="s">
        <v>68</v>
      </c>
      <c r="D1960" s="0" t="s">
        <v>2322</v>
      </c>
      <c r="E1960" s="0" t="s">
        <v>134</v>
      </c>
      <c r="F1960" s="0" t="s">
        <v>28</v>
      </c>
      <c r="I1960" s="0" t="n">
        <v>200</v>
      </c>
      <c r="J1960" s="0" t="n">
        <v>0.0526315789473684</v>
      </c>
      <c r="K1960" s="0" t="s">
        <v>2417</v>
      </c>
    </row>
    <row r="1961" customFormat="false" ht="15" hidden="false" customHeight="false" outlineLevel="0" collapsed="false">
      <c r="A1961" s="0" t="n">
        <v>158</v>
      </c>
      <c r="B1961" s="0" t="s">
        <v>2220</v>
      </c>
      <c r="C1961" s="0" t="s">
        <v>68</v>
      </c>
      <c r="D1961" s="0" t="s">
        <v>2322</v>
      </c>
      <c r="E1961" s="0" t="s">
        <v>2334</v>
      </c>
      <c r="F1961" s="0" t="s">
        <v>27</v>
      </c>
      <c r="I1961" s="0" t="n">
        <v>100</v>
      </c>
      <c r="J1961" s="0" t="n">
        <v>0.0263157894736842</v>
      </c>
      <c r="K1961" s="0" t="s">
        <v>2418</v>
      </c>
    </row>
    <row r="1962" customFormat="false" ht="15" hidden="false" customHeight="false" outlineLevel="0" collapsed="false">
      <c r="A1962" s="0" t="n">
        <v>158</v>
      </c>
      <c r="B1962" s="0" t="s">
        <v>2220</v>
      </c>
      <c r="C1962" s="0" t="s">
        <v>68</v>
      </c>
      <c r="D1962" s="0" t="s">
        <v>2322</v>
      </c>
      <c r="E1962" s="0" t="s">
        <v>62</v>
      </c>
      <c r="F1962" s="0" t="s">
        <v>27</v>
      </c>
      <c r="I1962" s="0" t="n">
        <v>100</v>
      </c>
      <c r="J1962" s="0" t="n">
        <v>0.0263157894736842</v>
      </c>
      <c r="K1962" s="0" t="s">
        <v>2419</v>
      </c>
    </row>
    <row r="1963" customFormat="false" ht="15" hidden="false" customHeight="false" outlineLevel="0" collapsed="false">
      <c r="A1963" s="0" t="n">
        <v>158</v>
      </c>
      <c r="B1963" s="0" t="s">
        <v>2220</v>
      </c>
      <c r="C1963" s="0" t="s">
        <v>68</v>
      </c>
      <c r="D1963" s="0" t="s">
        <v>2322</v>
      </c>
      <c r="E1963" s="0" t="s">
        <v>66</v>
      </c>
      <c r="F1963" s="0" t="s">
        <v>27</v>
      </c>
      <c r="I1963" s="0" t="n">
        <v>100</v>
      </c>
      <c r="J1963" s="0" t="n">
        <v>0.0263157894736842</v>
      </c>
      <c r="K1963" s="0" t="s">
        <v>2420</v>
      </c>
    </row>
    <row r="1964" customFormat="false" ht="15" hidden="false" customHeight="false" outlineLevel="0" collapsed="false">
      <c r="A1964" s="0" t="n">
        <v>158</v>
      </c>
      <c r="B1964" s="0" t="s">
        <v>2220</v>
      </c>
      <c r="C1964" s="0" t="s">
        <v>68</v>
      </c>
      <c r="D1964" s="0" t="s">
        <v>2322</v>
      </c>
      <c r="E1964" s="0" t="s">
        <v>64</v>
      </c>
      <c r="F1964" s="0" t="s">
        <v>27</v>
      </c>
      <c r="I1964" s="0" t="n">
        <v>760</v>
      </c>
      <c r="J1964" s="0" t="n">
        <v>0.2</v>
      </c>
      <c r="K1964" s="0" t="s">
        <v>2421</v>
      </c>
    </row>
    <row r="1965" customFormat="false" ht="15" hidden="false" customHeight="false" outlineLevel="0" collapsed="false">
      <c r="A1965" s="0" t="n">
        <v>158</v>
      </c>
      <c r="B1965" s="0" t="s">
        <v>2220</v>
      </c>
      <c r="C1965" s="0" t="s">
        <v>68</v>
      </c>
      <c r="D1965" s="0" t="s">
        <v>2322</v>
      </c>
      <c r="E1965" s="0" t="s">
        <v>68</v>
      </c>
      <c r="F1965" s="0" t="s">
        <v>30</v>
      </c>
      <c r="I1965" s="0" t="n">
        <v>2000</v>
      </c>
      <c r="J1965" s="0" t="n">
        <v>0.526315789473684</v>
      </c>
      <c r="K1965" s="0" t="s">
        <v>2422</v>
      </c>
    </row>
    <row r="1966" customFormat="false" ht="15" hidden="false" customHeight="false" outlineLevel="0" collapsed="false">
      <c r="A1966" s="0" t="n">
        <v>159</v>
      </c>
      <c r="B1966" s="0" t="s">
        <v>2220</v>
      </c>
      <c r="C1966" s="0" t="s">
        <v>68</v>
      </c>
      <c r="D1966" s="0" t="s">
        <v>2423</v>
      </c>
      <c r="E1966" s="0" t="s">
        <v>828</v>
      </c>
      <c r="F1966" s="0" t="s">
        <v>27</v>
      </c>
      <c r="G1966" s="0" t="n">
        <v>1</v>
      </c>
      <c r="H1966" s="0" t="n">
        <v>3.7</v>
      </c>
      <c r="I1966" s="0" t="n">
        <v>13875</v>
      </c>
      <c r="J1966" s="0" t="n">
        <v>3.65131578947368</v>
      </c>
      <c r="K1966" s="0" t="s">
        <v>2424</v>
      </c>
      <c r="L1966" s="0" t="s">
        <v>2425</v>
      </c>
    </row>
    <row r="1967" customFormat="false" ht="15" hidden="false" customHeight="false" outlineLevel="0" collapsed="false">
      <c r="A1967" s="0" t="n">
        <v>159</v>
      </c>
      <c r="B1967" s="0" t="s">
        <v>2220</v>
      </c>
      <c r="C1967" s="0" t="s">
        <v>68</v>
      </c>
      <c r="D1967" s="0" t="s">
        <v>2423</v>
      </c>
      <c r="E1967" s="0" t="s">
        <v>56</v>
      </c>
      <c r="F1967" s="0" t="s">
        <v>28</v>
      </c>
      <c r="I1967" s="0" t="n">
        <v>700</v>
      </c>
      <c r="J1967" s="0" t="n">
        <v>0.18421052631579</v>
      </c>
      <c r="K1967" s="0" t="s">
        <v>2426</v>
      </c>
    </row>
    <row r="1968" customFormat="false" ht="15" hidden="false" customHeight="false" outlineLevel="0" collapsed="false">
      <c r="A1968" s="0" t="n">
        <v>159</v>
      </c>
      <c r="B1968" s="0" t="s">
        <v>2220</v>
      </c>
      <c r="C1968" s="0" t="s">
        <v>68</v>
      </c>
      <c r="D1968" s="0" t="s">
        <v>2423</v>
      </c>
      <c r="E1968" s="0" t="s">
        <v>58</v>
      </c>
      <c r="F1968" s="0" t="s">
        <v>28</v>
      </c>
      <c r="I1968" s="0" t="n">
        <v>3000</v>
      </c>
      <c r="J1968" s="0" t="n">
        <v>0.789473684210526</v>
      </c>
      <c r="K1968" s="0" t="s">
        <v>2427</v>
      </c>
    </row>
    <row r="1969" customFormat="false" ht="15" hidden="false" customHeight="false" outlineLevel="0" collapsed="false">
      <c r="A1969" s="0" t="n">
        <v>159</v>
      </c>
      <c r="B1969" s="0" t="s">
        <v>2220</v>
      </c>
      <c r="C1969" s="0" t="s">
        <v>68</v>
      </c>
      <c r="D1969" s="0" t="s">
        <v>2423</v>
      </c>
      <c r="E1969" s="0" t="s">
        <v>128</v>
      </c>
      <c r="F1969" s="0" t="s">
        <v>28</v>
      </c>
      <c r="I1969" s="0" t="n">
        <v>200</v>
      </c>
      <c r="J1969" s="0" t="n">
        <v>0.0526315789473684</v>
      </c>
      <c r="K1969" s="0" t="s">
        <v>2428</v>
      </c>
    </row>
    <row r="1970" customFormat="false" ht="15" hidden="false" customHeight="false" outlineLevel="0" collapsed="false">
      <c r="A1970" s="0" t="n">
        <v>159</v>
      </c>
      <c r="B1970" s="0" t="s">
        <v>2220</v>
      </c>
      <c r="C1970" s="0" t="s">
        <v>68</v>
      </c>
      <c r="D1970" s="0" t="s">
        <v>2423</v>
      </c>
      <c r="E1970" s="0" t="s">
        <v>158</v>
      </c>
      <c r="F1970" s="0" t="s">
        <v>28</v>
      </c>
      <c r="I1970" s="0" t="n">
        <v>200</v>
      </c>
      <c r="J1970" s="0" t="n">
        <v>0.0526315789473684</v>
      </c>
      <c r="K1970" s="0" t="s">
        <v>2429</v>
      </c>
    </row>
    <row r="1971" customFormat="false" ht="15" hidden="false" customHeight="false" outlineLevel="0" collapsed="false">
      <c r="A1971" s="0" t="n">
        <v>159</v>
      </c>
      <c r="B1971" s="0" t="s">
        <v>2220</v>
      </c>
      <c r="C1971" s="0" t="s">
        <v>68</v>
      </c>
      <c r="D1971" s="0" t="s">
        <v>2423</v>
      </c>
      <c r="E1971" s="0" t="s">
        <v>132</v>
      </c>
      <c r="F1971" s="0" t="s">
        <v>29</v>
      </c>
      <c r="I1971" s="0" t="n">
        <v>200</v>
      </c>
      <c r="J1971" s="0" t="n">
        <v>0.0526315789473684</v>
      </c>
      <c r="K1971" s="0" t="s">
        <v>2430</v>
      </c>
    </row>
    <row r="1972" customFormat="false" ht="15" hidden="false" customHeight="false" outlineLevel="0" collapsed="false">
      <c r="A1972" s="0" t="n">
        <v>159</v>
      </c>
      <c r="B1972" s="0" t="s">
        <v>2220</v>
      </c>
      <c r="C1972" s="0" t="s">
        <v>68</v>
      </c>
      <c r="D1972" s="0" t="s">
        <v>2423</v>
      </c>
      <c r="E1972" s="0" t="s">
        <v>134</v>
      </c>
      <c r="F1972" s="0" t="s">
        <v>28</v>
      </c>
      <c r="I1972" s="0" t="n">
        <v>1000</v>
      </c>
      <c r="J1972" s="0" t="n">
        <v>0.263157894736842</v>
      </c>
      <c r="K1972" s="0" t="s">
        <v>2431</v>
      </c>
    </row>
    <row r="1973" customFormat="false" ht="15" hidden="false" customHeight="false" outlineLevel="0" collapsed="false">
      <c r="A1973" s="0" t="n">
        <v>159</v>
      </c>
      <c r="B1973" s="0" t="s">
        <v>2220</v>
      </c>
      <c r="C1973" s="0" t="s">
        <v>68</v>
      </c>
      <c r="D1973" s="0" t="s">
        <v>2423</v>
      </c>
      <c r="E1973" s="0" t="s">
        <v>60</v>
      </c>
      <c r="F1973" s="0" t="s">
        <v>27</v>
      </c>
      <c r="I1973" s="0" t="n">
        <v>300</v>
      </c>
      <c r="J1973" s="0" t="n">
        <v>0.0789473684210526</v>
      </c>
      <c r="K1973" s="0" t="s">
        <v>2432</v>
      </c>
    </row>
    <row r="1974" customFormat="false" ht="15" hidden="false" customHeight="false" outlineLevel="0" collapsed="false">
      <c r="A1974" s="0" t="n">
        <v>159</v>
      </c>
      <c r="B1974" s="0" t="s">
        <v>2220</v>
      </c>
      <c r="C1974" s="0" t="s">
        <v>68</v>
      </c>
      <c r="D1974" s="0" t="s">
        <v>2423</v>
      </c>
      <c r="E1974" s="0" t="s">
        <v>62</v>
      </c>
      <c r="F1974" s="0" t="s">
        <v>27</v>
      </c>
      <c r="I1974" s="0" t="n">
        <v>100</v>
      </c>
      <c r="J1974" s="0" t="n">
        <v>0.0263157894736842</v>
      </c>
      <c r="K1974" s="0" t="s">
        <v>2433</v>
      </c>
    </row>
    <row r="1975" customFormat="false" ht="15" hidden="false" customHeight="false" outlineLevel="0" collapsed="false">
      <c r="A1975" s="0" t="n">
        <v>159</v>
      </c>
      <c r="B1975" s="0" t="s">
        <v>2220</v>
      </c>
      <c r="C1975" s="0" t="s">
        <v>68</v>
      </c>
      <c r="D1975" s="0" t="s">
        <v>2423</v>
      </c>
      <c r="E1975" s="0" t="s">
        <v>66</v>
      </c>
      <c r="F1975" s="0" t="s">
        <v>27</v>
      </c>
      <c r="I1975" s="0" t="n">
        <v>100</v>
      </c>
      <c r="J1975" s="0" t="n">
        <v>0.0263157894736842</v>
      </c>
      <c r="K1975" s="0" t="s">
        <v>2434</v>
      </c>
    </row>
    <row r="1976" customFormat="false" ht="15" hidden="false" customHeight="false" outlineLevel="0" collapsed="false">
      <c r="A1976" s="0" t="n">
        <v>159</v>
      </c>
      <c r="B1976" s="0" t="s">
        <v>2220</v>
      </c>
      <c r="C1976" s="0" t="s">
        <v>68</v>
      </c>
      <c r="D1976" s="0" t="s">
        <v>2423</v>
      </c>
      <c r="E1976" s="0" t="s">
        <v>64</v>
      </c>
      <c r="F1976" s="0" t="s">
        <v>27</v>
      </c>
      <c r="I1976" s="0" t="n">
        <v>360</v>
      </c>
      <c r="J1976" s="0" t="n">
        <v>0.0947368421052632</v>
      </c>
      <c r="K1976" s="0" t="s">
        <v>2435</v>
      </c>
    </row>
    <row r="1977" customFormat="false" ht="15" hidden="false" customHeight="false" outlineLevel="0" collapsed="false">
      <c r="A1977" s="0" t="n">
        <v>159</v>
      </c>
      <c r="B1977" s="0" t="s">
        <v>2220</v>
      </c>
      <c r="C1977" s="0" t="s">
        <v>68</v>
      </c>
      <c r="D1977" s="0" t="s">
        <v>2423</v>
      </c>
      <c r="E1977" s="0" t="s">
        <v>68</v>
      </c>
      <c r="F1977" s="0" t="s">
        <v>30</v>
      </c>
      <c r="I1977" s="0" t="n">
        <v>3000</v>
      </c>
      <c r="J1977" s="0" t="n">
        <v>0.789473684210526</v>
      </c>
      <c r="K1977" s="0" t="s">
        <v>2436</v>
      </c>
    </row>
    <row r="1978" customFormat="false" ht="15" hidden="false" customHeight="false" outlineLevel="0" collapsed="false">
      <c r="A1978" s="0" t="n">
        <v>160</v>
      </c>
      <c r="B1978" s="0" t="s">
        <v>2220</v>
      </c>
      <c r="C1978" s="0" t="s">
        <v>68</v>
      </c>
      <c r="D1978" s="0" t="s">
        <v>2322</v>
      </c>
      <c r="E1978" s="0" t="s">
        <v>53</v>
      </c>
      <c r="F1978" s="0" t="s">
        <v>27</v>
      </c>
      <c r="G1978" s="0" t="n">
        <v>0.8</v>
      </c>
      <c r="H1978" s="0" t="n">
        <v>3</v>
      </c>
      <c r="I1978" s="0" t="n">
        <v>3200</v>
      </c>
      <c r="J1978" s="0" t="n">
        <v>0.842105263157895</v>
      </c>
      <c r="K1978" s="0" t="s">
        <v>2437</v>
      </c>
      <c r="L1978" s="0" t="s">
        <v>2438</v>
      </c>
    </row>
    <row r="1979" customFormat="false" ht="15" hidden="false" customHeight="false" outlineLevel="0" collapsed="false">
      <c r="A1979" s="0" t="n">
        <v>160</v>
      </c>
      <c r="B1979" s="0" t="s">
        <v>2220</v>
      </c>
      <c r="C1979" s="0" t="s">
        <v>68</v>
      </c>
      <c r="D1979" s="0" t="s">
        <v>2322</v>
      </c>
      <c r="E1979" s="0" t="s">
        <v>128</v>
      </c>
      <c r="F1979" s="0" t="s">
        <v>28</v>
      </c>
      <c r="I1979" s="0" t="n">
        <v>1500</v>
      </c>
      <c r="J1979" s="0" t="n">
        <v>0.394736842105263</v>
      </c>
      <c r="K1979" s="0" t="s">
        <v>2439</v>
      </c>
    </row>
    <row r="1980" customFormat="false" ht="15" hidden="false" customHeight="false" outlineLevel="0" collapsed="false">
      <c r="A1980" s="0" t="n">
        <v>160</v>
      </c>
      <c r="B1980" s="0" t="s">
        <v>2220</v>
      </c>
      <c r="C1980" s="0" t="s">
        <v>68</v>
      </c>
      <c r="D1980" s="0" t="s">
        <v>2322</v>
      </c>
      <c r="E1980" s="0" t="s">
        <v>379</v>
      </c>
      <c r="F1980" s="0" t="s">
        <v>29</v>
      </c>
      <c r="I1980" s="0" t="n">
        <v>1000</v>
      </c>
      <c r="J1980" s="0" t="n">
        <v>0.263157894736842</v>
      </c>
      <c r="K1980" s="0" t="s">
        <v>2440</v>
      </c>
    </row>
    <row r="1981" customFormat="false" ht="15" hidden="false" customHeight="false" outlineLevel="0" collapsed="false">
      <c r="A1981" s="0" t="n">
        <v>160</v>
      </c>
      <c r="B1981" s="0" t="s">
        <v>2220</v>
      </c>
      <c r="C1981" s="0" t="s">
        <v>68</v>
      </c>
      <c r="D1981" s="0" t="s">
        <v>2322</v>
      </c>
      <c r="E1981" s="0" t="s">
        <v>1428</v>
      </c>
      <c r="F1981" s="0" t="s">
        <v>27</v>
      </c>
      <c r="G1981" s="0" t="n">
        <v>2000</v>
      </c>
      <c r="H1981" s="0" t="n">
        <v>0.7</v>
      </c>
      <c r="I1981" s="0" t="n">
        <v>1400</v>
      </c>
      <c r="J1981" s="0" t="n">
        <v>0.368421052631579</v>
      </c>
      <c r="K1981" s="0" t="s">
        <v>2441</v>
      </c>
      <c r="L1981" s="0" t="s">
        <v>2396</v>
      </c>
    </row>
    <row r="1982" customFormat="false" ht="15" hidden="false" customHeight="false" outlineLevel="0" collapsed="false">
      <c r="A1982" s="0" t="n">
        <v>160</v>
      </c>
      <c r="B1982" s="0" t="s">
        <v>2220</v>
      </c>
      <c r="C1982" s="0" t="s">
        <v>68</v>
      </c>
      <c r="D1982" s="0" t="s">
        <v>2322</v>
      </c>
      <c r="E1982" s="0" t="s">
        <v>56</v>
      </c>
      <c r="F1982" s="0" t="s">
        <v>28</v>
      </c>
      <c r="I1982" s="0" t="n">
        <v>700</v>
      </c>
      <c r="J1982" s="0" t="n">
        <v>0.18421052631579</v>
      </c>
      <c r="K1982" s="0" t="s">
        <v>2442</v>
      </c>
    </row>
    <row r="1983" customFormat="false" ht="15" hidden="false" customHeight="false" outlineLevel="0" collapsed="false">
      <c r="A1983" s="0" t="n">
        <v>160</v>
      </c>
      <c r="B1983" s="0" t="s">
        <v>2220</v>
      </c>
      <c r="C1983" s="0" t="s">
        <v>68</v>
      </c>
      <c r="D1983" s="0" t="s">
        <v>2322</v>
      </c>
      <c r="E1983" s="0" t="s">
        <v>58</v>
      </c>
      <c r="F1983" s="0" t="s">
        <v>28</v>
      </c>
      <c r="I1983" s="0" t="n">
        <v>2500</v>
      </c>
      <c r="J1983" s="0" t="n">
        <v>0.657894736842105</v>
      </c>
      <c r="K1983" s="0" t="s">
        <v>2443</v>
      </c>
    </row>
    <row r="1984" customFormat="false" ht="15" hidden="false" customHeight="false" outlineLevel="0" collapsed="false">
      <c r="A1984" s="0" t="n">
        <v>160</v>
      </c>
      <c r="B1984" s="0" t="s">
        <v>2220</v>
      </c>
      <c r="C1984" s="0" t="s">
        <v>68</v>
      </c>
      <c r="D1984" s="0" t="s">
        <v>2322</v>
      </c>
      <c r="E1984" s="0" t="s">
        <v>158</v>
      </c>
      <c r="F1984" s="0" t="s">
        <v>28</v>
      </c>
      <c r="I1984" s="0" t="n">
        <v>1000</v>
      </c>
      <c r="J1984" s="0" t="n">
        <v>0.263157894736842</v>
      </c>
      <c r="K1984" s="0" t="s">
        <v>2444</v>
      </c>
    </row>
    <row r="1985" customFormat="false" ht="15" hidden="false" customHeight="false" outlineLevel="0" collapsed="false">
      <c r="A1985" s="0" t="n">
        <v>160</v>
      </c>
      <c r="B1985" s="0" t="s">
        <v>2220</v>
      </c>
      <c r="C1985" s="0" t="s">
        <v>68</v>
      </c>
      <c r="D1985" s="0" t="s">
        <v>2322</v>
      </c>
      <c r="E1985" s="0" t="s">
        <v>132</v>
      </c>
      <c r="F1985" s="0" t="s">
        <v>29</v>
      </c>
      <c r="I1985" s="0" t="n">
        <v>200</v>
      </c>
      <c r="J1985" s="0" t="n">
        <v>0.0526315789473684</v>
      </c>
      <c r="K1985" s="0" t="s">
        <v>2445</v>
      </c>
    </row>
    <row r="1986" customFormat="false" ht="15" hidden="false" customHeight="false" outlineLevel="0" collapsed="false">
      <c r="A1986" s="0" t="n">
        <v>160</v>
      </c>
      <c r="B1986" s="0" t="s">
        <v>2220</v>
      </c>
      <c r="C1986" s="0" t="s">
        <v>68</v>
      </c>
      <c r="D1986" s="0" t="s">
        <v>2322</v>
      </c>
      <c r="E1986" s="0" t="s">
        <v>134</v>
      </c>
      <c r="F1986" s="0" t="s">
        <v>28</v>
      </c>
      <c r="I1986" s="0" t="n">
        <v>200</v>
      </c>
      <c r="J1986" s="0" t="n">
        <v>0.0526315789473684</v>
      </c>
      <c r="K1986" s="0" t="s">
        <v>2446</v>
      </c>
    </row>
    <row r="1987" customFormat="false" ht="15" hidden="false" customHeight="false" outlineLevel="0" collapsed="false">
      <c r="A1987" s="0" t="n">
        <v>160</v>
      </c>
      <c r="B1987" s="0" t="s">
        <v>2220</v>
      </c>
      <c r="C1987" s="0" t="s">
        <v>68</v>
      </c>
      <c r="D1987" s="0" t="s">
        <v>2322</v>
      </c>
      <c r="E1987" s="0" t="s">
        <v>2334</v>
      </c>
      <c r="F1987" s="0" t="s">
        <v>27</v>
      </c>
      <c r="I1987" s="0" t="n">
        <v>100</v>
      </c>
      <c r="J1987" s="0" t="n">
        <v>0.0263157894736842</v>
      </c>
      <c r="K1987" s="0" t="s">
        <v>2447</v>
      </c>
    </row>
    <row r="1988" customFormat="false" ht="15" hidden="false" customHeight="false" outlineLevel="0" collapsed="false">
      <c r="A1988" s="0" t="n">
        <v>160</v>
      </c>
      <c r="B1988" s="0" t="s">
        <v>2220</v>
      </c>
      <c r="C1988" s="0" t="s">
        <v>68</v>
      </c>
      <c r="D1988" s="0" t="s">
        <v>2322</v>
      </c>
      <c r="E1988" s="0" t="s">
        <v>62</v>
      </c>
      <c r="F1988" s="0" t="s">
        <v>27</v>
      </c>
      <c r="I1988" s="0" t="n">
        <v>100</v>
      </c>
      <c r="J1988" s="0" t="n">
        <v>0.0263157894736842</v>
      </c>
      <c r="K1988" s="0" t="s">
        <v>2448</v>
      </c>
    </row>
    <row r="1989" customFormat="false" ht="15" hidden="false" customHeight="false" outlineLevel="0" collapsed="false">
      <c r="A1989" s="0" t="n">
        <v>160</v>
      </c>
      <c r="B1989" s="0" t="s">
        <v>2220</v>
      </c>
      <c r="C1989" s="0" t="s">
        <v>68</v>
      </c>
      <c r="D1989" s="0" t="s">
        <v>2322</v>
      </c>
      <c r="E1989" s="0" t="s">
        <v>66</v>
      </c>
      <c r="F1989" s="0" t="s">
        <v>27</v>
      </c>
      <c r="I1989" s="0" t="n">
        <v>100</v>
      </c>
      <c r="J1989" s="0" t="n">
        <v>0.0263157894736842</v>
      </c>
      <c r="K1989" s="0" t="s">
        <v>2449</v>
      </c>
    </row>
    <row r="1990" customFormat="false" ht="15" hidden="false" customHeight="false" outlineLevel="0" collapsed="false">
      <c r="A1990" s="0" t="n">
        <v>160</v>
      </c>
      <c r="B1990" s="0" t="s">
        <v>2220</v>
      </c>
      <c r="C1990" s="0" t="s">
        <v>68</v>
      </c>
      <c r="D1990" s="0" t="s">
        <v>2322</v>
      </c>
      <c r="E1990" s="0" t="s">
        <v>64</v>
      </c>
      <c r="F1990" s="0" t="s">
        <v>27</v>
      </c>
      <c r="I1990" s="0" t="n">
        <v>760</v>
      </c>
      <c r="J1990" s="0" t="n">
        <v>0.2</v>
      </c>
      <c r="K1990" s="0" t="s">
        <v>2450</v>
      </c>
    </row>
    <row r="1991" customFormat="false" ht="15" hidden="false" customHeight="false" outlineLevel="0" collapsed="false">
      <c r="A1991" s="0" t="n">
        <v>160</v>
      </c>
      <c r="B1991" s="0" t="s">
        <v>2220</v>
      </c>
      <c r="C1991" s="0" t="s">
        <v>68</v>
      </c>
      <c r="D1991" s="0" t="s">
        <v>2322</v>
      </c>
      <c r="E1991" s="0" t="s">
        <v>68</v>
      </c>
      <c r="F1991" s="0" t="s">
        <v>30</v>
      </c>
      <c r="I1991" s="0" t="n">
        <v>2000</v>
      </c>
      <c r="J1991" s="0" t="n">
        <v>0.526315789473684</v>
      </c>
      <c r="K1991" s="0" t="s">
        <v>2451</v>
      </c>
    </row>
    <row r="1992" customFormat="false" ht="15" hidden="false" customHeight="false" outlineLevel="0" collapsed="false">
      <c r="A1992" s="0" t="n">
        <v>161</v>
      </c>
      <c r="B1992" s="0" t="s">
        <v>2452</v>
      </c>
      <c r="C1992" s="0" t="s">
        <v>2453</v>
      </c>
      <c r="D1992" s="0" t="s">
        <v>2453</v>
      </c>
      <c r="E1992" s="0" t="s">
        <v>53</v>
      </c>
      <c r="F1992" s="0" t="s">
        <v>27</v>
      </c>
      <c r="G1992" s="0" t="n">
        <v>0.9</v>
      </c>
      <c r="H1992" s="0" t="n">
        <v>1.7</v>
      </c>
      <c r="I1992" s="0" t="n">
        <v>5814</v>
      </c>
      <c r="J1992" s="0" t="n">
        <v>1.53</v>
      </c>
      <c r="K1992" s="0" t="s">
        <v>2454</v>
      </c>
      <c r="L1992" s="0" t="s">
        <v>2455</v>
      </c>
    </row>
    <row r="1993" customFormat="false" ht="15" hidden="false" customHeight="false" outlineLevel="0" collapsed="false">
      <c r="A1993" s="0" t="n">
        <v>161</v>
      </c>
      <c r="B1993" s="0" t="s">
        <v>2452</v>
      </c>
      <c r="C1993" s="0" t="s">
        <v>2453</v>
      </c>
      <c r="D1993" s="0" t="s">
        <v>2453</v>
      </c>
      <c r="E1993" s="0" t="s">
        <v>56</v>
      </c>
      <c r="F1993" s="0" t="s">
        <v>28</v>
      </c>
      <c r="I1993" s="0" t="n">
        <v>700</v>
      </c>
      <c r="J1993" s="0" t="n">
        <v>0.18421052631579</v>
      </c>
      <c r="K1993" s="0" t="s">
        <v>2456</v>
      </c>
    </row>
    <row r="1994" customFormat="false" ht="15" hidden="false" customHeight="false" outlineLevel="0" collapsed="false">
      <c r="A1994" s="0" t="n">
        <v>161</v>
      </c>
      <c r="B1994" s="0" t="s">
        <v>2452</v>
      </c>
      <c r="C1994" s="0" t="s">
        <v>2453</v>
      </c>
      <c r="D1994" s="0" t="s">
        <v>2453</v>
      </c>
      <c r="E1994" s="0" t="s">
        <v>58</v>
      </c>
      <c r="F1994" s="0" t="s">
        <v>28</v>
      </c>
      <c r="I1994" s="0" t="n">
        <v>2000</v>
      </c>
      <c r="J1994" s="0" t="n">
        <v>0.526315789473684</v>
      </c>
      <c r="K1994" s="0" t="s">
        <v>2457</v>
      </c>
    </row>
    <row r="1995" customFormat="false" ht="15" hidden="false" customHeight="false" outlineLevel="0" collapsed="false">
      <c r="A1995" s="0" t="n">
        <v>161</v>
      </c>
      <c r="B1995" s="0" t="s">
        <v>2452</v>
      </c>
      <c r="C1995" s="0" t="s">
        <v>2453</v>
      </c>
      <c r="D1995" s="0" t="s">
        <v>2453</v>
      </c>
      <c r="E1995" s="0" t="s">
        <v>379</v>
      </c>
      <c r="F1995" s="0" t="s">
        <v>29</v>
      </c>
      <c r="I1995" s="0" t="n">
        <v>7500</v>
      </c>
      <c r="J1995" s="0" t="n">
        <v>1.97368421052632</v>
      </c>
      <c r="K1995" s="0" t="s">
        <v>2458</v>
      </c>
    </row>
    <row r="1996" customFormat="false" ht="15" hidden="false" customHeight="false" outlineLevel="0" collapsed="false">
      <c r="A1996" s="0" t="n">
        <v>161</v>
      </c>
      <c r="B1996" s="0" t="s">
        <v>2452</v>
      </c>
      <c r="C1996" s="0" t="s">
        <v>2453</v>
      </c>
      <c r="D1996" s="0" t="s">
        <v>2453</v>
      </c>
      <c r="E1996" s="0" t="s">
        <v>128</v>
      </c>
      <c r="F1996" s="0" t="s">
        <v>28</v>
      </c>
      <c r="I1996" s="0" t="n">
        <v>1000</v>
      </c>
      <c r="J1996" s="0" t="n">
        <v>0.263157894736842</v>
      </c>
      <c r="K1996" s="0" t="s">
        <v>2459</v>
      </c>
    </row>
    <row r="1997" customFormat="false" ht="15" hidden="false" customHeight="false" outlineLevel="0" collapsed="false">
      <c r="A1997" s="0" t="n">
        <v>161</v>
      </c>
      <c r="B1997" s="0" t="s">
        <v>2452</v>
      </c>
      <c r="C1997" s="0" t="s">
        <v>2453</v>
      </c>
      <c r="D1997" s="0" t="s">
        <v>2453</v>
      </c>
      <c r="E1997" s="0" t="s">
        <v>158</v>
      </c>
      <c r="F1997" s="0" t="s">
        <v>28</v>
      </c>
      <c r="I1997" s="0" t="n">
        <v>0</v>
      </c>
      <c r="J1997" s="0" t="n">
        <v>0</v>
      </c>
      <c r="K1997" s="0" t="s">
        <v>2460</v>
      </c>
    </row>
    <row r="1998" customFormat="false" ht="15" hidden="false" customHeight="false" outlineLevel="0" collapsed="false">
      <c r="A1998" s="0" t="n">
        <v>161</v>
      </c>
      <c r="B1998" s="0" t="s">
        <v>2452</v>
      </c>
      <c r="C1998" s="0" t="s">
        <v>2453</v>
      </c>
      <c r="D1998" s="0" t="s">
        <v>2453</v>
      </c>
      <c r="E1998" s="0" t="s">
        <v>132</v>
      </c>
      <c r="F1998" s="0" t="s">
        <v>29</v>
      </c>
      <c r="I1998" s="0" t="n">
        <v>0</v>
      </c>
      <c r="J1998" s="0" t="n">
        <v>0</v>
      </c>
      <c r="K1998" s="0" t="s">
        <v>2461</v>
      </c>
    </row>
    <row r="1999" customFormat="false" ht="15" hidden="false" customHeight="false" outlineLevel="0" collapsed="false">
      <c r="A1999" s="0" t="n">
        <v>161</v>
      </c>
      <c r="B1999" s="0" t="s">
        <v>2452</v>
      </c>
      <c r="C1999" s="0" t="s">
        <v>2453</v>
      </c>
      <c r="D1999" s="0" t="s">
        <v>2453</v>
      </c>
      <c r="E1999" s="0" t="s">
        <v>134</v>
      </c>
      <c r="F1999" s="0" t="s">
        <v>28</v>
      </c>
      <c r="I1999" s="0" t="n">
        <v>0</v>
      </c>
      <c r="J1999" s="0" t="n">
        <v>0</v>
      </c>
      <c r="K1999" s="0" t="s">
        <v>2462</v>
      </c>
    </row>
    <row r="2000" customFormat="false" ht="15" hidden="false" customHeight="false" outlineLevel="0" collapsed="false">
      <c r="A2000" s="0" t="n">
        <v>161</v>
      </c>
      <c r="B2000" s="0" t="s">
        <v>2452</v>
      </c>
      <c r="C2000" s="0" t="s">
        <v>2453</v>
      </c>
      <c r="D2000" s="0" t="s">
        <v>2453</v>
      </c>
      <c r="E2000" s="0" t="s">
        <v>2463</v>
      </c>
      <c r="F2000" s="0" t="s">
        <v>29</v>
      </c>
      <c r="I2000" s="0" t="n">
        <v>0</v>
      </c>
      <c r="J2000" s="0" t="n">
        <v>0</v>
      </c>
      <c r="K2000" s="0" t="s">
        <v>2464</v>
      </c>
    </row>
    <row r="2001" customFormat="false" ht="15" hidden="false" customHeight="false" outlineLevel="0" collapsed="false">
      <c r="A2001" s="0" t="n">
        <v>161</v>
      </c>
      <c r="B2001" s="0" t="s">
        <v>2452</v>
      </c>
      <c r="C2001" s="0" t="s">
        <v>2453</v>
      </c>
      <c r="D2001" s="0" t="s">
        <v>2453</v>
      </c>
      <c r="E2001" s="0" t="s">
        <v>2465</v>
      </c>
      <c r="F2001" s="0" t="s">
        <v>29</v>
      </c>
      <c r="G2001" s="0" t="n">
        <v>41000</v>
      </c>
      <c r="H2001" s="0" t="n">
        <v>256</v>
      </c>
      <c r="I2001" s="0" t="n">
        <v>160.15625</v>
      </c>
      <c r="J2001" s="0" t="n">
        <v>0.0421463815789474</v>
      </c>
      <c r="K2001" s="0" t="s">
        <v>2466</v>
      </c>
      <c r="L2001" s="0" t="s">
        <v>2467</v>
      </c>
    </row>
    <row r="2002" customFormat="false" ht="15" hidden="false" customHeight="false" outlineLevel="0" collapsed="false">
      <c r="A2002" s="0" t="n">
        <v>161</v>
      </c>
      <c r="B2002" s="0" t="s">
        <v>2452</v>
      </c>
      <c r="C2002" s="0" t="s">
        <v>2453</v>
      </c>
      <c r="D2002" s="0" t="s">
        <v>2453</v>
      </c>
      <c r="E2002" s="0" t="s">
        <v>2468</v>
      </c>
      <c r="F2002" s="0" t="s">
        <v>29</v>
      </c>
      <c r="I2002" s="0" t="n">
        <v>50</v>
      </c>
      <c r="J2002" s="0" t="n">
        <v>0.0131578947368421</v>
      </c>
      <c r="K2002" s="0" t="s">
        <v>2469</v>
      </c>
    </row>
    <row r="2003" customFormat="false" ht="15" hidden="false" customHeight="false" outlineLevel="0" collapsed="false">
      <c r="A2003" s="0" t="n">
        <v>161</v>
      </c>
      <c r="B2003" s="0" t="s">
        <v>2452</v>
      </c>
      <c r="C2003" s="0" t="s">
        <v>2453</v>
      </c>
      <c r="D2003" s="0" t="s">
        <v>2453</v>
      </c>
      <c r="E2003" s="0" t="s">
        <v>2470</v>
      </c>
      <c r="F2003" s="0" t="s">
        <v>29</v>
      </c>
      <c r="G2003" s="0" t="n">
        <v>14000</v>
      </c>
      <c r="H2003" s="0" t="n">
        <v>210</v>
      </c>
      <c r="I2003" s="0" t="n">
        <v>66.6666666666667</v>
      </c>
      <c r="J2003" s="0" t="n">
        <v>0.0175438596491228</v>
      </c>
      <c r="K2003" s="0" t="s">
        <v>2471</v>
      </c>
      <c r="L2003" s="0" t="s">
        <v>2472</v>
      </c>
    </row>
    <row r="2004" customFormat="false" ht="15" hidden="false" customHeight="false" outlineLevel="0" collapsed="false">
      <c r="A2004" s="0" t="n">
        <v>161</v>
      </c>
      <c r="B2004" s="0" t="s">
        <v>2452</v>
      </c>
      <c r="C2004" s="0" t="s">
        <v>2453</v>
      </c>
      <c r="D2004" s="0" t="s">
        <v>2453</v>
      </c>
      <c r="E2004" s="0" t="s">
        <v>62</v>
      </c>
      <c r="F2004" s="0" t="s">
        <v>27</v>
      </c>
      <c r="I2004" s="0" t="n">
        <v>60</v>
      </c>
      <c r="J2004" s="0" t="n">
        <v>0.0157894736842105</v>
      </c>
      <c r="K2004" s="0" t="s">
        <v>2473</v>
      </c>
    </row>
    <row r="2005" customFormat="false" ht="15" hidden="false" customHeight="false" outlineLevel="0" collapsed="false">
      <c r="A2005" s="0" t="n">
        <v>161</v>
      </c>
      <c r="B2005" s="0" t="s">
        <v>2452</v>
      </c>
      <c r="C2005" s="0" t="s">
        <v>2453</v>
      </c>
      <c r="D2005" s="0" t="s">
        <v>2453</v>
      </c>
      <c r="E2005" s="0" t="s">
        <v>66</v>
      </c>
      <c r="F2005" s="0" t="s">
        <v>27</v>
      </c>
      <c r="I2005" s="0" t="n">
        <v>300</v>
      </c>
      <c r="J2005" s="0" t="n">
        <v>0.0789473684210526</v>
      </c>
      <c r="K2005" s="0" t="s">
        <v>2474</v>
      </c>
    </row>
    <row r="2006" customFormat="false" ht="15" hidden="false" customHeight="false" outlineLevel="0" collapsed="false">
      <c r="A2006" s="0" t="n">
        <v>161</v>
      </c>
      <c r="B2006" s="0" t="s">
        <v>2452</v>
      </c>
      <c r="C2006" s="0" t="s">
        <v>2453</v>
      </c>
      <c r="D2006" s="0" t="s">
        <v>2453</v>
      </c>
      <c r="E2006" s="0" t="s">
        <v>68</v>
      </c>
      <c r="F2006" s="0" t="s">
        <v>30</v>
      </c>
      <c r="I2006" s="0" t="n">
        <v>2500</v>
      </c>
      <c r="J2006" s="0" t="n">
        <v>0.657894736842105</v>
      </c>
      <c r="K2006" s="0" t="s">
        <v>2475</v>
      </c>
    </row>
    <row r="2007" customFormat="false" ht="15" hidden="false" customHeight="false" outlineLevel="0" collapsed="false">
      <c r="A2007" s="0" t="n">
        <v>162</v>
      </c>
      <c r="B2007" s="0" t="s">
        <v>2452</v>
      </c>
      <c r="C2007" s="0" t="s">
        <v>2476</v>
      </c>
      <c r="D2007" s="0" t="s">
        <v>2476</v>
      </c>
      <c r="E2007" s="0" t="s">
        <v>53</v>
      </c>
      <c r="F2007" s="0" t="s">
        <v>27</v>
      </c>
      <c r="G2007" s="0" t="n">
        <v>1.2</v>
      </c>
      <c r="H2007" s="0" t="n">
        <v>1.7</v>
      </c>
      <c r="I2007" s="0" t="n">
        <v>7752</v>
      </c>
      <c r="J2007" s="0" t="n">
        <v>2.04</v>
      </c>
      <c r="K2007" s="0" t="s">
        <v>2477</v>
      </c>
      <c r="L2007" s="0" t="s">
        <v>2478</v>
      </c>
    </row>
    <row r="2008" customFormat="false" ht="15" hidden="false" customHeight="false" outlineLevel="0" collapsed="false">
      <c r="A2008" s="0" t="n">
        <v>162</v>
      </c>
      <c r="B2008" s="0" t="s">
        <v>2452</v>
      </c>
      <c r="C2008" s="0" t="s">
        <v>2476</v>
      </c>
      <c r="D2008" s="0" t="s">
        <v>2476</v>
      </c>
      <c r="E2008" s="0" t="s">
        <v>56</v>
      </c>
      <c r="F2008" s="0" t="s">
        <v>28</v>
      </c>
      <c r="I2008" s="0" t="n">
        <v>500</v>
      </c>
      <c r="J2008" s="0" t="n">
        <v>0.131578947368421</v>
      </c>
      <c r="K2008" s="0" t="s">
        <v>2479</v>
      </c>
    </row>
    <row r="2009" customFormat="false" ht="15" hidden="false" customHeight="false" outlineLevel="0" collapsed="false">
      <c r="A2009" s="0" t="n">
        <v>162</v>
      </c>
      <c r="B2009" s="0" t="s">
        <v>2452</v>
      </c>
      <c r="C2009" s="0" t="s">
        <v>2476</v>
      </c>
      <c r="D2009" s="0" t="s">
        <v>2476</v>
      </c>
      <c r="E2009" s="0" t="s">
        <v>58</v>
      </c>
      <c r="F2009" s="0" t="s">
        <v>28</v>
      </c>
      <c r="I2009" s="0" t="n">
        <v>1500</v>
      </c>
      <c r="J2009" s="0" t="n">
        <v>0.394736842105263</v>
      </c>
      <c r="K2009" s="0" t="s">
        <v>2480</v>
      </c>
    </row>
    <row r="2010" customFormat="false" ht="15" hidden="false" customHeight="false" outlineLevel="0" collapsed="false">
      <c r="A2010" s="0" t="n">
        <v>162</v>
      </c>
      <c r="B2010" s="0" t="s">
        <v>2452</v>
      </c>
      <c r="C2010" s="0" t="s">
        <v>2476</v>
      </c>
      <c r="D2010" s="0" t="s">
        <v>2476</v>
      </c>
      <c r="E2010" s="0" t="s">
        <v>128</v>
      </c>
      <c r="F2010" s="0" t="s">
        <v>28</v>
      </c>
      <c r="I2010" s="0" t="n">
        <v>750</v>
      </c>
      <c r="J2010" s="0" t="n">
        <v>0.197368421052632</v>
      </c>
      <c r="K2010" s="0" t="s">
        <v>2481</v>
      </c>
    </row>
    <row r="2011" customFormat="false" ht="15" hidden="false" customHeight="false" outlineLevel="0" collapsed="false">
      <c r="A2011" s="0" t="n">
        <v>162</v>
      </c>
      <c r="B2011" s="0" t="s">
        <v>2452</v>
      </c>
      <c r="C2011" s="0" t="s">
        <v>2476</v>
      </c>
      <c r="D2011" s="0" t="s">
        <v>2476</v>
      </c>
      <c r="E2011" s="0" t="s">
        <v>158</v>
      </c>
      <c r="F2011" s="0" t="s">
        <v>28</v>
      </c>
      <c r="I2011" s="0" t="n">
        <v>0</v>
      </c>
      <c r="J2011" s="0" t="n">
        <v>0</v>
      </c>
      <c r="K2011" s="0" t="s">
        <v>2482</v>
      </c>
    </row>
    <row r="2012" customFormat="false" ht="15" hidden="false" customHeight="false" outlineLevel="0" collapsed="false">
      <c r="A2012" s="0" t="n">
        <v>162</v>
      </c>
      <c r="B2012" s="0" t="s">
        <v>2452</v>
      </c>
      <c r="C2012" s="0" t="s">
        <v>2476</v>
      </c>
      <c r="D2012" s="0" t="s">
        <v>2476</v>
      </c>
      <c r="E2012" s="0" t="s">
        <v>132</v>
      </c>
      <c r="F2012" s="0" t="s">
        <v>29</v>
      </c>
      <c r="I2012" s="0" t="n">
        <v>200</v>
      </c>
      <c r="J2012" s="0" t="n">
        <v>0.0526315789473684</v>
      </c>
      <c r="K2012" s="0" t="s">
        <v>2483</v>
      </c>
    </row>
    <row r="2013" customFormat="false" ht="15" hidden="false" customHeight="false" outlineLevel="0" collapsed="false">
      <c r="A2013" s="0" t="n">
        <v>162</v>
      </c>
      <c r="B2013" s="0" t="s">
        <v>2452</v>
      </c>
      <c r="C2013" s="0" t="s">
        <v>2476</v>
      </c>
      <c r="D2013" s="0" t="s">
        <v>2476</v>
      </c>
      <c r="E2013" s="0" t="s">
        <v>134</v>
      </c>
      <c r="F2013" s="0" t="s">
        <v>28</v>
      </c>
      <c r="I2013" s="0" t="n">
        <v>200</v>
      </c>
      <c r="J2013" s="0" t="n">
        <v>0.0526315789473684</v>
      </c>
      <c r="K2013" s="0" t="s">
        <v>2484</v>
      </c>
    </row>
    <row r="2014" customFormat="false" ht="15" hidden="false" customHeight="false" outlineLevel="0" collapsed="false">
      <c r="A2014" s="0" t="n">
        <v>162</v>
      </c>
      <c r="B2014" s="0" t="s">
        <v>2452</v>
      </c>
      <c r="C2014" s="0" t="s">
        <v>2476</v>
      </c>
      <c r="D2014" s="0" t="s">
        <v>2476</v>
      </c>
      <c r="E2014" s="0" t="s">
        <v>2463</v>
      </c>
      <c r="F2014" s="0" t="s">
        <v>29</v>
      </c>
      <c r="G2014" s="0" t="n">
        <v>43000</v>
      </c>
      <c r="H2014" s="0" t="n">
        <v>220</v>
      </c>
      <c r="I2014" s="0" t="n">
        <v>195.454545454546</v>
      </c>
      <c r="J2014" s="0" t="n">
        <v>0.0514354066985646</v>
      </c>
      <c r="K2014" s="0" t="s">
        <v>2485</v>
      </c>
      <c r="L2014" s="0" t="s">
        <v>2486</v>
      </c>
    </row>
    <row r="2015" customFormat="false" ht="15" hidden="false" customHeight="false" outlineLevel="0" collapsed="false">
      <c r="A2015" s="0" t="n">
        <v>162</v>
      </c>
      <c r="B2015" s="0" t="s">
        <v>2452</v>
      </c>
      <c r="C2015" s="0" t="s">
        <v>2476</v>
      </c>
      <c r="D2015" s="0" t="s">
        <v>2476</v>
      </c>
      <c r="E2015" s="0" t="s">
        <v>2465</v>
      </c>
      <c r="F2015" s="0" t="s">
        <v>29</v>
      </c>
      <c r="G2015" s="0" t="n">
        <v>43000</v>
      </c>
      <c r="H2015" s="0" t="n">
        <v>256</v>
      </c>
      <c r="I2015" s="0" t="n">
        <v>167.96875</v>
      </c>
      <c r="J2015" s="0" t="n">
        <v>0.044202302631579</v>
      </c>
      <c r="K2015" s="0" t="s">
        <v>2487</v>
      </c>
      <c r="L2015" s="0" t="s">
        <v>2488</v>
      </c>
    </row>
    <row r="2016" customFormat="false" ht="15" hidden="false" customHeight="false" outlineLevel="0" collapsed="false">
      <c r="A2016" s="0" t="n">
        <v>162</v>
      </c>
      <c r="B2016" s="0" t="s">
        <v>2452</v>
      </c>
      <c r="C2016" s="0" t="s">
        <v>2476</v>
      </c>
      <c r="D2016" s="0" t="s">
        <v>2476</v>
      </c>
      <c r="E2016" s="0" t="s">
        <v>2468</v>
      </c>
      <c r="F2016" s="0" t="s">
        <v>29</v>
      </c>
      <c r="G2016" s="0" t="n">
        <v>43000</v>
      </c>
      <c r="H2016" s="0" t="n">
        <v>90</v>
      </c>
      <c r="I2016" s="0" t="n">
        <v>477.777777777778</v>
      </c>
      <c r="J2016" s="0" t="n">
        <v>0.125730994152047</v>
      </c>
      <c r="K2016" s="0" t="s">
        <v>2489</v>
      </c>
      <c r="L2016" s="0" t="s">
        <v>2490</v>
      </c>
    </row>
    <row r="2017" customFormat="false" ht="15" hidden="false" customHeight="false" outlineLevel="0" collapsed="false">
      <c r="A2017" s="0" t="n">
        <v>162</v>
      </c>
      <c r="B2017" s="0" t="s">
        <v>2452</v>
      </c>
      <c r="C2017" s="0" t="s">
        <v>2476</v>
      </c>
      <c r="D2017" s="0" t="s">
        <v>2476</v>
      </c>
      <c r="E2017" s="0" t="s">
        <v>2470</v>
      </c>
      <c r="F2017" s="0" t="s">
        <v>29</v>
      </c>
      <c r="G2017" s="0" t="n">
        <v>14000</v>
      </c>
      <c r="H2017" s="0" t="n">
        <v>210</v>
      </c>
      <c r="I2017" s="0" t="n">
        <v>66.6666666666667</v>
      </c>
      <c r="J2017" s="0" t="n">
        <v>0.0175438596491228</v>
      </c>
      <c r="K2017" s="0" t="s">
        <v>2491</v>
      </c>
      <c r="L2017" s="0" t="s">
        <v>2472</v>
      </c>
    </row>
    <row r="2018" customFormat="false" ht="15" hidden="false" customHeight="false" outlineLevel="0" collapsed="false">
      <c r="A2018" s="0" t="n">
        <v>162</v>
      </c>
      <c r="B2018" s="0" t="s">
        <v>2452</v>
      </c>
      <c r="C2018" s="0" t="s">
        <v>2476</v>
      </c>
      <c r="D2018" s="0" t="s">
        <v>2476</v>
      </c>
      <c r="E2018" s="0" t="s">
        <v>62</v>
      </c>
      <c r="F2018" s="0" t="s">
        <v>27</v>
      </c>
      <c r="I2018" s="0" t="n">
        <v>100</v>
      </c>
      <c r="J2018" s="0" t="n">
        <v>0.0263157894736842</v>
      </c>
      <c r="K2018" s="0" t="s">
        <v>2492</v>
      </c>
    </row>
    <row r="2019" customFormat="false" ht="15" hidden="false" customHeight="false" outlineLevel="0" collapsed="false">
      <c r="A2019" s="0" t="n">
        <v>162</v>
      </c>
      <c r="B2019" s="0" t="s">
        <v>2452</v>
      </c>
      <c r="C2019" s="0" t="s">
        <v>2476</v>
      </c>
      <c r="D2019" s="0" t="s">
        <v>2476</v>
      </c>
      <c r="E2019" s="0" t="s">
        <v>66</v>
      </c>
      <c r="F2019" s="0" t="s">
        <v>27</v>
      </c>
      <c r="I2019" s="0" t="n">
        <v>300</v>
      </c>
      <c r="J2019" s="0" t="n">
        <v>0.0789473684210526</v>
      </c>
      <c r="K2019" s="0" t="s">
        <v>2493</v>
      </c>
    </row>
    <row r="2020" customFormat="false" ht="15" hidden="false" customHeight="false" outlineLevel="0" collapsed="false">
      <c r="A2020" s="0" t="n">
        <v>162</v>
      </c>
      <c r="B2020" s="0" t="s">
        <v>2452</v>
      </c>
      <c r="C2020" s="0" t="s">
        <v>2476</v>
      </c>
      <c r="D2020" s="0" t="s">
        <v>2476</v>
      </c>
      <c r="E2020" s="0" t="s">
        <v>68</v>
      </c>
      <c r="F2020" s="0" t="s">
        <v>30</v>
      </c>
      <c r="I2020" s="0" t="n">
        <v>2500</v>
      </c>
      <c r="J2020" s="0" t="n">
        <v>0.657894736842105</v>
      </c>
      <c r="K2020" s="0" t="s">
        <v>2494</v>
      </c>
    </row>
    <row r="2021" customFormat="false" ht="15" hidden="false" customHeight="false" outlineLevel="0" collapsed="false">
      <c r="A2021" s="0" t="n">
        <v>163</v>
      </c>
      <c r="B2021" s="0" t="s">
        <v>2495</v>
      </c>
      <c r="D2021" s="0" t="s">
        <v>296</v>
      </c>
      <c r="E2021" s="0" t="s">
        <v>53</v>
      </c>
      <c r="F2021" s="0" t="s">
        <v>27</v>
      </c>
      <c r="G2021" s="0" t="n">
        <v>0.8</v>
      </c>
      <c r="H2021" s="0" t="n">
        <v>3.5</v>
      </c>
      <c r="I2021" s="0" t="n">
        <v>10640</v>
      </c>
      <c r="J2021" s="0" t="n">
        <v>2.8</v>
      </c>
      <c r="K2021" s="0" t="s">
        <v>2496</v>
      </c>
      <c r="L2021" s="0" t="s">
        <v>2497</v>
      </c>
    </row>
    <row r="2022" customFormat="false" ht="15" hidden="false" customHeight="false" outlineLevel="0" collapsed="false">
      <c r="A2022" s="0" t="n">
        <v>163</v>
      </c>
      <c r="B2022" s="0" t="s">
        <v>2495</v>
      </c>
      <c r="D2022" s="0" t="s">
        <v>296</v>
      </c>
      <c r="E2022" s="0" t="s">
        <v>2498</v>
      </c>
      <c r="F2022" s="0" t="s">
        <v>31</v>
      </c>
      <c r="I2022" s="0" t="n">
        <v>0</v>
      </c>
      <c r="J2022" s="0" t="n">
        <v>0</v>
      </c>
      <c r="K2022" s="0" t="s">
        <v>2499</v>
      </c>
    </row>
    <row r="2023" customFormat="false" ht="15" hidden="false" customHeight="false" outlineLevel="0" collapsed="false">
      <c r="A2023" s="0" t="n">
        <v>163</v>
      </c>
      <c r="B2023" s="0" t="s">
        <v>2495</v>
      </c>
      <c r="D2023" s="0" t="s">
        <v>296</v>
      </c>
      <c r="E2023" s="0" t="s">
        <v>158</v>
      </c>
      <c r="F2023" s="0" t="s">
        <v>28</v>
      </c>
      <c r="I2023" s="0" t="n">
        <v>1000</v>
      </c>
      <c r="J2023" s="0" t="n">
        <v>0.263157894736842</v>
      </c>
      <c r="K2023" s="0" t="s">
        <v>2500</v>
      </c>
    </row>
    <row r="2024" customFormat="false" ht="15" hidden="false" customHeight="false" outlineLevel="0" collapsed="false">
      <c r="A2024" s="0" t="n">
        <v>163</v>
      </c>
      <c r="B2024" s="0" t="s">
        <v>2495</v>
      </c>
      <c r="D2024" s="0" t="s">
        <v>296</v>
      </c>
      <c r="E2024" s="0" t="s">
        <v>203</v>
      </c>
      <c r="F2024" s="0" t="s">
        <v>29</v>
      </c>
      <c r="I2024" s="0" t="n">
        <v>3000</v>
      </c>
      <c r="J2024" s="0" t="n">
        <v>0.789473684210526</v>
      </c>
      <c r="K2024" s="0" t="s">
        <v>2501</v>
      </c>
    </row>
    <row r="2025" customFormat="false" ht="15" hidden="false" customHeight="false" outlineLevel="0" collapsed="false">
      <c r="A2025" s="0" t="n">
        <v>163</v>
      </c>
      <c r="B2025" s="0" t="s">
        <v>2495</v>
      </c>
      <c r="D2025" s="0" t="s">
        <v>296</v>
      </c>
      <c r="E2025" s="0" t="s">
        <v>56</v>
      </c>
      <c r="F2025" s="0" t="s">
        <v>28</v>
      </c>
      <c r="I2025" s="0" t="n">
        <v>1000</v>
      </c>
      <c r="J2025" s="0" t="n">
        <v>0.263157894736842</v>
      </c>
      <c r="K2025" s="0" t="s">
        <v>2502</v>
      </c>
    </row>
    <row r="2026" customFormat="false" ht="15" hidden="false" customHeight="false" outlineLevel="0" collapsed="false">
      <c r="A2026" s="0" t="n">
        <v>163</v>
      </c>
      <c r="B2026" s="0" t="s">
        <v>2495</v>
      </c>
      <c r="D2026" s="0" t="s">
        <v>296</v>
      </c>
      <c r="E2026" s="0" t="s">
        <v>58</v>
      </c>
      <c r="F2026" s="0" t="s">
        <v>28</v>
      </c>
      <c r="I2026" s="0" t="n">
        <v>4500</v>
      </c>
      <c r="J2026" s="0" t="n">
        <v>1.18421052631579</v>
      </c>
      <c r="K2026" s="0" t="s">
        <v>2503</v>
      </c>
    </row>
    <row r="2027" customFormat="false" ht="15" hidden="false" customHeight="false" outlineLevel="0" collapsed="false">
      <c r="A2027" s="0" t="n">
        <v>163</v>
      </c>
      <c r="B2027" s="0" t="s">
        <v>2495</v>
      </c>
      <c r="D2027" s="0" t="s">
        <v>296</v>
      </c>
      <c r="E2027" s="0" t="s">
        <v>128</v>
      </c>
      <c r="F2027" s="0" t="s">
        <v>28</v>
      </c>
      <c r="I2027" s="0" t="n">
        <v>1000</v>
      </c>
      <c r="J2027" s="0" t="n">
        <v>0.263157894736842</v>
      </c>
      <c r="K2027" s="0" t="s">
        <v>2504</v>
      </c>
    </row>
    <row r="2028" customFormat="false" ht="15" hidden="false" customHeight="false" outlineLevel="0" collapsed="false">
      <c r="A2028" s="0" t="n">
        <v>163</v>
      </c>
      <c r="B2028" s="0" t="s">
        <v>2495</v>
      </c>
      <c r="D2028" s="0" t="s">
        <v>296</v>
      </c>
      <c r="E2028" s="0" t="s">
        <v>60</v>
      </c>
      <c r="F2028" s="0" t="s">
        <v>27</v>
      </c>
      <c r="I2028" s="0" t="n">
        <v>200</v>
      </c>
      <c r="J2028" s="0" t="n">
        <v>0.0526315789473684</v>
      </c>
      <c r="K2028" s="0" t="s">
        <v>2505</v>
      </c>
    </row>
    <row r="2029" customFormat="false" ht="15" hidden="false" customHeight="false" outlineLevel="0" collapsed="false">
      <c r="A2029" s="0" t="n">
        <v>163</v>
      </c>
      <c r="B2029" s="0" t="s">
        <v>2495</v>
      </c>
      <c r="D2029" s="0" t="s">
        <v>296</v>
      </c>
      <c r="E2029" s="0" t="s">
        <v>62</v>
      </c>
      <c r="F2029" s="0" t="s">
        <v>27</v>
      </c>
      <c r="I2029" s="0" t="n">
        <v>100</v>
      </c>
      <c r="J2029" s="0" t="n">
        <v>0.0263157894736842</v>
      </c>
      <c r="K2029" s="0" t="s">
        <v>2506</v>
      </c>
    </row>
    <row r="2030" customFormat="false" ht="15" hidden="false" customHeight="false" outlineLevel="0" collapsed="false">
      <c r="A2030" s="0" t="n">
        <v>163</v>
      </c>
      <c r="B2030" s="0" t="s">
        <v>2495</v>
      </c>
      <c r="D2030" s="0" t="s">
        <v>296</v>
      </c>
      <c r="E2030" s="0" t="s">
        <v>64</v>
      </c>
      <c r="F2030" s="0" t="s">
        <v>27</v>
      </c>
      <c r="I2030" s="0" t="n">
        <v>750</v>
      </c>
      <c r="J2030" s="0" t="n">
        <v>0.197368421052632</v>
      </c>
      <c r="K2030" s="0" t="s">
        <v>2507</v>
      </c>
    </row>
    <row r="2031" customFormat="false" ht="15" hidden="false" customHeight="false" outlineLevel="0" collapsed="false">
      <c r="A2031" s="0" t="n">
        <v>163</v>
      </c>
      <c r="B2031" s="0" t="s">
        <v>2495</v>
      </c>
      <c r="D2031" s="0" t="s">
        <v>296</v>
      </c>
      <c r="E2031" s="0" t="s">
        <v>66</v>
      </c>
      <c r="F2031" s="0" t="s">
        <v>27</v>
      </c>
      <c r="I2031" s="0" t="n">
        <v>250</v>
      </c>
      <c r="J2031" s="0" t="n">
        <v>0.0657894736842105</v>
      </c>
      <c r="K2031" s="0" t="s">
        <v>2508</v>
      </c>
    </row>
    <row r="2032" customFormat="false" ht="15" hidden="false" customHeight="false" outlineLevel="0" collapsed="false">
      <c r="A2032" s="0" t="n">
        <v>163</v>
      </c>
      <c r="B2032" s="0" t="s">
        <v>2495</v>
      </c>
      <c r="D2032" s="0" t="s">
        <v>296</v>
      </c>
      <c r="E2032" s="0" t="s">
        <v>68</v>
      </c>
      <c r="F2032" s="0" t="s">
        <v>30</v>
      </c>
      <c r="I2032" s="0" t="n">
        <v>4000</v>
      </c>
      <c r="J2032" s="0" t="n">
        <v>1.05263157894737</v>
      </c>
      <c r="K2032" s="0" t="s">
        <v>2509</v>
      </c>
    </row>
    <row r="2033" customFormat="false" ht="15" hidden="false" customHeight="false" outlineLevel="0" collapsed="false">
      <c r="A2033" s="0" t="n">
        <v>164</v>
      </c>
      <c r="B2033" s="0" t="s">
        <v>2495</v>
      </c>
      <c r="D2033" s="0" t="s">
        <v>311</v>
      </c>
      <c r="E2033" s="0" t="s">
        <v>53</v>
      </c>
      <c r="F2033" s="0" t="s">
        <v>27</v>
      </c>
      <c r="G2033" s="0" t="n">
        <v>0.9</v>
      </c>
      <c r="H2033" s="0" t="n">
        <v>5</v>
      </c>
      <c r="I2033" s="0" t="n">
        <v>17100</v>
      </c>
      <c r="J2033" s="0" t="n">
        <v>4.5</v>
      </c>
      <c r="K2033" s="0" t="s">
        <v>2510</v>
      </c>
      <c r="L2033" s="0" t="s">
        <v>2511</v>
      </c>
    </row>
    <row r="2034" customFormat="false" ht="15" hidden="false" customHeight="false" outlineLevel="0" collapsed="false">
      <c r="A2034" s="0" t="n">
        <v>164</v>
      </c>
      <c r="B2034" s="0" t="s">
        <v>2495</v>
      </c>
      <c r="D2034" s="0" t="s">
        <v>311</v>
      </c>
      <c r="E2034" s="0" t="s">
        <v>2498</v>
      </c>
      <c r="F2034" s="0" t="s">
        <v>31</v>
      </c>
      <c r="I2034" s="0" t="n">
        <v>3500</v>
      </c>
      <c r="J2034" s="0" t="n">
        <v>0.921052631578947</v>
      </c>
      <c r="K2034" s="0" t="s">
        <v>2512</v>
      </c>
    </row>
    <row r="2035" customFormat="false" ht="15" hidden="false" customHeight="false" outlineLevel="0" collapsed="false">
      <c r="A2035" s="0" t="n">
        <v>164</v>
      </c>
      <c r="B2035" s="0" t="s">
        <v>2495</v>
      </c>
      <c r="D2035" s="0" t="s">
        <v>311</v>
      </c>
      <c r="E2035" s="0" t="s">
        <v>158</v>
      </c>
      <c r="F2035" s="0" t="s">
        <v>28</v>
      </c>
      <c r="I2035" s="0" t="n">
        <v>2000</v>
      </c>
      <c r="J2035" s="0" t="n">
        <v>0.526315789473684</v>
      </c>
      <c r="K2035" s="0" t="s">
        <v>2513</v>
      </c>
    </row>
    <row r="2036" customFormat="false" ht="15" hidden="false" customHeight="false" outlineLevel="0" collapsed="false">
      <c r="A2036" s="0" t="n">
        <v>164</v>
      </c>
      <c r="B2036" s="0" t="s">
        <v>2495</v>
      </c>
      <c r="D2036" s="0" t="s">
        <v>311</v>
      </c>
      <c r="E2036" s="0" t="s">
        <v>203</v>
      </c>
      <c r="F2036" s="0" t="s">
        <v>29</v>
      </c>
      <c r="I2036" s="0" t="n">
        <v>6000</v>
      </c>
      <c r="J2036" s="0" t="n">
        <v>1.57894736842105</v>
      </c>
      <c r="K2036" s="0" t="s">
        <v>2514</v>
      </c>
    </row>
    <row r="2037" customFormat="false" ht="15" hidden="false" customHeight="false" outlineLevel="0" collapsed="false">
      <c r="A2037" s="0" t="n">
        <v>164</v>
      </c>
      <c r="B2037" s="0" t="s">
        <v>2495</v>
      </c>
      <c r="D2037" s="0" t="s">
        <v>311</v>
      </c>
      <c r="E2037" s="0" t="s">
        <v>56</v>
      </c>
      <c r="F2037" s="0" t="s">
        <v>28</v>
      </c>
      <c r="I2037" s="0" t="n">
        <v>1000</v>
      </c>
      <c r="J2037" s="0" t="n">
        <v>0.263157894736842</v>
      </c>
      <c r="K2037" s="0" t="s">
        <v>2515</v>
      </c>
    </row>
    <row r="2038" customFormat="false" ht="15" hidden="false" customHeight="false" outlineLevel="0" collapsed="false">
      <c r="A2038" s="0" t="n">
        <v>164</v>
      </c>
      <c r="B2038" s="0" t="s">
        <v>2495</v>
      </c>
      <c r="D2038" s="0" t="s">
        <v>311</v>
      </c>
      <c r="E2038" s="0" t="s">
        <v>58</v>
      </c>
      <c r="F2038" s="0" t="s">
        <v>28</v>
      </c>
      <c r="I2038" s="0" t="n">
        <v>4500</v>
      </c>
      <c r="J2038" s="0" t="n">
        <v>1.18421052631579</v>
      </c>
      <c r="K2038" s="0" t="s">
        <v>2516</v>
      </c>
    </row>
    <row r="2039" customFormat="false" ht="15" hidden="false" customHeight="false" outlineLevel="0" collapsed="false">
      <c r="A2039" s="0" t="n">
        <v>164</v>
      </c>
      <c r="B2039" s="0" t="s">
        <v>2495</v>
      </c>
      <c r="D2039" s="0" t="s">
        <v>311</v>
      </c>
      <c r="E2039" s="0" t="s">
        <v>128</v>
      </c>
      <c r="F2039" s="0" t="s">
        <v>28</v>
      </c>
      <c r="I2039" s="0" t="n">
        <v>2000</v>
      </c>
      <c r="J2039" s="0" t="n">
        <v>0.526315789473684</v>
      </c>
      <c r="K2039" s="0" t="s">
        <v>2517</v>
      </c>
    </row>
    <row r="2040" customFormat="false" ht="15" hidden="false" customHeight="false" outlineLevel="0" collapsed="false">
      <c r="A2040" s="0" t="n">
        <v>164</v>
      </c>
      <c r="B2040" s="0" t="s">
        <v>2495</v>
      </c>
      <c r="D2040" s="0" t="s">
        <v>311</v>
      </c>
      <c r="E2040" s="0" t="s">
        <v>60</v>
      </c>
      <c r="F2040" s="0" t="s">
        <v>27</v>
      </c>
      <c r="I2040" s="0" t="n">
        <v>200</v>
      </c>
      <c r="J2040" s="0" t="n">
        <v>0.0526315789473684</v>
      </c>
      <c r="K2040" s="0" t="s">
        <v>2518</v>
      </c>
    </row>
    <row r="2041" customFormat="false" ht="15" hidden="false" customHeight="false" outlineLevel="0" collapsed="false">
      <c r="A2041" s="0" t="n">
        <v>164</v>
      </c>
      <c r="B2041" s="0" t="s">
        <v>2495</v>
      </c>
      <c r="D2041" s="0" t="s">
        <v>311</v>
      </c>
      <c r="E2041" s="0" t="s">
        <v>62</v>
      </c>
      <c r="F2041" s="0" t="s">
        <v>27</v>
      </c>
      <c r="I2041" s="0" t="n">
        <v>100</v>
      </c>
      <c r="J2041" s="0" t="n">
        <v>0.0263157894736842</v>
      </c>
      <c r="K2041" s="0" t="s">
        <v>2519</v>
      </c>
    </row>
    <row r="2042" customFormat="false" ht="15" hidden="false" customHeight="false" outlineLevel="0" collapsed="false">
      <c r="A2042" s="0" t="n">
        <v>164</v>
      </c>
      <c r="B2042" s="0" t="s">
        <v>2495</v>
      </c>
      <c r="D2042" s="0" t="s">
        <v>311</v>
      </c>
      <c r="E2042" s="0" t="s">
        <v>64</v>
      </c>
      <c r="F2042" s="0" t="s">
        <v>27</v>
      </c>
      <c r="I2042" s="0" t="n">
        <v>750</v>
      </c>
      <c r="J2042" s="0" t="n">
        <v>0.197368421052632</v>
      </c>
      <c r="K2042" s="0" t="s">
        <v>2520</v>
      </c>
    </row>
    <row r="2043" customFormat="false" ht="15" hidden="false" customHeight="false" outlineLevel="0" collapsed="false">
      <c r="A2043" s="0" t="n">
        <v>164</v>
      </c>
      <c r="B2043" s="0" t="s">
        <v>2495</v>
      </c>
      <c r="D2043" s="0" t="s">
        <v>311</v>
      </c>
      <c r="E2043" s="0" t="s">
        <v>66</v>
      </c>
      <c r="F2043" s="0" t="s">
        <v>27</v>
      </c>
      <c r="I2043" s="0" t="n">
        <v>250</v>
      </c>
      <c r="J2043" s="0" t="n">
        <v>0.0657894736842105</v>
      </c>
      <c r="K2043" s="0" t="s">
        <v>2521</v>
      </c>
    </row>
    <row r="2044" customFormat="false" ht="15" hidden="false" customHeight="false" outlineLevel="0" collapsed="false">
      <c r="A2044" s="0" t="n">
        <v>164</v>
      </c>
      <c r="B2044" s="0" t="s">
        <v>2495</v>
      </c>
      <c r="D2044" s="0" t="s">
        <v>311</v>
      </c>
      <c r="E2044" s="0" t="s">
        <v>68</v>
      </c>
      <c r="F2044" s="0" t="s">
        <v>30</v>
      </c>
      <c r="I2044" s="0" t="n">
        <v>3700</v>
      </c>
      <c r="J2044" s="0" t="n">
        <v>0.973684210526316</v>
      </c>
      <c r="K2044" s="0" t="s">
        <v>2522</v>
      </c>
    </row>
    <row r="2045" customFormat="false" ht="15" hidden="false" customHeight="false" outlineLevel="0" collapsed="false">
      <c r="A2045" s="0" t="n">
        <v>165</v>
      </c>
      <c r="B2045" s="0" t="s">
        <v>2495</v>
      </c>
      <c r="C2045" s="0" t="s">
        <v>68</v>
      </c>
      <c r="D2045" s="0" t="s">
        <v>296</v>
      </c>
      <c r="E2045" s="0" t="s">
        <v>53</v>
      </c>
      <c r="F2045" s="0" t="s">
        <v>27</v>
      </c>
      <c r="G2045" s="0" t="n">
        <v>0.9</v>
      </c>
      <c r="H2045" s="0" t="n">
        <v>4</v>
      </c>
      <c r="I2045" s="0" t="n">
        <v>13680</v>
      </c>
      <c r="J2045" s="0" t="n">
        <v>3.6</v>
      </c>
      <c r="K2045" s="0" t="s">
        <v>2523</v>
      </c>
      <c r="L2045" s="0" t="s">
        <v>2524</v>
      </c>
    </row>
    <row r="2046" customFormat="false" ht="15" hidden="false" customHeight="false" outlineLevel="0" collapsed="false">
      <c r="A2046" s="0" t="n">
        <v>165</v>
      </c>
      <c r="B2046" s="0" t="s">
        <v>2495</v>
      </c>
      <c r="C2046" s="0" t="s">
        <v>68</v>
      </c>
      <c r="D2046" s="0" t="s">
        <v>296</v>
      </c>
      <c r="E2046" s="0" t="s">
        <v>2498</v>
      </c>
      <c r="F2046" s="0" t="s">
        <v>31</v>
      </c>
      <c r="I2046" s="0" t="n">
        <v>3000</v>
      </c>
      <c r="J2046" s="0" t="n">
        <v>0.789473684210526</v>
      </c>
      <c r="K2046" s="0" t="s">
        <v>2525</v>
      </c>
    </row>
    <row r="2047" customFormat="false" ht="15" hidden="false" customHeight="false" outlineLevel="0" collapsed="false">
      <c r="A2047" s="0" t="n">
        <v>165</v>
      </c>
      <c r="B2047" s="0" t="s">
        <v>2495</v>
      </c>
      <c r="C2047" s="0" t="s">
        <v>68</v>
      </c>
      <c r="D2047" s="0" t="s">
        <v>296</v>
      </c>
      <c r="E2047" s="0" t="s">
        <v>158</v>
      </c>
      <c r="F2047" s="0" t="s">
        <v>28</v>
      </c>
      <c r="I2047" s="0" t="n">
        <v>1000</v>
      </c>
      <c r="J2047" s="0" t="n">
        <v>0.263157894736842</v>
      </c>
      <c r="K2047" s="0" t="s">
        <v>2526</v>
      </c>
    </row>
    <row r="2048" customFormat="false" ht="15" hidden="false" customHeight="false" outlineLevel="0" collapsed="false">
      <c r="A2048" s="0" t="n">
        <v>165</v>
      </c>
      <c r="B2048" s="0" t="s">
        <v>2495</v>
      </c>
      <c r="C2048" s="0" t="s">
        <v>68</v>
      </c>
      <c r="D2048" s="0" t="s">
        <v>296</v>
      </c>
      <c r="E2048" s="0" t="s">
        <v>106</v>
      </c>
      <c r="F2048" s="0" t="s">
        <v>28</v>
      </c>
      <c r="I2048" s="0" t="n">
        <v>0</v>
      </c>
      <c r="J2048" s="0" t="n">
        <v>0</v>
      </c>
      <c r="K2048" s="0" t="s">
        <v>2527</v>
      </c>
    </row>
    <row r="2049" customFormat="false" ht="15" hidden="false" customHeight="false" outlineLevel="0" collapsed="false">
      <c r="A2049" s="0" t="n">
        <v>165</v>
      </c>
      <c r="B2049" s="0" t="s">
        <v>2495</v>
      </c>
      <c r="C2049" s="0" t="s">
        <v>68</v>
      </c>
      <c r="D2049" s="0" t="s">
        <v>296</v>
      </c>
      <c r="E2049" s="0" t="s">
        <v>56</v>
      </c>
      <c r="F2049" s="0" t="s">
        <v>28</v>
      </c>
      <c r="I2049" s="0" t="n">
        <v>700</v>
      </c>
      <c r="J2049" s="0" t="n">
        <v>0.18421052631579</v>
      </c>
      <c r="K2049" s="0" t="s">
        <v>2528</v>
      </c>
    </row>
    <row r="2050" customFormat="false" ht="15" hidden="false" customHeight="false" outlineLevel="0" collapsed="false">
      <c r="A2050" s="0" t="n">
        <v>165</v>
      </c>
      <c r="B2050" s="0" t="s">
        <v>2495</v>
      </c>
      <c r="C2050" s="0" t="s">
        <v>68</v>
      </c>
      <c r="D2050" s="0" t="s">
        <v>296</v>
      </c>
      <c r="E2050" s="0" t="s">
        <v>58</v>
      </c>
      <c r="F2050" s="0" t="s">
        <v>28</v>
      </c>
      <c r="I2050" s="0" t="n">
        <v>4000</v>
      </c>
      <c r="J2050" s="0" t="n">
        <v>1.05263157894737</v>
      </c>
      <c r="K2050" s="0" t="s">
        <v>2529</v>
      </c>
    </row>
    <row r="2051" customFormat="false" ht="15" hidden="false" customHeight="false" outlineLevel="0" collapsed="false">
      <c r="A2051" s="0" t="n">
        <v>165</v>
      </c>
      <c r="B2051" s="0" t="s">
        <v>2495</v>
      </c>
      <c r="C2051" s="0" t="s">
        <v>68</v>
      </c>
      <c r="D2051" s="0" t="s">
        <v>296</v>
      </c>
      <c r="E2051" s="0" t="s">
        <v>128</v>
      </c>
      <c r="F2051" s="0" t="s">
        <v>28</v>
      </c>
      <c r="I2051" s="0" t="n">
        <v>0</v>
      </c>
      <c r="J2051" s="0" t="n">
        <v>0</v>
      </c>
      <c r="K2051" s="0" t="s">
        <v>2530</v>
      </c>
    </row>
    <row r="2052" customFormat="false" ht="15" hidden="false" customHeight="false" outlineLevel="0" collapsed="false">
      <c r="A2052" s="0" t="n">
        <v>165</v>
      </c>
      <c r="B2052" s="0" t="s">
        <v>2495</v>
      </c>
      <c r="C2052" s="0" t="s">
        <v>68</v>
      </c>
      <c r="D2052" s="0" t="s">
        <v>296</v>
      </c>
      <c r="E2052" s="0" t="s">
        <v>60</v>
      </c>
      <c r="F2052" s="0" t="s">
        <v>27</v>
      </c>
      <c r="I2052" s="0" t="n">
        <v>0</v>
      </c>
      <c r="J2052" s="0" t="n">
        <v>0</v>
      </c>
      <c r="K2052" s="0" t="s">
        <v>2531</v>
      </c>
    </row>
    <row r="2053" customFormat="false" ht="15" hidden="false" customHeight="false" outlineLevel="0" collapsed="false">
      <c r="A2053" s="0" t="n">
        <v>165</v>
      </c>
      <c r="B2053" s="0" t="s">
        <v>2495</v>
      </c>
      <c r="C2053" s="0" t="s">
        <v>68</v>
      </c>
      <c r="D2053" s="0" t="s">
        <v>296</v>
      </c>
      <c r="E2053" s="0" t="s">
        <v>62</v>
      </c>
      <c r="F2053" s="0" t="s">
        <v>27</v>
      </c>
      <c r="I2053" s="0" t="n">
        <v>100</v>
      </c>
      <c r="J2053" s="0" t="n">
        <v>0.0263157894736842</v>
      </c>
      <c r="K2053" s="0" t="s">
        <v>2532</v>
      </c>
    </row>
    <row r="2054" customFormat="false" ht="15" hidden="false" customHeight="false" outlineLevel="0" collapsed="false">
      <c r="A2054" s="0" t="n">
        <v>165</v>
      </c>
      <c r="B2054" s="0" t="s">
        <v>2495</v>
      </c>
      <c r="C2054" s="0" t="s">
        <v>68</v>
      </c>
      <c r="D2054" s="0" t="s">
        <v>296</v>
      </c>
      <c r="E2054" s="0" t="s">
        <v>64</v>
      </c>
      <c r="F2054" s="0" t="s">
        <v>27</v>
      </c>
      <c r="I2054" s="0" t="n">
        <v>0</v>
      </c>
      <c r="J2054" s="0" t="n">
        <v>0</v>
      </c>
      <c r="K2054" s="0" t="s">
        <v>2533</v>
      </c>
    </row>
    <row r="2055" customFormat="false" ht="15" hidden="false" customHeight="false" outlineLevel="0" collapsed="false">
      <c r="A2055" s="0" t="n">
        <v>165</v>
      </c>
      <c r="B2055" s="0" t="s">
        <v>2495</v>
      </c>
      <c r="C2055" s="0" t="s">
        <v>68</v>
      </c>
      <c r="D2055" s="0" t="s">
        <v>296</v>
      </c>
      <c r="E2055" s="0" t="s">
        <v>66</v>
      </c>
      <c r="F2055" s="0" t="s">
        <v>27</v>
      </c>
      <c r="I2055" s="0" t="n">
        <v>350</v>
      </c>
      <c r="J2055" s="0" t="n">
        <v>0.0921052631578947</v>
      </c>
      <c r="K2055" s="0" t="s">
        <v>2534</v>
      </c>
    </row>
    <row r="2056" customFormat="false" ht="15" hidden="false" customHeight="false" outlineLevel="0" collapsed="false">
      <c r="A2056" s="0" t="n">
        <v>165</v>
      </c>
      <c r="B2056" s="0" t="s">
        <v>2495</v>
      </c>
      <c r="C2056" s="0" t="s">
        <v>68</v>
      </c>
      <c r="D2056" s="0" t="s">
        <v>296</v>
      </c>
      <c r="E2056" s="0" t="s">
        <v>68</v>
      </c>
      <c r="F2056" s="0" t="s">
        <v>30</v>
      </c>
      <c r="I2056" s="0" t="n">
        <v>4000</v>
      </c>
      <c r="J2056" s="0" t="n">
        <v>1.05263157894737</v>
      </c>
      <c r="K2056" s="0" t="s">
        <v>2535</v>
      </c>
    </row>
    <row r="2057" customFormat="false" ht="15" hidden="false" customHeight="false" outlineLevel="0" collapsed="false">
      <c r="A2057" s="0" t="n">
        <v>166</v>
      </c>
      <c r="B2057" s="0" t="s">
        <v>2495</v>
      </c>
      <c r="C2057" s="0" t="s">
        <v>68</v>
      </c>
      <c r="D2057" s="0" t="s">
        <v>311</v>
      </c>
      <c r="E2057" s="0" t="s">
        <v>53</v>
      </c>
      <c r="F2057" s="0" t="s">
        <v>27</v>
      </c>
      <c r="G2057" s="0" t="n">
        <v>0.6</v>
      </c>
      <c r="H2057" s="0" t="n">
        <v>4.5</v>
      </c>
      <c r="I2057" s="0" t="n">
        <v>10260</v>
      </c>
      <c r="J2057" s="0" t="n">
        <v>2.7</v>
      </c>
      <c r="K2057" s="0" t="s">
        <v>2536</v>
      </c>
      <c r="L2057" s="0" t="s">
        <v>2537</v>
      </c>
    </row>
    <row r="2058" customFormat="false" ht="15" hidden="false" customHeight="false" outlineLevel="0" collapsed="false">
      <c r="A2058" s="0" t="n">
        <v>166</v>
      </c>
      <c r="B2058" s="0" t="s">
        <v>2495</v>
      </c>
      <c r="C2058" s="0" t="s">
        <v>68</v>
      </c>
      <c r="D2058" s="0" t="s">
        <v>311</v>
      </c>
      <c r="E2058" s="0" t="s">
        <v>2498</v>
      </c>
      <c r="F2058" s="0" t="s">
        <v>31</v>
      </c>
      <c r="I2058" s="0" t="n">
        <v>3500</v>
      </c>
      <c r="J2058" s="0" t="n">
        <v>0.921052631578947</v>
      </c>
      <c r="K2058" s="0" t="s">
        <v>2538</v>
      </c>
    </row>
    <row r="2059" customFormat="false" ht="15" hidden="false" customHeight="false" outlineLevel="0" collapsed="false">
      <c r="A2059" s="0" t="n">
        <v>166</v>
      </c>
      <c r="B2059" s="0" t="s">
        <v>2495</v>
      </c>
      <c r="C2059" s="0" t="s">
        <v>68</v>
      </c>
      <c r="D2059" s="0" t="s">
        <v>311</v>
      </c>
      <c r="E2059" s="0" t="s">
        <v>158</v>
      </c>
      <c r="F2059" s="0" t="s">
        <v>28</v>
      </c>
      <c r="I2059" s="0" t="n">
        <v>1000</v>
      </c>
      <c r="J2059" s="0" t="n">
        <v>0.263157894736842</v>
      </c>
      <c r="K2059" s="0" t="s">
        <v>2539</v>
      </c>
    </row>
    <row r="2060" customFormat="false" ht="15" hidden="false" customHeight="false" outlineLevel="0" collapsed="false">
      <c r="A2060" s="0" t="n">
        <v>166</v>
      </c>
      <c r="B2060" s="0" t="s">
        <v>2495</v>
      </c>
      <c r="C2060" s="0" t="s">
        <v>68</v>
      </c>
      <c r="D2060" s="0" t="s">
        <v>311</v>
      </c>
      <c r="E2060" s="0" t="s">
        <v>106</v>
      </c>
      <c r="F2060" s="0" t="s">
        <v>28</v>
      </c>
      <c r="I2060" s="0" t="n">
        <v>10000</v>
      </c>
      <c r="J2060" s="0" t="n">
        <v>2.63157894736842</v>
      </c>
      <c r="K2060" s="0" t="s">
        <v>2540</v>
      </c>
    </row>
    <row r="2061" customFormat="false" ht="15" hidden="false" customHeight="false" outlineLevel="0" collapsed="false">
      <c r="A2061" s="0" t="n">
        <v>166</v>
      </c>
      <c r="B2061" s="0" t="s">
        <v>2495</v>
      </c>
      <c r="C2061" s="0" t="s">
        <v>68</v>
      </c>
      <c r="D2061" s="0" t="s">
        <v>311</v>
      </c>
      <c r="E2061" s="0" t="s">
        <v>56</v>
      </c>
      <c r="F2061" s="0" t="s">
        <v>28</v>
      </c>
      <c r="I2061" s="0" t="n">
        <v>1000</v>
      </c>
      <c r="J2061" s="0" t="n">
        <v>0.263157894736842</v>
      </c>
      <c r="K2061" s="0" t="s">
        <v>2541</v>
      </c>
    </row>
    <row r="2062" customFormat="false" ht="15" hidden="false" customHeight="false" outlineLevel="0" collapsed="false">
      <c r="A2062" s="0" t="n">
        <v>166</v>
      </c>
      <c r="B2062" s="0" t="s">
        <v>2495</v>
      </c>
      <c r="C2062" s="0" t="s">
        <v>68</v>
      </c>
      <c r="D2062" s="0" t="s">
        <v>311</v>
      </c>
      <c r="E2062" s="0" t="s">
        <v>58</v>
      </c>
      <c r="F2062" s="0" t="s">
        <v>28</v>
      </c>
      <c r="I2062" s="0" t="n">
        <v>4500</v>
      </c>
      <c r="J2062" s="0" t="n">
        <v>1.18421052631579</v>
      </c>
      <c r="K2062" s="0" t="s">
        <v>2542</v>
      </c>
    </row>
    <row r="2063" customFormat="false" ht="15" hidden="false" customHeight="false" outlineLevel="0" collapsed="false">
      <c r="A2063" s="0" t="n">
        <v>166</v>
      </c>
      <c r="B2063" s="0" t="s">
        <v>2495</v>
      </c>
      <c r="C2063" s="0" t="s">
        <v>68</v>
      </c>
      <c r="D2063" s="0" t="s">
        <v>311</v>
      </c>
      <c r="E2063" s="0" t="s">
        <v>128</v>
      </c>
      <c r="F2063" s="0" t="s">
        <v>28</v>
      </c>
      <c r="I2063" s="0" t="n">
        <v>1000</v>
      </c>
      <c r="J2063" s="0" t="n">
        <v>0.263157894736842</v>
      </c>
      <c r="K2063" s="0" t="s">
        <v>2543</v>
      </c>
    </row>
    <row r="2064" customFormat="false" ht="15" hidden="false" customHeight="false" outlineLevel="0" collapsed="false">
      <c r="A2064" s="0" t="n">
        <v>166</v>
      </c>
      <c r="B2064" s="0" t="s">
        <v>2495</v>
      </c>
      <c r="C2064" s="0" t="s">
        <v>68</v>
      </c>
      <c r="D2064" s="0" t="s">
        <v>311</v>
      </c>
      <c r="E2064" s="0" t="s">
        <v>60</v>
      </c>
      <c r="F2064" s="0" t="s">
        <v>27</v>
      </c>
      <c r="I2064" s="0" t="n">
        <v>200</v>
      </c>
      <c r="J2064" s="0" t="n">
        <v>0.0526315789473684</v>
      </c>
      <c r="K2064" s="0" t="s">
        <v>2544</v>
      </c>
    </row>
    <row r="2065" customFormat="false" ht="15" hidden="false" customHeight="false" outlineLevel="0" collapsed="false">
      <c r="A2065" s="0" t="n">
        <v>166</v>
      </c>
      <c r="B2065" s="0" t="s">
        <v>2495</v>
      </c>
      <c r="C2065" s="0" t="s">
        <v>68</v>
      </c>
      <c r="D2065" s="0" t="s">
        <v>311</v>
      </c>
      <c r="E2065" s="0" t="s">
        <v>62</v>
      </c>
      <c r="F2065" s="0" t="s">
        <v>27</v>
      </c>
      <c r="I2065" s="0" t="n">
        <v>100</v>
      </c>
      <c r="J2065" s="0" t="n">
        <v>0.0263157894736842</v>
      </c>
      <c r="K2065" s="0" t="s">
        <v>2545</v>
      </c>
    </row>
    <row r="2066" customFormat="false" ht="15" hidden="false" customHeight="false" outlineLevel="0" collapsed="false">
      <c r="A2066" s="0" t="n">
        <v>166</v>
      </c>
      <c r="B2066" s="0" t="s">
        <v>2495</v>
      </c>
      <c r="C2066" s="0" t="s">
        <v>68</v>
      </c>
      <c r="D2066" s="0" t="s">
        <v>311</v>
      </c>
      <c r="E2066" s="0" t="s">
        <v>64</v>
      </c>
      <c r="F2066" s="0" t="s">
        <v>27</v>
      </c>
      <c r="I2066" s="0" t="n">
        <v>750</v>
      </c>
      <c r="J2066" s="0" t="n">
        <v>0.197368421052632</v>
      </c>
      <c r="K2066" s="0" t="s">
        <v>2546</v>
      </c>
    </row>
    <row r="2067" customFormat="false" ht="15" hidden="false" customHeight="false" outlineLevel="0" collapsed="false">
      <c r="A2067" s="0" t="n">
        <v>166</v>
      </c>
      <c r="B2067" s="0" t="s">
        <v>2495</v>
      </c>
      <c r="C2067" s="0" t="s">
        <v>68</v>
      </c>
      <c r="D2067" s="0" t="s">
        <v>311</v>
      </c>
      <c r="E2067" s="0" t="s">
        <v>66</v>
      </c>
      <c r="F2067" s="0" t="s">
        <v>27</v>
      </c>
      <c r="I2067" s="0" t="n">
        <v>250</v>
      </c>
      <c r="J2067" s="0" t="n">
        <v>0.0657894736842105</v>
      </c>
      <c r="K2067" s="0" t="s">
        <v>2547</v>
      </c>
    </row>
    <row r="2068" customFormat="false" ht="15" hidden="false" customHeight="false" outlineLevel="0" collapsed="false">
      <c r="A2068" s="0" t="n">
        <v>166</v>
      </c>
      <c r="B2068" s="0" t="s">
        <v>2495</v>
      </c>
      <c r="C2068" s="0" t="s">
        <v>68</v>
      </c>
      <c r="D2068" s="0" t="s">
        <v>311</v>
      </c>
      <c r="E2068" s="0" t="s">
        <v>68</v>
      </c>
      <c r="F2068" s="0" t="s">
        <v>30</v>
      </c>
      <c r="I2068" s="0" t="n">
        <v>4000</v>
      </c>
      <c r="J2068" s="0" t="n">
        <v>1.05263157894737</v>
      </c>
      <c r="K2068" s="0" t="s">
        <v>2548</v>
      </c>
    </row>
    <row r="2069" customFormat="false" ht="15" hidden="false" customHeight="false" outlineLevel="0" collapsed="false">
      <c r="A2069" s="0" t="n">
        <v>167</v>
      </c>
      <c r="B2069" s="0" t="s">
        <v>2495</v>
      </c>
      <c r="C2069" s="0" t="s">
        <v>68</v>
      </c>
      <c r="D2069" s="0" t="s">
        <v>349</v>
      </c>
      <c r="E2069" s="0" t="s">
        <v>53</v>
      </c>
      <c r="F2069" s="0" t="s">
        <v>27</v>
      </c>
      <c r="G2069" s="0" t="n">
        <v>1</v>
      </c>
      <c r="H2069" s="0" t="n">
        <v>3</v>
      </c>
      <c r="I2069" s="0" t="n">
        <v>11400</v>
      </c>
      <c r="J2069" s="0" t="n">
        <v>3</v>
      </c>
      <c r="K2069" s="0" t="s">
        <v>2549</v>
      </c>
      <c r="L2069" s="0" t="s">
        <v>1181</v>
      </c>
    </row>
    <row r="2070" customFormat="false" ht="15" hidden="false" customHeight="false" outlineLevel="0" collapsed="false">
      <c r="A2070" s="0" t="n">
        <v>167</v>
      </c>
      <c r="B2070" s="0" t="s">
        <v>2495</v>
      </c>
      <c r="C2070" s="0" t="s">
        <v>68</v>
      </c>
      <c r="D2070" s="0" t="s">
        <v>349</v>
      </c>
      <c r="E2070" s="0" t="s">
        <v>2498</v>
      </c>
      <c r="F2070" s="0" t="s">
        <v>31</v>
      </c>
      <c r="I2070" s="0" t="n">
        <v>3000</v>
      </c>
      <c r="J2070" s="0" t="n">
        <v>0.789473684210526</v>
      </c>
      <c r="K2070" s="0" t="s">
        <v>2550</v>
      </c>
    </row>
    <row r="2071" customFormat="false" ht="15" hidden="false" customHeight="false" outlineLevel="0" collapsed="false">
      <c r="A2071" s="0" t="n">
        <v>167</v>
      </c>
      <c r="B2071" s="0" t="s">
        <v>2495</v>
      </c>
      <c r="C2071" s="0" t="s">
        <v>68</v>
      </c>
      <c r="D2071" s="0" t="s">
        <v>349</v>
      </c>
      <c r="E2071" s="0" t="s">
        <v>158</v>
      </c>
      <c r="F2071" s="0" t="s">
        <v>28</v>
      </c>
      <c r="I2071" s="0" t="n">
        <v>1000</v>
      </c>
      <c r="J2071" s="0" t="n">
        <v>0.263157894736842</v>
      </c>
      <c r="K2071" s="0" t="s">
        <v>2551</v>
      </c>
    </row>
    <row r="2072" customFormat="false" ht="15" hidden="false" customHeight="false" outlineLevel="0" collapsed="false">
      <c r="A2072" s="0" t="n">
        <v>167</v>
      </c>
      <c r="B2072" s="0" t="s">
        <v>2495</v>
      </c>
      <c r="C2072" s="0" t="s">
        <v>68</v>
      </c>
      <c r="D2072" s="0" t="s">
        <v>349</v>
      </c>
      <c r="E2072" s="0" t="s">
        <v>203</v>
      </c>
      <c r="F2072" s="0" t="s">
        <v>29</v>
      </c>
      <c r="I2072" s="0" t="n">
        <v>0</v>
      </c>
      <c r="J2072" s="0" t="n">
        <v>0</v>
      </c>
      <c r="K2072" s="0" t="s">
        <v>2552</v>
      </c>
    </row>
    <row r="2073" customFormat="false" ht="15" hidden="false" customHeight="false" outlineLevel="0" collapsed="false">
      <c r="A2073" s="0" t="n">
        <v>167</v>
      </c>
      <c r="B2073" s="0" t="s">
        <v>2495</v>
      </c>
      <c r="C2073" s="0" t="s">
        <v>68</v>
      </c>
      <c r="D2073" s="0" t="s">
        <v>349</v>
      </c>
      <c r="E2073" s="0" t="s">
        <v>56</v>
      </c>
      <c r="F2073" s="0" t="s">
        <v>28</v>
      </c>
      <c r="I2073" s="0" t="n">
        <v>700</v>
      </c>
      <c r="J2073" s="0" t="n">
        <v>0.18421052631579</v>
      </c>
      <c r="K2073" s="0" t="s">
        <v>2553</v>
      </c>
    </row>
    <row r="2074" customFormat="false" ht="15" hidden="false" customHeight="false" outlineLevel="0" collapsed="false">
      <c r="A2074" s="0" t="n">
        <v>167</v>
      </c>
      <c r="B2074" s="0" t="s">
        <v>2495</v>
      </c>
      <c r="C2074" s="0" t="s">
        <v>68</v>
      </c>
      <c r="D2074" s="0" t="s">
        <v>349</v>
      </c>
      <c r="E2074" s="0" t="s">
        <v>2554</v>
      </c>
      <c r="F2074" s="0" t="s">
        <v>28</v>
      </c>
      <c r="I2074" s="0" t="n">
        <v>1000</v>
      </c>
      <c r="J2074" s="0" t="n">
        <v>0.263157894736842</v>
      </c>
      <c r="K2074" s="0" t="s">
        <v>2555</v>
      </c>
    </row>
    <row r="2075" customFormat="false" ht="15" hidden="false" customHeight="false" outlineLevel="0" collapsed="false">
      <c r="A2075" s="0" t="n">
        <v>167</v>
      </c>
      <c r="B2075" s="0" t="s">
        <v>2495</v>
      </c>
      <c r="C2075" s="0" t="s">
        <v>68</v>
      </c>
      <c r="D2075" s="0" t="s">
        <v>349</v>
      </c>
      <c r="E2075" s="0" t="s">
        <v>58</v>
      </c>
      <c r="F2075" s="0" t="s">
        <v>28</v>
      </c>
      <c r="I2075" s="0" t="n">
        <v>4000</v>
      </c>
      <c r="J2075" s="0" t="n">
        <v>1.05263157894737</v>
      </c>
      <c r="K2075" s="0" t="s">
        <v>2556</v>
      </c>
    </row>
    <row r="2076" customFormat="false" ht="15" hidden="false" customHeight="false" outlineLevel="0" collapsed="false">
      <c r="A2076" s="0" t="n">
        <v>167</v>
      </c>
      <c r="B2076" s="0" t="s">
        <v>2495</v>
      </c>
      <c r="C2076" s="0" t="s">
        <v>68</v>
      </c>
      <c r="D2076" s="0" t="s">
        <v>349</v>
      </c>
      <c r="E2076" s="0" t="s">
        <v>64</v>
      </c>
      <c r="F2076" s="0" t="s">
        <v>27</v>
      </c>
      <c r="I2076" s="0" t="n">
        <v>0</v>
      </c>
      <c r="J2076" s="0" t="n">
        <v>0</v>
      </c>
      <c r="K2076" s="0" t="s">
        <v>2557</v>
      </c>
    </row>
    <row r="2077" customFormat="false" ht="15" hidden="false" customHeight="false" outlineLevel="0" collapsed="false">
      <c r="A2077" s="0" t="n">
        <v>167</v>
      </c>
      <c r="B2077" s="0" t="s">
        <v>2495</v>
      </c>
      <c r="C2077" s="0" t="s">
        <v>68</v>
      </c>
      <c r="D2077" s="0" t="s">
        <v>349</v>
      </c>
      <c r="E2077" s="0" t="s">
        <v>60</v>
      </c>
      <c r="F2077" s="0" t="s">
        <v>27</v>
      </c>
      <c r="I2077" s="0" t="n">
        <v>0</v>
      </c>
      <c r="J2077" s="0" t="n">
        <v>0</v>
      </c>
      <c r="K2077" s="0" t="s">
        <v>2558</v>
      </c>
    </row>
    <row r="2078" customFormat="false" ht="15" hidden="false" customHeight="false" outlineLevel="0" collapsed="false">
      <c r="A2078" s="0" t="n">
        <v>167</v>
      </c>
      <c r="B2078" s="0" t="s">
        <v>2495</v>
      </c>
      <c r="C2078" s="0" t="s">
        <v>68</v>
      </c>
      <c r="D2078" s="0" t="s">
        <v>349</v>
      </c>
      <c r="E2078" s="0" t="s">
        <v>62</v>
      </c>
      <c r="F2078" s="0" t="s">
        <v>27</v>
      </c>
      <c r="I2078" s="0" t="n">
        <v>0</v>
      </c>
      <c r="J2078" s="0" t="n">
        <v>0</v>
      </c>
      <c r="K2078" s="0" t="s">
        <v>2559</v>
      </c>
    </row>
    <row r="2079" customFormat="false" ht="15" hidden="false" customHeight="false" outlineLevel="0" collapsed="false">
      <c r="A2079" s="0" t="n">
        <v>167</v>
      </c>
      <c r="B2079" s="0" t="s">
        <v>2495</v>
      </c>
      <c r="C2079" s="0" t="s">
        <v>68</v>
      </c>
      <c r="D2079" s="0" t="s">
        <v>349</v>
      </c>
      <c r="E2079" s="0" t="s">
        <v>66</v>
      </c>
      <c r="F2079" s="0" t="s">
        <v>27</v>
      </c>
      <c r="I2079" s="0" t="n">
        <v>500</v>
      </c>
      <c r="J2079" s="0" t="n">
        <v>0.131578947368421</v>
      </c>
      <c r="K2079" s="0" t="s">
        <v>2560</v>
      </c>
    </row>
    <row r="2080" customFormat="false" ht="15" hidden="false" customHeight="false" outlineLevel="0" collapsed="false">
      <c r="A2080" s="0" t="n">
        <v>167</v>
      </c>
      <c r="B2080" s="0" t="s">
        <v>2495</v>
      </c>
      <c r="C2080" s="0" t="s">
        <v>68</v>
      </c>
      <c r="D2080" s="0" t="s">
        <v>349</v>
      </c>
      <c r="E2080" s="0" t="s">
        <v>68</v>
      </c>
      <c r="F2080" s="0" t="s">
        <v>30</v>
      </c>
      <c r="I2080" s="0" t="n">
        <v>4000</v>
      </c>
      <c r="J2080" s="0" t="n">
        <v>1.05263157894737</v>
      </c>
      <c r="K2080" s="0" t="s">
        <v>2561</v>
      </c>
    </row>
    <row r="2081" customFormat="false" ht="15" hidden="false" customHeight="false" outlineLevel="0" collapsed="false">
      <c r="A2081" s="0" t="n">
        <v>168</v>
      </c>
      <c r="B2081" s="0" t="s">
        <v>2495</v>
      </c>
      <c r="C2081" s="0" t="s">
        <v>68</v>
      </c>
      <c r="D2081" s="0" t="s">
        <v>349</v>
      </c>
      <c r="E2081" s="0" t="s">
        <v>53</v>
      </c>
      <c r="F2081" s="0" t="s">
        <v>27</v>
      </c>
      <c r="G2081" s="0" t="n">
        <v>0.9</v>
      </c>
      <c r="H2081" s="0" t="n">
        <v>3</v>
      </c>
      <c r="I2081" s="0" t="n">
        <v>10260</v>
      </c>
      <c r="J2081" s="0" t="n">
        <v>2.7</v>
      </c>
      <c r="K2081" s="0" t="s">
        <v>2562</v>
      </c>
      <c r="L2081" s="0" t="s">
        <v>2563</v>
      </c>
    </row>
    <row r="2082" customFormat="false" ht="15" hidden="false" customHeight="false" outlineLevel="0" collapsed="false">
      <c r="A2082" s="0" t="n">
        <v>168</v>
      </c>
      <c r="B2082" s="0" t="s">
        <v>2495</v>
      </c>
      <c r="C2082" s="0" t="s">
        <v>68</v>
      </c>
      <c r="D2082" s="0" t="s">
        <v>349</v>
      </c>
      <c r="E2082" s="0" t="s">
        <v>2498</v>
      </c>
      <c r="F2082" s="0" t="s">
        <v>31</v>
      </c>
      <c r="I2082" s="0" t="n">
        <v>0</v>
      </c>
      <c r="J2082" s="0" t="n">
        <v>0</v>
      </c>
      <c r="K2082" s="0" t="s">
        <v>2564</v>
      </c>
    </row>
    <row r="2083" customFormat="false" ht="15" hidden="false" customHeight="false" outlineLevel="0" collapsed="false">
      <c r="A2083" s="0" t="n">
        <v>168</v>
      </c>
      <c r="B2083" s="0" t="s">
        <v>2495</v>
      </c>
      <c r="C2083" s="0" t="s">
        <v>68</v>
      </c>
      <c r="D2083" s="0" t="s">
        <v>349</v>
      </c>
      <c r="E2083" s="0" t="s">
        <v>158</v>
      </c>
      <c r="F2083" s="0" t="s">
        <v>28</v>
      </c>
      <c r="I2083" s="0" t="n">
        <v>2500</v>
      </c>
      <c r="J2083" s="0" t="n">
        <v>0.657894736842105</v>
      </c>
      <c r="K2083" s="0" t="s">
        <v>2565</v>
      </c>
    </row>
    <row r="2084" customFormat="false" ht="15" hidden="false" customHeight="false" outlineLevel="0" collapsed="false">
      <c r="A2084" s="0" t="n">
        <v>168</v>
      </c>
      <c r="B2084" s="0" t="s">
        <v>2495</v>
      </c>
      <c r="C2084" s="0" t="s">
        <v>68</v>
      </c>
      <c r="D2084" s="0" t="s">
        <v>349</v>
      </c>
      <c r="E2084" s="0" t="s">
        <v>379</v>
      </c>
      <c r="F2084" s="0" t="s">
        <v>29</v>
      </c>
      <c r="G2084" s="0" t="n">
        <v>1.5</v>
      </c>
      <c r="H2084" s="0" t="n">
        <v>11000</v>
      </c>
      <c r="I2084" s="0" t="n">
        <v>16500</v>
      </c>
      <c r="J2084" s="0" t="n">
        <v>4.3421052631579</v>
      </c>
      <c r="K2084" s="0" t="s">
        <v>2566</v>
      </c>
      <c r="L2084" s="0" t="s">
        <v>1395</v>
      </c>
    </row>
    <row r="2085" customFormat="false" ht="15" hidden="false" customHeight="false" outlineLevel="0" collapsed="false">
      <c r="A2085" s="0" t="n">
        <v>168</v>
      </c>
      <c r="B2085" s="0" t="s">
        <v>2495</v>
      </c>
      <c r="C2085" s="0" t="s">
        <v>68</v>
      </c>
      <c r="D2085" s="0" t="s">
        <v>349</v>
      </c>
      <c r="E2085" s="0" t="s">
        <v>56</v>
      </c>
      <c r="F2085" s="0" t="s">
        <v>28</v>
      </c>
      <c r="I2085" s="0" t="n">
        <v>700</v>
      </c>
      <c r="J2085" s="0" t="n">
        <v>0.18421052631579</v>
      </c>
      <c r="K2085" s="0" t="s">
        <v>2567</v>
      </c>
    </row>
    <row r="2086" customFormat="false" ht="15" hidden="false" customHeight="false" outlineLevel="0" collapsed="false">
      <c r="A2086" s="0" t="n">
        <v>168</v>
      </c>
      <c r="B2086" s="0" t="s">
        <v>2495</v>
      </c>
      <c r="C2086" s="0" t="s">
        <v>68</v>
      </c>
      <c r="D2086" s="0" t="s">
        <v>349</v>
      </c>
      <c r="E2086" s="0" t="s">
        <v>2554</v>
      </c>
      <c r="F2086" s="0" t="s">
        <v>28</v>
      </c>
      <c r="I2086" s="0" t="n">
        <v>2000</v>
      </c>
      <c r="J2086" s="0" t="n">
        <v>0.526315789473684</v>
      </c>
      <c r="K2086" s="0" t="s">
        <v>2568</v>
      </c>
    </row>
    <row r="2087" customFormat="false" ht="15" hidden="false" customHeight="false" outlineLevel="0" collapsed="false">
      <c r="A2087" s="0" t="n">
        <v>168</v>
      </c>
      <c r="B2087" s="0" t="s">
        <v>2495</v>
      </c>
      <c r="C2087" s="0" t="s">
        <v>68</v>
      </c>
      <c r="D2087" s="0" t="s">
        <v>349</v>
      </c>
      <c r="E2087" s="0" t="s">
        <v>58</v>
      </c>
      <c r="F2087" s="0" t="s">
        <v>28</v>
      </c>
      <c r="I2087" s="0" t="n">
        <v>5000</v>
      </c>
      <c r="J2087" s="0" t="n">
        <v>1.31578947368421</v>
      </c>
      <c r="K2087" s="0" t="s">
        <v>2569</v>
      </c>
    </row>
    <row r="2088" customFormat="false" ht="15" hidden="false" customHeight="false" outlineLevel="0" collapsed="false">
      <c r="A2088" s="0" t="n">
        <v>168</v>
      </c>
      <c r="B2088" s="0" t="s">
        <v>2495</v>
      </c>
      <c r="C2088" s="0" t="s">
        <v>68</v>
      </c>
      <c r="D2088" s="0" t="s">
        <v>349</v>
      </c>
      <c r="E2088" s="0" t="s">
        <v>64</v>
      </c>
      <c r="F2088" s="0" t="s">
        <v>27</v>
      </c>
      <c r="I2088" s="0" t="n">
        <v>50</v>
      </c>
      <c r="J2088" s="0" t="n">
        <v>0.0131578947368421</v>
      </c>
      <c r="K2088" s="0" t="s">
        <v>2570</v>
      </c>
    </row>
    <row r="2089" customFormat="false" ht="15" hidden="false" customHeight="false" outlineLevel="0" collapsed="false">
      <c r="A2089" s="0" t="n">
        <v>168</v>
      </c>
      <c r="B2089" s="0" t="s">
        <v>2495</v>
      </c>
      <c r="C2089" s="0" t="s">
        <v>68</v>
      </c>
      <c r="D2089" s="0" t="s">
        <v>349</v>
      </c>
      <c r="E2089" s="0" t="s">
        <v>60</v>
      </c>
      <c r="F2089" s="0" t="s">
        <v>27</v>
      </c>
      <c r="I2089" s="0" t="n">
        <v>50</v>
      </c>
      <c r="J2089" s="0" t="n">
        <v>0.0131578947368421</v>
      </c>
      <c r="K2089" s="0" t="s">
        <v>2571</v>
      </c>
    </row>
    <row r="2090" customFormat="false" ht="15" hidden="false" customHeight="false" outlineLevel="0" collapsed="false">
      <c r="A2090" s="0" t="n">
        <v>168</v>
      </c>
      <c r="B2090" s="0" t="s">
        <v>2495</v>
      </c>
      <c r="C2090" s="0" t="s">
        <v>68</v>
      </c>
      <c r="D2090" s="0" t="s">
        <v>349</v>
      </c>
      <c r="E2090" s="0" t="s">
        <v>2572</v>
      </c>
      <c r="F2090" s="0" t="s">
        <v>27</v>
      </c>
      <c r="I2090" s="0" t="n">
        <v>500</v>
      </c>
      <c r="J2090" s="0" t="n">
        <v>0.131578947368421</v>
      </c>
      <c r="K2090" s="0" t="s">
        <v>2573</v>
      </c>
    </row>
    <row r="2091" customFormat="false" ht="15" hidden="false" customHeight="false" outlineLevel="0" collapsed="false">
      <c r="A2091" s="0" t="n">
        <v>168</v>
      </c>
      <c r="B2091" s="0" t="s">
        <v>2495</v>
      </c>
      <c r="C2091" s="0" t="s">
        <v>68</v>
      </c>
      <c r="D2091" s="0" t="s">
        <v>349</v>
      </c>
      <c r="E2091" s="0" t="s">
        <v>66</v>
      </c>
      <c r="F2091" s="0" t="s">
        <v>27</v>
      </c>
      <c r="I2091" s="0" t="n">
        <v>250</v>
      </c>
      <c r="J2091" s="0" t="n">
        <v>0.0657894736842105</v>
      </c>
      <c r="K2091" s="0" t="s">
        <v>2574</v>
      </c>
    </row>
    <row r="2092" customFormat="false" ht="15" hidden="false" customHeight="false" outlineLevel="0" collapsed="false">
      <c r="A2092" s="0" t="n">
        <v>168</v>
      </c>
      <c r="B2092" s="0" t="s">
        <v>2495</v>
      </c>
      <c r="C2092" s="0" t="s">
        <v>68</v>
      </c>
      <c r="D2092" s="0" t="s">
        <v>349</v>
      </c>
      <c r="E2092" s="0" t="s">
        <v>68</v>
      </c>
      <c r="F2092" s="0" t="s">
        <v>30</v>
      </c>
      <c r="I2092" s="0" t="n">
        <v>3000</v>
      </c>
      <c r="J2092" s="0" t="n">
        <v>0.789473684210526</v>
      </c>
      <c r="K2092" s="0" t="s">
        <v>2575</v>
      </c>
    </row>
    <row r="2093" customFormat="false" ht="15" hidden="false" customHeight="false" outlineLevel="0" collapsed="false">
      <c r="A2093" s="0" t="n">
        <v>169</v>
      </c>
      <c r="B2093" s="0" t="s">
        <v>2495</v>
      </c>
      <c r="C2093" s="0" t="s">
        <v>68</v>
      </c>
      <c r="D2093" s="0" t="s">
        <v>349</v>
      </c>
      <c r="E2093" s="0" t="s">
        <v>53</v>
      </c>
      <c r="F2093" s="0" t="s">
        <v>27</v>
      </c>
      <c r="G2093" s="0" t="n">
        <v>0.9</v>
      </c>
      <c r="H2093" s="0" t="n">
        <v>3</v>
      </c>
      <c r="I2093" s="0" t="n">
        <v>10260</v>
      </c>
      <c r="J2093" s="0" t="n">
        <v>2.7</v>
      </c>
      <c r="K2093" s="0" t="s">
        <v>2576</v>
      </c>
      <c r="L2093" s="0" t="s">
        <v>2563</v>
      </c>
    </row>
    <row r="2094" customFormat="false" ht="15" hidden="false" customHeight="false" outlineLevel="0" collapsed="false">
      <c r="A2094" s="0" t="n">
        <v>169</v>
      </c>
      <c r="B2094" s="0" t="s">
        <v>2495</v>
      </c>
      <c r="C2094" s="0" t="s">
        <v>68</v>
      </c>
      <c r="D2094" s="0" t="s">
        <v>349</v>
      </c>
      <c r="E2094" s="0" t="s">
        <v>2498</v>
      </c>
      <c r="F2094" s="0" t="s">
        <v>31</v>
      </c>
      <c r="I2094" s="0" t="n">
        <v>0</v>
      </c>
      <c r="J2094" s="0" t="n">
        <v>0</v>
      </c>
      <c r="K2094" s="0" t="s">
        <v>2577</v>
      </c>
    </row>
    <row r="2095" customFormat="false" ht="15" hidden="false" customHeight="false" outlineLevel="0" collapsed="false">
      <c r="A2095" s="0" t="n">
        <v>169</v>
      </c>
      <c r="B2095" s="0" t="s">
        <v>2495</v>
      </c>
      <c r="C2095" s="0" t="s">
        <v>68</v>
      </c>
      <c r="D2095" s="0" t="s">
        <v>349</v>
      </c>
      <c r="E2095" s="0" t="s">
        <v>158</v>
      </c>
      <c r="F2095" s="0" t="s">
        <v>28</v>
      </c>
      <c r="I2095" s="0" t="n">
        <v>2000</v>
      </c>
      <c r="J2095" s="0" t="n">
        <v>0.526315789473684</v>
      </c>
      <c r="K2095" s="0" t="s">
        <v>2578</v>
      </c>
    </row>
    <row r="2096" customFormat="false" ht="15" hidden="false" customHeight="false" outlineLevel="0" collapsed="false">
      <c r="A2096" s="0" t="n">
        <v>169</v>
      </c>
      <c r="B2096" s="0" t="s">
        <v>2495</v>
      </c>
      <c r="C2096" s="0" t="s">
        <v>68</v>
      </c>
      <c r="D2096" s="0" t="s">
        <v>349</v>
      </c>
      <c r="E2096" s="0" t="s">
        <v>379</v>
      </c>
      <c r="F2096" s="0" t="s">
        <v>29</v>
      </c>
      <c r="I2096" s="0" t="n">
        <v>11000</v>
      </c>
      <c r="J2096" s="0" t="n">
        <v>2.89473684210526</v>
      </c>
      <c r="K2096" s="0" t="s">
        <v>2579</v>
      </c>
    </row>
    <row r="2097" customFormat="false" ht="15" hidden="false" customHeight="false" outlineLevel="0" collapsed="false">
      <c r="A2097" s="0" t="n">
        <v>169</v>
      </c>
      <c r="B2097" s="0" t="s">
        <v>2495</v>
      </c>
      <c r="C2097" s="0" t="s">
        <v>68</v>
      </c>
      <c r="D2097" s="0" t="s">
        <v>349</v>
      </c>
      <c r="E2097" s="0" t="s">
        <v>56</v>
      </c>
      <c r="F2097" s="0" t="s">
        <v>28</v>
      </c>
      <c r="I2097" s="0" t="n">
        <v>700</v>
      </c>
      <c r="J2097" s="0" t="n">
        <v>0.18421052631579</v>
      </c>
      <c r="K2097" s="0" t="s">
        <v>2580</v>
      </c>
    </row>
    <row r="2098" customFormat="false" ht="15" hidden="false" customHeight="false" outlineLevel="0" collapsed="false">
      <c r="A2098" s="0" t="n">
        <v>169</v>
      </c>
      <c r="B2098" s="0" t="s">
        <v>2495</v>
      </c>
      <c r="C2098" s="0" t="s">
        <v>68</v>
      </c>
      <c r="D2098" s="0" t="s">
        <v>349</v>
      </c>
      <c r="E2098" s="0" t="s">
        <v>2554</v>
      </c>
      <c r="F2098" s="0" t="s">
        <v>28</v>
      </c>
      <c r="I2098" s="0" t="n">
        <v>2000</v>
      </c>
      <c r="J2098" s="0" t="n">
        <v>0.526315789473684</v>
      </c>
      <c r="K2098" s="0" t="s">
        <v>2581</v>
      </c>
    </row>
    <row r="2099" customFormat="false" ht="15" hidden="false" customHeight="false" outlineLevel="0" collapsed="false">
      <c r="A2099" s="0" t="n">
        <v>169</v>
      </c>
      <c r="B2099" s="0" t="s">
        <v>2495</v>
      </c>
      <c r="C2099" s="0" t="s">
        <v>68</v>
      </c>
      <c r="D2099" s="0" t="s">
        <v>349</v>
      </c>
      <c r="E2099" s="0" t="s">
        <v>58</v>
      </c>
      <c r="F2099" s="0" t="s">
        <v>28</v>
      </c>
      <c r="I2099" s="0" t="n">
        <v>3500</v>
      </c>
      <c r="J2099" s="0" t="n">
        <v>0.921052631578947</v>
      </c>
      <c r="K2099" s="0" t="s">
        <v>2582</v>
      </c>
    </row>
    <row r="2100" customFormat="false" ht="15" hidden="false" customHeight="false" outlineLevel="0" collapsed="false">
      <c r="A2100" s="0" t="n">
        <v>169</v>
      </c>
      <c r="B2100" s="0" t="s">
        <v>2495</v>
      </c>
      <c r="C2100" s="0" t="s">
        <v>68</v>
      </c>
      <c r="D2100" s="0" t="s">
        <v>349</v>
      </c>
      <c r="E2100" s="0" t="s">
        <v>64</v>
      </c>
      <c r="F2100" s="0" t="s">
        <v>27</v>
      </c>
      <c r="I2100" s="0" t="n">
        <v>60</v>
      </c>
      <c r="J2100" s="0" t="n">
        <v>0.0157894736842105</v>
      </c>
      <c r="K2100" s="0" t="s">
        <v>2583</v>
      </c>
    </row>
    <row r="2101" customFormat="false" ht="15" hidden="false" customHeight="false" outlineLevel="0" collapsed="false">
      <c r="A2101" s="0" t="n">
        <v>169</v>
      </c>
      <c r="B2101" s="0" t="s">
        <v>2495</v>
      </c>
      <c r="C2101" s="0" t="s">
        <v>68</v>
      </c>
      <c r="D2101" s="0" t="s">
        <v>349</v>
      </c>
      <c r="E2101" s="0" t="s">
        <v>60</v>
      </c>
      <c r="F2101" s="0" t="s">
        <v>27</v>
      </c>
      <c r="I2101" s="0" t="n">
        <v>0</v>
      </c>
      <c r="J2101" s="0" t="n">
        <v>0</v>
      </c>
      <c r="K2101" s="0" t="s">
        <v>2584</v>
      </c>
    </row>
    <row r="2102" customFormat="false" ht="15" hidden="false" customHeight="false" outlineLevel="0" collapsed="false">
      <c r="A2102" s="0" t="n">
        <v>169</v>
      </c>
      <c r="B2102" s="0" t="s">
        <v>2495</v>
      </c>
      <c r="C2102" s="0" t="s">
        <v>68</v>
      </c>
      <c r="D2102" s="0" t="s">
        <v>349</v>
      </c>
      <c r="E2102" s="0" t="s">
        <v>62</v>
      </c>
      <c r="F2102" s="0" t="s">
        <v>27</v>
      </c>
      <c r="I2102" s="0" t="n">
        <v>100</v>
      </c>
      <c r="J2102" s="0" t="n">
        <v>0.0263157894736842</v>
      </c>
      <c r="K2102" s="0" t="s">
        <v>2585</v>
      </c>
    </row>
    <row r="2103" customFormat="false" ht="15" hidden="false" customHeight="false" outlineLevel="0" collapsed="false">
      <c r="A2103" s="0" t="n">
        <v>169</v>
      </c>
      <c r="B2103" s="0" t="s">
        <v>2495</v>
      </c>
      <c r="C2103" s="0" t="s">
        <v>68</v>
      </c>
      <c r="D2103" s="0" t="s">
        <v>349</v>
      </c>
      <c r="E2103" s="0" t="s">
        <v>66</v>
      </c>
      <c r="F2103" s="0" t="s">
        <v>27</v>
      </c>
      <c r="I2103" s="0" t="n">
        <v>350</v>
      </c>
      <c r="J2103" s="0" t="n">
        <v>0.0921052631578947</v>
      </c>
      <c r="K2103" s="0" t="s">
        <v>2586</v>
      </c>
    </row>
    <row r="2104" customFormat="false" ht="15" hidden="false" customHeight="false" outlineLevel="0" collapsed="false">
      <c r="A2104" s="0" t="n">
        <v>169</v>
      </c>
      <c r="B2104" s="0" t="s">
        <v>2495</v>
      </c>
      <c r="C2104" s="0" t="s">
        <v>68</v>
      </c>
      <c r="D2104" s="0" t="s">
        <v>349</v>
      </c>
      <c r="E2104" s="0" t="s">
        <v>68</v>
      </c>
      <c r="F2104" s="0" t="s">
        <v>30</v>
      </c>
      <c r="I2104" s="0" t="n">
        <v>3700</v>
      </c>
      <c r="J2104" s="0" t="n">
        <v>0.973684210526316</v>
      </c>
      <c r="K2104" s="0" t="s">
        <v>2587</v>
      </c>
    </row>
    <row r="2105" customFormat="false" ht="15" hidden="false" customHeight="false" outlineLevel="0" collapsed="false">
      <c r="A2105" s="0" t="n">
        <v>170</v>
      </c>
      <c r="B2105" s="0" t="s">
        <v>2588</v>
      </c>
      <c r="D2105" s="0" t="s">
        <v>2588</v>
      </c>
      <c r="E2105" s="0" t="s">
        <v>2589</v>
      </c>
      <c r="F2105" s="0" t="s">
        <v>27</v>
      </c>
      <c r="G2105" s="0" t="n">
        <v>1.2</v>
      </c>
      <c r="H2105" s="0" t="n">
        <v>1.6</v>
      </c>
      <c r="I2105" s="0" t="n">
        <v>7296</v>
      </c>
      <c r="J2105" s="0" t="n">
        <v>1.92</v>
      </c>
      <c r="K2105" s="0" t="s">
        <v>2590</v>
      </c>
      <c r="L2105" s="0" t="s">
        <v>2591</v>
      </c>
    </row>
    <row r="2106" customFormat="false" ht="15" hidden="false" customHeight="false" outlineLevel="0" collapsed="false">
      <c r="A2106" s="0" t="n">
        <v>170</v>
      </c>
      <c r="B2106" s="0" t="s">
        <v>2588</v>
      </c>
      <c r="D2106" s="0" t="s">
        <v>2588</v>
      </c>
      <c r="E2106" s="0" t="s">
        <v>2592</v>
      </c>
      <c r="F2106" s="0" t="s">
        <v>27</v>
      </c>
      <c r="I2106" s="0" t="n">
        <v>1900</v>
      </c>
      <c r="J2106" s="0" t="n">
        <v>0.5</v>
      </c>
      <c r="K2106" s="0" t="s">
        <v>2593</v>
      </c>
      <c r="L2106" s="0" t="s">
        <v>2594</v>
      </c>
    </row>
    <row r="2107" customFormat="false" ht="15" hidden="false" customHeight="false" outlineLevel="0" collapsed="false">
      <c r="A2107" s="0" t="n">
        <v>170</v>
      </c>
      <c r="B2107" s="0" t="s">
        <v>2588</v>
      </c>
      <c r="D2107" s="0" t="s">
        <v>2588</v>
      </c>
      <c r="E2107" s="0" t="s">
        <v>158</v>
      </c>
      <c r="F2107" s="0" t="s">
        <v>28</v>
      </c>
      <c r="I2107" s="0" t="n">
        <v>2000</v>
      </c>
      <c r="J2107" s="0" t="n">
        <v>0.526315789473684</v>
      </c>
      <c r="K2107" s="0" t="s">
        <v>2595</v>
      </c>
    </row>
    <row r="2108" customFormat="false" ht="15" hidden="false" customHeight="false" outlineLevel="0" collapsed="false">
      <c r="A2108" s="0" t="n">
        <v>170</v>
      </c>
      <c r="B2108" s="0" t="s">
        <v>2588</v>
      </c>
      <c r="D2108" s="0" t="s">
        <v>2588</v>
      </c>
      <c r="E2108" s="0" t="s">
        <v>2596</v>
      </c>
      <c r="F2108" s="0" t="s">
        <v>29</v>
      </c>
      <c r="I2108" s="0" t="n">
        <v>0</v>
      </c>
      <c r="J2108" s="0" t="n">
        <v>0</v>
      </c>
      <c r="K2108" s="0" t="s">
        <v>2597</v>
      </c>
    </row>
    <row r="2109" customFormat="false" ht="15" hidden="false" customHeight="false" outlineLevel="0" collapsed="false">
      <c r="A2109" s="0" t="n">
        <v>170</v>
      </c>
      <c r="B2109" s="0" t="s">
        <v>2588</v>
      </c>
      <c r="D2109" s="0" t="s">
        <v>2588</v>
      </c>
      <c r="E2109" s="0" t="s">
        <v>203</v>
      </c>
      <c r="F2109" s="0" t="s">
        <v>29</v>
      </c>
      <c r="I2109" s="0" t="n">
        <v>0</v>
      </c>
      <c r="J2109" s="0" t="n">
        <v>0</v>
      </c>
      <c r="K2109" s="0" t="s">
        <v>2598</v>
      </c>
    </row>
    <row r="2110" customFormat="false" ht="15" hidden="false" customHeight="false" outlineLevel="0" collapsed="false">
      <c r="A2110" s="0" t="n">
        <v>170</v>
      </c>
      <c r="B2110" s="0" t="s">
        <v>2588</v>
      </c>
      <c r="D2110" s="0" t="s">
        <v>2588</v>
      </c>
      <c r="E2110" s="0" t="s">
        <v>379</v>
      </c>
      <c r="F2110" s="0" t="s">
        <v>29</v>
      </c>
      <c r="G2110" s="0" t="n">
        <v>1.5</v>
      </c>
      <c r="H2110" s="0" t="n">
        <v>13000</v>
      </c>
      <c r="I2110" s="0" t="n">
        <v>19500</v>
      </c>
      <c r="J2110" s="0" t="n">
        <v>5.13157894736842</v>
      </c>
      <c r="K2110" s="0" t="s">
        <v>2599</v>
      </c>
      <c r="L2110" s="0" t="s">
        <v>883</v>
      </c>
    </row>
    <row r="2111" customFormat="false" ht="15" hidden="false" customHeight="false" outlineLevel="0" collapsed="false">
      <c r="A2111" s="0" t="n">
        <v>170</v>
      </c>
      <c r="B2111" s="0" t="s">
        <v>2588</v>
      </c>
      <c r="D2111" s="0" t="s">
        <v>2588</v>
      </c>
      <c r="E2111" s="0" t="s">
        <v>56</v>
      </c>
      <c r="F2111" s="0" t="s">
        <v>28</v>
      </c>
      <c r="I2111" s="0" t="n">
        <v>700</v>
      </c>
      <c r="J2111" s="0" t="n">
        <v>0.18421052631579</v>
      </c>
      <c r="K2111" s="0" t="s">
        <v>2600</v>
      </c>
    </row>
    <row r="2112" customFormat="false" ht="15" hidden="false" customHeight="false" outlineLevel="0" collapsed="false">
      <c r="A2112" s="0" t="n">
        <v>170</v>
      </c>
      <c r="B2112" s="0" t="s">
        <v>2588</v>
      </c>
      <c r="D2112" s="0" t="s">
        <v>2588</v>
      </c>
      <c r="E2112" s="0" t="s">
        <v>58</v>
      </c>
      <c r="F2112" s="0" t="s">
        <v>28</v>
      </c>
      <c r="I2112" s="0" t="n">
        <v>4000</v>
      </c>
      <c r="J2112" s="0" t="n">
        <v>1.05263157894737</v>
      </c>
      <c r="K2112" s="0" t="s">
        <v>2601</v>
      </c>
    </row>
    <row r="2113" customFormat="false" ht="15" hidden="false" customHeight="false" outlineLevel="0" collapsed="false">
      <c r="A2113" s="0" t="n">
        <v>170</v>
      </c>
      <c r="B2113" s="0" t="s">
        <v>2588</v>
      </c>
      <c r="D2113" s="0" t="s">
        <v>2588</v>
      </c>
      <c r="E2113" s="0" t="s">
        <v>128</v>
      </c>
      <c r="F2113" s="0" t="s">
        <v>28</v>
      </c>
      <c r="I2113" s="0" t="n">
        <v>2000</v>
      </c>
      <c r="J2113" s="0" t="n">
        <v>0.526315789473684</v>
      </c>
      <c r="K2113" s="0" t="s">
        <v>2602</v>
      </c>
    </row>
    <row r="2114" customFormat="false" ht="15" hidden="false" customHeight="false" outlineLevel="0" collapsed="false">
      <c r="A2114" s="0" t="n">
        <v>170</v>
      </c>
      <c r="B2114" s="0" t="s">
        <v>2588</v>
      </c>
      <c r="D2114" s="0" t="s">
        <v>2588</v>
      </c>
      <c r="E2114" s="0" t="s">
        <v>60</v>
      </c>
      <c r="F2114" s="0" t="s">
        <v>27</v>
      </c>
      <c r="I2114" s="0" t="n">
        <v>200</v>
      </c>
      <c r="J2114" s="0" t="n">
        <v>0.0526315789473684</v>
      </c>
      <c r="K2114" s="0" t="s">
        <v>2603</v>
      </c>
    </row>
    <row r="2115" customFormat="false" ht="15" hidden="false" customHeight="false" outlineLevel="0" collapsed="false">
      <c r="A2115" s="0" t="n">
        <v>170</v>
      </c>
      <c r="B2115" s="0" t="s">
        <v>2588</v>
      </c>
      <c r="D2115" s="0" t="s">
        <v>2588</v>
      </c>
      <c r="E2115" s="0" t="s">
        <v>62</v>
      </c>
      <c r="F2115" s="0" t="s">
        <v>27</v>
      </c>
      <c r="I2115" s="0" t="n">
        <v>100</v>
      </c>
      <c r="J2115" s="0" t="n">
        <v>0.0263157894736842</v>
      </c>
      <c r="K2115" s="0" t="s">
        <v>2604</v>
      </c>
    </row>
    <row r="2116" customFormat="false" ht="15" hidden="false" customHeight="false" outlineLevel="0" collapsed="false">
      <c r="A2116" s="0" t="n">
        <v>170</v>
      </c>
      <c r="B2116" s="0" t="s">
        <v>2588</v>
      </c>
      <c r="D2116" s="0" t="s">
        <v>2588</v>
      </c>
      <c r="E2116" s="0" t="s">
        <v>64</v>
      </c>
      <c r="F2116" s="0" t="s">
        <v>27</v>
      </c>
      <c r="I2116" s="0" t="n">
        <v>0</v>
      </c>
      <c r="J2116" s="0" t="n">
        <v>0</v>
      </c>
      <c r="K2116" s="0" t="s">
        <v>2605</v>
      </c>
    </row>
    <row r="2117" customFormat="false" ht="15" hidden="false" customHeight="false" outlineLevel="0" collapsed="false">
      <c r="A2117" s="0" t="n">
        <v>170</v>
      </c>
      <c r="B2117" s="0" t="s">
        <v>2588</v>
      </c>
      <c r="D2117" s="0" t="s">
        <v>2588</v>
      </c>
      <c r="E2117" s="0" t="s">
        <v>66</v>
      </c>
      <c r="F2117" s="0" t="s">
        <v>27</v>
      </c>
      <c r="I2117" s="0" t="n">
        <v>250</v>
      </c>
      <c r="J2117" s="0" t="n">
        <v>0.0657894736842105</v>
      </c>
      <c r="K2117" s="0" t="s">
        <v>2606</v>
      </c>
    </row>
    <row r="2118" customFormat="false" ht="15" hidden="false" customHeight="false" outlineLevel="0" collapsed="false">
      <c r="A2118" s="0" t="n">
        <v>170</v>
      </c>
      <c r="B2118" s="0" t="s">
        <v>2588</v>
      </c>
      <c r="D2118" s="0" t="s">
        <v>2588</v>
      </c>
      <c r="E2118" s="0" t="s">
        <v>68</v>
      </c>
      <c r="F2118" s="0" t="s">
        <v>30</v>
      </c>
      <c r="I2118" s="0" t="n">
        <v>4000</v>
      </c>
      <c r="J2118" s="0" t="n">
        <v>1.05263157894737</v>
      </c>
      <c r="K2118" s="0" t="s">
        <v>2607</v>
      </c>
    </row>
    <row r="2119" customFormat="false" ht="15" hidden="false" customHeight="false" outlineLevel="0" collapsed="false">
      <c r="A2119" s="0" t="n">
        <v>171</v>
      </c>
      <c r="B2119" s="0" t="s">
        <v>2608</v>
      </c>
      <c r="C2119" s="0" t="s">
        <v>68</v>
      </c>
      <c r="D2119" s="0" t="s">
        <v>2609</v>
      </c>
      <c r="E2119" s="0" t="s">
        <v>53</v>
      </c>
      <c r="F2119" s="0" t="s">
        <v>27</v>
      </c>
      <c r="G2119" s="0" t="n">
        <v>3</v>
      </c>
      <c r="H2119" s="0" t="n">
        <v>1.5</v>
      </c>
      <c r="I2119" s="0" t="n">
        <v>17100</v>
      </c>
      <c r="J2119" s="0" t="n">
        <v>4.5</v>
      </c>
      <c r="K2119" s="0" t="s">
        <v>2610</v>
      </c>
      <c r="L2119" s="0" t="s">
        <v>2611</v>
      </c>
    </row>
    <row r="2120" customFormat="false" ht="15" hidden="false" customHeight="false" outlineLevel="0" collapsed="false">
      <c r="A2120" s="0" t="n">
        <v>171</v>
      </c>
      <c r="B2120" s="0" t="s">
        <v>2608</v>
      </c>
      <c r="C2120" s="0" t="s">
        <v>68</v>
      </c>
      <c r="D2120" s="0" t="s">
        <v>2609</v>
      </c>
      <c r="E2120" s="0" t="s">
        <v>2612</v>
      </c>
      <c r="F2120" s="0" t="s">
        <v>27</v>
      </c>
      <c r="G2120" s="0" t="n">
        <v>3</v>
      </c>
      <c r="H2120" s="0" t="n">
        <v>1.7</v>
      </c>
      <c r="I2120" s="0" t="n">
        <v>1615</v>
      </c>
      <c r="J2120" s="0" t="n">
        <v>0.425</v>
      </c>
      <c r="K2120" s="0" t="s">
        <v>2613</v>
      </c>
      <c r="L2120" s="0" t="s">
        <v>2614</v>
      </c>
    </row>
    <row r="2121" customFormat="false" ht="15" hidden="false" customHeight="false" outlineLevel="0" collapsed="false">
      <c r="A2121" s="0" t="n">
        <v>171</v>
      </c>
      <c r="B2121" s="0" t="s">
        <v>2608</v>
      </c>
      <c r="C2121" s="0" t="s">
        <v>68</v>
      </c>
      <c r="D2121" s="0" t="s">
        <v>2609</v>
      </c>
      <c r="E2121" s="0" t="s">
        <v>1414</v>
      </c>
      <c r="F2121" s="0" t="s">
        <v>31</v>
      </c>
      <c r="I2121" s="0" t="n">
        <v>8000</v>
      </c>
      <c r="J2121" s="0" t="n">
        <v>2.10526315789474</v>
      </c>
      <c r="K2121" s="0" t="s">
        <v>2615</v>
      </c>
    </row>
    <row r="2122" customFormat="false" ht="15" hidden="false" customHeight="false" outlineLevel="0" collapsed="false">
      <c r="A2122" s="0" t="n">
        <v>171</v>
      </c>
      <c r="B2122" s="0" t="s">
        <v>2608</v>
      </c>
      <c r="C2122" s="0" t="s">
        <v>68</v>
      </c>
      <c r="D2122" s="0" t="s">
        <v>2609</v>
      </c>
      <c r="E2122" s="0" t="s">
        <v>2616</v>
      </c>
      <c r="F2122" s="0" t="s">
        <v>31</v>
      </c>
      <c r="G2122" s="0" t="n">
        <v>17000</v>
      </c>
      <c r="H2122" s="0" t="n">
        <v>3</v>
      </c>
      <c r="I2122" s="0" t="n">
        <v>25500</v>
      </c>
      <c r="J2122" s="0" t="n">
        <v>6.71052631578947</v>
      </c>
      <c r="K2122" s="0" t="s">
        <v>2617</v>
      </c>
      <c r="L2122" s="0" t="s">
        <v>2618</v>
      </c>
    </row>
    <row r="2123" customFormat="false" ht="15" hidden="false" customHeight="false" outlineLevel="0" collapsed="false">
      <c r="A2123" s="0" t="n">
        <v>171</v>
      </c>
      <c r="B2123" s="0" t="s">
        <v>2608</v>
      </c>
      <c r="C2123" s="0" t="s">
        <v>68</v>
      </c>
      <c r="D2123" s="0" t="s">
        <v>2609</v>
      </c>
      <c r="E2123" s="0" t="s">
        <v>58</v>
      </c>
      <c r="F2123" s="0" t="s">
        <v>28</v>
      </c>
      <c r="I2123" s="0" t="n">
        <v>4500</v>
      </c>
      <c r="J2123" s="0" t="n">
        <v>1.18421052631579</v>
      </c>
      <c r="K2123" s="0" t="s">
        <v>2619</v>
      </c>
    </row>
    <row r="2124" customFormat="false" ht="15" hidden="false" customHeight="false" outlineLevel="0" collapsed="false">
      <c r="A2124" s="0" t="n">
        <v>171</v>
      </c>
      <c r="B2124" s="0" t="s">
        <v>2608</v>
      </c>
      <c r="C2124" s="0" t="s">
        <v>68</v>
      </c>
      <c r="D2124" s="0" t="s">
        <v>2609</v>
      </c>
      <c r="E2124" s="0" t="s">
        <v>56</v>
      </c>
      <c r="F2124" s="0" t="s">
        <v>28</v>
      </c>
      <c r="I2124" s="0" t="n">
        <v>700</v>
      </c>
      <c r="J2124" s="0" t="n">
        <v>0.18421052631579</v>
      </c>
      <c r="K2124" s="0" t="s">
        <v>2620</v>
      </c>
    </row>
    <row r="2125" customFormat="false" ht="15" hidden="false" customHeight="false" outlineLevel="0" collapsed="false">
      <c r="A2125" s="0" t="n">
        <v>171</v>
      </c>
      <c r="B2125" s="0" t="s">
        <v>2608</v>
      </c>
      <c r="C2125" s="0" t="s">
        <v>68</v>
      </c>
      <c r="D2125" s="0" t="s">
        <v>2609</v>
      </c>
      <c r="E2125" s="0" t="s">
        <v>128</v>
      </c>
      <c r="F2125" s="0" t="s">
        <v>28</v>
      </c>
      <c r="I2125" s="0" t="n">
        <v>0</v>
      </c>
      <c r="J2125" s="0" t="n">
        <v>0</v>
      </c>
      <c r="K2125" s="0" t="s">
        <v>2621</v>
      </c>
    </row>
    <row r="2126" customFormat="false" ht="15" hidden="false" customHeight="false" outlineLevel="0" collapsed="false">
      <c r="A2126" s="0" t="n">
        <v>171</v>
      </c>
      <c r="B2126" s="0" t="s">
        <v>2608</v>
      </c>
      <c r="C2126" s="0" t="s">
        <v>68</v>
      </c>
      <c r="D2126" s="0" t="s">
        <v>2609</v>
      </c>
      <c r="E2126" s="0" t="s">
        <v>158</v>
      </c>
      <c r="F2126" s="0" t="s">
        <v>28</v>
      </c>
      <c r="I2126" s="0" t="n">
        <v>0</v>
      </c>
      <c r="J2126" s="0" t="n">
        <v>0</v>
      </c>
      <c r="K2126" s="0" t="s">
        <v>2622</v>
      </c>
    </row>
    <row r="2127" customFormat="false" ht="15" hidden="false" customHeight="false" outlineLevel="0" collapsed="false">
      <c r="A2127" s="0" t="n">
        <v>171</v>
      </c>
      <c r="B2127" s="0" t="s">
        <v>2608</v>
      </c>
      <c r="C2127" s="0" t="s">
        <v>68</v>
      </c>
      <c r="D2127" s="0" t="s">
        <v>2609</v>
      </c>
      <c r="E2127" s="0" t="s">
        <v>62</v>
      </c>
      <c r="F2127" s="0" t="s">
        <v>27</v>
      </c>
      <c r="I2127" s="0" t="n">
        <v>0</v>
      </c>
      <c r="J2127" s="0" t="n">
        <v>0</v>
      </c>
      <c r="K2127" s="0" t="s">
        <v>2623</v>
      </c>
    </row>
    <row r="2128" customFormat="false" ht="15" hidden="false" customHeight="false" outlineLevel="0" collapsed="false">
      <c r="A2128" s="0" t="n">
        <v>171</v>
      </c>
      <c r="B2128" s="0" t="s">
        <v>2608</v>
      </c>
      <c r="C2128" s="0" t="s">
        <v>68</v>
      </c>
      <c r="D2128" s="0" t="s">
        <v>2609</v>
      </c>
      <c r="E2128" s="0" t="s">
        <v>66</v>
      </c>
      <c r="F2128" s="0" t="s">
        <v>27</v>
      </c>
      <c r="I2128" s="0" t="n">
        <v>350</v>
      </c>
      <c r="J2128" s="0" t="n">
        <v>0.0921052631578947</v>
      </c>
      <c r="K2128" s="0" t="s">
        <v>2624</v>
      </c>
    </row>
    <row r="2129" customFormat="false" ht="15" hidden="false" customHeight="false" outlineLevel="0" collapsed="false">
      <c r="A2129" s="0" t="n">
        <v>171</v>
      </c>
      <c r="B2129" s="0" t="s">
        <v>2608</v>
      </c>
      <c r="C2129" s="0" t="s">
        <v>68</v>
      </c>
      <c r="D2129" s="0" t="s">
        <v>2609</v>
      </c>
      <c r="E2129" s="0" t="s">
        <v>68</v>
      </c>
      <c r="F2129" s="0" t="s">
        <v>30</v>
      </c>
      <c r="I2129" s="0" t="n">
        <v>3700</v>
      </c>
      <c r="J2129" s="0" t="n">
        <v>0.973684210526316</v>
      </c>
      <c r="K2129" s="0" t="s">
        <v>2625</v>
      </c>
    </row>
    <row r="2130" customFormat="false" ht="15" hidden="false" customHeight="false" outlineLevel="0" collapsed="false">
      <c r="A2130" s="0" t="n">
        <v>172</v>
      </c>
      <c r="B2130" s="0" t="s">
        <v>2626</v>
      </c>
      <c r="D2130" s="0" t="s">
        <v>2626</v>
      </c>
      <c r="E2130" s="0" t="s">
        <v>2627</v>
      </c>
      <c r="F2130" s="0" t="s">
        <v>27</v>
      </c>
      <c r="G2130" s="0" t="n">
        <v>1</v>
      </c>
      <c r="H2130" s="0" t="n">
        <v>1</v>
      </c>
      <c r="I2130" s="0" t="n">
        <v>1266.66666666667</v>
      </c>
      <c r="J2130" s="0" t="n">
        <v>0.333333333333333</v>
      </c>
      <c r="K2130" s="0" t="s">
        <v>2628</v>
      </c>
      <c r="L2130" s="0" t="s">
        <v>2629</v>
      </c>
    </row>
    <row r="2131" customFormat="false" ht="15" hidden="false" customHeight="false" outlineLevel="0" collapsed="false">
      <c r="A2131" s="0" t="n">
        <v>172</v>
      </c>
      <c r="B2131" s="0" t="s">
        <v>2626</v>
      </c>
      <c r="D2131" s="0" t="s">
        <v>2626</v>
      </c>
      <c r="E2131" s="0" t="s">
        <v>2612</v>
      </c>
      <c r="F2131" s="0" t="s">
        <v>27</v>
      </c>
      <c r="G2131" s="0" t="n">
        <v>1</v>
      </c>
      <c r="H2131" s="0" t="n">
        <v>1.8</v>
      </c>
      <c r="I2131" s="0" t="n">
        <v>380</v>
      </c>
      <c r="J2131" s="0" t="n">
        <v>0.1</v>
      </c>
      <c r="K2131" s="0" t="s">
        <v>2630</v>
      </c>
      <c r="L2131" s="0" t="s">
        <v>2631</v>
      </c>
    </row>
    <row r="2132" customFormat="false" ht="15" hidden="false" customHeight="false" outlineLevel="0" collapsed="false">
      <c r="A2132" s="0" t="n">
        <v>172</v>
      </c>
      <c r="B2132" s="0" t="s">
        <v>2626</v>
      </c>
      <c r="D2132" s="0" t="s">
        <v>2626</v>
      </c>
      <c r="E2132" s="0" t="s">
        <v>2385</v>
      </c>
      <c r="F2132" s="0" t="s">
        <v>29</v>
      </c>
      <c r="I2132" s="0" t="n">
        <v>800</v>
      </c>
      <c r="J2132" s="0" t="n">
        <v>0.210526315789474</v>
      </c>
      <c r="K2132" s="0" t="s">
        <v>2632</v>
      </c>
    </row>
    <row r="2133" customFormat="false" ht="15" hidden="false" customHeight="false" outlineLevel="0" collapsed="false">
      <c r="A2133" s="0" t="n">
        <v>172</v>
      </c>
      <c r="B2133" s="0" t="s">
        <v>2626</v>
      </c>
      <c r="D2133" s="0" t="s">
        <v>2626</v>
      </c>
      <c r="E2133" s="0" t="s">
        <v>58</v>
      </c>
      <c r="F2133" s="0" t="s">
        <v>28</v>
      </c>
      <c r="I2133" s="0" t="n">
        <v>1000</v>
      </c>
      <c r="J2133" s="0" t="n">
        <v>0.263157894736842</v>
      </c>
      <c r="K2133" s="0" t="s">
        <v>2633</v>
      </c>
    </row>
    <row r="2134" customFormat="false" ht="15" hidden="false" customHeight="false" outlineLevel="0" collapsed="false">
      <c r="A2134" s="0" t="n">
        <v>172</v>
      </c>
      <c r="B2134" s="0" t="s">
        <v>2626</v>
      </c>
      <c r="D2134" s="0" t="s">
        <v>2626</v>
      </c>
      <c r="E2134" s="0" t="s">
        <v>56</v>
      </c>
      <c r="F2134" s="0" t="s">
        <v>28</v>
      </c>
      <c r="I2134" s="0" t="n">
        <v>700</v>
      </c>
      <c r="J2134" s="0" t="n">
        <v>0.18421052631579</v>
      </c>
      <c r="K2134" s="0" t="s">
        <v>2634</v>
      </c>
    </row>
    <row r="2135" customFormat="false" ht="15" hidden="false" customHeight="false" outlineLevel="0" collapsed="false">
      <c r="A2135" s="0" t="n">
        <v>172</v>
      </c>
      <c r="B2135" s="0" t="s">
        <v>2626</v>
      </c>
      <c r="D2135" s="0" t="s">
        <v>2626</v>
      </c>
      <c r="E2135" s="0" t="s">
        <v>128</v>
      </c>
      <c r="F2135" s="0" t="s">
        <v>28</v>
      </c>
      <c r="I2135" s="0" t="n">
        <v>1500</v>
      </c>
      <c r="J2135" s="0" t="n">
        <v>0.394736842105263</v>
      </c>
      <c r="K2135" s="0" t="s">
        <v>2635</v>
      </c>
    </row>
    <row r="2136" customFormat="false" ht="15" hidden="false" customHeight="false" outlineLevel="0" collapsed="false">
      <c r="A2136" s="0" t="n">
        <v>172</v>
      </c>
      <c r="B2136" s="0" t="s">
        <v>2626</v>
      </c>
      <c r="D2136" s="0" t="s">
        <v>2626</v>
      </c>
      <c r="E2136" s="0" t="s">
        <v>158</v>
      </c>
      <c r="F2136" s="0" t="s">
        <v>28</v>
      </c>
      <c r="I2136" s="0" t="n">
        <v>2000</v>
      </c>
      <c r="J2136" s="0" t="n">
        <v>0.526315789473684</v>
      </c>
      <c r="K2136" s="0" t="s">
        <v>2636</v>
      </c>
    </row>
    <row r="2137" customFormat="false" ht="15" hidden="false" customHeight="false" outlineLevel="0" collapsed="false">
      <c r="A2137" s="0" t="n">
        <v>172</v>
      </c>
      <c r="B2137" s="0" t="s">
        <v>2626</v>
      </c>
      <c r="D2137" s="0" t="s">
        <v>2626</v>
      </c>
      <c r="E2137" s="0" t="s">
        <v>62</v>
      </c>
      <c r="F2137" s="0" t="s">
        <v>27</v>
      </c>
      <c r="I2137" s="0" t="n">
        <v>0</v>
      </c>
      <c r="J2137" s="0" t="n">
        <v>0</v>
      </c>
      <c r="K2137" s="0" t="s">
        <v>2637</v>
      </c>
    </row>
    <row r="2138" customFormat="false" ht="15" hidden="false" customHeight="false" outlineLevel="0" collapsed="false">
      <c r="A2138" s="0" t="n">
        <v>172</v>
      </c>
      <c r="B2138" s="0" t="s">
        <v>2626</v>
      </c>
      <c r="D2138" s="0" t="s">
        <v>2626</v>
      </c>
      <c r="E2138" s="0" t="s">
        <v>66</v>
      </c>
      <c r="F2138" s="0" t="s">
        <v>27</v>
      </c>
      <c r="I2138" s="0" t="n">
        <v>350</v>
      </c>
      <c r="J2138" s="0" t="n">
        <v>0.0921052631578947</v>
      </c>
      <c r="K2138" s="0" t="s">
        <v>2638</v>
      </c>
    </row>
    <row r="2139" customFormat="false" ht="15" hidden="false" customHeight="false" outlineLevel="0" collapsed="false">
      <c r="A2139" s="0" t="n">
        <v>172</v>
      </c>
      <c r="B2139" s="0" t="s">
        <v>2626</v>
      </c>
      <c r="D2139" s="0" t="s">
        <v>2626</v>
      </c>
      <c r="E2139" s="0" t="s">
        <v>68</v>
      </c>
      <c r="F2139" s="0" t="s">
        <v>30</v>
      </c>
      <c r="I2139" s="0" t="n">
        <v>4000</v>
      </c>
      <c r="J2139" s="0" t="n">
        <v>1.05263157894737</v>
      </c>
      <c r="K2139" s="0" t="s">
        <v>2639</v>
      </c>
    </row>
    <row r="2140" customFormat="false" ht="15" hidden="false" customHeight="false" outlineLevel="0" collapsed="false">
      <c r="A2140" s="0" t="n">
        <v>173</v>
      </c>
      <c r="B2140" s="0" t="s">
        <v>2640</v>
      </c>
      <c r="C2140" s="0" t="s">
        <v>2641</v>
      </c>
      <c r="D2140" s="0" t="s">
        <v>349</v>
      </c>
      <c r="E2140" s="0" t="s">
        <v>2642</v>
      </c>
      <c r="F2140" s="0" t="s">
        <v>27</v>
      </c>
      <c r="G2140" s="0" t="n">
        <v>1.4</v>
      </c>
      <c r="H2140" s="0" t="n">
        <v>4</v>
      </c>
      <c r="I2140" s="0" t="n">
        <v>21280</v>
      </c>
      <c r="J2140" s="0" t="n">
        <v>5.6</v>
      </c>
      <c r="K2140" s="0" t="s">
        <v>2643</v>
      </c>
      <c r="L2140" s="0" t="s">
        <v>2644</v>
      </c>
    </row>
    <row r="2141" customFormat="false" ht="15" hidden="false" customHeight="false" outlineLevel="0" collapsed="false">
      <c r="A2141" s="0" t="n">
        <v>173</v>
      </c>
      <c r="B2141" s="0" t="s">
        <v>2640</v>
      </c>
      <c r="C2141" s="0" t="s">
        <v>2641</v>
      </c>
      <c r="D2141" s="0" t="s">
        <v>349</v>
      </c>
      <c r="E2141" s="0" t="s">
        <v>56</v>
      </c>
      <c r="F2141" s="0" t="s">
        <v>28</v>
      </c>
      <c r="I2141" s="0" t="n">
        <v>1000</v>
      </c>
      <c r="J2141" s="0" t="n">
        <v>0.263157894736842</v>
      </c>
      <c r="K2141" s="0" t="s">
        <v>2645</v>
      </c>
    </row>
    <row r="2142" customFormat="false" ht="15" hidden="false" customHeight="false" outlineLevel="0" collapsed="false">
      <c r="A2142" s="0" t="n">
        <v>173</v>
      </c>
      <c r="B2142" s="0" t="s">
        <v>2640</v>
      </c>
      <c r="C2142" s="0" t="s">
        <v>2641</v>
      </c>
      <c r="D2142" s="0" t="s">
        <v>349</v>
      </c>
      <c r="E2142" s="0" t="s">
        <v>2592</v>
      </c>
      <c r="F2142" s="0" t="s">
        <v>27</v>
      </c>
      <c r="G2142" s="0" t="n">
        <v>150</v>
      </c>
      <c r="H2142" s="0" t="n">
        <v>7</v>
      </c>
      <c r="I2142" s="0" t="n">
        <v>1050</v>
      </c>
      <c r="J2142" s="0" t="n">
        <v>0.276315789473684</v>
      </c>
      <c r="K2142" s="0" t="s">
        <v>2646</v>
      </c>
      <c r="L2142" s="0" t="s">
        <v>2647</v>
      </c>
    </row>
    <row r="2143" customFormat="false" ht="15" hidden="false" customHeight="false" outlineLevel="0" collapsed="false">
      <c r="A2143" s="0" t="n">
        <v>173</v>
      </c>
      <c r="B2143" s="0" t="s">
        <v>2640</v>
      </c>
      <c r="C2143" s="0" t="s">
        <v>2641</v>
      </c>
      <c r="D2143" s="0" t="s">
        <v>349</v>
      </c>
      <c r="E2143" s="0" t="s">
        <v>58</v>
      </c>
      <c r="F2143" s="0" t="s">
        <v>28</v>
      </c>
      <c r="I2143" s="0" t="n">
        <v>5000</v>
      </c>
      <c r="J2143" s="0" t="n">
        <v>1.31578947368421</v>
      </c>
      <c r="K2143" s="0" t="s">
        <v>2648</v>
      </c>
    </row>
    <row r="2144" customFormat="false" ht="15" hidden="false" customHeight="false" outlineLevel="0" collapsed="false">
      <c r="A2144" s="0" t="n">
        <v>173</v>
      </c>
      <c r="B2144" s="0" t="s">
        <v>2640</v>
      </c>
      <c r="C2144" s="0" t="s">
        <v>2641</v>
      </c>
      <c r="D2144" s="0" t="s">
        <v>349</v>
      </c>
      <c r="E2144" s="0" t="s">
        <v>2649</v>
      </c>
      <c r="F2144" s="0" t="s">
        <v>29</v>
      </c>
      <c r="I2144" s="0" t="n">
        <v>5000</v>
      </c>
      <c r="J2144" s="0" t="n">
        <v>1.31578947368421</v>
      </c>
      <c r="K2144" s="0" t="s">
        <v>2650</v>
      </c>
    </row>
    <row r="2145" customFormat="false" ht="15" hidden="false" customHeight="false" outlineLevel="0" collapsed="false">
      <c r="A2145" s="0" t="n">
        <v>173</v>
      </c>
      <c r="B2145" s="0" t="s">
        <v>2640</v>
      </c>
      <c r="C2145" s="0" t="s">
        <v>2641</v>
      </c>
      <c r="D2145" s="0" t="s">
        <v>349</v>
      </c>
      <c r="E2145" s="0" t="s">
        <v>128</v>
      </c>
      <c r="F2145" s="0" t="s">
        <v>28</v>
      </c>
      <c r="I2145" s="0" t="n">
        <v>500</v>
      </c>
      <c r="J2145" s="0" t="n">
        <v>0.131578947368421</v>
      </c>
      <c r="K2145" s="0" t="s">
        <v>2651</v>
      </c>
    </row>
    <row r="2146" customFormat="false" ht="15" hidden="false" customHeight="false" outlineLevel="0" collapsed="false">
      <c r="A2146" s="0" t="n">
        <v>173</v>
      </c>
      <c r="B2146" s="0" t="s">
        <v>2640</v>
      </c>
      <c r="C2146" s="0" t="s">
        <v>2641</v>
      </c>
      <c r="D2146" s="0" t="s">
        <v>349</v>
      </c>
      <c r="E2146" s="0" t="s">
        <v>132</v>
      </c>
      <c r="F2146" s="0" t="s">
        <v>29</v>
      </c>
      <c r="I2146" s="0" t="n">
        <v>200</v>
      </c>
      <c r="J2146" s="0" t="n">
        <v>0.0526315789473684</v>
      </c>
      <c r="K2146" s="0" t="s">
        <v>2652</v>
      </c>
    </row>
    <row r="2147" customFormat="false" ht="15" hidden="false" customHeight="false" outlineLevel="0" collapsed="false">
      <c r="A2147" s="0" t="n">
        <v>173</v>
      </c>
      <c r="B2147" s="0" t="s">
        <v>2640</v>
      </c>
      <c r="C2147" s="0" t="s">
        <v>2641</v>
      </c>
      <c r="D2147" s="0" t="s">
        <v>349</v>
      </c>
      <c r="E2147" s="0" t="s">
        <v>2653</v>
      </c>
      <c r="F2147" s="0" t="s">
        <v>27</v>
      </c>
      <c r="I2147" s="0" t="n">
        <v>300</v>
      </c>
      <c r="J2147" s="0" t="n">
        <v>0.0789473684210526</v>
      </c>
      <c r="K2147" s="0" t="s">
        <v>2654</v>
      </c>
    </row>
    <row r="2148" customFormat="false" ht="15" hidden="false" customHeight="false" outlineLevel="0" collapsed="false">
      <c r="A2148" s="0" t="n">
        <v>173</v>
      </c>
      <c r="B2148" s="0" t="s">
        <v>2640</v>
      </c>
      <c r="C2148" s="0" t="s">
        <v>2641</v>
      </c>
      <c r="D2148" s="0" t="s">
        <v>349</v>
      </c>
      <c r="E2148" s="0" t="s">
        <v>60</v>
      </c>
      <c r="F2148" s="0" t="s">
        <v>27</v>
      </c>
      <c r="I2148" s="0" t="n">
        <v>200</v>
      </c>
      <c r="J2148" s="0" t="n">
        <v>0.0526315789473684</v>
      </c>
      <c r="K2148" s="0" t="s">
        <v>2655</v>
      </c>
    </row>
    <row r="2149" customFormat="false" ht="15" hidden="false" customHeight="false" outlineLevel="0" collapsed="false">
      <c r="A2149" s="0" t="n">
        <v>173</v>
      </c>
      <c r="B2149" s="0" t="s">
        <v>2640</v>
      </c>
      <c r="C2149" s="0" t="s">
        <v>2641</v>
      </c>
      <c r="D2149" s="0" t="s">
        <v>349</v>
      </c>
      <c r="E2149" s="0" t="s">
        <v>62</v>
      </c>
      <c r="F2149" s="0" t="s">
        <v>27</v>
      </c>
      <c r="I2149" s="0" t="n">
        <v>100</v>
      </c>
      <c r="J2149" s="0" t="n">
        <v>0.0263157894736842</v>
      </c>
      <c r="K2149" s="0" t="s">
        <v>2656</v>
      </c>
    </row>
    <row r="2150" customFormat="false" ht="15" hidden="false" customHeight="false" outlineLevel="0" collapsed="false">
      <c r="A2150" s="0" t="n">
        <v>173</v>
      </c>
      <c r="B2150" s="0" t="s">
        <v>2640</v>
      </c>
      <c r="C2150" s="0" t="s">
        <v>2641</v>
      </c>
      <c r="D2150" s="0" t="s">
        <v>349</v>
      </c>
      <c r="E2150" s="0" t="s">
        <v>66</v>
      </c>
      <c r="F2150" s="0" t="s">
        <v>27</v>
      </c>
      <c r="I2150" s="0" t="n">
        <v>250</v>
      </c>
      <c r="J2150" s="0" t="n">
        <v>0.0657894736842105</v>
      </c>
      <c r="K2150" s="0" t="s">
        <v>2657</v>
      </c>
    </row>
    <row r="2151" customFormat="false" ht="15" hidden="false" customHeight="false" outlineLevel="0" collapsed="false">
      <c r="A2151" s="0" t="n">
        <v>173</v>
      </c>
      <c r="B2151" s="0" t="s">
        <v>2640</v>
      </c>
      <c r="C2151" s="0" t="s">
        <v>2641</v>
      </c>
      <c r="D2151" s="0" t="s">
        <v>349</v>
      </c>
      <c r="E2151" s="0" t="s">
        <v>64</v>
      </c>
      <c r="F2151" s="0" t="s">
        <v>27</v>
      </c>
      <c r="I2151" s="0" t="n">
        <v>500</v>
      </c>
      <c r="J2151" s="0" t="n">
        <v>0.131578947368421</v>
      </c>
      <c r="K2151" s="0" t="s">
        <v>2658</v>
      </c>
    </row>
    <row r="2152" customFormat="false" ht="15" hidden="false" customHeight="false" outlineLevel="0" collapsed="false">
      <c r="A2152" s="0" t="n">
        <v>173</v>
      </c>
      <c r="B2152" s="0" t="s">
        <v>2640</v>
      </c>
      <c r="C2152" s="0" t="s">
        <v>2641</v>
      </c>
      <c r="D2152" s="0" t="s">
        <v>349</v>
      </c>
      <c r="E2152" s="0" t="s">
        <v>68</v>
      </c>
      <c r="F2152" s="0" t="s">
        <v>30</v>
      </c>
      <c r="I2152" s="0" t="n">
        <v>4000</v>
      </c>
      <c r="J2152" s="0" t="n">
        <v>1.05263157894737</v>
      </c>
      <c r="K2152" s="0" t="s">
        <v>2659</v>
      </c>
    </row>
    <row r="2153" customFormat="false" ht="15" hidden="false" customHeight="false" outlineLevel="0" collapsed="false">
      <c r="A2153" s="0" t="n">
        <v>174</v>
      </c>
      <c r="B2153" s="0" t="s">
        <v>2640</v>
      </c>
      <c r="C2153" s="0" t="s">
        <v>2641</v>
      </c>
      <c r="D2153" s="0" t="s">
        <v>349</v>
      </c>
      <c r="E2153" s="0" t="s">
        <v>2660</v>
      </c>
      <c r="F2153" s="0" t="s">
        <v>27</v>
      </c>
      <c r="G2153" s="0" t="n">
        <v>1.1</v>
      </c>
      <c r="H2153" s="0" t="n">
        <v>3.95</v>
      </c>
      <c r="I2153" s="0" t="n">
        <v>16511</v>
      </c>
      <c r="J2153" s="0" t="n">
        <v>4.345</v>
      </c>
      <c r="K2153" s="0" t="s">
        <v>2661</v>
      </c>
      <c r="L2153" s="0" t="s">
        <v>2662</v>
      </c>
    </row>
    <row r="2154" customFormat="false" ht="15" hidden="false" customHeight="false" outlineLevel="0" collapsed="false">
      <c r="A2154" s="0" t="n">
        <v>174</v>
      </c>
      <c r="B2154" s="0" t="s">
        <v>2640</v>
      </c>
      <c r="C2154" s="0" t="s">
        <v>2641</v>
      </c>
      <c r="D2154" s="0" t="s">
        <v>349</v>
      </c>
      <c r="E2154" s="0" t="s">
        <v>56</v>
      </c>
      <c r="F2154" s="0" t="s">
        <v>28</v>
      </c>
      <c r="I2154" s="0" t="n">
        <v>1000</v>
      </c>
      <c r="J2154" s="0" t="n">
        <v>0.263157894736842</v>
      </c>
      <c r="K2154" s="0" t="s">
        <v>2663</v>
      </c>
    </row>
    <row r="2155" customFormat="false" ht="15" hidden="false" customHeight="false" outlineLevel="0" collapsed="false">
      <c r="A2155" s="0" t="n">
        <v>174</v>
      </c>
      <c r="B2155" s="0" t="s">
        <v>2640</v>
      </c>
      <c r="C2155" s="0" t="s">
        <v>2641</v>
      </c>
      <c r="D2155" s="0" t="s">
        <v>349</v>
      </c>
      <c r="E2155" s="0" t="s">
        <v>2592</v>
      </c>
      <c r="F2155" s="0" t="s">
        <v>27</v>
      </c>
      <c r="I2155" s="0" t="n">
        <v>3000</v>
      </c>
      <c r="J2155" s="0" t="n">
        <v>0.789473684210526</v>
      </c>
      <c r="K2155" s="0" t="s">
        <v>2664</v>
      </c>
    </row>
    <row r="2156" customFormat="false" ht="15" hidden="false" customHeight="false" outlineLevel="0" collapsed="false">
      <c r="A2156" s="0" t="n">
        <v>174</v>
      </c>
      <c r="B2156" s="0" t="s">
        <v>2640</v>
      </c>
      <c r="C2156" s="0" t="s">
        <v>2641</v>
      </c>
      <c r="D2156" s="0" t="s">
        <v>349</v>
      </c>
      <c r="E2156" s="0" t="s">
        <v>58</v>
      </c>
      <c r="F2156" s="0" t="s">
        <v>28</v>
      </c>
      <c r="I2156" s="0" t="n">
        <v>6000</v>
      </c>
      <c r="J2156" s="0" t="n">
        <v>1.57894736842105</v>
      </c>
      <c r="K2156" s="0" t="s">
        <v>2665</v>
      </c>
    </row>
    <row r="2157" customFormat="false" ht="15" hidden="false" customHeight="false" outlineLevel="0" collapsed="false">
      <c r="A2157" s="0" t="n">
        <v>174</v>
      </c>
      <c r="B2157" s="0" t="s">
        <v>2640</v>
      </c>
      <c r="C2157" s="0" t="s">
        <v>2641</v>
      </c>
      <c r="D2157" s="0" t="s">
        <v>349</v>
      </c>
      <c r="E2157" s="0" t="s">
        <v>203</v>
      </c>
      <c r="F2157" s="0" t="s">
        <v>29</v>
      </c>
      <c r="I2157" s="0" t="n">
        <v>3000</v>
      </c>
      <c r="J2157" s="0" t="n">
        <v>0.789473684210526</v>
      </c>
      <c r="K2157" s="0" t="s">
        <v>2666</v>
      </c>
    </row>
    <row r="2158" customFormat="false" ht="15" hidden="false" customHeight="false" outlineLevel="0" collapsed="false">
      <c r="A2158" s="0" t="n">
        <v>174</v>
      </c>
      <c r="B2158" s="0" t="s">
        <v>2640</v>
      </c>
      <c r="C2158" s="0" t="s">
        <v>2641</v>
      </c>
      <c r="D2158" s="0" t="s">
        <v>349</v>
      </c>
      <c r="E2158" s="0" t="s">
        <v>1426</v>
      </c>
      <c r="F2158" s="0" t="s">
        <v>31</v>
      </c>
      <c r="G2158" s="0" t="n">
        <v>0.3</v>
      </c>
      <c r="H2158" s="0" t="n">
        <v>2.5</v>
      </c>
      <c r="I2158" s="0" t="n">
        <v>1425</v>
      </c>
      <c r="J2158" s="0" t="n">
        <v>0.375</v>
      </c>
      <c r="K2158" s="0" t="s">
        <v>2667</v>
      </c>
      <c r="L2158" s="0" t="s">
        <v>2668</v>
      </c>
    </row>
    <row r="2159" customFormat="false" ht="15" hidden="false" customHeight="false" outlineLevel="0" collapsed="false">
      <c r="A2159" s="0" t="n">
        <v>174</v>
      </c>
      <c r="B2159" s="0" t="s">
        <v>2640</v>
      </c>
      <c r="C2159" s="0" t="s">
        <v>2641</v>
      </c>
      <c r="D2159" s="0" t="s">
        <v>349</v>
      </c>
      <c r="E2159" s="0" t="s">
        <v>128</v>
      </c>
      <c r="F2159" s="0" t="s">
        <v>28</v>
      </c>
      <c r="I2159" s="0" t="n">
        <v>1000</v>
      </c>
      <c r="J2159" s="0" t="n">
        <v>0.263157894736842</v>
      </c>
      <c r="K2159" s="0" t="s">
        <v>2669</v>
      </c>
    </row>
    <row r="2160" customFormat="false" ht="15" hidden="false" customHeight="false" outlineLevel="0" collapsed="false">
      <c r="A2160" s="0" t="n">
        <v>174</v>
      </c>
      <c r="B2160" s="0" t="s">
        <v>2640</v>
      </c>
      <c r="C2160" s="0" t="s">
        <v>2641</v>
      </c>
      <c r="D2160" s="0" t="s">
        <v>349</v>
      </c>
      <c r="E2160" s="0" t="s">
        <v>158</v>
      </c>
      <c r="F2160" s="0" t="s">
        <v>28</v>
      </c>
      <c r="I2160" s="0" t="n">
        <v>1000</v>
      </c>
      <c r="J2160" s="0" t="n">
        <v>0.263157894736842</v>
      </c>
      <c r="K2160" s="0" t="s">
        <v>2670</v>
      </c>
    </row>
    <row r="2161" customFormat="false" ht="15" hidden="false" customHeight="false" outlineLevel="0" collapsed="false">
      <c r="A2161" s="0" t="n">
        <v>174</v>
      </c>
      <c r="B2161" s="0" t="s">
        <v>2640</v>
      </c>
      <c r="C2161" s="0" t="s">
        <v>2641</v>
      </c>
      <c r="D2161" s="0" t="s">
        <v>349</v>
      </c>
      <c r="E2161" s="0" t="s">
        <v>132</v>
      </c>
      <c r="F2161" s="0" t="s">
        <v>29</v>
      </c>
      <c r="I2161" s="0" t="n">
        <v>400</v>
      </c>
      <c r="J2161" s="0" t="n">
        <v>0.105263157894737</v>
      </c>
      <c r="K2161" s="0" t="s">
        <v>2671</v>
      </c>
    </row>
    <row r="2162" customFormat="false" ht="15" hidden="false" customHeight="false" outlineLevel="0" collapsed="false">
      <c r="A2162" s="0" t="n">
        <v>174</v>
      </c>
      <c r="B2162" s="0" t="s">
        <v>2640</v>
      </c>
      <c r="C2162" s="0" t="s">
        <v>2641</v>
      </c>
      <c r="D2162" s="0" t="s">
        <v>349</v>
      </c>
      <c r="E2162" s="0" t="s">
        <v>134</v>
      </c>
      <c r="F2162" s="0" t="s">
        <v>28</v>
      </c>
      <c r="I2162" s="0" t="n">
        <v>500</v>
      </c>
      <c r="J2162" s="0" t="n">
        <v>0.131578947368421</v>
      </c>
      <c r="K2162" s="0" t="s">
        <v>2672</v>
      </c>
    </row>
    <row r="2163" customFormat="false" ht="15" hidden="false" customHeight="false" outlineLevel="0" collapsed="false">
      <c r="A2163" s="0" t="n">
        <v>174</v>
      </c>
      <c r="B2163" s="0" t="s">
        <v>2640</v>
      </c>
      <c r="C2163" s="0" t="s">
        <v>2641</v>
      </c>
      <c r="D2163" s="0" t="s">
        <v>349</v>
      </c>
      <c r="E2163" s="0" t="s">
        <v>60</v>
      </c>
      <c r="F2163" s="0" t="s">
        <v>27</v>
      </c>
      <c r="I2163" s="0" t="n">
        <v>200</v>
      </c>
      <c r="J2163" s="0" t="n">
        <v>0.0526315789473684</v>
      </c>
      <c r="K2163" s="0" t="s">
        <v>2673</v>
      </c>
    </row>
    <row r="2164" customFormat="false" ht="15" hidden="false" customHeight="false" outlineLevel="0" collapsed="false">
      <c r="A2164" s="0" t="n">
        <v>174</v>
      </c>
      <c r="B2164" s="0" t="s">
        <v>2640</v>
      </c>
      <c r="C2164" s="0" t="s">
        <v>2641</v>
      </c>
      <c r="D2164" s="0" t="s">
        <v>349</v>
      </c>
      <c r="E2164" s="0" t="s">
        <v>62</v>
      </c>
      <c r="F2164" s="0" t="s">
        <v>27</v>
      </c>
      <c r="I2164" s="0" t="n">
        <v>0</v>
      </c>
      <c r="J2164" s="0" t="n">
        <v>0</v>
      </c>
      <c r="K2164" s="0" t="s">
        <v>2674</v>
      </c>
    </row>
    <row r="2165" customFormat="false" ht="15" hidden="false" customHeight="false" outlineLevel="0" collapsed="false">
      <c r="A2165" s="0" t="n">
        <v>174</v>
      </c>
      <c r="B2165" s="0" t="s">
        <v>2640</v>
      </c>
      <c r="C2165" s="0" t="s">
        <v>2641</v>
      </c>
      <c r="D2165" s="0" t="s">
        <v>349</v>
      </c>
      <c r="E2165" s="0" t="s">
        <v>66</v>
      </c>
      <c r="F2165" s="0" t="s">
        <v>27</v>
      </c>
      <c r="I2165" s="0" t="n">
        <v>250</v>
      </c>
      <c r="J2165" s="0" t="n">
        <v>0.0657894736842105</v>
      </c>
      <c r="K2165" s="0" t="s">
        <v>2675</v>
      </c>
    </row>
    <row r="2166" customFormat="false" ht="15" hidden="false" customHeight="false" outlineLevel="0" collapsed="false">
      <c r="A2166" s="0" t="n">
        <v>174</v>
      </c>
      <c r="B2166" s="0" t="s">
        <v>2640</v>
      </c>
      <c r="C2166" s="0" t="s">
        <v>2641</v>
      </c>
      <c r="D2166" s="0" t="s">
        <v>349</v>
      </c>
      <c r="E2166" s="0" t="s">
        <v>64</v>
      </c>
      <c r="F2166" s="0" t="s">
        <v>27</v>
      </c>
      <c r="I2166" s="0" t="n">
        <v>300</v>
      </c>
      <c r="J2166" s="0" t="n">
        <v>0.0789473684210526</v>
      </c>
      <c r="K2166" s="0" t="s">
        <v>2676</v>
      </c>
    </row>
    <row r="2167" customFormat="false" ht="15" hidden="false" customHeight="false" outlineLevel="0" collapsed="false">
      <c r="A2167" s="0" t="n">
        <v>174</v>
      </c>
      <c r="B2167" s="0" t="s">
        <v>2640</v>
      </c>
      <c r="C2167" s="0" t="s">
        <v>2641</v>
      </c>
      <c r="D2167" s="0" t="s">
        <v>349</v>
      </c>
      <c r="E2167" s="0" t="s">
        <v>68</v>
      </c>
      <c r="F2167" s="0" t="s">
        <v>30</v>
      </c>
      <c r="I2167" s="0" t="n">
        <v>4000</v>
      </c>
      <c r="J2167" s="0" t="n">
        <v>1.05263157894737</v>
      </c>
      <c r="K2167" s="0" t="s">
        <v>2677</v>
      </c>
    </row>
    <row r="2168" customFormat="false" ht="15" hidden="false" customHeight="false" outlineLevel="0" collapsed="false">
      <c r="A2168" s="0" t="n">
        <v>175</v>
      </c>
      <c r="B2168" s="0" t="s">
        <v>2640</v>
      </c>
      <c r="C2168" s="0" t="s">
        <v>2641</v>
      </c>
      <c r="D2168" s="0" t="s">
        <v>349</v>
      </c>
      <c r="E2168" s="0" t="s">
        <v>2678</v>
      </c>
      <c r="F2168" s="0" t="s">
        <v>27</v>
      </c>
      <c r="G2168" s="0" t="n">
        <v>1.8</v>
      </c>
      <c r="H2168" s="0" t="n">
        <v>4.5</v>
      </c>
      <c r="I2168" s="0" t="n">
        <v>32400</v>
      </c>
      <c r="J2168" s="0" t="n">
        <v>8.1</v>
      </c>
      <c r="K2168" s="0" t="s">
        <v>2679</v>
      </c>
      <c r="L2168" s="0" t="s">
        <v>2680</v>
      </c>
    </row>
    <row r="2169" customFormat="false" ht="15" hidden="false" customHeight="false" outlineLevel="0" collapsed="false">
      <c r="A2169" s="0" t="n">
        <v>175</v>
      </c>
      <c r="B2169" s="0" t="s">
        <v>2640</v>
      </c>
      <c r="C2169" s="0" t="s">
        <v>2641</v>
      </c>
      <c r="D2169" s="0" t="s">
        <v>349</v>
      </c>
      <c r="E2169" s="0" t="s">
        <v>56</v>
      </c>
      <c r="F2169" s="0" t="s">
        <v>28</v>
      </c>
      <c r="I2169" s="0" t="n">
        <v>1000</v>
      </c>
      <c r="J2169" s="0" t="n">
        <v>0.25</v>
      </c>
      <c r="K2169" s="0" t="s">
        <v>2681</v>
      </c>
    </row>
    <row r="2170" customFormat="false" ht="15" hidden="false" customHeight="false" outlineLevel="0" collapsed="false">
      <c r="A2170" s="0" t="n">
        <v>175</v>
      </c>
      <c r="B2170" s="0" t="s">
        <v>2640</v>
      </c>
      <c r="C2170" s="0" t="s">
        <v>2641</v>
      </c>
      <c r="D2170" s="0" t="s">
        <v>349</v>
      </c>
      <c r="E2170" s="0" t="s">
        <v>2592</v>
      </c>
      <c r="F2170" s="0" t="s">
        <v>27</v>
      </c>
      <c r="G2170" s="0" t="n">
        <v>500</v>
      </c>
      <c r="H2170" s="0" t="n">
        <v>8</v>
      </c>
      <c r="I2170" s="0" t="n">
        <v>4000</v>
      </c>
      <c r="J2170" s="0" t="n">
        <v>1</v>
      </c>
      <c r="K2170" s="0" t="s">
        <v>2682</v>
      </c>
      <c r="L2170" s="0" t="s">
        <v>2683</v>
      </c>
    </row>
    <row r="2171" customFormat="false" ht="15" hidden="false" customHeight="false" outlineLevel="0" collapsed="false">
      <c r="A2171" s="0" t="n">
        <v>175</v>
      </c>
      <c r="B2171" s="0" t="s">
        <v>2640</v>
      </c>
      <c r="C2171" s="0" t="s">
        <v>2641</v>
      </c>
      <c r="D2171" s="0" t="s">
        <v>349</v>
      </c>
      <c r="E2171" s="0" t="s">
        <v>58</v>
      </c>
      <c r="F2171" s="0" t="s">
        <v>28</v>
      </c>
      <c r="I2171" s="0" t="n">
        <v>6000</v>
      </c>
      <c r="J2171" s="0" t="n">
        <v>1.5</v>
      </c>
      <c r="K2171" s="0" t="s">
        <v>2684</v>
      </c>
    </row>
    <row r="2172" customFormat="false" ht="15" hidden="false" customHeight="false" outlineLevel="0" collapsed="false">
      <c r="A2172" s="0" t="n">
        <v>175</v>
      </c>
      <c r="B2172" s="0" t="s">
        <v>2640</v>
      </c>
      <c r="C2172" s="0" t="s">
        <v>2641</v>
      </c>
      <c r="D2172" s="0" t="s">
        <v>349</v>
      </c>
      <c r="E2172" s="0" t="s">
        <v>106</v>
      </c>
      <c r="F2172" s="0" t="s">
        <v>28</v>
      </c>
      <c r="I2172" s="0" t="n">
        <v>6000</v>
      </c>
      <c r="J2172" s="0" t="n">
        <v>1.5</v>
      </c>
      <c r="K2172" s="0" t="s">
        <v>2685</v>
      </c>
    </row>
    <row r="2173" customFormat="false" ht="15" hidden="false" customHeight="false" outlineLevel="0" collapsed="false">
      <c r="A2173" s="0" t="n">
        <v>175</v>
      </c>
      <c r="B2173" s="0" t="s">
        <v>2640</v>
      </c>
      <c r="C2173" s="0" t="s">
        <v>2641</v>
      </c>
      <c r="D2173" s="0" t="s">
        <v>349</v>
      </c>
      <c r="E2173" s="0" t="s">
        <v>1426</v>
      </c>
      <c r="F2173" s="0" t="s">
        <v>31</v>
      </c>
      <c r="G2173" s="0" t="n">
        <v>0.3</v>
      </c>
      <c r="H2173" s="0" t="n">
        <v>2.5</v>
      </c>
      <c r="I2173" s="0" t="n">
        <v>1500</v>
      </c>
      <c r="J2173" s="0" t="n">
        <v>0.375</v>
      </c>
      <c r="K2173" s="0" t="s">
        <v>2686</v>
      </c>
      <c r="L2173" s="0" t="s">
        <v>2687</v>
      </c>
    </row>
    <row r="2174" customFormat="false" ht="15" hidden="false" customHeight="false" outlineLevel="0" collapsed="false">
      <c r="A2174" s="0" t="n">
        <v>175</v>
      </c>
      <c r="B2174" s="0" t="s">
        <v>2640</v>
      </c>
      <c r="C2174" s="0" t="s">
        <v>2641</v>
      </c>
      <c r="D2174" s="0" t="s">
        <v>349</v>
      </c>
      <c r="E2174" s="0" t="s">
        <v>128</v>
      </c>
      <c r="F2174" s="0" t="s">
        <v>28</v>
      </c>
      <c r="I2174" s="0" t="n">
        <v>1000</v>
      </c>
      <c r="J2174" s="0" t="n">
        <v>0.25</v>
      </c>
      <c r="K2174" s="0" t="s">
        <v>2688</v>
      </c>
    </row>
    <row r="2175" customFormat="false" ht="15" hidden="false" customHeight="false" outlineLevel="0" collapsed="false">
      <c r="A2175" s="0" t="n">
        <v>175</v>
      </c>
      <c r="B2175" s="0" t="s">
        <v>2640</v>
      </c>
      <c r="C2175" s="0" t="s">
        <v>2641</v>
      </c>
      <c r="D2175" s="0" t="s">
        <v>349</v>
      </c>
      <c r="E2175" s="0" t="s">
        <v>2689</v>
      </c>
      <c r="F2175" s="0" t="s">
        <v>28</v>
      </c>
      <c r="I2175" s="0" t="n">
        <v>3000</v>
      </c>
      <c r="J2175" s="0" t="n">
        <v>0.75</v>
      </c>
      <c r="K2175" s="0" t="s">
        <v>2690</v>
      </c>
    </row>
    <row r="2176" customFormat="false" ht="15" hidden="false" customHeight="false" outlineLevel="0" collapsed="false">
      <c r="A2176" s="0" t="n">
        <v>175</v>
      </c>
      <c r="B2176" s="0" t="s">
        <v>2640</v>
      </c>
      <c r="C2176" s="0" t="s">
        <v>2641</v>
      </c>
      <c r="D2176" s="0" t="s">
        <v>349</v>
      </c>
      <c r="E2176" s="0" t="s">
        <v>132</v>
      </c>
      <c r="F2176" s="0" t="s">
        <v>29</v>
      </c>
      <c r="I2176" s="0" t="n">
        <v>400</v>
      </c>
      <c r="J2176" s="0" t="n">
        <v>0.1</v>
      </c>
      <c r="K2176" s="0" t="s">
        <v>2691</v>
      </c>
    </row>
    <row r="2177" customFormat="false" ht="15" hidden="false" customHeight="false" outlineLevel="0" collapsed="false">
      <c r="A2177" s="0" t="n">
        <v>175</v>
      </c>
      <c r="B2177" s="0" t="s">
        <v>2640</v>
      </c>
      <c r="C2177" s="0" t="s">
        <v>2641</v>
      </c>
      <c r="D2177" s="0" t="s">
        <v>349</v>
      </c>
      <c r="E2177" s="0" t="s">
        <v>134</v>
      </c>
      <c r="F2177" s="0" t="s">
        <v>28</v>
      </c>
      <c r="I2177" s="0" t="n">
        <v>500</v>
      </c>
      <c r="J2177" s="0" t="n">
        <v>0.125</v>
      </c>
      <c r="K2177" s="0" t="s">
        <v>2692</v>
      </c>
    </row>
    <row r="2178" customFormat="false" ht="15" hidden="false" customHeight="false" outlineLevel="0" collapsed="false">
      <c r="A2178" s="0" t="n">
        <v>175</v>
      </c>
      <c r="B2178" s="0" t="s">
        <v>2640</v>
      </c>
      <c r="C2178" s="0" t="s">
        <v>2641</v>
      </c>
      <c r="D2178" s="0" t="s">
        <v>349</v>
      </c>
      <c r="E2178" s="0" t="s">
        <v>60</v>
      </c>
      <c r="F2178" s="0" t="s">
        <v>27</v>
      </c>
      <c r="I2178" s="0" t="n">
        <v>200</v>
      </c>
      <c r="J2178" s="0" t="n">
        <v>0.05</v>
      </c>
      <c r="K2178" s="0" t="s">
        <v>2693</v>
      </c>
    </row>
    <row r="2179" customFormat="false" ht="15" hidden="false" customHeight="false" outlineLevel="0" collapsed="false">
      <c r="A2179" s="0" t="n">
        <v>175</v>
      </c>
      <c r="B2179" s="0" t="s">
        <v>2640</v>
      </c>
      <c r="C2179" s="0" t="s">
        <v>2641</v>
      </c>
      <c r="D2179" s="0" t="s">
        <v>349</v>
      </c>
      <c r="E2179" s="0" t="s">
        <v>62</v>
      </c>
      <c r="F2179" s="0" t="s">
        <v>27</v>
      </c>
      <c r="I2179" s="0" t="n">
        <v>100</v>
      </c>
      <c r="J2179" s="0" t="n">
        <v>0.025</v>
      </c>
      <c r="K2179" s="0" t="s">
        <v>2694</v>
      </c>
    </row>
    <row r="2180" customFormat="false" ht="15" hidden="false" customHeight="false" outlineLevel="0" collapsed="false">
      <c r="A2180" s="0" t="n">
        <v>175</v>
      </c>
      <c r="B2180" s="0" t="s">
        <v>2640</v>
      </c>
      <c r="C2180" s="0" t="s">
        <v>2641</v>
      </c>
      <c r="D2180" s="0" t="s">
        <v>349</v>
      </c>
      <c r="E2180" s="0" t="s">
        <v>66</v>
      </c>
      <c r="F2180" s="0" t="s">
        <v>27</v>
      </c>
      <c r="I2180" s="0" t="n">
        <v>250</v>
      </c>
      <c r="J2180" s="0" t="n">
        <v>0.0625</v>
      </c>
      <c r="K2180" s="0" t="s">
        <v>2695</v>
      </c>
    </row>
    <row r="2181" customFormat="false" ht="15" hidden="false" customHeight="false" outlineLevel="0" collapsed="false">
      <c r="A2181" s="0" t="n">
        <v>175</v>
      </c>
      <c r="B2181" s="0" t="s">
        <v>2640</v>
      </c>
      <c r="C2181" s="0" t="s">
        <v>2641</v>
      </c>
      <c r="D2181" s="0" t="s">
        <v>349</v>
      </c>
      <c r="E2181" s="0" t="s">
        <v>64</v>
      </c>
      <c r="F2181" s="0" t="s">
        <v>27</v>
      </c>
      <c r="I2181" s="0" t="n">
        <v>300</v>
      </c>
      <c r="J2181" s="0" t="n">
        <v>0.075</v>
      </c>
      <c r="K2181" s="0" t="s">
        <v>2696</v>
      </c>
    </row>
    <row r="2182" customFormat="false" ht="15" hidden="false" customHeight="false" outlineLevel="0" collapsed="false">
      <c r="A2182" s="0" t="n">
        <v>175</v>
      </c>
      <c r="B2182" s="0" t="s">
        <v>2640</v>
      </c>
      <c r="C2182" s="0" t="s">
        <v>2641</v>
      </c>
      <c r="D2182" s="0" t="s">
        <v>349</v>
      </c>
      <c r="E2182" s="0" t="s">
        <v>68</v>
      </c>
      <c r="F2182" s="0" t="s">
        <v>30</v>
      </c>
      <c r="I2182" s="0" t="n">
        <v>4000</v>
      </c>
      <c r="J2182" s="0" t="n">
        <v>1</v>
      </c>
      <c r="K2182" s="0" t="s">
        <v>2697</v>
      </c>
    </row>
    <row r="2183" customFormat="false" ht="15" hidden="false" customHeight="false" outlineLevel="0" collapsed="false">
      <c r="A2183" s="0" t="n">
        <v>176</v>
      </c>
      <c r="B2183" s="0" t="s">
        <v>2640</v>
      </c>
      <c r="C2183" s="0" t="s">
        <v>2641</v>
      </c>
      <c r="D2183" s="0" t="s">
        <v>349</v>
      </c>
      <c r="E2183" s="0" t="s">
        <v>2698</v>
      </c>
      <c r="F2183" s="0" t="s">
        <v>27</v>
      </c>
      <c r="G2183" s="0" t="n">
        <v>1.8</v>
      </c>
      <c r="H2183" s="0" t="n">
        <v>1.95</v>
      </c>
      <c r="I2183" s="0" t="n">
        <v>15795</v>
      </c>
      <c r="J2183" s="0" t="n">
        <v>3.51</v>
      </c>
      <c r="K2183" s="0" t="s">
        <v>2699</v>
      </c>
      <c r="L2183" s="0" t="s">
        <v>2700</v>
      </c>
    </row>
    <row r="2184" customFormat="false" ht="15" hidden="false" customHeight="false" outlineLevel="0" collapsed="false">
      <c r="A2184" s="0" t="n">
        <v>176</v>
      </c>
      <c r="B2184" s="0" t="s">
        <v>2640</v>
      </c>
      <c r="C2184" s="0" t="s">
        <v>2641</v>
      </c>
      <c r="D2184" s="0" t="s">
        <v>349</v>
      </c>
      <c r="E2184" s="0" t="s">
        <v>56</v>
      </c>
      <c r="F2184" s="0" t="s">
        <v>28</v>
      </c>
      <c r="I2184" s="0" t="n">
        <v>1000</v>
      </c>
      <c r="J2184" s="0" t="n">
        <v>0.222222222222222</v>
      </c>
      <c r="K2184" s="0" t="s">
        <v>2701</v>
      </c>
    </row>
    <row r="2185" customFormat="false" ht="15" hidden="false" customHeight="false" outlineLevel="0" collapsed="false">
      <c r="A2185" s="0" t="n">
        <v>176</v>
      </c>
      <c r="B2185" s="0" t="s">
        <v>2640</v>
      </c>
      <c r="C2185" s="0" t="s">
        <v>2641</v>
      </c>
      <c r="D2185" s="0" t="s">
        <v>349</v>
      </c>
      <c r="E2185" s="0" t="s">
        <v>2592</v>
      </c>
      <c r="F2185" s="0" t="s">
        <v>27</v>
      </c>
      <c r="G2185" s="0" t="n">
        <v>500</v>
      </c>
      <c r="H2185" s="0" t="n">
        <v>8</v>
      </c>
      <c r="I2185" s="0" t="n">
        <v>4000</v>
      </c>
      <c r="J2185" s="0" t="n">
        <v>0.888888888888889</v>
      </c>
      <c r="K2185" s="0" t="s">
        <v>2702</v>
      </c>
      <c r="L2185" s="0" t="s">
        <v>2683</v>
      </c>
    </row>
    <row r="2186" customFormat="false" ht="15" hidden="false" customHeight="false" outlineLevel="0" collapsed="false">
      <c r="A2186" s="0" t="n">
        <v>176</v>
      </c>
      <c r="B2186" s="0" t="s">
        <v>2640</v>
      </c>
      <c r="C2186" s="0" t="s">
        <v>2641</v>
      </c>
      <c r="D2186" s="0" t="s">
        <v>349</v>
      </c>
      <c r="E2186" s="0" t="s">
        <v>58</v>
      </c>
      <c r="F2186" s="0" t="s">
        <v>28</v>
      </c>
      <c r="I2186" s="0" t="n">
        <v>6000</v>
      </c>
      <c r="J2186" s="0" t="n">
        <v>1.33333333333333</v>
      </c>
      <c r="K2186" s="0" t="s">
        <v>2703</v>
      </c>
    </row>
    <row r="2187" customFormat="false" ht="15" hidden="false" customHeight="false" outlineLevel="0" collapsed="false">
      <c r="A2187" s="0" t="n">
        <v>176</v>
      </c>
      <c r="B2187" s="0" t="s">
        <v>2640</v>
      </c>
      <c r="C2187" s="0" t="s">
        <v>2641</v>
      </c>
      <c r="D2187" s="0" t="s">
        <v>349</v>
      </c>
      <c r="E2187" s="0" t="s">
        <v>203</v>
      </c>
      <c r="F2187" s="0" t="s">
        <v>29</v>
      </c>
      <c r="I2187" s="0" t="n">
        <v>5000</v>
      </c>
      <c r="J2187" s="0" t="n">
        <v>1.11111111111111</v>
      </c>
      <c r="K2187" s="0" t="s">
        <v>2704</v>
      </c>
    </row>
    <row r="2188" customFormat="false" ht="15" hidden="false" customHeight="false" outlineLevel="0" collapsed="false">
      <c r="A2188" s="0" t="n">
        <v>176</v>
      </c>
      <c r="B2188" s="0" t="s">
        <v>2640</v>
      </c>
      <c r="C2188" s="0" t="s">
        <v>2641</v>
      </c>
      <c r="D2188" s="0" t="s">
        <v>349</v>
      </c>
      <c r="E2188" s="0" t="s">
        <v>1426</v>
      </c>
      <c r="F2188" s="0" t="s">
        <v>31</v>
      </c>
      <c r="G2188" s="0" t="n">
        <v>0.3</v>
      </c>
      <c r="H2188" s="0" t="n">
        <v>2.5</v>
      </c>
      <c r="I2188" s="0" t="n">
        <v>1687.5</v>
      </c>
      <c r="J2188" s="0" t="n">
        <v>0.375</v>
      </c>
      <c r="K2188" s="0" t="s">
        <v>2705</v>
      </c>
      <c r="L2188" s="0" t="s">
        <v>2706</v>
      </c>
    </row>
    <row r="2189" customFormat="false" ht="15" hidden="false" customHeight="false" outlineLevel="0" collapsed="false">
      <c r="A2189" s="0" t="n">
        <v>176</v>
      </c>
      <c r="B2189" s="0" t="s">
        <v>2640</v>
      </c>
      <c r="C2189" s="0" t="s">
        <v>2641</v>
      </c>
      <c r="D2189" s="0" t="s">
        <v>349</v>
      </c>
      <c r="E2189" s="0" t="s">
        <v>128</v>
      </c>
      <c r="F2189" s="0" t="s">
        <v>28</v>
      </c>
      <c r="I2189" s="0" t="n">
        <v>2000</v>
      </c>
      <c r="J2189" s="0" t="n">
        <v>0.444444444444444</v>
      </c>
      <c r="K2189" s="0" t="s">
        <v>2707</v>
      </c>
    </row>
    <row r="2190" customFormat="false" ht="15" hidden="false" customHeight="false" outlineLevel="0" collapsed="false">
      <c r="A2190" s="0" t="n">
        <v>176</v>
      </c>
      <c r="B2190" s="0" t="s">
        <v>2640</v>
      </c>
      <c r="C2190" s="0" t="s">
        <v>2641</v>
      </c>
      <c r="D2190" s="0" t="s">
        <v>349</v>
      </c>
      <c r="E2190" s="0" t="s">
        <v>158</v>
      </c>
      <c r="F2190" s="0" t="s">
        <v>28</v>
      </c>
      <c r="I2190" s="0" t="n">
        <v>1000</v>
      </c>
      <c r="J2190" s="0" t="n">
        <v>0.222222222222222</v>
      </c>
      <c r="K2190" s="0" t="s">
        <v>2708</v>
      </c>
    </row>
    <row r="2191" customFormat="false" ht="15" hidden="false" customHeight="false" outlineLevel="0" collapsed="false">
      <c r="A2191" s="0" t="n">
        <v>176</v>
      </c>
      <c r="B2191" s="0" t="s">
        <v>2640</v>
      </c>
      <c r="C2191" s="0" t="s">
        <v>2641</v>
      </c>
      <c r="D2191" s="0" t="s">
        <v>349</v>
      </c>
      <c r="E2191" s="0" t="s">
        <v>132</v>
      </c>
      <c r="F2191" s="0" t="s">
        <v>29</v>
      </c>
      <c r="I2191" s="0" t="n">
        <v>400</v>
      </c>
      <c r="J2191" s="0" t="n">
        <v>0.0888888888888889</v>
      </c>
      <c r="K2191" s="0" t="s">
        <v>2709</v>
      </c>
    </row>
    <row r="2192" customFormat="false" ht="15" hidden="false" customHeight="false" outlineLevel="0" collapsed="false">
      <c r="A2192" s="0" t="n">
        <v>176</v>
      </c>
      <c r="B2192" s="0" t="s">
        <v>2640</v>
      </c>
      <c r="C2192" s="0" t="s">
        <v>2641</v>
      </c>
      <c r="D2192" s="0" t="s">
        <v>349</v>
      </c>
      <c r="E2192" s="0" t="s">
        <v>134</v>
      </c>
      <c r="F2192" s="0" t="s">
        <v>28</v>
      </c>
      <c r="I2192" s="0" t="n">
        <v>500</v>
      </c>
      <c r="J2192" s="0" t="n">
        <v>0.111111111111111</v>
      </c>
      <c r="K2192" s="0" t="s">
        <v>2710</v>
      </c>
    </row>
    <row r="2193" customFormat="false" ht="15" hidden="false" customHeight="false" outlineLevel="0" collapsed="false">
      <c r="A2193" s="0" t="n">
        <v>176</v>
      </c>
      <c r="B2193" s="0" t="s">
        <v>2640</v>
      </c>
      <c r="C2193" s="0" t="s">
        <v>2641</v>
      </c>
      <c r="D2193" s="0" t="s">
        <v>349</v>
      </c>
      <c r="E2193" s="0" t="s">
        <v>60</v>
      </c>
      <c r="F2193" s="0" t="s">
        <v>27</v>
      </c>
      <c r="I2193" s="0" t="n">
        <v>200</v>
      </c>
      <c r="J2193" s="0" t="n">
        <v>0.0444444444444445</v>
      </c>
      <c r="K2193" s="0" t="s">
        <v>2711</v>
      </c>
    </row>
    <row r="2194" customFormat="false" ht="15" hidden="false" customHeight="false" outlineLevel="0" collapsed="false">
      <c r="A2194" s="0" t="n">
        <v>176</v>
      </c>
      <c r="B2194" s="0" t="s">
        <v>2640</v>
      </c>
      <c r="C2194" s="0" t="s">
        <v>2641</v>
      </c>
      <c r="D2194" s="0" t="s">
        <v>349</v>
      </c>
      <c r="E2194" s="0" t="s">
        <v>62</v>
      </c>
      <c r="F2194" s="0" t="s">
        <v>27</v>
      </c>
      <c r="I2194" s="0" t="n">
        <v>0</v>
      </c>
      <c r="J2194" s="0" t="n">
        <v>0</v>
      </c>
      <c r="K2194" s="0" t="s">
        <v>2712</v>
      </c>
    </row>
    <row r="2195" customFormat="false" ht="15" hidden="false" customHeight="false" outlineLevel="0" collapsed="false">
      <c r="A2195" s="0" t="n">
        <v>176</v>
      </c>
      <c r="B2195" s="0" t="s">
        <v>2640</v>
      </c>
      <c r="C2195" s="0" t="s">
        <v>2641</v>
      </c>
      <c r="D2195" s="0" t="s">
        <v>349</v>
      </c>
      <c r="E2195" s="0" t="s">
        <v>66</v>
      </c>
      <c r="F2195" s="0" t="s">
        <v>27</v>
      </c>
      <c r="I2195" s="0" t="n">
        <v>250</v>
      </c>
      <c r="J2195" s="0" t="n">
        <v>0.0555555555555556</v>
      </c>
      <c r="K2195" s="0" t="s">
        <v>2713</v>
      </c>
    </row>
    <row r="2196" customFormat="false" ht="15" hidden="false" customHeight="false" outlineLevel="0" collapsed="false">
      <c r="A2196" s="0" t="n">
        <v>176</v>
      </c>
      <c r="B2196" s="0" t="s">
        <v>2640</v>
      </c>
      <c r="C2196" s="0" t="s">
        <v>2641</v>
      </c>
      <c r="D2196" s="0" t="s">
        <v>349</v>
      </c>
      <c r="E2196" s="0" t="s">
        <v>64</v>
      </c>
      <c r="F2196" s="0" t="s">
        <v>27</v>
      </c>
      <c r="I2196" s="0" t="n">
        <v>300</v>
      </c>
      <c r="J2196" s="0" t="n">
        <v>0.0666666666666667</v>
      </c>
      <c r="K2196" s="0" t="s">
        <v>2714</v>
      </c>
    </row>
    <row r="2197" customFormat="false" ht="15" hidden="false" customHeight="false" outlineLevel="0" collapsed="false">
      <c r="A2197" s="0" t="n">
        <v>176</v>
      </c>
      <c r="B2197" s="0" t="s">
        <v>2640</v>
      </c>
      <c r="C2197" s="0" t="s">
        <v>2641</v>
      </c>
      <c r="D2197" s="0" t="s">
        <v>349</v>
      </c>
      <c r="E2197" s="0" t="s">
        <v>68</v>
      </c>
      <c r="F2197" s="0" t="s">
        <v>30</v>
      </c>
      <c r="I2197" s="0" t="n">
        <v>4000</v>
      </c>
      <c r="J2197" s="0" t="n">
        <v>0.888888888888889</v>
      </c>
      <c r="K2197" s="0" t="s">
        <v>2715</v>
      </c>
    </row>
    <row r="2198" customFormat="false" ht="15" hidden="false" customHeight="false" outlineLevel="0" collapsed="false">
      <c r="A2198" s="0" t="n">
        <v>177</v>
      </c>
      <c r="B2198" s="0" t="s">
        <v>2640</v>
      </c>
      <c r="C2198" s="0" t="s">
        <v>2716</v>
      </c>
      <c r="D2198" s="0" t="s">
        <v>349</v>
      </c>
      <c r="E2198" s="0" t="s">
        <v>2678</v>
      </c>
      <c r="F2198" s="0" t="s">
        <v>27</v>
      </c>
      <c r="G2198" s="0" t="n">
        <v>1.3</v>
      </c>
      <c r="H2198" s="0" t="n">
        <v>2</v>
      </c>
      <c r="I2198" s="0" t="n">
        <v>9880</v>
      </c>
      <c r="J2198" s="0" t="n">
        <v>2.6</v>
      </c>
      <c r="K2198" s="0" t="s">
        <v>2717</v>
      </c>
      <c r="L2198" s="0" t="s">
        <v>2718</v>
      </c>
    </row>
    <row r="2199" customFormat="false" ht="15" hidden="false" customHeight="false" outlineLevel="0" collapsed="false">
      <c r="A2199" s="0" t="n">
        <v>177</v>
      </c>
      <c r="B2199" s="0" t="s">
        <v>2640</v>
      </c>
      <c r="C2199" s="0" t="s">
        <v>2716</v>
      </c>
      <c r="D2199" s="0" t="s">
        <v>349</v>
      </c>
      <c r="E2199" s="0" t="s">
        <v>56</v>
      </c>
      <c r="F2199" s="0" t="s">
        <v>28</v>
      </c>
      <c r="I2199" s="0" t="n">
        <v>3000</v>
      </c>
      <c r="J2199" s="0" t="n">
        <v>0.789473684210526</v>
      </c>
      <c r="K2199" s="0" t="s">
        <v>2719</v>
      </c>
    </row>
    <row r="2200" customFormat="false" ht="15" hidden="false" customHeight="false" outlineLevel="0" collapsed="false">
      <c r="A2200" s="0" t="n">
        <v>177</v>
      </c>
      <c r="B2200" s="0" t="s">
        <v>2640</v>
      </c>
      <c r="C2200" s="0" t="s">
        <v>2716</v>
      </c>
      <c r="D2200" s="0" t="s">
        <v>349</v>
      </c>
      <c r="E2200" s="0" t="s">
        <v>2592</v>
      </c>
      <c r="F2200" s="0" t="s">
        <v>27</v>
      </c>
      <c r="I2200" s="0" t="n">
        <v>3000</v>
      </c>
      <c r="J2200" s="0" t="n">
        <v>0.789473684210526</v>
      </c>
      <c r="K2200" s="0" t="s">
        <v>2720</v>
      </c>
    </row>
    <row r="2201" customFormat="false" ht="15" hidden="false" customHeight="false" outlineLevel="0" collapsed="false">
      <c r="A2201" s="0" t="n">
        <v>177</v>
      </c>
      <c r="B2201" s="0" t="s">
        <v>2640</v>
      </c>
      <c r="C2201" s="0" t="s">
        <v>2716</v>
      </c>
      <c r="D2201" s="0" t="s">
        <v>349</v>
      </c>
      <c r="E2201" s="0" t="s">
        <v>58</v>
      </c>
      <c r="F2201" s="0" t="s">
        <v>28</v>
      </c>
      <c r="I2201" s="0" t="n">
        <v>7000</v>
      </c>
      <c r="J2201" s="0" t="n">
        <v>1.8421052631579</v>
      </c>
      <c r="K2201" s="0" t="s">
        <v>2721</v>
      </c>
    </row>
    <row r="2202" customFormat="false" ht="15" hidden="false" customHeight="false" outlineLevel="0" collapsed="false">
      <c r="A2202" s="0" t="n">
        <v>177</v>
      </c>
      <c r="B2202" s="0" t="s">
        <v>2640</v>
      </c>
      <c r="C2202" s="0" t="s">
        <v>2716</v>
      </c>
      <c r="D2202" s="0" t="s">
        <v>349</v>
      </c>
      <c r="E2202" s="0" t="s">
        <v>106</v>
      </c>
      <c r="F2202" s="0" t="s">
        <v>28</v>
      </c>
      <c r="I2202" s="0" t="n">
        <v>14000</v>
      </c>
      <c r="J2202" s="0" t="n">
        <v>3.68421052631579</v>
      </c>
      <c r="K2202" s="0" t="s">
        <v>2722</v>
      </c>
    </row>
    <row r="2203" customFormat="false" ht="15" hidden="false" customHeight="false" outlineLevel="0" collapsed="false">
      <c r="A2203" s="0" t="n">
        <v>177</v>
      </c>
      <c r="B2203" s="0" t="s">
        <v>2640</v>
      </c>
      <c r="C2203" s="0" t="s">
        <v>2716</v>
      </c>
      <c r="D2203" s="0" t="s">
        <v>349</v>
      </c>
      <c r="E2203" s="0" t="s">
        <v>2653</v>
      </c>
      <c r="F2203" s="0" t="s">
        <v>27</v>
      </c>
      <c r="I2203" s="0" t="n">
        <v>500</v>
      </c>
      <c r="J2203" s="0" t="n">
        <v>0.131578947368421</v>
      </c>
      <c r="K2203" s="0" t="s">
        <v>2723</v>
      </c>
    </row>
    <row r="2204" customFormat="false" ht="15" hidden="false" customHeight="false" outlineLevel="0" collapsed="false">
      <c r="A2204" s="0" t="n">
        <v>177</v>
      </c>
      <c r="B2204" s="0" t="s">
        <v>2640</v>
      </c>
      <c r="C2204" s="0" t="s">
        <v>2716</v>
      </c>
      <c r="D2204" s="0" t="s">
        <v>349</v>
      </c>
      <c r="E2204" s="0" t="s">
        <v>60</v>
      </c>
      <c r="F2204" s="0" t="s">
        <v>27</v>
      </c>
      <c r="I2204" s="0" t="n">
        <v>80</v>
      </c>
      <c r="J2204" s="0" t="n">
        <v>0.0210526315789474</v>
      </c>
      <c r="K2204" s="0" t="s">
        <v>2724</v>
      </c>
    </row>
    <row r="2205" customFormat="false" ht="15" hidden="false" customHeight="false" outlineLevel="0" collapsed="false">
      <c r="A2205" s="0" t="n">
        <v>177</v>
      </c>
      <c r="B2205" s="0" t="s">
        <v>2640</v>
      </c>
      <c r="C2205" s="0" t="s">
        <v>2716</v>
      </c>
      <c r="D2205" s="0" t="s">
        <v>349</v>
      </c>
      <c r="E2205" s="0" t="s">
        <v>2725</v>
      </c>
      <c r="F2205" s="0" t="s">
        <v>27</v>
      </c>
      <c r="I2205" s="0" t="n">
        <v>500</v>
      </c>
      <c r="J2205" s="0" t="n">
        <v>0.131578947368421</v>
      </c>
      <c r="K2205" s="0" t="s">
        <v>2726</v>
      </c>
    </row>
    <row r="2206" customFormat="false" ht="15" hidden="false" customHeight="false" outlineLevel="0" collapsed="false">
      <c r="A2206" s="0" t="n">
        <v>177</v>
      </c>
      <c r="B2206" s="0" t="s">
        <v>2640</v>
      </c>
      <c r="C2206" s="0" t="s">
        <v>2716</v>
      </c>
      <c r="D2206" s="0" t="s">
        <v>349</v>
      </c>
      <c r="E2206" s="0" t="s">
        <v>66</v>
      </c>
      <c r="F2206" s="0" t="s">
        <v>27</v>
      </c>
      <c r="I2206" s="0" t="n">
        <v>500</v>
      </c>
      <c r="J2206" s="0" t="n">
        <v>0.131578947368421</v>
      </c>
      <c r="K2206" s="0" t="s">
        <v>2727</v>
      </c>
    </row>
    <row r="2207" customFormat="false" ht="15" hidden="false" customHeight="false" outlineLevel="0" collapsed="false">
      <c r="A2207" s="0" t="n">
        <v>177</v>
      </c>
      <c r="B2207" s="0" t="s">
        <v>2640</v>
      </c>
      <c r="C2207" s="0" t="s">
        <v>2716</v>
      </c>
      <c r="D2207" s="0" t="s">
        <v>349</v>
      </c>
      <c r="E2207" s="0" t="s">
        <v>64</v>
      </c>
      <c r="F2207" s="0" t="s">
        <v>27</v>
      </c>
      <c r="I2207" s="0" t="n">
        <v>0</v>
      </c>
      <c r="J2207" s="0" t="n">
        <v>0</v>
      </c>
      <c r="K2207" s="0" t="s">
        <v>2728</v>
      </c>
    </row>
    <row r="2208" customFormat="false" ht="15" hidden="false" customHeight="false" outlineLevel="0" collapsed="false">
      <c r="A2208" s="0" t="n">
        <v>177</v>
      </c>
      <c r="B2208" s="0" t="s">
        <v>2640</v>
      </c>
      <c r="C2208" s="0" t="s">
        <v>2716</v>
      </c>
      <c r="D2208" s="0" t="s">
        <v>349</v>
      </c>
      <c r="E2208" s="0" t="s">
        <v>68</v>
      </c>
      <c r="F2208" s="0" t="s">
        <v>30</v>
      </c>
      <c r="I2208" s="0" t="n">
        <v>2700</v>
      </c>
      <c r="J2208" s="0" t="n">
        <v>0.710526315789474</v>
      </c>
      <c r="K2208" s="0" t="s">
        <v>2729</v>
      </c>
    </row>
    <row r="2209" customFormat="false" ht="15" hidden="false" customHeight="false" outlineLevel="0" collapsed="false">
      <c r="A2209" s="0" t="n">
        <v>178</v>
      </c>
      <c r="B2209" s="0" t="s">
        <v>2640</v>
      </c>
      <c r="C2209" s="0" t="s">
        <v>2716</v>
      </c>
      <c r="D2209" s="0" t="s">
        <v>349</v>
      </c>
      <c r="E2209" s="0" t="s">
        <v>2698</v>
      </c>
      <c r="F2209" s="0" t="s">
        <v>27</v>
      </c>
      <c r="G2209" s="0" t="n">
        <v>1.6</v>
      </c>
      <c r="H2209" s="0" t="n">
        <v>1.3</v>
      </c>
      <c r="I2209" s="0" t="n">
        <v>7904</v>
      </c>
      <c r="J2209" s="0" t="n">
        <v>2.08</v>
      </c>
      <c r="K2209" s="0" t="s">
        <v>2730</v>
      </c>
      <c r="L2209" s="0" t="s">
        <v>2731</v>
      </c>
    </row>
    <row r="2210" customFormat="false" ht="15" hidden="false" customHeight="false" outlineLevel="0" collapsed="false">
      <c r="A2210" s="0" t="n">
        <v>178</v>
      </c>
      <c r="B2210" s="0" t="s">
        <v>2640</v>
      </c>
      <c r="C2210" s="0" t="s">
        <v>2716</v>
      </c>
      <c r="D2210" s="0" t="s">
        <v>349</v>
      </c>
      <c r="E2210" s="0" t="s">
        <v>56</v>
      </c>
      <c r="F2210" s="0" t="s">
        <v>28</v>
      </c>
      <c r="I2210" s="0" t="n">
        <v>1400</v>
      </c>
      <c r="J2210" s="0" t="n">
        <v>0.368421052631579</v>
      </c>
      <c r="K2210" s="0" t="s">
        <v>2732</v>
      </c>
    </row>
    <row r="2211" customFormat="false" ht="15" hidden="false" customHeight="false" outlineLevel="0" collapsed="false">
      <c r="A2211" s="0" t="n">
        <v>178</v>
      </c>
      <c r="B2211" s="0" t="s">
        <v>2640</v>
      </c>
      <c r="C2211" s="0" t="s">
        <v>2716</v>
      </c>
      <c r="D2211" s="0" t="s">
        <v>349</v>
      </c>
      <c r="E2211" s="0" t="s">
        <v>2592</v>
      </c>
      <c r="F2211" s="0" t="s">
        <v>27</v>
      </c>
      <c r="G2211" s="0" t="n">
        <v>6</v>
      </c>
      <c r="H2211" s="0" t="n">
        <v>400</v>
      </c>
      <c r="I2211" s="0" t="n">
        <v>2400</v>
      </c>
      <c r="J2211" s="0" t="n">
        <v>0.631578947368421</v>
      </c>
      <c r="K2211" s="0" t="s">
        <v>2733</v>
      </c>
      <c r="L2211" s="0" t="s">
        <v>2734</v>
      </c>
    </row>
    <row r="2212" customFormat="false" ht="15" hidden="false" customHeight="false" outlineLevel="0" collapsed="false">
      <c r="A2212" s="0" t="n">
        <v>178</v>
      </c>
      <c r="B2212" s="0" t="s">
        <v>2640</v>
      </c>
      <c r="C2212" s="0" t="s">
        <v>2716</v>
      </c>
      <c r="D2212" s="0" t="s">
        <v>349</v>
      </c>
      <c r="E2212" s="0" t="s">
        <v>58</v>
      </c>
      <c r="F2212" s="0" t="s">
        <v>28</v>
      </c>
      <c r="I2212" s="0" t="n">
        <v>15000</v>
      </c>
      <c r="J2212" s="0" t="n">
        <v>3.94736842105263</v>
      </c>
      <c r="K2212" s="0" t="s">
        <v>2735</v>
      </c>
    </row>
    <row r="2213" customFormat="false" ht="15" hidden="false" customHeight="false" outlineLevel="0" collapsed="false">
      <c r="A2213" s="0" t="n">
        <v>178</v>
      </c>
      <c r="B2213" s="0" t="s">
        <v>2640</v>
      </c>
      <c r="C2213" s="0" t="s">
        <v>2716</v>
      </c>
      <c r="D2213" s="0" t="s">
        <v>349</v>
      </c>
      <c r="E2213" s="0" t="s">
        <v>106</v>
      </c>
      <c r="F2213" s="0" t="s">
        <v>28</v>
      </c>
      <c r="I2213" s="0" t="n">
        <v>0</v>
      </c>
      <c r="J2213" s="0" t="n">
        <v>0</v>
      </c>
      <c r="K2213" s="0" t="s">
        <v>2736</v>
      </c>
    </row>
    <row r="2214" customFormat="false" ht="15" hidden="false" customHeight="false" outlineLevel="0" collapsed="false">
      <c r="A2214" s="0" t="n">
        <v>178</v>
      </c>
      <c r="B2214" s="0" t="s">
        <v>2640</v>
      </c>
      <c r="C2214" s="0" t="s">
        <v>2716</v>
      </c>
      <c r="D2214" s="0" t="s">
        <v>349</v>
      </c>
      <c r="E2214" s="0" t="s">
        <v>2689</v>
      </c>
      <c r="F2214" s="0" t="s">
        <v>28</v>
      </c>
      <c r="I2214" s="0" t="n">
        <v>0</v>
      </c>
      <c r="J2214" s="0" t="n">
        <v>0</v>
      </c>
      <c r="K2214" s="0" t="s">
        <v>2737</v>
      </c>
    </row>
    <row r="2215" customFormat="false" ht="15" hidden="false" customHeight="false" outlineLevel="0" collapsed="false">
      <c r="A2215" s="0" t="n">
        <v>178</v>
      </c>
      <c r="B2215" s="0" t="s">
        <v>2640</v>
      </c>
      <c r="C2215" s="0" t="s">
        <v>2716</v>
      </c>
      <c r="D2215" s="0" t="s">
        <v>349</v>
      </c>
      <c r="E2215" s="0" t="s">
        <v>128</v>
      </c>
      <c r="F2215" s="0" t="s">
        <v>28</v>
      </c>
      <c r="I2215" s="0" t="n">
        <v>0</v>
      </c>
      <c r="J2215" s="0" t="n">
        <v>0</v>
      </c>
      <c r="K2215" s="0" t="s">
        <v>2738</v>
      </c>
    </row>
    <row r="2216" customFormat="false" ht="15" hidden="false" customHeight="false" outlineLevel="0" collapsed="false">
      <c r="A2216" s="0" t="n">
        <v>178</v>
      </c>
      <c r="B2216" s="0" t="s">
        <v>2640</v>
      </c>
      <c r="C2216" s="0" t="s">
        <v>2716</v>
      </c>
      <c r="D2216" s="0" t="s">
        <v>349</v>
      </c>
      <c r="E2216" s="0" t="s">
        <v>132</v>
      </c>
      <c r="F2216" s="0" t="s">
        <v>29</v>
      </c>
      <c r="I2216" s="0" t="n">
        <v>0</v>
      </c>
      <c r="J2216" s="0" t="n">
        <v>0</v>
      </c>
      <c r="K2216" s="0" t="s">
        <v>2739</v>
      </c>
    </row>
    <row r="2217" customFormat="false" ht="15" hidden="false" customHeight="false" outlineLevel="0" collapsed="false">
      <c r="A2217" s="0" t="n">
        <v>178</v>
      </c>
      <c r="B2217" s="0" t="s">
        <v>2640</v>
      </c>
      <c r="C2217" s="0" t="s">
        <v>2716</v>
      </c>
      <c r="D2217" s="0" t="s">
        <v>349</v>
      </c>
      <c r="E2217" s="0" t="s">
        <v>134</v>
      </c>
      <c r="F2217" s="0" t="s">
        <v>28</v>
      </c>
      <c r="I2217" s="0" t="n">
        <v>0</v>
      </c>
      <c r="J2217" s="0" t="n">
        <v>0</v>
      </c>
      <c r="K2217" s="0" t="s">
        <v>2740</v>
      </c>
    </row>
    <row r="2218" customFormat="false" ht="15" hidden="false" customHeight="false" outlineLevel="0" collapsed="false">
      <c r="A2218" s="0" t="n">
        <v>178</v>
      </c>
      <c r="B2218" s="0" t="s">
        <v>2640</v>
      </c>
      <c r="C2218" s="0" t="s">
        <v>2716</v>
      </c>
      <c r="D2218" s="0" t="s">
        <v>349</v>
      </c>
      <c r="E2218" s="0" t="s">
        <v>60</v>
      </c>
      <c r="F2218" s="0" t="s">
        <v>27</v>
      </c>
      <c r="I2218" s="0" t="n">
        <v>0</v>
      </c>
      <c r="J2218" s="0" t="n">
        <v>0</v>
      </c>
      <c r="K2218" s="0" t="s">
        <v>2741</v>
      </c>
    </row>
    <row r="2219" customFormat="false" ht="15" hidden="false" customHeight="false" outlineLevel="0" collapsed="false">
      <c r="A2219" s="0" t="n">
        <v>178</v>
      </c>
      <c r="B2219" s="0" t="s">
        <v>2640</v>
      </c>
      <c r="C2219" s="0" t="s">
        <v>2716</v>
      </c>
      <c r="D2219" s="0" t="s">
        <v>349</v>
      </c>
      <c r="E2219" s="0" t="s">
        <v>62</v>
      </c>
      <c r="F2219" s="0" t="s">
        <v>27</v>
      </c>
      <c r="I2219" s="0" t="n">
        <v>0</v>
      </c>
      <c r="J2219" s="0" t="n">
        <v>0</v>
      </c>
      <c r="K2219" s="0" t="s">
        <v>2742</v>
      </c>
    </row>
    <row r="2220" customFormat="false" ht="15" hidden="false" customHeight="false" outlineLevel="0" collapsed="false">
      <c r="A2220" s="0" t="n">
        <v>178</v>
      </c>
      <c r="B2220" s="0" t="s">
        <v>2640</v>
      </c>
      <c r="C2220" s="0" t="s">
        <v>2716</v>
      </c>
      <c r="D2220" s="0" t="s">
        <v>349</v>
      </c>
      <c r="E2220" s="0" t="s">
        <v>66</v>
      </c>
      <c r="F2220" s="0" t="s">
        <v>27</v>
      </c>
      <c r="I2220" s="0" t="n">
        <v>0</v>
      </c>
      <c r="J2220" s="0" t="n">
        <v>0</v>
      </c>
      <c r="K2220" s="0" t="s">
        <v>2743</v>
      </c>
    </row>
    <row r="2221" customFormat="false" ht="15" hidden="false" customHeight="false" outlineLevel="0" collapsed="false">
      <c r="A2221" s="0" t="n">
        <v>178</v>
      </c>
      <c r="B2221" s="0" t="s">
        <v>2640</v>
      </c>
      <c r="C2221" s="0" t="s">
        <v>2716</v>
      </c>
      <c r="D2221" s="0" t="s">
        <v>349</v>
      </c>
      <c r="E2221" s="0" t="s">
        <v>64</v>
      </c>
      <c r="F2221" s="0" t="s">
        <v>27</v>
      </c>
      <c r="I2221" s="0" t="n">
        <v>0</v>
      </c>
      <c r="J2221" s="0" t="n">
        <v>0</v>
      </c>
      <c r="K2221" s="0" t="s">
        <v>2744</v>
      </c>
    </row>
    <row r="2222" customFormat="false" ht="15" hidden="false" customHeight="false" outlineLevel="0" collapsed="false">
      <c r="A2222" s="0" t="n">
        <v>178</v>
      </c>
      <c r="B2222" s="0" t="s">
        <v>2640</v>
      </c>
      <c r="C2222" s="0" t="s">
        <v>2716</v>
      </c>
      <c r="D2222" s="0" t="s">
        <v>349</v>
      </c>
      <c r="E2222" s="0" t="s">
        <v>68</v>
      </c>
      <c r="F2222" s="0" t="s">
        <v>30</v>
      </c>
      <c r="I2222" s="0" t="n">
        <v>0</v>
      </c>
      <c r="J2222" s="0" t="n">
        <v>0</v>
      </c>
      <c r="K2222" s="0" t="s">
        <v>2745</v>
      </c>
    </row>
    <row r="2223" customFormat="false" ht="15" hidden="false" customHeight="false" outlineLevel="0" collapsed="false">
      <c r="A2223" s="0" t="n">
        <v>179</v>
      </c>
      <c r="B2223" s="0" t="s">
        <v>2640</v>
      </c>
      <c r="C2223" s="0" t="s">
        <v>2716</v>
      </c>
      <c r="D2223" s="0" t="s">
        <v>349</v>
      </c>
      <c r="E2223" s="0" t="s">
        <v>2698</v>
      </c>
      <c r="F2223" s="0" t="s">
        <v>27</v>
      </c>
      <c r="G2223" s="0" t="n">
        <v>2</v>
      </c>
      <c r="H2223" s="0" t="n">
        <v>1.95</v>
      </c>
      <c r="I2223" s="0" t="n">
        <v>14820</v>
      </c>
      <c r="J2223" s="0" t="n">
        <v>3.9</v>
      </c>
      <c r="K2223" s="0" t="s">
        <v>2746</v>
      </c>
      <c r="L2223" s="0" t="s">
        <v>2747</v>
      </c>
    </row>
    <row r="2224" customFormat="false" ht="15" hidden="false" customHeight="false" outlineLevel="0" collapsed="false">
      <c r="A2224" s="0" t="n">
        <v>179</v>
      </c>
      <c r="B2224" s="0" t="s">
        <v>2640</v>
      </c>
      <c r="C2224" s="0" t="s">
        <v>2716</v>
      </c>
      <c r="D2224" s="0" t="s">
        <v>349</v>
      </c>
      <c r="E2224" s="0" t="s">
        <v>56</v>
      </c>
      <c r="F2224" s="0" t="s">
        <v>28</v>
      </c>
      <c r="I2224" s="0" t="n">
        <v>700</v>
      </c>
      <c r="J2224" s="0" t="n">
        <v>0.18421052631579</v>
      </c>
      <c r="K2224" s="0" t="s">
        <v>2748</v>
      </c>
    </row>
    <row r="2225" customFormat="false" ht="15" hidden="false" customHeight="false" outlineLevel="0" collapsed="false">
      <c r="A2225" s="0" t="n">
        <v>179</v>
      </c>
      <c r="B2225" s="0" t="s">
        <v>2640</v>
      </c>
      <c r="C2225" s="0" t="s">
        <v>2716</v>
      </c>
      <c r="D2225" s="0" t="s">
        <v>349</v>
      </c>
      <c r="E2225" s="0" t="s">
        <v>2592</v>
      </c>
      <c r="F2225" s="0" t="s">
        <v>27</v>
      </c>
      <c r="I2225" s="0" t="n">
        <v>2500</v>
      </c>
      <c r="J2225" s="0" t="n">
        <v>0.657894736842105</v>
      </c>
      <c r="K2225" s="0" t="s">
        <v>2749</v>
      </c>
    </row>
    <row r="2226" customFormat="false" ht="15" hidden="false" customHeight="false" outlineLevel="0" collapsed="false">
      <c r="A2226" s="0" t="n">
        <v>179</v>
      </c>
      <c r="B2226" s="0" t="s">
        <v>2640</v>
      </c>
      <c r="C2226" s="0" t="s">
        <v>2716</v>
      </c>
      <c r="D2226" s="0" t="s">
        <v>349</v>
      </c>
      <c r="E2226" s="0" t="s">
        <v>58</v>
      </c>
      <c r="F2226" s="0" t="s">
        <v>28</v>
      </c>
      <c r="I2226" s="0" t="n">
        <v>12000</v>
      </c>
      <c r="J2226" s="0" t="n">
        <v>3.15789473684211</v>
      </c>
      <c r="K2226" s="0" t="s">
        <v>2750</v>
      </c>
    </row>
    <row r="2227" customFormat="false" ht="15" hidden="false" customHeight="false" outlineLevel="0" collapsed="false">
      <c r="A2227" s="0" t="n">
        <v>179</v>
      </c>
      <c r="B2227" s="0" t="s">
        <v>2640</v>
      </c>
      <c r="C2227" s="0" t="s">
        <v>2716</v>
      </c>
      <c r="D2227" s="0" t="s">
        <v>349</v>
      </c>
      <c r="E2227" s="0" t="s">
        <v>203</v>
      </c>
      <c r="F2227" s="0" t="s">
        <v>29</v>
      </c>
      <c r="I2227" s="0" t="n">
        <v>2000</v>
      </c>
      <c r="J2227" s="0" t="n">
        <v>0.526315789473684</v>
      </c>
      <c r="K2227" s="0" t="s">
        <v>2751</v>
      </c>
    </row>
    <row r="2228" customFormat="false" ht="15" hidden="false" customHeight="false" outlineLevel="0" collapsed="false">
      <c r="A2228" s="0" t="n">
        <v>179</v>
      </c>
      <c r="B2228" s="0" t="s">
        <v>2640</v>
      </c>
      <c r="C2228" s="0" t="s">
        <v>2716</v>
      </c>
      <c r="D2228" s="0" t="s">
        <v>349</v>
      </c>
      <c r="E2228" s="0" t="s">
        <v>158</v>
      </c>
      <c r="F2228" s="0" t="s">
        <v>28</v>
      </c>
      <c r="I2228" s="0" t="n">
        <v>1000</v>
      </c>
      <c r="J2228" s="0" t="n">
        <v>0.263157894736842</v>
      </c>
      <c r="K2228" s="0" t="s">
        <v>2752</v>
      </c>
    </row>
    <row r="2229" customFormat="false" ht="15" hidden="false" customHeight="false" outlineLevel="0" collapsed="false">
      <c r="A2229" s="0" t="n">
        <v>179</v>
      </c>
      <c r="B2229" s="0" t="s">
        <v>2640</v>
      </c>
      <c r="C2229" s="0" t="s">
        <v>2716</v>
      </c>
      <c r="D2229" s="0" t="s">
        <v>349</v>
      </c>
      <c r="E2229" s="0" t="s">
        <v>128</v>
      </c>
      <c r="F2229" s="0" t="s">
        <v>28</v>
      </c>
      <c r="I2229" s="0" t="n">
        <v>2000</v>
      </c>
      <c r="J2229" s="0" t="n">
        <v>0.526315789473684</v>
      </c>
      <c r="K2229" s="0" t="s">
        <v>2753</v>
      </c>
    </row>
    <row r="2230" customFormat="false" ht="15" hidden="false" customHeight="false" outlineLevel="0" collapsed="false">
      <c r="A2230" s="0" t="n">
        <v>179</v>
      </c>
      <c r="B2230" s="0" t="s">
        <v>2640</v>
      </c>
      <c r="C2230" s="0" t="s">
        <v>2716</v>
      </c>
      <c r="D2230" s="0" t="s">
        <v>349</v>
      </c>
      <c r="E2230" s="0" t="s">
        <v>132</v>
      </c>
      <c r="F2230" s="0" t="s">
        <v>29</v>
      </c>
      <c r="I2230" s="0" t="n">
        <v>200</v>
      </c>
      <c r="J2230" s="0" t="n">
        <v>0.0526315789473684</v>
      </c>
      <c r="K2230" s="0" t="s">
        <v>2754</v>
      </c>
    </row>
    <row r="2231" customFormat="false" ht="15" hidden="false" customHeight="false" outlineLevel="0" collapsed="false">
      <c r="A2231" s="0" t="n">
        <v>179</v>
      </c>
      <c r="B2231" s="0" t="s">
        <v>2640</v>
      </c>
      <c r="C2231" s="0" t="s">
        <v>2716</v>
      </c>
      <c r="D2231" s="0" t="s">
        <v>349</v>
      </c>
      <c r="E2231" s="0" t="s">
        <v>134</v>
      </c>
      <c r="F2231" s="0" t="s">
        <v>28</v>
      </c>
      <c r="I2231" s="0" t="n">
        <v>500</v>
      </c>
      <c r="J2231" s="0" t="n">
        <v>0.131578947368421</v>
      </c>
      <c r="K2231" s="0" t="s">
        <v>2755</v>
      </c>
    </row>
    <row r="2232" customFormat="false" ht="15" hidden="false" customHeight="false" outlineLevel="0" collapsed="false">
      <c r="A2232" s="0" t="n">
        <v>179</v>
      </c>
      <c r="B2232" s="0" t="s">
        <v>2640</v>
      </c>
      <c r="C2232" s="0" t="s">
        <v>2716</v>
      </c>
      <c r="D2232" s="0" t="s">
        <v>349</v>
      </c>
      <c r="E2232" s="0" t="s">
        <v>60</v>
      </c>
      <c r="F2232" s="0" t="s">
        <v>27</v>
      </c>
      <c r="I2232" s="0" t="n">
        <v>200</v>
      </c>
      <c r="J2232" s="0" t="n">
        <v>0.0526315789473684</v>
      </c>
      <c r="K2232" s="0" t="s">
        <v>2756</v>
      </c>
    </row>
    <row r="2233" customFormat="false" ht="15" hidden="false" customHeight="false" outlineLevel="0" collapsed="false">
      <c r="A2233" s="0" t="n">
        <v>179</v>
      </c>
      <c r="B2233" s="0" t="s">
        <v>2640</v>
      </c>
      <c r="C2233" s="0" t="s">
        <v>2716</v>
      </c>
      <c r="D2233" s="0" t="s">
        <v>349</v>
      </c>
      <c r="E2233" s="0" t="s">
        <v>62</v>
      </c>
      <c r="F2233" s="0" t="s">
        <v>27</v>
      </c>
      <c r="I2233" s="0" t="n">
        <v>100</v>
      </c>
      <c r="J2233" s="0" t="n">
        <v>0.0263157894736842</v>
      </c>
      <c r="K2233" s="0" t="s">
        <v>2757</v>
      </c>
    </row>
    <row r="2234" customFormat="false" ht="15" hidden="false" customHeight="false" outlineLevel="0" collapsed="false">
      <c r="A2234" s="0" t="n">
        <v>179</v>
      </c>
      <c r="B2234" s="0" t="s">
        <v>2640</v>
      </c>
      <c r="C2234" s="0" t="s">
        <v>2716</v>
      </c>
      <c r="D2234" s="0" t="s">
        <v>349</v>
      </c>
      <c r="E2234" s="0" t="s">
        <v>66</v>
      </c>
      <c r="F2234" s="0" t="s">
        <v>27</v>
      </c>
      <c r="I2234" s="0" t="n">
        <v>250</v>
      </c>
      <c r="J2234" s="0" t="n">
        <v>0.0657894736842105</v>
      </c>
      <c r="K2234" s="0" t="s">
        <v>2758</v>
      </c>
    </row>
    <row r="2235" customFormat="false" ht="15" hidden="false" customHeight="false" outlineLevel="0" collapsed="false">
      <c r="A2235" s="0" t="n">
        <v>179</v>
      </c>
      <c r="B2235" s="0" t="s">
        <v>2640</v>
      </c>
      <c r="C2235" s="0" t="s">
        <v>2716</v>
      </c>
      <c r="D2235" s="0" t="s">
        <v>349</v>
      </c>
      <c r="E2235" s="0" t="s">
        <v>64</v>
      </c>
      <c r="F2235" s="0" t="s">
        <v>27</v>
      </c>
      <c r="I2235" s="0" t="n">
        <v>300</v>
      </c>
      <c r="J2235" s="0" t="n">
        <v>0.0789473684210526</v>
      </c>
      <c r="K2235" s="0" t="s">
        <v>2759</v>
      </c>
    </row>
    <row r="2236" customFormat="false" ht="15" hidden="false" customHeight="false" outlineLevel="0" collapsed="false">
      <c r="A2236" s="0" t="n">
        <v>179</v>
      </c>
      <c r="B2236" s="0" t="s">
        <v>2640</v>
      </c>
      <c r="C2236" s="0" t="s">
        <v>2716</v>
      </c>
      <c r="D2236" s="0" t="s">
        <v>349</v>
      </c>
      <c r="E2236" s="0" t="s">
        <v>68</v>
      </c>
      <c r="F2236" s="0" t="s">
        <v>30</v>
      </c>
      <c r="I2236" s="0" t="n">
        <v>4000</v>
      </c>
      <c r="J2236" s="0" t="n">
        <v>1.05263157894737</v>
      </c>
      <c r="K2236" s="0" t="s">
        <v>2760</v>
      </c>
    </row>
    <row r="2237" customFormat="false" ht="15" hidden="false" customHeight="false" outlineLevel="0" collapsed="false">
      <c r="A2237" s="0" t="n">
        <v>180</v>
      </c>
      <c r="B2237" s="0" t="s">
        <v>2640</v>
      </c>
      <c r="C2237" s="0" t="s">
        <v>2761</v>
      </c>
      <c r="D2237" s="0" t="s">
        <v>2761</v>
      </c>
      <c r="E2237" s="0" t="s">
        <v>2698</v>
      </c>
      <c r="F2237" s="0" t="s">
        <v>27</v>
      </c>
      <c r="G2237" s="0" t="n">
        <v>1.3</v>
      </c>
      <c r="H2237" s="0" t="n">
        <v>2</v>
      </c>
      <c r="I2237" s="0" t="n">
        <v>10400</v>
      </c>
      <c r="J2237" s="0" t="n">
        <v>2.6</v>
      </c>
      <c r="K2237" s="0" t="s">
        <v>2762</v>
      </c>
      <c r="L2237" s="0" t="s">
        <v>2763</v>
      </c>
    </row>
    <row r="2238" customFormat="false" ht="15" hidden="false" customHeight="false" outlineLevel="0" collapsed="false">
      <c r="A2238" s="0" t="n">
        <v>180</v>
      </c>
      <c r="B2238" s="0" t="s">
        <v>2640</v>
      </c>
      <c r="C2238" s="0" t="s">
        <v>2761</v>
      </c>
      <c r="D2238" s="0" t="s">
        <v>2761</v>
      </c>
      <c r="E2238" s="0" t="s">
        <v>56</v>
      </c>
      <c r="F2238" s="0" t="s">
        <v>28</v>
      </c>
      <c r="I2238" s="0" t="n">
        <v>1000</v>
      </c>
      <c r="J2238" s="0" t="n">
        <v>0.25</v>
      </c>
      <c r="K2238" s="0" t="s">
        <v>2764</v>
      </c>
    </row>
    <row r="2239" customFormat="false" ht="15" hidden="false" customHeight="false" outlineLevel="0" collapsed="false">
      <c r="A2239" s="0" t="n">
        <v>180</v>
      </c>
      <c r="B2239" s="0" t="s">
        <v>2640</v>
      </c>
      <c r="C2239" s="0" t="s">
        <v>2761</v>
      </c>
      <c r="D2239" s="0" t="s">
        <v>2761</v>
      </c>
      <c r="E2239" s="0" t="s">
        <v>2592</v>
      </c>
      <c r="F2239" s="0" t="s">
        <v>27</v>
      </c>
      <c r="I2239" s="0" t="n">
        <v>2000</v>
      </c>
      <c r="J2239" s="0" t="n">
        <v>0.5</v>
      </c>
      <c r="K2239" s="0" t="s">
        <v>2765</v>
      </c>
    </row>
    <row r="2240" customFormat="false" ht="15" hidden="false" customHeight="false" outlineLevel="0" collapsed="false">
      <c r="A2240" s="0" t="n">
        <v>180</v>
      </c>
      <c r="B2240" s="0" t="s">
        <v>2640</v>
      </c>
      <c r="C2240" s="0" t="s">
        <v>2761</v>
      </c>
      <c r="D2240" s="0" t="s">
        <v>2761</v>
      </c>
      <c r="E2240" s="0" t="s">
        <v>58</v>
      </c>
      <c r="F2240" s="0" t="s">
        <v>28</v>
      </c>
      <c r="I2240" s="0" t="n">
        <v>8000</v>
      </c>
      <c r="J2240" s="0" t="n">
        <v>2</v>
      </c>
      <c r="K2240" s="0" t="s">
        <v>2766</v>
      </c>
    </row>
    <row r="2241" customFormat="false" ht="15" hidden="false" customHeight="false" outlineLevel="0" collapsed="false">
      <c r="A2241" s="0" t="n">
        <v>180</v>
      </c>
      <c r="B2241" s="0" t="s">
        <v>2640</v>
      </c>
      <c r="C2241" s="0" t="s">
        <v>2761</v>
      </c>
      <c r="D2241" s="0" t="s">
        <v>2761</v>
      </c>
      <c r="E2241" s="0" t="s">
        <v>2653</v>
      </c>
      <c r="F2241" s="0" t="s">
        <v>27</v>
      </c>
      <c r="I2241" s="0" t="n">
        <v>1000</v>
      </c>
      <c r="J2241" s="0" t="n">
        <v>0.25</v>
      </c>
      <c r="K2241" s="0" t="s">
        <v>2767</v>
      </c>
      <c r="L2241" s="0" t="s">
        <v>1665</v>
      </c>
    </row>
    <row r="2242" customFormat="false" ht="15" hidden="false" customHeight="false" outlineLevel="0" collapsed="false">
      <c r="A2242" s="0" t="n">
        <v>180</v>
      </c>
      <c r="B2242" s="0" t="s">
        <v>2640</v>
      </c>
      <c r="C2242" s="0" t="s">
        <v>2761</v>
      </c>
      <c r="D2242" s="0" t="s">
        <v>2761</v>
      </c>
      <c r="E2242" s="0" t="s">
        <v>128</v>
      </c>
      <c r="F2242" s="0" t="s">
        <v>28</v>
      </c>
      <c r="I2242" s="0" t="n">
        <v>0</v>
      </c>
      <c r="J2242" s="0" t="n">
        <v>0</v>
      </c>
      <c r="K2242" s="0" t="s">
        <v>2768</v>
      </c>
    </row>
    <row r="2243" customFormat="false" ht="15" hidden="false" customHeight="false" outlineLevel="0" collapsed="false">
      <c r="A2243" s="0" t="n">
        <v>180</v>
      </c>
      <c r="B2243" s="0" t="s">
        <v>2640</v>
      </c>
      <c r="C2243" s="0" t="s">
        <v>2761</v>
      </c>
      <c r="D2243" s="0" t="s">
        <v>2761</v>
      </c>
      <c r="E2243" s="0" t="s">
        <v>158</v>
      </c>
      <c r="F2243" s="0" t="s">
        <v>28</v>
      </c>
      <c r="I2243" s="0" t="n">
        <v>0</v>
      </c>
      <c r="J2243" s="0" t="n">
        <v>0</v>
      </c>
      <c r="K2243" s="0" t="s">
        <v>2769</v>
      </c>
    </row>
    <row r="2244" customFormat="false" ht="15" hidden="false" customHeight="false" outlineLevel="0" collapsed="false">
      <c r="A2244" s="0" t="n">
        <v>180</v>
      </c>
      <c r="B2244" s="0" t="s">
        <v>2640</v>
      </c>
      <c r="C2244" s="0" t="s">
        <v>2761</v>
      </c>
      <c r="D2244" s="0" t="s">
        <v>2761</v>
      </c>
      <c r="E2244" s="0" t="s">
        <v>62</v>
      </c>
      <c r="F2244" s="0" t="s">
        <v>27</v>
      </c>
      <c r="I2244" s="0" t="n">
        <v>100</v>
      </c>
      <c r="J2244" s="0" t="n">
        <v>0.025</v>
      </c>
      <c r="K2244" s="0" t="s">
        <v>2770</v>
      </c>
    </row>
    <row r="2245" customFormat="false" ht="15" hidden="false" customHeight="false" outlineLevel="0" collapsed="false">
      <c r="A2245" s="0" t="n">
        <v>180</v>
      </c>
      <c r="B2245" s="0" t="s">
        <v>2640</v>
      </c>
      <c r="C2245" s="0" t="s">
        <v>2761</v>
      </c>
      <c r="D2245" s="0" t="s">
        <v>2761</v>
      </c>
      <c r="E2245" s="0" t="s">
        <v>66</v>
      </c>
      <c r="F2245" s="0" t="s">
        <v>27</v>
      </c>
      <c r="I2245" s="0" t="n">
        <v>250</v>
      </c>
      <c r="J2245" s="0" t="n">
        <v>0.0625</v>
      </c>
      <c r="K2245" s="0" t="s">
        <v>2771</v>
      </c>
    </row>
    <row r="2246" customFormat="false" ht="15" hidden="false" customHeight="false" outlineLevel="0" collapsed="false">
      <c r="A2246" s="0" t="n">
        <v>180</v>
      </c>
      <c r="B2246" s="0" t="s">
        <v>2640</v>
      </c>
      <c r="C2246" s="0" t="s">
        <v>2761</v>
      </c>
      <c r="D2246" s="0" t="s">
        <v>2761</v>
      </c>
      <c r="E2246" s="0" t="s">
        <v>64</v>
      </c>
      <c r="F2246" s="0" t="s">
        <v>27</v>
      </c>
      <c r="I2246" s="0" t="n">
        <v>50</v>
      </c>
      <c r="J2246" s="0" t="n">
        <v>0.0125</v>
      </c>
      <c r="K2246" s="0" t="s">
        <v>2772</v>
      </c>
    </row>
    <row r="2247" customFormat="false" ht="15" hidden="false" customHeight="false" outlineLevel="0" collapsed="false">
      <c r="A2247" s="0" t="n">
        <v>180</v>
      </c>
      <c r="B2247" s="0" t="s">
        <v>2640</v>
      </c>
      <c r="C2247" s="0" t="s">
        <v>2761</v>
      </c>
      <c r="D2247" s="0" t="s">
        <v>2761</v>
      </c>
      <c r="E2247" s="0" t="s">
        <v>68</v>
      </c>
      <c r="F2247" s="0" t="s">
        <v>30</v>
      </c>
      <c r="I2247" s="0" t="n">
        <v>3700</v>
      </c>
      <c r="J2247" s="0" t="n">
        <v>0.925</v>
      </c>
      <c r="K2247" s="0" t="s">
        <v>2773</v>
      </c>
    </row>
    <row r="2248" customFormat="false" ht="15" hidden="false" customHeight="false" outlineLevel="0" collapsed="false">
      <c r="A2248" s="0" t="n">
        <v>181</v>
      </c>
      <c r="B2248" s="0" t="s">
        <v>2774</v>
      </c>
      <c r="C2248" s="0" t="s">
        <v>2761</v>
      </c>
      <c r="D2248" s="0" t="s">
        <v>2761</v>
      </c>
      <c r="E2248" s="0" t="s">
        <v>2698</v>
      </c>
      <c r="F2248" s="0" t="s">
        <v>27</v>
      </c>
      <c r="G2248" s="0" t="n">
        <v>1.5</v>
      </c>
      <c r="H2248" s="0" t="n">
        <v>3.5</v>
      </c>
      <c r="I2248" s="0" t="n">
        <v>21000</v>
      </c>
      <c r="J2248" s="0" t="n">
        <v>5.25</v>
      </c>
      <c r="K2248" s="0" t="s">
        <v>2775</v>
      </c>
      <c r="L2248" s="0" t="s">
        <v>2776</v>
      </c>
    </row>
    <row r="2249" customFormat="false" ht="15" hidden="false" customHeight="false" outlineLevel="0" collapsed="false">
      <c r="A2249" s="0" t="n">
        <v>181</v>
      </c>
      <c r="B2249" s="0" t="s">
        <v>2774</v>
      </c>
      <c r="C2249" s="0" t="s">
        <v>2761</v>
      </c>
      <c r="D2249" s="0" t="s">
        <v>2761</v>
      </c>
      <c r="E2249" s="0" t="s">
        <v>56</v>
      </c>
      <c r="F2249" s="0" t="s">
        <v>28</v>
      </c>
      <c r="I2249" s="0" t="n">
        <v>3000</v>
      </c>
      <c r="J2249" s="0" t="n">
        <v>0.75</v>
      </c>
      <c r="K2249" s="0" t="s">
        <v>2777</v>
      </c>
    </row>
    <row r="2250" customFormat="false" ht="15" hidden="false" customHeight="false" outlineLevel="0" collapsed="false">
      <c r="A2250" s="0" t="n">
        <v>181</v>
      </c>
      <c r="B2250" s="0" t="s">
        <v>2774</v>
      </c>
      <c r="C2250" s="0" t="s">
        <v>2761</v>
      </c>
      <c r="D2250" s="0" t="s">
        <v>2761</v>
      </c>
      <c r="E2250" s="0" t="s">
        <v>2592</v>
      </c>
      <c r="F2250" s="0" t="s">
        <v>27</v>
      </c>
      <c r="I2250" s="0" t="n">
        <v>2800</v>
      </c>
      <c r="J2250" s="0" t="n">
        <v>0.7</v>
      </c>
      <c r="K2250" s="0" t="s">
        <v>2778</v>
      </c>
    </row>
    <row r="2251" customFormat="false" ht="15" hidden="false" customHeight="false" outlineLevel="0" collapsed="false">
      <c r="A2251" s="0" t="n">
        <v>181</v>
      </c>
      <c r="B2251" s="0" t="s">
        <v>2774</v>
      </c>
      <c r="C2251" s="0" t="s">
        <v>2761</v>
      </c>
      <c r="D2251" s="0" t="s">
        <v>2761</v>
      </c>
      <c r="E2251" s="0" t="s">
        <v>58</v>
      </c>
      <c r="F2251" s="0" t="s">
        <v>28</v>
      </c>
      <c r="I2251" s="0" t="n">
        <v>8000</v>
      </c>
      <c r="J2251" s="0" t="n">
        <v>2</v>
      </c>
      <c r="K2251" s="0" t="s">
        <v>2779</v>
      </c>
    </row>
    <row r="2252" customFormat="false" ht="15" hidden="false" customHeight="false" outlineLevel="0" collapsed="false">
      <c r="A2252" s="0" t="n">
        <v>181</v>
      </c>
      <c r="B2252" s="0" t="s">
        <v>2774</v>
      </c>
      <c r="C2252" s="0" t="s">
        <v>2761</v>
      </c>
      <c r="D2252" s="0" t="s">
        <v>2761</v>
      </c>
      <c r="E2252" s="0" t="s">
        <v>2616</v>
      </c>
      <c r="F2252" s="0" t="s">
        <v>31</v>
      </c>
      <c r="G2252" s="0" t="n">
        <v>1.7</v>
      </c>
      <c r="H2252" s="0" t="n">
        <v>10000</v>
      </c>
      <c r="I2252" s="0" t="n">
        <v>17000</v>
      </c>
      <c r="J2252" s="0" t="n">
        <v>4.25</v>
      </c>
      <c r="K2252" s="0" t="s">
        <v>2780</v>
      </c>
      <c r="L2252" s="0" t="s">
        <v>2781</v>
      </c>
    </row>
    <row r="2253" customFormat="false" ht="15" hidden="false" customHeight="false" outlineLevel="0" collapsed="false">
      <c r="A2253" s="0" t="n">
        <v>181</v>
      </c>
      <c r="B2253" s="0" t="s">
        <v>2774</v>
      </c>
      <c r="C2253" s="0" t="s">
        <v>2761</v>
      </c>
      <c r="D2253" s="0" t="s">
        <v>2761</v>
      </c>
      <c r="E2253" s="0" t="s">
        <v>128</v>
      </c>
      <c r="F2253" s="0" t="s">
        <v>28</v>
      </c>
      <c r="I2253" s="0" t="n">
        <v>2500</v>
      </c>
      <c r="J2253" s="0" t="n">
        <v>0.625</v>
      </c>
      <c r="K2253" s="0" t="s">
        <v>2782</v>
      </c>
    </row>
    <row r="2254" customFormat="false" ht="15" hidden="false" customHeight="false" outlineLevel="0" collapsed="false">
      <c r="A2254" s="0" t="n">
        <v>181</v>
      </c>
      <c r="B2254" s="0" t="s">
        <v>2774</v>
      </c>
      <c r="C2254" s="0" t="s">
        <v>2761</v>
      </c>
      <c r="D2254" s="0" t="s">
        <v>2761</v>
      </c>
      <c r="E2254" s="0" t="s">
        <v>158</v>
      </c>
      <c r="F2254" s="0" t="s">
        <v>28</v>
      </c>
      <c r="I2254" s="0" t="n">
        <v>1500</v>
      </c>
      <c r="J2254" s="0" t="n">
        <v>0.375</v>
      </c>
      <c r="K2254" s="0" t="s">
        <v>2783</v>
      </c>
    </row>
    <row r="2255" customFormat="false" ht="15" hidden="false" customHeight="false" outlineLevel="0" collapsed="false">
      <c r="A2255" s="0" t="n">
        <v>181</v>
      </c>
      <c r="B2255" s="0" t="s">
        <v>2774</v>
      </c>
      <c r="C2255" s="0" t="s">
        <v>2761</v>
      </c>
      <c r="D2255" s="0" t="s">
        <v>2761</v>
      </c>
      <c r="E2255" s="0" t="s">
        <v>2653</v>
      </c>
      <c r="F2255" s="0" t="s">
        <v>27</v>
      </c>
      <c r="I2255" s="0" t="n">
        <v>500</v>
      </c>
      <c r="J2255" s="0" t="n">
        <v>0.125</v>
      </c>
      <c r="K2255" s="0" t="s">
        <v>2784</v>
      </c>
    </row>
    <row r="2256" customFormat="false" ht="15" hidden="false" customHeight="false" outlineLevel="0" collapsed="false">
      <c r="A2256" s="0" t="n">
        <v>181</v>
      </c>
      <c r="B2256" s="0" t="s">
        <v>2774</v>
      </c>
      <c r="C2256" s="0" t="s">
        <v>2761</v>
      </c>
      <c r="D2256" s="0" t="s">
        <v>2761</v>
      </c>
      <c r="E2256" s="0" t="s">
        <v>62</v>
      </c>
      <c r="F2256" s="0" t="s">
        <v>27</v>
      </c>
      <c r="I2256" s="0" t="n">
        <v>100</v>
      </c>
      <c r="J2256" s="0" t="n">
        <v>0.025</v>
      </c>
      <c r="K2256" s="0" t="s">
        <v>2785</v>
      </c>
    </row>
    <row r="2257" customFormat="false" ht="15" hidden="false" customHeight="false" outlineLevel="0" collapsed="false">
      <c r="A2257" s="0" t="n">
        <v>181</v>
      </c>
      <c r="B2257" s="0" t="s">
        <v>2774</v>
      </c>
      <c r="C2257" s="0" t="s">
        <v>2761</v>
      </c>
      <c r="D2257" s="0" t="s">
        <v>2761</v>
      </c>
      <c r="E2257" s="0" t="s">
        <v>66</v>
      </c>
      <c r="F2257" s="0" t="s">
        <v>27</v>
      </c>
      <c r="I2257" s="0" t="n">
        <v>250</v>
      </c>
      <c r="J2257" s="0" t="n">
        <v>0.0625</v>
      </c>
      <c r="K2257" s="0" t="s">
        <v>2786</v>
      </c>
    </row>
    <row r="2258" customFormat="false" ht="15" hidden="false" customHeight="false" outlineLevel="0" collapsed="false">
      <c r="A2258" s="0" t="n">
        <v>181</v>
      </c>
      <c r="B2258" s="0" t="s">
        <v>2774</v>
      </c>
      <c r="C2258" s="0" t="s">
        <v>2761</v>
      </c>
      <c r="D2258" s="0" t="s">
        <v>2761</v>
      </c>
      <c r="E2258" s="0" t="s">
        <v>64</v>
      </c>
      <c r="F2258" s="0" t="s">
        <v>27</v>
      </c>
      <c r="I2258" s="0" t="n">
        <v>50</v>
      </c>
      <c r="J2258" s="0" t="n">
        <v>0.0125</v>
      </c>
      <c r="K2258" s="0" t="s">
        <v>2787</v>
      </c>
    </row>
    <row r="2259" customFormat="false" ht="15" hidden="false" customHeight="false" outlineLevel="0" collapsed="false">
      <c r="A2259" s="0" t="n">
        <v>181</v>
      </c>
      <c r="B2259" s="0" t="s">
        <v>2774</v>
      </c>
      <c r="C2259" s="0" t="s">
        <v>2761</v>
      </c>
      <c r="D2259" s="0" t="s">
        <v>2761</v>
      </c>
      <c r="E2259" s="0" t="s">
        <v>68</v>
      </c>
      <c r="F2259" s="0" t="s">
        <v>30</v>
      </c>
      <c r="I2259" s="0" t="n">
        <v>3700</v>
      </c>
      <c r="J2259" s="0" t="n">
        <v>0.925</v>
      </c>
      <c r="K2259" s="0" t="s">
        <v>2788</v>
      </c>
    </row>
    <row r="2260" customFormat="false" ht="15" hidden="false" customHeight="false" outlineLevel="0" collapsed="false">
      <c r="A2260" s="0" t="n">
        <v>182</v>
      </c>
      <c r="B2260" s="0" t="s">
        <v>2789</v>
      </c>
      <c r="C2260" s="0" t="s">
        <v>2789</v>
      </c>
      <c r="D2260" s="0" t="s">
        <v>2789</v>
      </c>
      <c r="E2260" s="0" t="s">
        <v>2698</v>
      </c>
      <c r="F2260" s="0" t="s">
        <v>27</v>
      </c>
      <c r="G2260" s="0" t="n">
        <v>2</v>
      </c>
      <c r="H2260" s="0" t="n">
        <v>1.95</v>
      </c>
      <c r="I2260" s="0" t="n">
        <v>14820</v>
      </c>
      <c r="J2260" s="0" t="n">
        <v>3.9</v>
      </c>
      <c r="K2260" s="0" t="s">
        <v>2790</v>
      </c>
      <c r="L2260" s="0" t="s">
        <v>2791</v>
      </c>
    </row>
    <row r="2261" customFormat="false" ht="15" hidden="false" customHeight="false" outlineLevel="0" collapsed="false">
      <c r="A2261" s="0" t="n">
        <v>182</v>
      </c>
      <c r="B2261" s="0" t="s">
        <v>2789</v>
      </c>
      <c r="C2261" s="0" t="s">
        <v>2789</v>
      </c>
      <c r="D2261" s="0" t="s">
        <v>2789</v>
      </c>
      <c r="E2261" s="0" t="s">
        <v>56</v>
      </c>
      <c r="F2261" s="0" t="s">
        <v>28</v>
      </c>
      <c r="I2261" s="0" t="n">
        <v>700</v>
      </c>
      <c r="J2261" s="0" t="n">
        <v>0.18421052631579</v>
      </c>
      <c r="K2261" s="0" t="s">
        <v>2792</v>
      </c>
    </row>
    <row r="2262" customFormat="false" ht="15" hidden="false" customHeight="false" outlineLevel="0" collapsed="false">
      <c r="A2262" s="0" t="n">
        <v>182</v>
      </c>
      <c r="B2262" s="0" t="s">
        <v>2789</v>
      </c>
      <c r="C2262" s="0" t="s">
        <v>2789</v>
      </c>
      <c r="D2262" s="0" t="s">
        <v>2789</v>
      </c>
      <c r="E2262" s="0" t="s">
        <v>58</v>
      </c>
      <c r="F2262" s="0" t="s">
        <v>28</v>
      </c>
      <c r="I2262" s="0" t="n">
        <v>6000</v>
      </c>
      <c r="J2262" s="0" t="n">
        <v>1.57894736842105</v>
      </c>
      <c r="K2262" s="0" t="s">
        <v>2793</v>
      </c>
    </row>
    <row r="2263" customFormat="false" ht="15" hidden="false" customHeight="false" outlineLevel="0" collapsed="false">
      <c r="A2263" s="0" t="n">
        <v>182</v>
      </c>
      <c r="B2263" s="0" t="s">
        <v>2789</v>
      </c>
      <c r="C2263" s="0" t="s">
        <v>2789</v>
      </c>
      <c r="D2263" s="0" t="s">
        <v>2789</v>
      </c>
      <c r="E2263" s="0" t="s">
        <v>66</v>
      </c>
      <c r="F2263" s="0" t="s">
        <v>27</v>
      </c>
      <c r="I2263" s="0" t="n">
        <v>250</v>
      </c>
      <c r="J2263" s="0" t="n">
        <v>0.0657894736842105</v>
      </c>
      <c r="K2263" s="0" t="s">
        <v>2794</v>
      </c>
    </row>
    <row r="2264" customFormat="false" ht="15" hidden="false" customHeight="false" outlineLevel="0" collapsed="false">
      <c r="A2264" s="0" t="n">
        <v>182</v>
      </c>
      <c r="B2264" s="0" t="s">
        <v>2789</v>
      </c>
      <c r="C2264" s="0" t="s">
        <v>2789</v>
      </c>
      <c r="D2264" s="0" t="s">
        <v>2789</v>
      </c>
      <c r="E2264" s="0" t="s">
        <v>64</v>
      </c>
      <c r="F2264" s="0" t="s">
        <v>27</v>
      </c>
      <c r="I2264" s="0" t="n">
        <v>300</v>
      </c>
      <c r="J2264" s="0" t="n">
        <v>0.0789473684210526</v>
      </c>
      <c r="K2264" s="0" t="s">
        <v>2795</v>
      </c>
    </row>
    <row r="2265" customFormat="false" ht="15" hidden="false" customHeight="false" outlineLevel="0" collapsed="false">
      <c r="A2265" s="0" t="n">
        <v>182</v>
      </c>
      <c r="B2265" s="0" t="s">
        <v>2789</v>
      </c>
      <c r="C2265" s="0" t="s">
        <v>2789</v>
      </c>
      <c r="D2265" s="0" t="s">
        <v>2789</v>
      </c>
      <c r="E2265" s="0" t="s">
        <v>68</v>
      </c>
      <c r="F2265" s="0" t="s">
        <v>30</v>
      </c>
      <c r="I2265" s="0" t="n">
        <v>4000</v>
      </c>
      <c r="J2265" s="0" t="n">
        <v>1.05263157894737</v>
      </c>
      <c r="K2265" s="0" t="s">
        <v>2796</v>
      </c>
    </row>
    <row r="2266" customFormat="false" ht="15" hidden="false" customHeight="false" outlineLevel="0" collapsed="false">
      <c r="A2266" s="0" t="n">
        <v>183</v>
      </c>
      <c r="B2266" s="0" t="s">
        <v>2797</v>
      </c>
      <c r="D2266" s="0" t="s">
        <v>296</v>
      </c>
      <c r="E2266" s="0" t="s">
        <v>2798</v>
      </c>
      <c r="F2266" s="0" t="s">
        <v>27</v>
      </c>
      <c r="G2266" s="0" t="n">
        <v>0.7</v>
      </c>
      <c r="H2266" s="0" t="n">
        <v>3</v>
      </c>
      <c r="I2266" s="0" t="n">
        <v>3150</v>
      </c>
      <c r="J2266" s="0" t="n">
        <v>0.7</v>
      </c>
      <c r="K2266" s="0" t="s">
        <v>2799</v>
      </c>
      <c r="L2266" s="0" t="s">
        <v>2800</v>
      </c>
    </row>
    <row r="2267" customFormat="false" ht="15" hidden="false" customHeight="false" outlineLevel="0" collapsed="false">
      <c r="A2267" s="0" t="n">
        <v>183</v>
      </c>
      <c r="B2267" s="0" t="s">
        <v>2797</v>
      </c>
      <c r="D2267" s="0" t="s">
        <v>296</v>
      </c>
      <c r="E2267" s="0" t="s">
        <v>56</v>
      </c>
      <c r="F2267" s="0" t="s">
        <v>28</v>
      </c>
      <c r="I2267" s="0" t="n">
        <v>1000</v>
      </c>
      <c r="J2267" s="0" t="n">
        <v>0.222222222222222</v>
      </c>
      <c r="K2267" s="0" t="s">
        <v>2801</v>
      </c>
    </row>
    <row r="2268" customFormat="false" ht="15" hidden="false" customHeight="false" outlineLevel="0" collapsed="false">
      <c r="A2268" s="0" t="n">
        <v>183</v>
      </c>
      <c r="B2268" s="0" t="s">
        <v>2797</v>
      </c>
      <c r="D2268" s="0" t="s">
        <v>296</v>
      </c>
      <c r="E2268" s="0" t="s">
        <v>58</v>
      </c>
      <c r="F2268" s="0" t="s">
        <v>28</v>
      </c>
      <c r="I2268" s="0" t="n">
        <v>2500</v>
      </c>
      <c r="J2268" s="0" t="n">
        <v>0.555555555555556</v>
      </c>
      <c r="K2268" s="0" t="s">
        <v>2802</v>
      </c>
    </row>
    <row r="2269" customFormat="false" ht="15" hidden="false" customHeight="false" outlineLevel="0" collapsed="false">
      <c r="A2269" s="0" t="n">
        <v>183</v>
      </c>
      <c r="B2269" s="0" t="s">
        <v>2797</v>
      </c>
      <c r="D2269" s="0" t="s">
        <v>296</v>
      </c>
      <c r="E2269" s="0" t="s">
        <v>66</v>
      </c>
      <c r="F2269" s="0" t="s">
        <v>27</v>
      </c>
      <c r="I2269" s="0" t="n">
        <v>500</v>
      </c>
      <c r="J2269" s="0" t="n">
        <v>0.111111111111111</v>
      </c>
      <c r="K2269" s="0" t="s">
        <v>2803</v>
      </c>
    </row>
    <row r="2270" customFormat="false" ht="15" hidden="false" customHeight="false" outlineLevel="0" collapsed="false">
      <c r="A2270" s="0" t="n">
        <v>183</v>
      </c>
      <c r="B2270" s="0" t="s">
        <v>2797</v>
      </c>
      <c r="D2270" s="0" t="s">
        <v>296</v>
      </c>
      <c r="E2270" s="0" t="s">
        <v>68</v>
      </c>
      <c r="F2270" s="0" t="s">
        <v>30</v>
      </c>
      <c r="I2270" s="0" t="n">
        <v>4000</v>
      </c>
      <c r="J2270" s="0" t="n">
        <v>0.888888888888889</v>
      </c>
      <c r="K2270" s="0" t="s">
        <v>2804</v>
      </c>
    </row>
    <row r="2271" customFormat="false" ht="15" hidden="false" customHeight="false" outlineLevel="0" collapsed="false">
      <c r="A2271" s="0" t="n">
        <v>184</v>
      </c>
      <c r="B2271" s="0" t="s">
        <v>2797</v>
      </c>
      <c r="D2271" s="0" t="s">
        <v>296</v>
      </c>
      <c r="E2271" s="0" t="s">
        <v>2798</v>
      </c>
      <c r="F2271" s="0" t="s">
        <v>27</v>
      </c>
      <c r="G2271" s="0" t="n">
        <v>4.5</v>
      </c>
      <c r="H2271" s="0" t="n">
        <v>1.8</v>
      </c>
      <c r="I2271" s="0" t="n">
        <v>12150</v>
      </c>
      <c r="J2271" s="0" t="n">
        <v>2.7</v>
      </c>
      <c r="K2271" s="0" t="s">
        <v>2805</v>
      </c>
      <c r="L2271" s="0" t="s">
        <v>2806</v>
      </c>
    </row>
    <row r="2272" customFormat="false" ht="15" hidden="false" customHeight="false" outlineLevel="0" collapsed="false">
      <c r="A2272" s="0" t="n">
        <v>184</v>
      </c>
      <c r="B2272" s="0" t="s">
        <v>2797</v>
      </c>
      <c r="D2272" s="0" t="s">
        <v>296</v>
      </c>
      <c r="E2272" s="0" t="s">
        <v>2807</v>
      </c>
      <c r="F2272" s="0" t="s">
        <v>31</v>
      </c>
      <c r="G2272" s="0" t="n">
        <v>0.2</v>
      </c>
      <c r="H2272" s="0" t="n">
        <v>2.5</v>
      </c>
      <c r="I2272" s="0" t="n">
        <v>750</v>
      </c>
      <c r="J2272" s="0" t="n">
        <v>0.166666666666667</v>
      </c>
      <c r="K2272" s="0" t="s">
        <v>2808</v>
      </c>
      <c r="L2272" s="0" t="s">
        <v>2809</v>
      </c>
    </row>
    <row r="2273" customFormat="false" ht="15" hidden="false" customHeight="false" outlineLevel="0" collapsed="false">
      <c r="A2273" s="0" t="n">
        <v>184</v>
      </c>
      <c r="B2273" s="0" t="s">
        <v>2797</v>
      </c>
      <c r="D2273" s="0" t="s">
        <v>296</v>
      </c>
      <c r="E2273" s="0" t="s">
        <v>56</v>
      </c>
      <c r="F2273" s="0" t="s">
        <v>28</v>
      </c>
      <c r="I2273" s="0" t="n">
        <v>1000</v>
      </c>
      <c r="J2273" s="0" t="n">
        <v>0.222222222222222</v>
      </c>
      <c r="K2273" s="0" t="s">
        <v>2810</v>
      </c>
    </row>
    <row r="2274" customFormat="false" ht="15" hidden="false" customHeight="false" outlineLevel="0" collapsed="false">
      <c r="A2274" s="0" t="n">
        <v>184</v>
      </c>
      <c r="B2274" s="0" t="s">
        <v>2797</v>
      </c>
      <c r="D2274" s="0" t="s">
        <v>296</v>
      </c>
      <c r="E2274" s="0" t="s">
        <v>58</v>
      </c>
      <c r="F2274" s="0" t="s">
        <v>28</v>
      </c>
      <c r="I2274" s="0" t="n">
        <v>3500</v>
      </c>
      <c r="J2274" s="0" t="n">
        <v>0.777777777777778</v>
      </c>
      <c r="K2274" s="0" t="s">
        <v>2811</v>
      </c>
    </row>
    <row r="2275" customFormat="false" ht="15" hidden="false" customHeight="false" outlineLevel="0" collapsed="false">
      <c r="A2275" s="0" t="n">
        <v>184</v>
      </c>
      <c r="B2275" s="0" t="s">
        <v>2797</v>
      </c>
      <c r="D2275" s="0" t="s">
        <v>296</v>
      </c>
      <c r="E2275" s="0" t="s">
        <v>66</v>
      </c>
      <c r="F2275" s="0" t="s">
        <v>27</v>
      </c>
      <c r="I2275" s="0" t="n">
        <v>500</v>
      </c>
      <c r="J2275" s="0" t="n">
        <v>0.111111111111111</v>
      </c>
      <c r="K2275" s="0" t="s">
        <v>2812</v>
      </c>
    </row>
    <row r="2276" customFormat="false" ht="15" hidden="false" customHeight="false" outlineLevel="0" collapsed="false">
      <c r="A2276" s="0" t="n">
        <v>184</v>
      </c>
      <c r="B2276" s="0" t="s">
        <v>2797</v>
      </c>
      <c r="D2276" s="0" t="s">
        <v>296</v>
      </c>
      <c r="E2276" s="0" t="s">
        <v>68</v>
      </c>
      <c r="F2276" s="0" t="s">
        <v>30</v>
      </c>
      <c r="I2276" s="0" t="n">
        <v>4000</v>
      </c>
      <c r="J2276" s="0" t="n">
        <v>0.888888888888889</v>
      </c>
      <c r="K2276" s="0" t="s">
        <v>2813</v>
      </c>
    </row>
    <row r="2277" customFormat="false" ht="15" hidden="false" customHeight="false" outlineLevel="0" collapsed="false">
      <c r="A2277" s="0" t="n">
        <v>185</v>
      </c>
      <c r="B2277" s="0" t="s">
        <v>2797</v>
      </c>
      <c r="C2277" s="0" t="s">
        <v>68</v>
      </c>
      <c r="D2277" s="0" t="s">
        <v>2814</v>
      </c>
      <c r="E2277" s="0" t="s">
        <v>53</v>
      </c>
      <c r="F2277" s="0" t="s">
        <v>27</v>
      </c>
      <c r="G2277" s="0" t="n">
        <v>0.35</v>
      </c>
      <c r="H2277" s="0" t="n">
        <v>1.8</v>
      </c>
      <c r="I2277" s="0" t="n">
        <v>840</v>
      </c>
      <c r="J2277" s="0" t="n">
        <v>0.186666666666667</v>
      </c>
      <c r="K2277" s="0" t="s">
        <v>2815</v>
      </c>
      <c r="L2277" s="0" t="s">
        <v>2816</v>
      </c>
    </row>
    <row r="2278" customFormat="false" ht="15" hidden="false" customHeight="false" outlineLevel="0" collapsed="false">
      <c r="A2278" s="0" t="n">
        <v>185</v>
      </c>
      <c r="B2278" s="0" t="s">
        <v>2797</v>
      </c>
      <c r="C2278" s="0" t="s">
        <v>68</v>
      </c>
      <c r="D2278" s="0" t="s">
        <v>2814</v>
      </c>
      <c r="E2278" s="0" t="s">
        <v>56</v>
      </c>
      <c r="F2278" s="0" t="s">
        <v>28</v>
      </c>
      <c r="I2278" s="0" t="n">
        <v>1000</v>
      </c>
      <c r="J2278" s="0" t="n">
        <v>0.222222222222222</v>
      </c>
      <c r="K2278" s="0" t="s">
        <v>2817</v>
      </c>
    </row>
    <row r="2279" customFormat="false" ht="15" hidden="false" customHeight="false" outlineLevel="0" collapsed="false">
      <c r="A2279" s="0" t="n">
        <v>185</v>
      </c>
      <c r="B2279" s="0" t="s">
        <v>2797</v>
      </c>
      <c r="C2279" s="0" t="s">
        <v>68</v>
      </c>
      <c r="D2279" s="0" t="s">
        <v>2814</v>
      </c>
      <c r="E2279" s="0" t="s">
        <v>58</v>
      </c>
      <c r="F2279" s="0" t="s">
        <v>28</v>
      </c>
      <c r="I2279" s="0" t="n">
        <v>2500</v>
      </c>
      <c r="J2279" s="0" t="n">
        <v>0.555555555555556</v>
      </c>
      <c r="K2279" s="0" t="s">
        <v>2818</v>
      </c>
    </row>
    <row r="2280" customFormat="false" ht="15" hidden="false" customHeight="false" outlineLevel="0" collapsed="false">
      <c r="A2280" s="0" t="n">
        <v>185</v>
      </c>
      <c r="B2280" s="0" t="s">
        <v>2797</v>
      </c>
      <c r="C2280" s="0" t="s">
        <v>68</v>
      </c>
      <c r="D2280" s="0" t="s">
        <v>2814</v>
      </c>
      <c r="E2280" s="0" t="s">
        <v>62</v>
      </c>
      <c r="F2280" s="0" t="s">
        <v>27</v>
      </c>
      <c r="I2280" s="0" t="n">
        <v>100</v>
      </c>
      <c r="J2280" s="0" t="n">
        <v>0.0222222222222222</v>
      </c>
      <c r="K2280" s="0" t="s">
        <v>2819</v>
      </c>
    </row>
    <row r="2281" customFormat="false" ht="15" hidden="false" customHeight="false" outlineLevel="0" collapsed="false">
      <c r="A2281" s="0" t="n">
        <v>185</v>
      </c>
      <c r="B2281" s="0" t="s">
        <v>2797</v>
      </c>
      <c r="C2281" s="0" t="s">
        <v>68</v>
      </c>
      <c r="D2281" s="0" t="s">
        <v>2814</v>
      </c>
      <c r="E2281" s="0" t="s">
        <v>66</v>
      </c>
      <c r="F2281" s="0" t="s">
        <v>27</v>
      </c>
      <c r="I2281" s="0" t="n">
        <v>750</v>
      </c>
      <c r="J2281" s="0" t="n">
        <v>0.166666666666667</v>
      </c>
      <c r="K2281" s="0" t="s">
        <v>2820</v>
      </c>
    </row>
    <row r="2282" customFormat="false" ht="15" hidden="false" customHeight="false" outlineLevel="0" collapsed="false">
      <c r="A2282" s="0" t="n">
        <v>185</v>
      </c>
      <c r="B2282" s="0" t="s">
        <v>2797</v>
      </c>
      <c r="C2282" s="0" t="s">
        <v>68</v>
      </c>
      <c r="D2282" s="0" t="s">
        <v>2814</v>
      </c>
      <c r="E2282" s="0" t="s">
        <v>68</v>
      </c>
      <c r="F2282" s="0" t="s">
        <v>30</v>
      </c>
      <c r="I2282" s="0" t="n">
        <v>4000</v>
      </c>
      <c r="J2282" s="0" t="n">
        <v>0.888888888888889</v>
      </c>
      <c r="K2282" s="0" t="s">
        <v>2821</v>
      </c>
    </row>
    <row r="2283" customFormat="false" ht="15" hidden="false" customHeight="false" outlineLevel="0" collapsed="false">
      <c r="A2283" s="0" t="n">
        <v>186</v>
      </c>
      <c r="B2283" s="0" t="s">
        <v>2822</v>
      </c>
      <c r="C2283" s="0" t="s">
        <v>2823</v>
      </c>
      <c r="D2283" s="0" t="s">
        <v>296</v>
      </c>
      <c r="E2283" s="0" t="s">
        <v>53</v>
      </c>
      <c r="F2283" s="0" t="s">
        <v>27</v>
      </c>
      <c r="G2283" s="0" t="n">
        <v>0.7</v>
      </c>
      <c r="H2283" s="0" t="n">
        <v>1.8</v>
      </c>
      <c r="I2283" s="0" t="n">
        <v>3360</v>
      </c>
      <c r="J2283" s="0" t="n">
        <v>0.84</v>
      </c>
      <c r="K2283" s="0" t="s">
        <v>2824</v>
      </c>
      <c r="L2283" s="0" t="s">
        <v>2825</v>
      </c>
    </row>
    <row r="2284" customFormat="false" ht="15" hidden="false" customHeight="false" outlineLevel="0" collapsed="false">
      <c r="A2284" s="0" t="n">
        <v>186</v>
      </c>
      <c r="B2284" s="0" t="s">
        <v>2822</v>
      </c>
      <c r="C2284" s="0" t="s">
        <v>2823</v>
      </c>
      <c r="D2284" s="0" t="s">
        <v>296</v>
      </c>
      <c r="E2284" s="0" t="s">
        <v>56</v>
      </c>
      <c r="F2284" s="0" t="s">
        <v>28</v>
      </c>
      <c r="I2284" s="0" t="n">
        <v>700</v>
      </c>
      <c r="J2284" s="0" t="n">
        <v>0.175</v>
      </c>
      <c r="K2284" s="0" t="s">
        <v>2826</v>
      </c>
    </row>
    <row r="2285" customFormat="false" ht="15" hidden="false" customHeight="false" outlineLevel="0" collapsed="false">
      <c r="A2285" s="0" t="n">
        <v>186</v>
      </c>
      <c r="B2285" s="0" t="s">
        <v>2822</v>
      </c>
      <c r="C2285" s="0" t="s">
        <v>2823</v>
      </c>
      <c r="D2285" s="0" t="s">
        <v>296</v>
      </c>
      <c r="E2285" s="0" t="s">
        <v>58</v>
      </c>
      <c r="F2285" s="0" t="s">
        <v>28</v>
      </c>
      <c r="I2285" s="0" t="n">
        <v>3000</v>
      </c>
      <c r="J2285" s="0" t="n">
        <v>0.75</v>
      </c>
      <c r="K2285" s="0" t="s">
        <v>2827</v>
      </c>
    </row>
    <row r="2286" customFormat="false" ht="15" hidden="false" customHeight="false" outlineLevel="0" collapsed="false">
      <c r="A2286" s="0" t="n">
        <v>186</v>
      </c>
      <c r="B2286" s="0" t="s">
        <v>2822</v>
      </c>
      <c r="C2286" s="0" t="s">
        <v>2823</v>
      </c>
      <c r="D2286" s="0" t="s">
        <v>296</v>
      </c>
      <c r="E2286" s="0" t="s">
        <v>60</v>
      </c>
      <c r="F2286" s="0" t="s">
        <v>27</v>
      </c>
      <c r="I2286" s="0" t="n">
        <v>200</v>
      </c>
      <c r="J2286" s="0" t="n">
        <v>0.05</v>
      </c>
      <c r="K2286" s="0" t="s">
        <v>2828</v>
      </c>
    </row>
    <row r="2287" customFormat="false" ht="15" hidden="false" customHeight="false" outlineLevel="0" collapsed="false">
      <c r="A2287" s="0" t="n">
        <v>186</v>
      </c>
      <c r="B2287" s="0" t="s">
        <v>2822</v>
      </c>
      <c r="C2287" s="0" t="s">
        <v>2823</v>
      </c>
      <c r="D2287" s="0" t="s">
        <v>296</v>
      </c>
      <c r="E2287" s="0" t="s">
        <v>62</v>
      </c>
      <c r="F2287" s="0" t="s">
        <v>27</v>
      </c>
      <c r="I2287" s="0" t="n">
        <v>3000</v>
      </c>
      <c r="J2287" s="0" t="n">
        <v>0.75</v>
      </c>
      <c r="K2287" s="0" t="s">
        <v>2829</v>
      </c>
    </row>
    <row r="2288" customFormat="false" ht="15" hidden="false" customHeight="false" outlineLevel="0" collapsed="false">
      <c r="A2288" s="0" t="n">
        <v>186</v>
      </c>
      <c r="B2288" s="0" t="s">
        <v>2822</v>
      </c>
      <c r="C2288" s="0" t="s">
        <v>2823</v>
      </c>
      <c r="D2288" s="0" t="s">
        <v>296</v>
      </c>
      <c r="E2288" s="0" t="s">
        <v>64</v>
      </c>
      <c r="F2288" s="0" t="s">
        <v>27</v>
      </c>
      <c r="I2288" s="0" t="n">
        <v>750</v>
      </c>
      <c r="J2288" s="0" t="n">
        <v>0.1875</v>
      </c>
      <c r="K2288" s="0" t="s">
        <v>2830</v>
      </c>
    </row>
    <row r="2289" customFormat="false" ht="15" hidden="false" customHeight="false" outlineLevel="0" collapsed="false">
      <c r="A2289" s="0" t="n">
        <v>186</v>
      </c>
      <c r="B2289" s="0" t="s">
        <v>2822</v>
      </c>
      <c r="C2289" s="0" t="s">
        <v>2823</v>
      </c>
      <c r="D2289" s="0" t="s">
        <v>296</v>
      </c>
      <c r="E2289" s="0" t="s">
        <v>66</v>
      </c>
      <c r="F2289" s="0" t="s">
        <v>27</v>
      </c>
      <c r="I2289" s="0" t="n">
        <v>250</v>
      </c>
      <c r="J2289" s="0" t="n">
        <v>0.0625</v>
      </c>
      <c r="K2289" s="0" t="s">
        <v>2831</v>
      </c>
    </row>
    <row r="2290" customFormat="false" ht="15" hidden="false" customHeight="false" outlineLevel="0" collapsed="false">
      <c r="A2290" s="0" t="n">
        <v>186</v>
      </c>
      <c r="B2290" s="0" t="s">
        <v>2822</v>
      </c>
      <c r="C2290" s="0" t="s">
        <v>2823</v>
      </c>
      <c r="D2290" s="0" t="s">
        <v>296</v>
      </c>
      <c r="E2290" s="0" t="s">
        <v>68</v>
      </c>
      <c r="F2290" s="0" t="s">
        <v>30</v>
      </c>
      <c r="I2290" s="0" t="n">
        <v>4000</v>
      </c>
      <c r="J2290" s="0" t="n">
        <v>1</v>
      </c>
      <c r="K2290" s="0" t="s">
        <v>2832</v>
      </c>
    </row>
    <row r="2291" customFormat="false" ht="15" hidden="false" customHeight="false" outlineLevel="0" collapsed="false">
      <c r="A2291" s="0" t="n">
        <v>187</v>
      </c>
      <c r="B2291" s="0" t="s">
        <v>2822</v>
      </c>
      <c r="C2291" s="0" t="s">
        <v>2823</v>
      </c>
      <c r="D2291" s="0" t="s">
        <v>296</v>
      </c>
      <c r="E2291" s="0" t="s">
        <v>53</v>
      </c>
      <c r="F2291" s="0" t="s">
        <v>27</v>
      </c>
      <c r="G2291" s="0" t="n">
        <v>0.7</v>
      </c>
      <c r="H2291" s="0" t="n">
        <v>3</v>
      </c>
      <c r="I2291" s="0" t="n">
        <v>5600</v>
      </c>
      <c r="J2291" s="0" t="n">
        <v>1.4</v>
      </c>
      <c r="K2291" s="0" t="s">
        <v>2833</v>
      </c>
      <c r="L2291" s="0" t="s">
        <v>2834</v>
      </c>
    </row>
    <row r="2292" customFormat="false" ht="15" hidden="false" customHeight="false" outlineLevel="0" collapsed="false">
      <c r="A2292" s="0" t="n">
        <v>187</v>
      </c>
      <c r="B2292" s="0" t="s">
        <v>2822</v>
      </c>
      <c r="C2292" s="0" t="s">
        <v>2823</v>
      </c>
      <c r="D2292" s="0" t="s">
        <v>296</v>
      </c>
      <c r="E2292" s="0" t="s">
        <v>56</v>
      </c>
      <c r="F2292" s="0" t="s">
        <v>28</v>
      </c>
      <c r="I2292" s="0" t="n">
        <v>700</v>
      </c>
      <c r="J2292" s="0" t="n">
        <v>0.175</v>
      </c>
      <c r="K2292" s="0" t="s">
        <v>2835</v>
      </c>
    </row>
    <row r="2293" customFormat="false" ht="15" hidden="false" customHeight="false" outlineLevel="0" collapsed="false">
      <c r="A2293" s="0" t="n">
        <v>187</v>
      </c>
      <c r="B2293" s="0" t="s">
        <v>2822</v>
      </c>
      <c r="C2293" s="0" t="s">
        <v>2823</v>
      </c>
      <c r="D2293" s="0" t="s">
        <v>296</v>
      </c>
      <c r="E2293" s="0" t="s">
        <v>58</v>
      </c>
      <c r="F2293" s="0" t="s">
        <v>28</v>
      </c>
      <c r="I2293" s="0" t="n">
        <v>2500</v>
      </c>
      <c r="J2293" s="0" t="n">
        <v>0.625</v>
      </c>
      <c r="K2293" s="0" t="s">
        <v>2836</v>
      </c>
    </row>
    <row r="2294" customFormat="false" ht="15" hidden="false" customHeight="false" outlineLevel="0" collapsed="false">
      <c r="A2294" s="0" t="n">
        <v>187</v>
      </c>
      <c r="B2294" s="0" t="s">
        <v>2822</v>
      </c>
      <c r="C2294" s="0" t="s">
        <v>2823</v>
      </c>
      <c r="D2294" s="0" t="s">
        <v>296</v>
      </c>
      <c r="E2294" s="0" t="s">
        <v>60</v>
      </c>
      <c r="F2294" s="0" t="s">
        <v>27</v>
      </c>
      <c r="I2294" s="0" t="n">
        <v>200</v>
      </c>
      <c r="J2294" s="0" t="n">
        <v>0.05</v>
      </c>
      <c r="K2294" s="0" t="s">
        <v>2837</v>
      </c>
    </row>
    <row r="2295" customFormat="false" ht="15" hidden="false" customHeight="false" outlineLevel="0" collapsed="false">
      <c r="A2295" s="0" t="n">
        <v>187</v>
      </c>
      <c r="B2295" s="0" t="s">
        <v>2822</v>
      </c>
      <c r="C2295" s="0" t="s">
        <v>2823</v>
      </c>
      <c r="D2295" s="0" t="s">
        <v>296</v>
      </c>
      <c r="E2295" s="0" t="s">
        <v>62</v>
      </c>
      <c r="F2295" s="0" t="s">
        <v>27</v>
      </c>
      <c r="I2295" s="0" t="n">
        <v>100</v>
      </c>
      <c r="J2295" s="0" t="n">
        <v>0.025</v>
      </c>
      <c r="K2295" s="0" t="s">
        <v>2838</v>
      </c>
    </row>
    <row r="2296" customFormat="false" ht="15" hidden="false" customHeight="false" outlineLevel="0" collapsed="false">
      <c r="A2296" s="0" t="n">
        <v>187</v>
      </c>
      <c r="B2296" s="0" t="s">
        <v>2822</v>
      </c>
      <c r="C2296" s="0" t="s">
        <v>2823</v>
      </c>
      <c r="D2296" s="0" t="s">
        <v>296</v>
      </c>
      <c r="E2296" s="0" t="s">
        <v>64</v>
      </c>
      <c r="F2296" s="0" t="s">
        <v>27</v>
      </c>
      <c r="I2296" s="0" t="n">
        <v>750</v>
      </c>
      <c r="J2296" s="0" t="n">
        <v>0.1875</v>
      </c>
      <c r="K2296" s="0" t="s">
        <v>2839</v>
      </c>
    </row>
    <row r="2297" customFormat="false" ht="15" hidden="false" customHeight="false" outlineLevel="0" collapsed="false">
      <c r="A2297" s="0" t="n">
        <v>187</v>
      </c>
      <c r="B2297" s="0" t="s">
        <v>2822</v>
      </c>
      <c r="C2297" s="0" t="s">
        <v>2823</v>
      </c>
      <c r="D2297" s="0" t="s">
        <v>296</v>
      </c>
      <c r="E2297" s="0" t="s">
        <v>66</v>
      </c>
      <c r="F2297" s="0" t="s">
        <v>27</v>
      </c>
      <c r="I2297" s="0" t="n">
        <v>250</v>
      </c>
      <c r="J2297" s="0" t="n">
        <v>0.0625</v>
      </c>
      <c r="K2297" s="0" t="s">
        <v>2840</v>
      </c>
      <c r="L2297" s="0" t="s">
        <v>647</v>
      </c>
    </row>
    <row r="2298" customFormat="false" ht="15" hidden="false" customHeight="false" outlineLevel="0" collapsed="false">
      <c r="A2298" s="0" t="n">
        <v>187</v>
      </c>
      <c r="B2298" s="0" t="s">
        <v>2822</v>
      </c>
      <c r="C2298" s="0" t="s">
        <v>2823</v>
      </c>
      <c r="D2298" s="0" t="s">
        <v>296</v>
      </c>
      <c r="E2298" s="0" t="s">
        <v>68</v>
      </c>
      <c r="F2298" s="0" t="s">
        <v>30</v>
      </c>
      <c r="I2298" s="0" t="n">
        <v>4000</v>
      </c>
      <c r="J2298" s="0" t="n">
        <v>1</v>
      </c>
      <c r="K2298" s="0" t="s">
        <v>2841</v>
      </c>
      <c r="L2298" s="0" t="s">
        <v>872</v>
      </c>
    </row>
    <row r="2299" customFormat="false" ht="15" hidden="false" customHeight="false" outlineLevel="0" collapsed="false">
      <c r="A2299" s="0" t="n">
        <v>188</v>
      </c>
      <c r="B2299" s="0" t="s">
        <v>2822</v>
      </c>
      <c r="C2299" s="0" t="s">
        <v>68</v>
      </c>
      <c r="D2299" s="0" t="s">
        <v>311</v>
      </c>
      <c r="E2299" s="0" t="s">
        <v>53</v>
      </c>
      <c r="F2299" s="0" t="s">
        <v>27</v>
      </c>
      <c r="G2299" s="0" t="n">
        <v>0.6</v>
      </c>
      <c r="H2299" s="0" t="n">
        <v>1.5</v>
      </c>
      <c r="I2299" s="0" t="n">
        <v>3600</v>
      </c>
      <c r="J2299" s="0" t="n">
        <v>0.9</v>
      </c>
      <c r="K2299" s="0" t="s">
        <v>2842</v>
      </c>
      <c r="L2299" s="0" t="s">
        <v>2843</v>
      </c>
    </row>
    <row r="2300" customFormat="false" ht="15" hidden="false" customHeight="false" outlineLevel="0" collapsed="false">
      <c r="A2300" s="0" t="n">
        <v>188</v>
      </c>
      <c r="B2300" s="0" t="s">
        <v>2822</v>
      </c>
      <c r="C2300" s="0" t="s">
        <v>68</v>
      </c>
      <c r="D2300" s="0" t="s">
        <v>311</v>
      </c>
      <c r="E2300" s="0" t="s">
        <v>56</v>
      </c>
      <c r="F2300" s="0" t="s">
        <v>28</v>
      </c>
      <c r="I2300" s="0" t="n">
        <v>700</v>
      </c>
      <c r="J2300" s="0" t="n">
        <v>0.175</v>
      </c>
      <c r="K2300" s="0" t="s">
        <v>2844</v>
      </c>
    </row>
    <row r="2301" customFormat="false" ht="15" hidden="false" customHeight="false" outlineLevel="0" collapsed="false">
      <c r="A2301" s="0" t="n">
        <v>188</v>
      </c>
      <c r="B2301" s="0" t="s">
        <v>2822</v>
      </c>
      <c r="C2301" s="0" t="s">
        <v>68</v>
      </c>
      <c r="D2301" s="0" t="s">
        <v>311</v>
      </c>
      <c r="E2301" s="0" t="s">
        <v>58</v>
      </c>
      <c r="F2301" s="0" t="s">
        <v>28</v>
      </c>
      <c r="I2301" s="0" t="n">
        <v>3000</v>
      </c>
      <c r="J2301" s="0" t="n">
        <v>0.75</v>
      </c>
      <c r="K2301" s="0" t="s">
        <v>2845</v>
      </c>
    </row>
    <row r="2302" customFormat="false" ht="15" hidden="false" customHeight="false" outlineLevel="0" collapsed="false">
      <c r="A2302" s="0" t="n">
        <v>188</v>
      </c>
      <c r="B2302" s="0" t="s">
        <v>2822</v>
      </c>
      <c r="C2302" s="0" t="s">
        <v>68</v>
      </c>
      <c r="D2302" s="0" t="s">
        <v>311</v>
      </c>
      <c r="E2302" s="0" t="s">
        <v>60</v>
      </c>
      <c r="F2302" s="0" t="s">
        <v>27</v>
      </c>
      <c r="I2302" s="0" t="n">
        <v>200</v>
      </c>
      <c r="J2302" s="0" t="n">
        <v>0.05</v>
      </c>
      <c r="K2302" s="0" t="s">
        <v>2846</v>
      </c>
    </row>
    <row r="2303" customFormat="false" ht="15" hidden="false" customHeight="false" outlineLevel="0" collapsed="false">
      <c r="A2303" s="0" t="n">
        <v>188</v>
      </c>
      <c r="B2303" s="0" t="s">
        <v>2822</v>
      </c>
      <c r="C2303" s="0" t="s">
        <v>68</v>
      </c>
      <c r="D2303" s="0" t="s">
        <v>311</v>
      </c>
      <c r="E2303" s="0" t="s">
        <v>62</v>
      </c>
      <c r="F2303" s="0" t="s">
        <v>27</v>
      </c>
      <c r="I2303" s="0" t="n">
        <v>100</v>
      </c>
      <c r="J2303" s="0" t="n">
        <v>0.025</v>
      </c>
      <c r="K2303" s="0" t="s">
        <v>2847</v>
      </c>
    </row>
    <row r="2304" customFormat="false" ht="15" hidden="false" customHeight="false" outlineLevel="0" collapsed="false">
      <c r="A2304" s="0" t="n">
        <v>188</v>
      </c>
      <c r="B2304" s="0" t="s">
        <v>2822</v>
      </c>
      <c r="C2304" s="0" t="s">
        <v>68</v>
      </c>
      <c r="D2304" s="0" t="s">
        <v>311</v>
      </c>
      <c r="E2304" s="0" t="s">
        <v>64</v>
      </c>
      <c r="F2304" s="0" t="s">
        <v>27</v>
      </c>
      <c r="I2304" s="0" t="n">
        <v>750</v>
      </c>
      <c r="J2304" s="0" t="n">
        <v>0.1875</v>
      </c>
      <c r="K2304" s="0" t="s">
        <v>2848</v>
      </c>
    </row>
    <row r="2305" customFormat="false" ht="15" hidden="false" customHeight="false" outlineLevel="0" collapsed="false">
      <c r="A2305" s="0" t="n">
        <v>188</v>
      </c>
      <c r="B2305" s="0" t="s">
        <v>2822</v>
      </c>
      <c r="C2305" s="0" t="s">
        <v>68</v>
      </c>
      <c r="D2305" s="0" t="s">
        <v>311</v>
      </c>
      <c r="E2305" s="0" t="s">
        <v>66</v>
      </c>
      <c r="F2305" s="0" t="s">
        <v>27</v>
      </c>
      <c r="I2305" s="0" t="n">
        <v>250</v>
      </c>
      <c r="J2305" s="0" t="n">
        <v>0.0625</v>
      </c>
      <c r="K2305" s="0" t="s">
        <v>2849</v>
      </c>
    </row>
    <row r="2306" customFormat="false" ht="15" hidden="false" customHeight="false" outlineLevel="0" collapsed="false">
      <c r="A2306" s="0" t="n">
        <v>188</v>
      </c>
      <c r="B2306" s="0" t="s">
        <v>2822</v>
      </c>
      <c r="C2306" s="0" t="s">
        <v>68</v>
      </c>
      <c r="D2306" s="0" t="s">
        <v>311</v>
      </c>
      <c r="E2306" s="0" t="s">
        <v>68</v>
      </c>
      <c r="F2306" s="0" t="s">
        <v>30</v>
      </c>
      <c r="I2306" s="0" t="n">
        <v>4000</v>
      </c>
      <c r="J2306" s="0" t="n">
        <v>1</v>
      </c>
      <c r="K2306" s="0" t="s">
        <v>2850</v>
      </c>
    </row>
    <row r="2307" customFormat="false" ht="15" hidden="false" customHeight="false" outlineLevel="0" collapsed="false">
      <c r="A2307" s="0" t="n">
        <v>189</v>
      </c>
      <c r="B2307" s="0" t="s">
        <v>2822</v>
      </c>
      <c r="C2307" s="0" t="s">
        <v>68</v>
      </c>
      <c r="D2307" s="0" t="s">
        <v>311</v>
      </c>
      <c r="E2307" s="0" t="s">
        <v>53</v>
      </c>
      <c r="F2307" s="0" t="s">
        <v>27</v>
      </c>
      <c r="G2307" s="0" t="n">
        <v>0.5</v>
      </c>
      <c r="H2307" s="0" t="n">
        <v>3</v>
      </c>
      <c r="I2307" s="0" t="n">
        <v>3000</v>
      </c>
      <c r="J2307" s="0" t="n">
        <v>0.75</v>
      </c>
      <c r="K2307" s="0" t="s">
        <v>2851</v>
      </c>
      <c r="L2307" s="0" t="s">
        <v>2852</v>
      </c>
    </row>
    <row r="2308" customFormat="false" ht="15" hidden="false" customHeight="false" outlineLevel="0" collapsed="false">
      <c r="A2308" s="0" t="n">
        <v>189</v>
      </c>
      <c r="B2308" s="0" t="s">
        <v>2822</v>
      </c>
      <c r="C2308" s="0" t="s">
        <v>68</v>
      </c>
      <c r="D2308" s="0" t="s">
        <v>311</v>
      </c>
      <c r="E2308" s="0" t="s">
        <v>56</v>
      </c>
      <c r="F2308" s="0" t="s">
        <v>28</v>
      </c>
      <c r="I2308" s="0" t="n">
        <v>700</v>
      </c>
      <c r="J2308" s="0" t="n">
        <v>0.175</v>
      </c>
      <c r="K2308" s="0" t="s">
        <v>2853</v>
      </c>
    </row>
    <row r="2309" customFormat="false" ht="15" hidden="false" customHeight="false" outlineLevel="0" collapsed="false">
      <c r="A2309" s="0" t="n">
        <v>189</v>
      </c>
      <c r="B2309" s="0" t="s">
        <v>2822</v>
      </c>
      <c r="C2309" s="0" t="s">
        <v>68</v>
      </c>
      <c r="D2309" s="0" t="s">
        <v>311</v>
      </c>
      <c r="E2309" s="0" t="s">
        <v>58</v>
      </c>
      <c r="F2309" s="0" t="s">
        <v>28</v>
      </c>
      <c r="I2309" s="0" t="n">
        <v>2500</v>
      </c>
      <c r="J2309" s="0" t="n">
        <v>0.625</v>
      </c>
      <c r="K2309" s="0" t="s">
        <v>2854</v>
      </c>
    </row>
    <row r="2310" customFormat="false" ht="15" hidden="false" customHeight="false" outlineLevel="0" collapsed="false">
      <c r="A2310" s="0" t="n">
        <v>189</v>
      </c>
      <c r="B2310" s="0" t="s">
        <v>2822</v>
      </c>
      <c r="C2310" s="0" t="s">
        <v>68</v>
      </c>
      <c r="D2310" s="0" t="s">
        <v>311</v>
      </c>
      <c r="E2310" s="0" t="s">
        <v>60</v>
      </c>
      <c r="F2310" s="0" t="s">
        <v>27</v>
      </c>
      <c r="I2310" s="0" t="n">
        <v>200</v>
      </c>
      <c r="J2310" s="0" t="n">
        <v>0.05</v>
      </c>
      <c r="K2310" s="0" t="s">
        <v>2855</v>
      </c>
    </row>
    <row r="2311" customFormat="false" ht="15" hidden="false" customHeight="false" outlineLevel="0" collapsed="false">
      <c r="A2311" s="0" t="n">
        <v>189</v>
      </c>
      <c r="B2311" s="0" t="s">
        <v>2822</v>
      </c>
      <c r="C2311" s="0" t="s">
        <v>68</v>
      </c>
      <c r="D2311" s="0" t="s">
        <v>311</v>
      </c>
      <c r="E2311" s="0" t="s">
        <v>62</v>
      </c>
      <c r="F2311" s="0" t="s">
        <v>27</v>
      </c>
      <c r="I2311" s="0" t="n">
        <v>100</v>
      </c>
      <c r="J2311" s="0" t="n">
        <v>0.025</v>
      </c>
      <c r="K2311" s="0" t="s">
        <v>2856</v>
      </c>
    </row>
    <row r="2312" customFormat="false" ht="15" hidden="false" customHeight="false" outlineLevel="0" collapsed="false">
      <c r="A2312" s="0" t="n">
        <v>189</v>
      </c>
      <c r="B2312" s="0" t="s">
        <v>2822</v>
      </c>
      <c r="C2312" s="0" t="s">
        <v>68</v>
      </c>
      <c r="D2312" s="0" t="s">
        <v>311</v>
      </c>
      <c r="E2312" s="0" t="s">
        <v>64</v>
      </c>
      <c r="F2312" s="0" t="s">
        <v>27</v>
      </c>
      <c r="I2312" s="0" t="n">
        <v>750</v>
      </c>
      <c r="J2312" s="0" t="n">
        <v>0.1875</v>
      </c>
      <c r="K2312" s="0" t="s">
        <v>2857</v>
      </c>
    </row>
    <row r="2313" customFormat="false" ht="15" hidden="false" customHeight="false" outlineLevel="0" collapsed="false">
      <c r="A2313" s="0" t="n">
        <v>189</v>
      </c>
      <c r="B2313" s="0" t="s">
        <v>2822</v>
      </c>
      <c r="C2313" s="0" t="s">
        <v>68</v>
      </c>
      <c r="D2313" s="0" t="s">
        <v>311</v>
      </c>
      <c r="E2313" s="0" t="s">
        <v>66</v>
      </c>
      <c r="F2313" s="0" t="s">
        <v>27</v>
      </c>
      <c r="I2313" s="0" t="n">
        <v>250</v>
      </c>
      <c r="J2313" s="0" t="n">
        <v>0.0625</v>
      </c>
      <c r="K2313" s="0" t="s">
        <v>2858</v>
      </c>
    </row>
    <row r="2314" customFormat="false" ht="15" hidden="false" customHeight="false" outlineLevel="0" collapsed="false">
      <c r="A2314" s="0" t="n">
        <v>189</v>
      </c>
      <c r="B2314" s="0" t="s">
        <v>2822</v>
      </c>
      <c r="C2314" s="0" t="s">
        <v>68</v>
      </c>
      <c r="D2314" s="0" t="s">
        <v>311</v>
      </c>
      <c r="E2314" s="0" t="s">
        <v>68</v>
      </c>
      <c r="F2314" s="0" t="s">
        <v>30</v>
      </c>
      <c r="I2314" s="0" t="n">
        <v>4000</v>
      </c>
      <c r="J2314" s="0" t="n">
        <v>1</v>
      </c>
      <c r="K2314" s="0" t="s">
        <v>2859</v>
      </c>
    </row>
    <row r="2315" customFormat="false" ht="15" hidden="false" customHeight="false" outlineLevel="0" collapsed="false">
      <c r="A2315" s="0" t="n">
        <v>190</v>
      </c>
      <c r="B2315" s="0" t="s">
        <v>2822</v>
      </c>
      <c r="C2315" s="0" t="s">
        <v>68</v>
      </c>
      <c r="D2315" s="0" t="s">
        <v>349</v>
      </c>
      <c r="E2315" s="0" t="s">
        <v>53</v>
      </c>
      <c r="F2315" s="0" t="s">
        <v>27</v>
      </c>
      <c r="G2315" s="0" t="n">
        <v>0.8</v>
      </c>
      <c r="H2315" s="0" t="n">
        <v>1.8</v>
      </c>
      <c r="I2315" s="0" t="n">
        <v>3840</v>
      </c>
      <c r="J2315" s="0" t="n">
        <v>0.96</v>
      </c>
      <c r="K2315" s="0" t="s">
        <v>2860</v>
      </c>
      <c r="L2315" s="0" t="s">
        <v>2861</v>
      </c>
    </row>
    <row r="2316" customFormat="false" ht="15" hidden="false" customHeight="false" outlineLevel="0" collapsed="false">
      <c r="A2316" s="0" t="n">
        <v>190</v>
      </c>
      <c r="B2316" s="0" t="s">
        <v>2822</v>
      </c>
      <c r="C2316" s="0" t="s">
        <v>68</v>
      </c>
      <c r="D2316" s="0" t="s">
        <v>349</v>
      </c>
      <c r="E2316" s="0" t="s">
        <v>56</v>
      </c>
      <c r="F2316" s="0" t="s">
        <v>28</v>
      </c>
      <c r="I2316" s="0" t="n">
        <v>700</v>
      </c>
      <c r="J2316" s="0" t="n">
        <v>0.175</v>
      </c>
      <c r="K2316" s="0" t="s">
        <v>2862</v>
      </c>
    </row>
    <row r="2317" customFormat="false" ht="15" hidden="false" customHeight="false" outlineLevel="0" collapsed="false">
      <c r="A2317" s="0" t="n">
        <v>190</v>
      </c>
      <c r="B2317" s="0" t="s">
        <v>2822</v>
      </c>
      <c r="C2317" s="0" t="s">
        <v>68</v>
      </c>
      <c r="D2317" s="0" t="s">
        <v>349</v>
      </c>
      <c r="E2317" s="0" t="s">
        <v>58</v>
      </c>
      <c r="F2317" s="0" t="s">
        <v>28</v>
      </c>
      <c r="I2317" s="0" t="n">
        <v>2500</v>
      </c>
      <c r="J2317" s="0" t="n">
        <v>0.625</v>
      </c>
      <c r="K2317" s="0" t="s">
        <v>2863</v>
      </c>
    </row>
    <row r="2318" customFormat="false" ht="15" hidden="false" customHeight="false" outlineLevel="0" collapsed="false">
      <c r="A2318" s="0" t="n">
        <v>190</v>
      </c>
      <c r="B2318" s="0" t="s">
        <v>2822</v>
      </c>
      <c r="C2318" s="0" t="s">
        <v>68</v>
      </c>
      <c r="D2318" s="0" t="s">
        <v>349</v>
      </c>
      <c r="E2318" s="0" t="s">
        <v>64</v>
      </c>
      <c r="F2318" s="0" t="s">
        <v>27</v>
      </c>
      <c r="I2318" s="0" t="n">
        <v>750</v>
      </c>
      <c r="J2318" s="0" t="n">
        <v>0.1875</v>
      </c>
      <c r="K2318" s="0" t="s">
        <v>2864</v>
      </c>
    </row>
    <row r="2319" customFormat="false" ht="15" hidden="false" customHeight="false" outlineLevel="0" collapsed="false">
      <c r="A2319" s="0" t="n">
        <v>190</v>
      </c>
      <c r="B2319" s="0" t="s">
        <v>2822</v>
      </c>
      <c r="C2319" s="0" t="s">
        <v>68</v>
      </c>
      <c r="D2319" s="0" t="s">
        <v>349</v>
      </c>
      <c r="E2319" s="0" t="s">
        <v>60</v>
      </c>
      <c r="F2319" s="0" t="s">
        <v>27</v>
      </c>
      <c r="I2319" s="0" t="n">
        <v>200</v>
      </c>
      <c r="J2319" s="0" t="n">
        <v>0.05</v>
      </c>
      <c r="K2319" s="0" t="s">
        <v>2865</v>
      </c>
    </row>
    <row r="2320" customFormat="false" ht="15" hidden="false" customHeight="false" outlineLevel="0" collapsed="false">
      <c r="A2320" s="0" t="n">
        <v>190</v>
      </c>
      <c r="B2320" s="0" t="s">
        <v>2822</v>
      </c>
      <c r="C2320" s="0" t="s">
        <v>68</v>
      </c>
      <c r="D2320" s="0" t="s">
        <v>349</v>
      </c>
      <c r="E2320" s="0" t="s">
        <v>62</v>
      </c>
      <c r="F2320" s="0" t="s">
        <v>27</v>
      </c>
      <c r="I2320" s="0" t="n">
        <v>100</v>
      </c>
      <c r="J2320" s="0" t="n">
        <v>0.025</v>
      </c>
      <c r="K2320" s="0" t="s">
        <v>2866</v>
      </c>
    </row>
    <row r="2321" customFormat="false" ht="15" hidden="false" customHeight="false" outlineLevel="0" collapsed="false">
      <c r="A2321" s="0" t="n">
        <v>190</v>
      </c>
      <c r="B2321" s="0" t="s">
        <v>2822</v>
      </c>
      <c r="C2321" s="0" t="s">
        <v>68</v>
      </c>
      <c r="D2321" s="0" t="s">
        <v>349</v>
      </c>
      <c r="E2321" s="0" t="s">
        <v>66</v>
      </c>
      <c r="F2321" s="0" t="s">
        <v>27</v>
      </c>
      <c r="I2321" s="0" t="n">
        <v>250</v>
      </c>
      <c r="J2321" s="0" t="n">
        <v>0.0625</v>
      </c>
      <c r="K2321" s="0" t="s">
        <v>2867</v>
      </c>
    </row>
    <row r="2322" customFormat="false" ht="15" hidden="false" customHeight="false" outlineLevel="0" collapsed="false">
      <c r="A2322" s="0" t="n">
        <v>190</v>
      </c>
      <c r="B2322" s="0" t="s">
        <v>2822</v>
      </c>
      <c r="C2322" s="0" t="s">
        <v>68</v>
      </c>
      <c r="D2322" s="0" t="s">
        <v>349</v>
      </c>
      <c r="E2322" s="0" t="s">
        <v>68</v>
      </c>
      <c r="F2322" s="0" t="s">
        <v>30</v>
      </c>
      <c r="I2322" s="0" t="n">
        <v>4000</v>
      </c>
      <c r="J2322" s="0" t="n">
        <v>1</v>
      </c>
      <c r="K2322" s="0" t="s">
        <v>2868</v>
      </c>
    </row>
    <row r="2323" customFormat="false" ht="15" hidden="false" customHeight="false" outlineLevel="0" collapsed="false">
      <c r="A2323" s="0" t="n">
        <v>191</v>
      </c>
      <c r="B2323" s="0" t="s">
        <v>2822</v>
      </c>
      <c r="C2323" s="0" t="s">
        <v>68</v>
      </c>
      <c r="D2323" s="0" t="s">
        <v>349</v>
      </c>
      <c r="E2323" s="0" t="s">
        <v>53</v>
      </c>
      <c r="F2323" s="0" t="s">
        <v>27</v>
      </c>
      <c r="G2323" s="0" t="n">
        <v>0.8</v>
      </c>
      <c r="H2323" s="0" t="n">
        <v>3</v>
      </c>
      <c r="I2323" s="0" t="n">
        <v>6400</v>
      </c>
      <c r="J2323" s="0" t="n">
        <v>1.6</v>
      </c>
      <c r="K2323" s="0" t="s">
        <v>2869</v>
      </c>
      <c r="L2323" s="0" t="s">
        <v>2870</v>
      </c>
    </row>
    <row r="2324" customFormat="false" ht="15" hidden="false" customHeight="false" outlineLevel="0" collapsed="false">
      <c r="A2324" s="0" t="n">
        <v>191</v>
      </c>
      <c r="B2324" s="0" t="s">
        <v>2822</v>
      </c>
      <c r="C2324" s="0" t="s">
        <v>68</v>
      </c>
      <c r="D2324" s="0" t="s">
        <v>349</v>
      </c>
      <c r="E2324" s="0" t="s">
        <v>56</v>
      </c>
      <c r="F2324" s="0" t="s">
        <v>28</v>
      </c>
      <c r="I2324" s="0" t="n">
        <v>700</v>
      </c>
      <c r="J2324" s="0" t="n">
        <v>0.175</v>
      </c>
      <c r="K2324" s="0" t="s">
        <v>2871</v>
      </c>
    </row>
    <row r="2325" customFormat="false" ht="15" hidden="false" customHeight="false" outlineLevel="0" collapsed="false">
      <c r="A2325" s="0" t="n">
        <v>191</v>
      </c>
      <c r="B2325" s="0" t="s">
        <v>2822</v>
      </c>
      <c r="C2325" s="0" t="s">
        <v>68</v>
      </c>
      <c r="D2325" s="0" t="s">
        <v>349</v>
      </c>
      <c r="E2325" s="0" t="s">
        <v>58</v>
      </c>
      <c r="F2325" s="0" t="s">
        <v>28</v>
      </c>
      <c r="I2325" s="0" t="n">
        <v>2500</v>
      </c>
      <c r="J2325" s="0" t="n">
        <v>0.625</v>
      </c>
      <c r="K2325" s="0" t="s">
        <v>2872</v>
      </c>
    </row>
    <row r="2326" customFormat="false" ht="15" hidden="false" customHeight="false" outlineLevel="0" collapsed="false">
      <c r="A2326" s="0" t="n">
        <v>191</v>
      </c>
      <c r="B2326" s="0" t="s">
        <v>2822</v>
      </c>
      <c r="C2326" s="0" t="s">
        <v>68</v>
      </c>
      <c r="D2326" s="0" t="s">
        <v>349</v>
      </c>
      <c r="E2326" s="0" t="s">
        <v>64</v>
      </c>
      <c r="F2326" s="0" t="s">
        <v>27</v>
      </c>
      <c r="I2326" s="0" t="n">
        <v>750</v>
      </c>
      <c r="J2326" s="0" t="n">
        <v>0.1875</v>
      </c>
      <c r="K2326" s="0" t="s">
        <v>2873</v>
      </c>
    </row>
    <row r="2327" customFormat="false" ht="15" hidden="false" customHeight="false" outlineLevel="0" collapsed="false">
      <c r="A2327" s="0" t="n">
        <v>191</v>
      </c>
      <c r="B2327" s="0" t="s">
        <v>2822</v>
      </c>
      <c r="C2327" s="0" t="s">
        <v>68</v>
      </c>
      <c r="D2327" s="0" t="s">
        <v>349</v>
      </c>
      <c r="E2327" s="0" t="s">
        <v>60</v>
      </c>
      <c r="F2327" s="0" t="s">
        <v>27</v>
      </c>
      <c r="I2327" s="0" t="n">
        <v>200</v>
      </c>
      <c r="J2327" s="0" t="n">
        <v>0.05</v>
      </c>
      <c r="K2327" s="0" t="s">
        <v>2874</v>
      </c>
    </row>
    <row r="2328" customFormat="false" ht="15" hidden="false" customHeight="false" outlineLevel="0" collapsed="false">
      <c r="A2328" s="0" t="n">
        <v>191</v>
      </c>
      <c r="B2328" s="0" t="s">
        <v>2822</v>
      </c>
      <c r="C2328" s="0" t="s">
        <v>68</v>
      </c>
      <c r="D2328" s="0" t="s">
        <v>349</v>
      </c>
      <c r="E2328" s="0" t="s">
        <v>62</v>
      </c>
      <c r="F2328" s="0" t="s">
        <v>27</v>
      </c>
      <c r="I2328" s="0" t="n">
        <v>100</v>
      </c>
      <c r="J2328" s="0" t="n">
        <v>0.025</v>
      </c>
      <c r="K2328" s="0" t="s">
        <v>2875</v>
      </c>
    </row>
    <row r="2329" customFormat="false" ht="15" hidden="false" customHeight="false" outlineLevel="0" collapsed="false">
      <c r="A2329" s="0" t="n">
        <v>191</v>
      </c>
      <c r="B2329" s="0" t="s">
        <v>2822</v>
      </c>
      <c r="C2329" s="0" t="s">
        <v>68</v>
      </c>
      <c r="D2329" s="0" t="s">
        <v>349</v>
      </c>
      <c r="E2329" s="0" t="s">
        <v>66</v>
      </c>
      <c r="F2329" s="0" t="s">
        <v>27</v>
      </c>
      <c r="I2329" s="0" t="n">
        <v>250</v>
      </c>
      <c r="J2329" s="0" t="n">
        <v>0.0625</v>
      </c>
      <c r="K2329" s="0" t="s">
        <v>2876</v>
      </c>
      <c r="L2329" s="0" t="s">
        <v>2877</v>
      </c>
    </row>
    <row r="2330" customFormat="false" ht="15" hidden="false" customHeight="false" outlineLevel="0" collapsed="false">
      <c r="A2330" s="0" t="n">
        <v>191</v>
      </c>
      <c r="B2330" s="0" t="s">
        <v>2822</v>
      </c>
      <c r="C2330" s="0" t="s">
        <v>68</v>
      </c>
      <c r="D2330" s="0" t="s">
        <v>349</v>
      </c>
      <c r="E2330" s="0" t="s">
        <v>68</v>
      </c>
      <c r="F2330" s="0" t="s">
        <v>30</v>
      </c>
      <c r="I2330" s="0" t="n">
        <v>4000</v>
      </c>
      <c r="J2330" s="0" t="n">
        <v>1</v>
      </c>
      <c r="K2330" s="0" t="s">
        <v>2878</v>
      </c>
      <c r="L2330" s="0" t="s">
        <v>2879</v>
      </c>
    </row>
    <row r="2331" customFormat="false" ht="15" hidden="false" customHeight="false" outlineLevel="0" collapsed="false">
      <c r="A2331" s="0" t="n">
        <v>192</v>
      </c>
      <c r="B2331" s="0" t="s">
        <v>2822</v>
      </c>
      <c r="C2331" s="0" t="s">
        <v>2880</v>
      </c>
      <c r="D2331" s="0" t="s">
        <v>296</v>
      </c>
      <c r="E2331" s="0" t="s">
        <v>53</v>
      </c>
      <c r="F2331" s="0" t="s">
        <v>27</v>
      </c>
      <c r="G2331" s="0" t="n">
        <v>0.7</v>
      </c>
      <c r="H2331" s="0" t="n">
        <v>1.8</v>
      </c>
      <c r="I2331" s="0" t="n">
        <v>3360</v>
      </c>
      <c r="J2331" s="0" t="n">
        <v>0.84</v>
      </c>
      <c r="K2331" s="0" t="s">
        <v>2881</v>
      </c>
      <c r="L2331" s="0" t="s">
        <v>2825</v>
      </c>
    </row>
    <row r="2332" customFormat="false" ht="15" hidden="false" customHeight="false" outlineLevel="0" collapsed="false">
      <c r="A2332" s="0" t="n">
        <v>192</v>
      </c>
      <c r="B2332" s="0" t="s">
        <v>2822</v>
      </c>
      <c r="C2332" s="0" t="s">
        <v>2880</v>
      </c>
      <c r="D2332" s="0" t="s">
        <v>296</v>
      </c>
      <c r="E2332" s="0" t="s">
        <v>56</v>
      </c>
      <c r="F2332" s="0" t="s">
        <v>28</v>
      </c>
      <c r="I2332" s="0" t="n">
        <v>700</v>
      </c>
      <c r="J2332" s="0" t="n">
        <v>0.175</v>
      </c>
      <c r="K2332" s="0" t="s">
        <v>2882</v>
      </c>
    </row>
    <row r="2333" customFormat="false" ht="15" hidden="false" customHeight="false" outlineLevel="0" collapsed="false">
      <c r="A2333" s="0" t="n">
        <v>192</v>
      </c>
      <c r="B2333" s="0" t="s">
        <v>2822</v>
      </c>
      <c r="C2333" s="0" t="s">
        <v>2880</v>
      </c>
      <c r="D2333" s="0" t="s">
        <v>296</v>
      </c>
      <c r="E2333" s="0" t="s">
        <v>58</v>
      </c>
      <c r="F2333" s="0" t="s">
        <v>28</v>
      </c>
      <c r="I2333" s="0" t="n">
        <v>2500</v>
      </c>
      <c r="J2333" s="0" t="n">
        <v>0.625</v>
      </c>
      <c r="K2333" s="0" t="s">
        <v>2883</v>
      </c>
    </row>
    <row r="2334" customFormat="false" ht="15" hidden="false" customHeight="false" outlineLevel="0" collapsed="false">
      <c r="A2334" s="0" t="n">
        <v>192</v>
      </c>
      <c r="B2334" s="0" t="s">
        <v>2822</v>
      </c>
      <c r="C2334" s="0" t="s">
        <v>2880</v>
      </c>
      <c r="D2334" s="0" t="s">
        <v>296</v>
      </c>
      <c r="E2334" s="0" t="s">
        <v>128</v>
      </c>
      <c r="F2334" s="0" t="s">
        <v>28</v>
      </c>
      <c r="I2334" s="0" t="n">
        <v>1000</v>
      </c>
      <c r="J2334" s="0" t="n">
        <v>0.25</v>
      </c>
      <c r="K2334" s="0" t="s">
        <v>2884</v>
      </c>
    </row>
    <row r="2335" customFormat="false" ht="15" hidden="false" customHeight="false" outlineLevel="0" collapsed="false">
      <c r="A2335" s="0" t="n">
        <v>192</v>
      </c>
      <c r="B2335" s="0" t="s">
        <v>2822</v>
      </c>
      <c r="C2335" s="0" t="s">
        <v>2880</v>
      </c>
      <c r="D2335" s="0" t="s">
        <v>296</v>
      </c>
      <c r="E2335" s="0" t="s">
        <v>130</v>
      </c>
      <c r="F2335" s="0" t="s">
        <v>29</v>
      </c>
      <c r="I2335" s="0" t="n">
        <v>1000</v>
      </c>
      <c r="J2335" s="0" t="n">
        <v>0.25</v>
      </c>
      <c r="K2335" s="0" t="s">
        <v>2885</v>
      </c>
    </row>
    <row r="2336" customFormat="false" ht="15" hidden="false" customHeight="false" outlineLevel="0" collapsed="false">
      <c r="A2336" s="0" t="n">
        <v>192</v>
      </c>
      <c r="B2336" s="0" t="s">
        <v>2822</v>
      </c>
      <c r="C2336" s="0" t="s">
        <v>2880</v>
      </c>
      <c r="D2336" s="0" t="s">
        <v>296</v>
      </c>
      <c r="E2336" s="0" t="s">
        <v>158</v>
      </c>
      <c r="F2336" s="0" t="s">
        <v>28</v>
      </c>
      <c r="I2336" s="0" t="n">
        <v>1000</v>
      </c>
      <c r="J2336" s="0" t="n">
        <v>0.25</v>
      </c>
      <c r="K2336" s="0" t="s">
        <v>2886</v>
      </c>
    </row>
    <row r="2337" customFormat="false" ht="15" hidden="false" customHeight="false" outlineLevel="0" collapsed="false">
      <c r="A2337" s="0" t="n">
        <v>192</v>
      </c>
      <c r="B2337" s="0" t="s">
        <v>2822</v>
      </c>
      <c r="C2337" s="0" t="s">
        <v>2880</v>
      </c>
      <c r="D2337" s="0" t="s">
        <v>296</v>
      </c>
      <c r="E2337" s="0" t="s">
        <v>132</v>
      </c>
      <c r="F2337" s="0" t="s">
        <v>29</v>
      </c>
      <c r="I2337" s="0" t="n">
        <v>200</v>
      </c>
      <c r="J2337" s="0" t="n">
        <v>0.05</v>
      </c>
      <c r="K2337" s="0" t="s">
        <v>2887</v>
      </c>
    </row>
    <row r="2338" customFormat="false" ht="15" hidden="false" customHeight="false" outlineLevel="0" collapsed="false">
      <c r="A2338" s="0" t="n">
        <v>192</v>
      </c>
      <c r="B2338" s="0" t="s">
        <v>2822</v>
      </c>
      <c r="C2338" s="0" t="s">
        <v>2880</v>
      </c>
      <c r="D2338" s="0" t="s">
        <v>296</v>
      </c>
      <c r="E2338" s="0" t="s">
        <v>134</v>
      </c>
      <c r="F2338" s="0" t="s">
        <v>28</v>
      </c>
      <c r="I2338" s="0" t="n">
        <v>200</v>
      </c>
      <c r="J2338" s="0" t="n">
        <v>0.05</v>
      </c>
      <c r="K2338" s="0" t="s">
        <v>2888</v>
      </c>
    </row>
    <row r="2339" customFormat="false" ht="15" hidden="false" customHeight="false" outlineLevel="0" collapsed="false">
      <c r="A2339" s="0" t="n">
        <v>192</v>
      </c>
      <c r="B2339" s="0" t="s">
        <v>2822</v>
      </c>
      <c r="C2339" s="0" t="s">
        <v>2880</v>
      </c>
      <c r="D2339" s="0" t="s">
        <v>296</v>
      </c>
      <c r="E2339" s="0" t="s">
        <v>60</v>
      </c>
      <c r="F2339" s="0" t="s">
        <v>27</v>
      </c>
      <c r="I2339" s="0" t="n">
        <v>200</v>
      </c>
      <c r="J2339" s="0" t="n">
        <v>0.05</v>
      </c>
      <c r="K2339" s="0" t="s">
        <v>2889</v>
      </c>
    </row>
    <row r="2340" customFormat="false" ht="15" hidden="false" customHeight="false" outlineLevel="0" collapsed="false">
      <c r="A2340" s="0" t="n">
        <v>192</v>
      </c>
      <c r="B2340" s="0" t="s">
        <v>2822</v>
      </c>
      <c r="C2340" s="0" t="s">
        <v>2880</v>
      </c>
      <c r="D2340" s="0" t="s">
        <v>296</v>
      </c>
      <c r="E2340" s="0" t="s">
        <v>62</v>
      </c>
      <c r="F2340" s="0" t="s">
        <v>27</v>
      </c>
      <c r="I2340" s="0" t="n">
        <v>100</v>
      </c>
      <c r="J2340" s="0" t="n">
        <v>0.025</v>
      </c>
      <c r="K2340" s="0" t="s">
        <v>2890</v>
      </c>
    </row>
    <row r="2341" customFormat="false" ht="15" hidden="false" customHeight="false" outlineLevel="0" collapsed="false">
      <c r="A2341" s="0" t="n">
        <v>192</v>
      </c>
      <c r="B2341" s="0" t="s">
        <v>2822</v>
      </c>
      <c r="C2341" s="0" t="s">
        <v>2880</v>
      </c>
      <c r="D2341" s="0" t="s">
        <v>296</v>
      </c>
      <c r="E2341" s="0" t="s">
        <v>66</v>
      </c>
      <c r="F2341" s="0" t="s">
        <v>27</v>
      </c>
      <c r="I2341" s="0" t="n">
        <v>250</v>
      </c>
      <c r="J2341" s="0" t="n">
        <v>0.0625</v>
      </c>
      <c r="K2341" s="0" t="s">
        <v>2891</v>
      </c>
    </row>
    <row r="2342" customFormat="false" ht="15" hidden="false" customHeight="false" outlineLevel="0" collapsed="false">
      <c r="A2342" s="0" t="n">
        <v>192</v>
      </c>
      <c r="B2342" s="0" t="s">
        <v>2822</v>
      </c>
      <c r="C2342" s="0" t="s">
        <v>2880</v>
      </c>
      <c r="D2342" s="0" t="s">
        <v>296</v>
      </c>
      <c r="E2342" s="0" t="s">
        <v>64</v>
      </c>
      <c r="F2342" s="0" t="s">
        <v>27</v>
      </c>
      <c r="I2342" s="0" t="n">
        <v>750</v>
      </c>
      <c r="J2342" s="0" t="n">
        <v>0.1875</v>
      </c>
      <c r="K2342" s="0" t="s">
        <v>2892</v>
      </c>
    </row>
    <row r="2343" customFormat="false" ht="15" hidden="false" customHeight="false" outlineLevel="0" collapsed="false">
      <c r="A2343" s="0" t="n">
        <v>192</v>
      </c>
      <c r="B2343" s="0" t="s">
        <v>2822</v>
      </c>
      <c r="C2343" s="0" t="s">
        <v>2880</v>
      </c>
      <c r="D2343" s="0" t="s">
        <v>296</v>
      </c>
      <c r="E2343" s="0" t="s">
        <v>68</v>
      </c>
      <c r="F2343" s="0" t="s">
        <v>30</v>
      </c>
      <c r="I2343" s="0" t="n">
        <v>4000</v>
      </c>
      <c r="J2343" s="0" t="n">
        <v>1</v>
      </c>
      <c r="K2343" s="0" t="s">
        <v>2893</v>
      </c>
    </row>
    <row r="2344" customFormat="false" ht="15" hidden="false" customHeight="false" outlineLevel="0" collapsed="false">
      <c r="A2344" s="0" t="n">
        <v>193</v>
      </c>
      <c r="B2344" s="0" t="s">
        <v>2822</v>
      </c>
      <c r="C2344" s="0" t="s">
        <v>2880</v>
      </c>
      <c r="D2344" s="0" t="s">
        <v>311</v>
      </c>
      <c r="E2344" s="0" t="s">
        <v>53</v>
      </c>
      <c r="F2344" s="0" t="s">
        <v>27</v>
      </c>
      <c r="G2344" s="0" t="n">
        <v>0.5</v>
      </c>
      <c r="H2344" s="0" t="n">
        <v>1.8</v>
      </c>
      <c r="I2344" s="0" t="n">
        <v>1800</v>
      </c>
      <c r="J2344" s="0" t="n">
        <v>0.45</v>
      </c>
      <c r="K2344" s="0" t="s">
        <v>2894</v>
      </c>
      <c r="L2344" s="0" t="s">
        <v>2895</v>
      </c>
    </row>
    <row r="2345" customFormat="false" ht="15" hidden="false" customHeight="false" outlineLevel="0" collapsed="false">
      <c r="A2345" s="0" t="n">
        <v>193</v>
      </c>
      <c r="B2345" s="0" t="s">
        <v>2822</v>
      </c>
      <c r="C2345" s="0" t="s">
        <v>2880</v>
      </c>
      <c r="D2345" s="0" t="s">
        <v>311</v>
      </c>
      <c r="E2345" s="0" t="s">
        <v>56</v>
      </c>
      <c r="F2345" s="0" t="s">
        <v>28</v>
      </c>
      <c r="I2345" s="0" t="n">
        <v>700</v>
      </c>
      <c r="J2345" s="0" t="n">
        <v>0.175</v>
      </c>
      <c r="K2345" s="0" t="s">
        <v>2896</v>
      </c>
    </row>
    <row r="2346" customFormat="false" ht="15" hidden="false" customHeight="false" outlineLevel="0" collapsed="false">
      <c r="A2346" s="0" t="n">
        <v>193</v>
      </c>
      <c r="B2346" s="0" t="s">
        <v>2822</v>
      </c>
      <c r="C2346" s="0" t="s">
        <v>2880</v>
      </c>
      <c r="D2346" s="0" t="s">
        <v>311</v>
      </c>
      <c r="E2346" s="0" t="s">
        <v>58</v>
      </c>
      <c r="F2346" s="0" t="s">
        <v>28</v>
      </c>
      <c r="I2346" s="0" t="n">
        <v>2500</v>
      </c>
      <c r="J2346" s="0" t="n">
        <v>0.625</v>
      </c>
      <c r="K2346" s="0" t="s">
        <v>2897</v>
      </c>
    </row>
    <row r="2347" customFormat="false" ht="15" hidden="false" customHeight="false" outlineLevel="0" collapsed="false">
      <c r="A2347" s="0" t="n">
        <v>193</v>
      </c>
      <c r="B2347" s="0" t="s">
        <v>2822</v>
      </c>
      <c r="C2347" s="0" t="s">
        <v>2880</v>
      </c>
      <c r="D2347" s="0" t="s">
        <v>311</v>
      </c>
      <c r="E2347" s="0" t="s">
        <v>128</v>
      </c>
      <c r="F2347" s="0" t="s">
        <v>28</v>
      </c>
      <c r="I2347" s="0" t="n">
        <v>1000</v>
      </c>
      <c r="J2347" s="0" t="n">
        <v>0.25</v>
      </c>
      <c r="K2347" s="0" t="s">
        <v>2898</v>
      </c>
    </row>
    <row r="2348" customFormat="false" ht="15" hidden="false" customHeight="false" outlineLevel="0" collapsed="false">
      <c r="A2348" s="0" t="n">
        <v>193</v>
      </c>
      <c r="B2348" s="0" t="s">
        <v>2822</v>
      </c>
      <c r="C2348" s="0" t="s">
        <v>2880</v>
      </c>
      <c r="D2348" s="0" t="s">
        <v>311</v>
      </c>
      <c r="E2348" s="0" t="s">
        <v>130</v>
      </c>
      <c r="F2348" s="0" t="s">
        <v>29</v>
      </c>
      <c r="I2348" s="0" t="n">
        <v>1000</v>
      </c>
      <c r="J2348" s="0" t="n">
        <v>0.25</v>
      </c>
      <c r="K2348" s="0" t="s">
        <v>2899</v>
      </c>
    </row>
    <row r="2349" customFormat="false" ht="15" hidden="false" customHeight="false" outlineLevel="0" collapsed="false">
      <c r="A2349" s="0" t="n">
        <v>193</v>
      </c>
      <c r="B2349" s="0" t="s">
        <v>2822</v>
      </c>
      <c r="C2349" s="0" t="s">
        <v>2880</v>
      </c>
      <c r="D2349" s="0" t="s">
        <v>311</v>
      </c>
      <c r="E2349" s="0" t="s">
        <v>158</v>
      </c>
      <c r="F2349" s="0" t="s">
        <v>28</v>
      </c>
      <c r="I2349" s="0" t="n">
        <v>1000</v>
      </c>
      <c r="J2349" s="0" t="n">
        <v>0.25</v>
      </c>
      <c r="K2349" s="0" t="s">
        <v>2900</v>
      </c>
    </row>
    <row r="2350" customFormat="false" ht="15" hidden="false" customHeight="false" outlineLevel="0" collapsed="false">
      <c r="A2350" s="0" t="n">
        <v>193</v>
      </c>
      <c r="B2350" s="0" t="s">
        <v>2822</v>
      </c>
      <c r="C2350" s="0" t="s">
        <v>2880</v>
      </c>
      <c r="D2350" s="0" t="s">
        <v>311</v>
      </c>
      <c r="E2350" s="0" t="s">
        <v>132</v>
      </c>
      <c r="F2350" s="0" t="s">
        <v>29</v>
      </c>
      <c r="I2350" s="0" t="n">
        <v>200</v>
      </c>
      <c r="J2350" s="0" t="n">
        <v>0.05</v>
      </c>
      <c r="K2350" s="0" t="s">
        <v>2901</v>
      </c>
    </row>
    <row r="2351" customFormat="false" ht="15" hidden="false" customHeight="false" outlineLevel="0" collapsed="false">
      <c r="A2351" s="0" t="n">
        <v>193</v>
      </c>
      <c r="B2351" s="0" t="s">
        <v>2822</v>
      </c>
      <c r="C2351" s="0" t="s">
        <v>2880</v>
      </c>
      <c r="D2351" s="0" t="s">
        <v>311</v>
      </c>
      <c r="E2351" s="0" t="s">
        <v>134</v>
      </c>
      <c r="F2351" s="0" t="s">
        <v>28</v>
      </c>
      <c r="I2351" s="0" t="n">
        <v>200</v>
      </c>
      <c r="J2351" s="0" t="n">
        <v>0.05</v>
      </c>
      <c r="K2351" s="0" t="s">
        <v>2902</v>
      </c>
    </row>
    <row r="2352" customFormat="false" ht="15" hidden="false" customHeight="false" outlineLevel="0" collapsed="false">
      <c r="A2352" s="0" t="n">
        <v>193</v>
      </c>
      <c r="B2352" s="0" t="s">
        <v>2822</v>
      </c>
      <c r="C2352" s="0" t="s">
        <v>2880</v>
      </c>
      <c r="D2352" s="0" t="s">
        <v>311</v>
      </c>
      <c r="E2352" s="0" t="s">
        <v>60</v>
      </c>
      <c r="F2352" s="0" t="s">
        <v>27</v>
      </c>
      <c r="I2352" s="0" t="n">
        <v>200</v>
      </c>
      <c r="J2352" s="0" t="n">
        <v>0.05</v>
      </c>
      <c r="K2352" s="0" t="s">
        <v>2903</v>
      </c>
    </row>
    <row r="2353" customFormat="false" ht="15" hidden="false" customHeight="false" outlineLevel="0" collapsed="false">
      <c r="A2353" s="0" t="n">
        <v>193</v>
      </c>
      <c r="B2353" s="0" t="s">
        <v>2822</v>
      </c>
      <c r="C2353" s="0" t="s">
        <v>2880</v>
      </c>
      <c r="D2353" s="0" t="s">
        <v>311</v>
      </c>
      <c r="E2353" s="0" t="s">
        <v>62</v>
      </c>
      <c r="F2353" s="0" t="s">
        <v>27</v>
      </c>
      <c r="I2353" s="0" t="n">
        <v>100</v>
      </c>
      <c r="J2353" s="0" t="n">
        <v>0.025</v>
      </c>
      <c r="K2353" s="0" t="s">
        <v>2904</v>
      </c>
    </row>
    <row r="2354" customFormat="false" ht="15" hidden="false" customHeight="false" outlineLevel="0" collapsed="false">
      <c r="A2354" s="0" t="n">
        <v>193</v>
      </c>
      <c r="B2354" s="0" t="s">
        <v>2822</v>
      </c>
      <c r="C2354" s="0" t="s">
        <v>2880</v>
      </c>
      <c r="D2354" s="0" t="s">
        <v>311</v>
      </c>
      <c r="E2354" s="0" t="s">
        <v>66</v>
      </c>
      <c r="F2354" s="0" t="s">
        <v>27</v>
      </c>
      <c r="I2354" s="0" t="n">
        <v>250</v>
      </c>
      <c r="J2354" s="0" t="n">
        <v>0.0625</v>
      </c>
      <c r="K2354" s="0" t="s">
        <v>2905</v>
      </c>
    </row>
    <row r="2355" customFormat="false" ht="15" hidden="false" customHeight="false" outlineLevel="0" collapsed="false">
      <c r="A2355" s="0" t="n">
        <v>193</v>
      </c>
      <c r="B2355" s="0" t="s">
        <v>2822</v>
      </c>
      <c r="C2355" s="0" t="s">
        <v>2880</v>
      </c>
      <c r="D2355" s="0" t="s">
        <v>311</v>
      </c>
      <c r="E2355" s="0" t="s">
        <v>64</v>
      </c>
      <c r="F2355" s="0" t="s">
        <v>27</v>
      </c>
      <c r="I2355" s="0" t="n">
        <v>750</v>
      </c>
      <c r="J2355" s="0" t="n">
        <v>0.1875</v>
      </c>
      <c r="K2355" s="0" t="s">
        <v>2906</v>
      </c>
    </row>
    <row r="2356" customFormat="false" ht="15" hidden="false" customHeight="false" outlineLevel="0" collapsed="false">
      <c r="A2356" s="0" t="n">
        <v>193</v>
      </c>
      <c r="B2356" s="0" t="s">
        <v>2822</v>
      </c>
      <c r="C2356" s="0" t="s">
        <v>2880</v>
      </c>
      <c r="D2356" s="0" t="s">
        <v>311</v>
      </c>
      <c r="E2356" s="0" t="s">
        <v>68</v>
      </c>
      <c r="F2356" s="0" t="s">
        <v>30</v>
      </c>
      <c r="I2356" s="0" t="n">
        <v>4000</v>
      </c>
      <c r="J2356" s="0" t="n">
        <v>1</v>
      </c>
      <c r="K2356" s="0" t="s">
        <v>2907</v>
      </c>
    </row>
    <row r="2357" customFormat="false" ht="15" hidden="false" customHeight="false" outlineLevel="0" collapsed="false">
      <c r="A2357" s="0" t="n">
        <v>194</v>
      </c>
      <c r="B2357" s="0" t="s">
        <v>2822</v>
      </c>
      <c r="C2357" s="0" t="s">
        <v>70</v>
      </c>
      <c r="D2357" s="0" t="s">
        <v>70</v>
      </c>
      <c r="E2357" s="0" t="s">
        <v>53</v>
      </c>
      <c r="F2357" s="0" t="s">
        <v>27</v>
      </c>
      <c r="G2357" s="0" t="n">
        <v>0.7</v>
      </c>
      <c r="H2357" s="0" t="n">
        <v>1.8</v>
      </c>
      <c r="I2357" s="0" t="n">
        <v>5040</v>
      </c>
      <c r="J2357" s="0" t="n">
        <v>1.26</v>
      </c>
      <c r="K2357" s="0" t="s">
        <v>2908</v>
      </c>
      <c r="L2357" s="0" t="s">
        <v>2909</v>
      </c>
    </row>
    <row r="2358" customFormat="false" ht="15" hidden="false" customHeight="false" outlineLevel="0" collapsed="false">
      <c r="A2358" s="0" t="n">
        <v>194</v>
      </c>
      <c r="B2358" s="0" t="s">
        <v>2822</v>
      </c>
      <c r="C2358" s="0" t="s">
        <v>70</v>
      </c>
      <c r="D2358" s="0" t="s">
        <v>70</v>
      </c>
      <c r="E2358" s="0" t="s">
        <v>56</v>
      </c>
      <c r="F2358" s="0" t="s">
        <v>28</v>
      </c>
      <c r="I2358" s="0" t="n">
        <v>700</v>
      </c>
      <c r="J2358" s="0" t="n">
        <v>0.175</v>
      </c>
      <c r="K2358" s="0" t="s">
        <v>2910</v>
      </c>
    </row>
    <row r="2359" customFormat="false" ht="15" hidden="false" customHeight="false" outlineLevel="0" collapsed="false">
      <c r="A2359" s="0" t="n">
        <v>194</v>
      </c>
      <c r="B2359" s="0" t="s">
        <v>2822</v>
      </c>
      <c r="C2359" s="0" t="s">
        <v>70</v>
      </c>
      <c r="D2359" s="0" t="s">
        <v>70</v>
      </c>
      <c r="E2359" s="0" t="s">
        <v>58</v>
      </c>
      <c r="F2359" s="0" t="s">
        <v>28</v>
      </c>
      <c r="I2359" s="0" t="n">
        <v>2500</v>
      </c>
      <c r="J2359" s="0" t="n">
        <v>0.625</v>
      </c>
      <c r="K2359" s="0" t="s">
        <v>2911</v>
      </c>
    </row>
    <row r="2360" customFormat="false" ht="15" hidden="false" customHeight="false" outlineLevel="0" collapsed="false">
      <c r="A2360" s="0" t="n">
        <v>194</v>
      </c>
      <c r="B2360" s="0" t="s">
        <v>2822</v>
      </c>
      <c r="C2360" s="0" t="s">
        <v>70</v>
      </c>
      <c r="D2360" s="0" t="s">
        <v>70</v>
      </c>
      <c r="E2360" s="0" t="s">
        <v>128</v>
      </c>
      <c r="F2360" s="0" t="s">
        <v>28</v>
      </c>
      <c r="I2360" s="0" t="n">
        <v>2000</v>
      </c>
      <c r="J2360" s="0" t="n">
        <v>0.5</v>
      </c>
      <c r="K2360" s="0" t="s">
        <v>2912</v>
      </c>
    </row>
    <row r="2361" customFormat="false" ht="15" hidden="false" customHeight="false" outlineLevel="0" collapsed="false">
      <c r="A2361" s="0" t="n">
        <v>194</v>
      </c>
      <c r="B2361" s="0" t="s">
        <v>2822</v>
      </c>
      <c r="C2361" s="0" t="s">
        <v>70</v>
      </c>
      <c r="D2361" s="0" t="s">
        <v>70</v>
      </c>
      <c r="E2361" s="0" t="s">
        <v>130</v>
      </c>
      <c r="F2361" s="0" t="s">
        <v>29</v>
      </c>
      <c r="I2361" s="0" t="n">
        <v>2500</v>
      </c>
      <c r="J2361" s="0" t="n">
        <v>0.625</v>
      </c>
      <c r="K2361" s="0" t="s">
        <v>2913</v>
      </c>
    </row>
    <row r="2362" customFormat="false" ht="15" hidden="false" customHeight="false" outlineLevel="0" collapsed="false">
      <c r="A2362" s="0" t="n">
        <v>194</v>
      </c>
      <c r="B2362" s="0" t="s">
        <v>2822</v>
      </c>
      <c r="C2362" s="0" t="s">
        <v>70</v>
      </c>
      <c r="D2362" s="0" t="s">
        <v>70</v>
      </c>
      <c r="E2362" s="0" t="s">
        <v>158</v>
      </c>
      <c r="F2362" s="0" t="s">
        <v>28</v>
      </c>
      <c r="I2362" s="0" t="n">
        <v>1000</v>
      </c>
      <c r="J2362" s="0" t="n">
        <v>0.25</v>
      </c>
      <c r="K2362" s="0" t="s">
        <v>2914</v>
      </c>
      <c r="L2362" s="0" t="s">
        <v>2915</v>
      </c>
    </row>
    <row r="2363" customFormat="false" ht="15" hidden="false" customHeight="false" outlineLevel="0" collapsed="false">
      <c r="A2363" s="0" t="n">
        <v>194</v>
      </c>
      <c r="B2363" s="0" t="s">
        <v>2822</v>
      </c>
      <c r="C2363" s="0" t="s">
        <v>70</v>
      </c>
      <c r="D2363" s="0" t="s">
        <v>70</v>
      </c>
      <c r="E2363" s="0" t="s">
        <v>132</v>
      </c>
      <c r="F2363" s="0" t="s">
        <v>29</v>
      </c>
      <c r="I2363" s="0" t="n">
        <v>200</v>
      </c>
      <c r="J2363" s="0" t="n">
        <v>0.05</v>
      </c>
      <c r="K2363" s="0" t="s">
        <v>2916</v>
      </c>
      <c r="L2363" s="0" t="s">
        <v>2917</v>
      </c>
    </row>
    <row r="2364" customFormat="false" ht="15" hidden="false" customHeight="false" outlineLevel="0" collapsed="false">
      <c r="A2364" s="0" t="n">
        <v>194</v>
      </c>
      <c r="B2364" s="0" t="s">
        <v>2822</v>
      </c>
      <c r="C2364" s="0" t="s">
        <v>70</v>
      </c>
      <c r="D2364" s="0" t="s">
        <v>70</v>
      </c>
      <c r="E2364" s="0" t="s">
        <v>134</v>
      </c>
      <c r="F2364" s="0" t="s">
        <v>28</v>
      </c>
      <c r="I2364" s="0" t="n">
        <v>1000</v>
      </c>
      <c r="J2364" s="0" t="n">
        <v>0.25</v>
      </c>
      <c r="K2364" s="0" t="s">
        <v>2918</v>
      </c>
    </row>
    <row r="2365" customFormat="false" ht="15" hidden="false" customHeight="false" outlineLevel="0" collapsed="false">
      <c r="A2365" s="0" t="n">
        <v>194</v>
      </c>
      <c r="B2365" s="0" t="s">
        <v>2822</v>
      </c>
      <c r="C2365" s="0" t="s">
        <v>70</v>
      </c>
      <c r="D2365" s="0" t="s">
        <v>70</v>
      </c>
      <c r="E2365" s="0" t="s">
        <v>60</v>
      </c>
      <c r="F2365" s="0" t="s">
        <v>27</v>
      </c>
      <c r="I2365" s="0" t="n">
        <v>1000</v>
      </c>
      <c r="J2365" s="0" t="n">
        <v>0.25</v>
      </c>
      <c r="K2365" s="0" t="s">
        <v>2919</v>
      </c>
    </row>
    <row r="2366" customFormat="false" ht="15" hidden="false" customHeight="false" outlineLevel="0" collapsed="false">
      <c r="A2366" s="0" t="n">
        <v>194</v>
      </c>
      <c r="B2366" s="0" t="s">
        <v>2822</v>
      </c>
      <c r="C2366" s="0" t="s">
        <v>70</v>
      </c>
      <c r="D2366" s="0" t="s">
        <v>70</v>
      </c>
      <c r="E2366" s="0" t="s">
        <v>62</v>
      </c>
      <c r="F2366" s="0" t="s">
        <v>27</v>
      </c>
      <c r="I2366" s="0" t="n">
        <v>100</v>
      </c>
      <c r="J2366" s="0" t="n">
        <v>0.025</v>
      </c>
      <c r="K2366" s="0" t="s">
        <v>2920</v>
      </c>
    </row>
    <row r="2367" customFormat="false" ht="15" hidden="false" customHeight="false" outlineLevel="0" collapsed="false">
      <c r="A2367" s="0" t="n">
        <v>194</v>
      </c>
      <c r="B2367" s="0" t="s">
        <v>2822</v>
      </c>
      <c r="C2367" s="0" t="s">
        <v>70</v>
      </c>
      <c r="D2367" s="0" t="s">
        <v>70</v>
      </c>
      <c r="E2367" s="0" t="s">
        <v>66</v>
      </c>
      <c r="F2367" s="0" t="s">
        <v>27</v>
      </c>
      <c r="I2367" s="0" t="n">
        <v>250</v>
      </c>
      <c r="J2367" s="0" t="n">
        <v>0.0625</v>
      </c>
      <c r="K2367" s="0" t="s">
        <v>2921</v>
      </c>
      <c r="L2367" s="0" t="s">
        <v>944</v>
      </c>
    </row>
    <row r="2368" customFormat="false" ht="15" hidden="false" customHeight="false" outlineLevel="0" collapsed="false">
      <c r="A2368" s="0" t="n">
        <v>194</v>
      </c>
      <c r="B2368" s="0" t="s">
        <v>2822</v>
      </c>
      <c r="C2368" s="0" t="s">
        <v>70</v>
      </c>
      <c r="D2368" s="0" t="s">
        <v>70</v>
      </c>
      <c r="E2368" s="0" t="s">
        <v>64</v>
      </c>
      <c r="F2368" s="0" t="s">
        <v>27</v>
      </c>
      <c r="I2368" s="0" t="n">
        <v>750</v>
      </c>
      <c r="J2368" s="0" t="n">
        <v>0.1875</v>
      </c>
      <c r="K2368" s="0" t="s">
        <v>2922</v>
      </c>
      <c r="L2368" s="0" t="s">
        <v>946</v>
      </c>
    </row>
    <row r="2369" customFormat="false" ht="15" hidden="false" customHeight="false" outlineLevel="0" collapsed="false">
      <c r="A2369" s="0" t="n">
        <v>194</v>
      </c>
      <c r="B2369" s="0" t="s">
        <v>2822</v>
      </c>
      <c r="C2369" s="0" t="s">
        <v>70</v>
      </c>
      <c r="D2369" s="0" t="s">
        <v>70</v>
      </c>
      <c r="E2369" s="0" t="s">
        <v>68</v>
      </c>
      <c r="F2369" s="0" t="s">
        <v>30</v>
      </c>
      <c r="I2369" s="0" t="n">
        <v>3000</v>
      </c>
      <c r="J2369" s="0" t="n">
        <v>0.75</v>
      </c>
      <c r="K2369" s="0" t="s">
        <v>2923</v>
      </c>
    </row>
    <row r="2370" customFormat="false" ht="15" hidden="false" customHeight="false" outlineLevel="0" collapsed="false">
      <c r="A2370" s="0" t="n">
        <v>195</v>
      </c>
      <c r="B2370" s="0" t="s">
        <v>2822</v>
      </c>
      <c r="C2370" s="0" t="s">
        <v>70</v>
      </c>
      <c r="D2370" s="0" t="s">
        <v>90</v>
      </c>
      <c r="E2370" s="0" t="s">
        <v>53</v>
      </c>
      <c r="F2370" s="0" t="s">
        <v>27</v>
      </c>
      <c r="G2370" s="0" t="n">
        <v>0.5</v>
      </c>
      <c r="H2370" s="0" t="n">
        <v>3</v>
      </c>
      <c r="I2370" s="0" t="n">
        <v>3000</v>
      </c>
      <c r="J2370" s="0" t="n">
        <v>0.75</v>
      </c>
      <c r="K2370" s="0" t="s">
        <v>2924</v>
      </c>
      <c r="L2370" s="0" t="s">
        <v>2925</v>
      </c>
    </row>
    <row r="2371" customFormat="false" ht="15" hidden="false" customHeight="false" outlineLevel="0" collapsed="false">
      <c r="A2371" s="0" t="n">
        <v>195</v>
      </c>
      <c r="B2371" s="0" t="s">
        <v>2822</v>
      </c>
      <c r="C2371" s="0" t="s">
        <v>70</v>
      </c>
      <c r="D2371" s="0" t="s">
        <v>90</v>
      </c>
      <c r="E2371" s="0" t="s">
        <v>56</v>
      </c>
      <c r="F2371" s="0" t="s">
        <v>28</v>
      </c>
      <c r="I2371" s="0" t="n">
        <v>700</v>
      </c>
      <c r="J2371" s="0" t="n">
        <v>0.175</v>
      </c>
      <c r="K2371" s="0" t="s">
        <v>2926</v>
      </c>
    </row>
    <row r="2372" customFormat="false" ht="15" hidden="false" customHeight="false" outlineLevel="0" collapsed="false">
      <c r="A2372" s="0" t="n">
        <v>195</v>
      </c>
      <c r="B2372" s="0" t="s">
        <v>2822</v>
      </c>
      <c r="C2372" s="0" t="s">
        <v>70</v>
      </c>
      <c r="D2372" s="0" t="s">
        <v>90</v>
      </c>
      <c r="E2372" s="0" t="s">
        <v>58</v>
      </c>
      <c r="F2372" s="0" t="s">
        <v>28</v>
      </c>
      <c r="I2372" s="0" t="n">
        <v>2500</v>
      </c>
      <c r="J2372" s="0" t="n">
        <v>0.625</v>
      </c>
      <c r="K2372" s="0" t="s">
        <v>2927</v>
      </c>
    </row>
    <row r="2373" customFormat="false" ht="15" hidden="false" customHeight="false" outlineLevel="0" collapsed="false">
      <c r="A2373" s="0" t="n">
        <v>195</v>
      </c>
      <c r="B2373" s="0" t="s">
        <v>2822</v>
      </c>
      <c r="C2373" s="0" t="s">
        <v>70</v>
      </c>
      <c r="D2373" s="0" t="s">
        <v>90</v>
      </c>
      <c r="E2373" s="0" t="s">
        <v>128</v>
      </c>
      <c r="F2373" s="0" t="s">
        <v>28</v>
      </c>
      <c r="I2373" s="0" t="n">
        <v>1000</v>
      </c>
      <c r="J2373" s="0" t="n">
        <v>0.25</v>
      </c>
      <c r="K2373" s="0" t="s">
        <v>2928</v>
      </c>
    </row>
    <row r="2374" customFormat="false" ht="15" hidden="false" customHeight="false" outlineLevel="0" collapsed="false">
      <c r="A2374" s="0" t="n">
        <v>195</v>
      </c>
      <c r="B2374" s="0" t="s">
        <v>2822</v>
      </c>
      <c r="C2374" s="0" t="s">
        <v>70</v>
      </c>
      <c r="D2374" s="0" t="s">
        <v>90</v>
      </c>
      <c r="E2374" s="0" t="s">
        <v>130</v>
      </c>
      <c r="F2374" s="0" t="s">
        <v>29</v>
      </c>
      <c r="I2374" s="0" t="n">
        <v>1000</v>
      </c>
      <c r="J2374" s="0" t="n">
        <v>0.25</v>
      </c>
      <c r="K2374" s="0" t="s">
        <v>2929</v>
      </c>
      <c r="L2374" s="0" t="s">
        <v>2930</v>
      </c>
    </row>
    <row r="2375" customFormat="false" ht="15" hidden="false" customHeight="false" outlineLevel="0" collapsed="false">
      <c r="A2375" s="0" t="n">
        <v>195</v>
      </c>
      <c r="B2375" s="0" t="s">
        <v>2822</v>
      </c>
      <c r="C2375" s="0" t="s">
        <v>70</v>
      </c>
      <c r="D2375" s="0" t="s">
        <v>90</v>
      </c>
      <c r="E2375" s="0" t="s">
        <v>158</v>
      </c>
      <c r="F2375" s="0" t="s">
        <v>28</v>
      </c>
      <c r="I2375" s="0" t="n">
        <v>1000</v>
      </c>
      <c r="J2375" s="0" t="n">
        <v>0.25</v>
      </c>
      <c r="K2375" s="0" t="s">
        <v>2931</v>
      </c>
      <c r="L2375" s="0" t="s">
        <v>2932</v>
      </c>
    </row>
    <row r="2376" customFormat="false" ht="15" hidden="false" customHeight="false" outlineLevel="0" collapsed="false">
      <c r="A2376" s="0" t="n">
        <v>195</v>
      </c>
      <c r="B2376" s="0" t="s">
        <v>2822</v>
      </c>
      <c r="C2376" s="0" t="s">
        <v>70</v>
      </c>
      <c r="D2376" s="0" t="s">
        <v>90</v>
      </c>
      <c r="E2376" s="0" t="s">
        <v>132</v>
      </c>
      <c r="F2376" s="0" t="s">
        <v>29</v>
      </c>
      <c r="I2376" s="0" t="n">
        <v>200</v>
      </c>
      <c r="J2376" s="0" t="n">
        <v>0.05</v>
      </c>
      <c r="K2376" s="0" t="s">
        <v>2933</v>
      </c>
      <c r="L2376" s="0" t="s">
        <v>2934</v>
      </c>
    </row>
    <row r="2377" customFormat="false" ht="15" hidden="false" customHeight="false" outlineLevel="0" collapsed="false">
      <c r="A2377" s="0" t="n">
        <v>195</v>
      </c>
      <c r="B2377" s="0" t="s">
        <v>2822</v>
      </c>
      <c r="C2377" s="0" t="s">
        <v>70</v>
      </c>
      <c r="D2377" s="0" t="s">
        <v>90</v>
      </c>
      <c r="E2377" s="0" t="s">
        <v>134</v>
      </c>
      <c r="F2377" s="0" t="s">
        <v>28</v>
      </c>
      <c r="I2377" s="0" t="n">
        <v>200</v>
      </c>
      <c r="J2377" s="0" t="n">
        <v>0.05</v>
      </c>
      <c r="K2377" s="0" t="s">
        <v>2935</v>
      </c>
      <c r="L2377" s="0" t="s">
        <v>2936</v>
      </c>
    </row>
    <row r="2378" customFormat="false" ht="15" hidden="false" customHeight="false" outlineLevel="0" collapsed="false">
      <c r="A2378" s="0" t="n">
        <v>195</v>
      </c>
      <c r="B2378" s="0" t="s">
        <v>2822</v>
      </c>
      <c r="C2378" s="0" t="s">
        <v>70</v>
      </c>
      <c r="D2378" s="0" t="s">
        <v>90</v>
      </c>
      <c r="E2378" s="0" t="s">
        <v>60</v>
      </c>
      <c r="F2378" s="0" t="s">
        <v>27</v>
      </c>
      <c r="I2378" s="0" t="n">
        <v>200</v>
      </c>
      <c r="J2378" s="0" t="n">
        <v>0.05</v>
      </c>
      <c r="K2378" s="0" t="s">
        <v>2937</v>
      </c>
    </row>
    <row r="2379" customFormat="false" ht="15" hidden="false" customHeight="false" outlineLevel="0" collapsed="false">
      <c r="A2379" s="0" t="n">
        <v>195</v>
      </c>
      <c r="B2379" s="0" t="s">
        <v>2822</v>
      </c>
      <c r="C2379" s="0" t="s">
        <v>70</v>
      </c>
      <c r="D2379" s="0" t="s">
        <v>90</v>
      </c>
      <c r="E2379" s="0" t="s">
        <v>62</v>
      </c>
      <c r="F2379" s="0" t="s">
        <v>27</v>
      </c>
      <c r="I2379" s="0" t="n">
        <v>100</v>
      </c>
      <c r="J2379" s="0" t="n">
        <v>0.025</v>
      </c>
      <c r="K2379" s="0" t="s">
        <v>2938</v>
      </c>
    </row>
    <row r="2380" customFormat="false" ht="15" hidden="false" customHeight="false" outlineLevel="0" collapsed="false">
      <c r="A2380" s="0" t="n">
        <v>195</v>
      </c>
      <c r="B2380" s="0" t="s">
        <v>2822</v>
      </c>
      <c r="C2380" s="0" t="s">
        <v>70</v>
      </c>
      <c r="D2380" s="0" t="s">
        <v>90</v>
      </c>
      <c r="E2380" s="0" t="s">
        <v>66</v>
      </c>
      <c r="F2380" s="0" t="s">
        <v>27</v>
      </c>
      <c r="I2380" s="0" t="n">
        <v>250</v>
      </c>
      <c r="J2380" s="0" t="n">
        <v>0.0625</v>
      </c>
      <c r="K2380" s="0" t="s">
        <v>2939</v>
      </c>
      <c r="L2380" s="0" t="s">
        <v>2940</v>
      </c>
    </row>
    <row r="2381" customFormat="false" ht="15" hidden="false" customHeight="false" outlineLevel="0" collapsed="false">
      <c r="A2381" s="0" t="n">
        <v>195</v>
      </c>
      <c r="B2381" s="0" t="s">
        <v>2822</v>
      </c>
      <c r="C2381" s="0" t="s">
        <v>70</v>
      </c>
      <c r="D2381" s="0" t="s">
        <v>90</v>
      </c>
      <c r="E2381" s="0" t="s">
        <v>64</v>
      </c>
      <c r="F2381" s="0" t="s">
        <v>27</v>
      </c>
      <c r="I2381" s="0" t="n">
        <v>750</v>
      </c>
      <c r="J2381" s="0" t="n">
        <v>0.1875</v>
      </c>
      <c r="K2381" s="0" t="s">
        <v>2941</v>
      </c>
      <c r="L2381" s="0" t="s">
        <v>2942</v>
      </c>
    </row>
    <row r="2382" customFormat="false" ht="15" hidden="false" customHeight="false" outlineLevel="0" collapsed="false">
      <c r="A2382" s="0" t="n">
        <v>195</v>
      </c>
      <c r="B2382" s="0" t="s">
        <v>2822</v>
      </c>
      <c r="C2382" s="0" t="s">
        <v>70</v>
      </c>
      <c r="D2382" s="0" t="s">
        <v>90</v>
      </c>
      <c r="E2382" s="0" t="s">
        <v>68</v>
      </c>
      <c r="F2382" s="0" t="s">
        <v>30</v>
      </c>
      <c r="I2382" s="0" t="n">
        <v>4000</v>
      </c>
      <c r="J2382" s="0" t="n">
        <v>1</v>
      </c>
      <c r="K2382" s="0" t="s">
        <v>2943</v>
      </c>
      <c r="L2382" s="0" t="s">
        <v>2944</v>
      </c>
    </row>
    <row r="2383" customFormat="false" ht="15" hidden="false" customHeight="false" outlineLevel="0" collapsed="false">
      <c r="A2383" s="0" t="n">
        <v>196</v>
      </c>
      <c r="B2383" s="0" t="s">
        <v>2822</v>
      </c>
      <c r="C2383" s="0" t="s">
        <v>68</v>
      </c>
      <c r="D2383" s="0" t="s">
        <v>2945</v>
      </c>
      <c r="E2383" s="0" t="s">
        <v>53</v>
      </c>
      <c r="F2383" s="0" t="s">
        <v>27</v>
      </c>
      <c r="G2383" s="0" t="n">
        <v>0.8</v>
      </c>
      <c r="H2383" s="0" t="n">
        <v>1.8</v>
      </c>
      <c r="I2383" s="0" t="n">
        <v>5472</v>
      </c>
      <c r="J2383" s="0" t="n">
        <v>1.368</v>
      </c>
      <c r="K2383" s="0" t="s">
        <v>2946</v>
      </c>
      <c r="L2383" s="0" t="s">
        <v>2947</v>
      </c>
    </row>
    <row r="2384" customFormat="false" ht="15" hidden="false" customHeight="false" outlineLevel="0" collapsed="false">
      <c r="A2384" s="0" t="n">
        <v>196</v>
      </c>
      <c r="B2384" s="0" t="s">
        <v>2822</v>
      </c>
      <c r="C2384" s="0" t="s">
        <v>68</v>
      </c>
      <c r="D2384" s="0" t="s">
        <v>2945</v>
      </c>
      <c r="E2384" s="0" t="s">
        <v>56</v>
      </c>
      <c r="F2384" s="0" t="s">
        <v>28</v>
      </c>
      <c r="I2384" s="0" t="n">
        <v>700</v>
      </c>
      <c r="J2384" s="0" t="n">
        <v>0.175</v>
      </c>
      <c r="K2384" s="0" t="s">
        <v>2948</v>
      </c>
    </row>
    <row r="2385" customFormat="false" ht="15" hidden="false" customHeight="false" outlineLevel="0" collapsed="false">
      <c r="A2385" s="0" t="n">
        <v>196</v>
      </c>
      <c r="B2385" s="0" t="s">
        <v>2822</v>
      </c>
      <c r="C2385" s="0" t="s">
        <v>68</v>
      </c>
      <c r="D2385" s="0" t="s">
        <v>2945</v>
      </c>
      <c r="E2385" s="0" t="s">
        <v>58</v>
      </c>
      <c r="F2385" s="0" t="s">
        <v>28</v>
      </c>
      <c r="I2385" s="0" t="n">
        <v>2500</v>
      </c>
      <c r="J2385" s="0" t="n">
        <v>0.625</v>
      </c>
      <c r="K2385" s="0" t="s">
        <v>2949</v>
      </c>
    </row>
    <row r="2386" customFormat="false" ht="15" hidden="false" customHeight="false" outlineLevel="0" collapsed="false">
      <c r="A2386" s="0" t="n">
        <v>196</v>
      </c>
      <c r="B2386" s="0" t="s">
        <v>2822</v>
      </c>
      <c r="C2386" s="0" t="s">
        <v>68</v>
      </c>
      <c r="D2386" s="0" t="s">
        <v>2945</v>
      </c>
      <c r="E2386" s="0" t="s">
        <v>128</v>
      </c>
      <c r="F2386" s="0" t="s">
        <v>28</v>
      </c>
      <c r="I2386" s="0" t="n">
        <v>1000</v>
      </c>
      <c r="J2386" s="0" t="n">
        <v>0.25</v>
      </c>
      <c r="K2386" s="0" t="s">
        <v>2950</v>
      </c>
    </row>
    <row r="2387" customFormat="false" ht="15" hidden="false" customHeight="false" outlineLevel="0" collapsed="false">
      <c r="A2387" s="0" t="n">
        <v>196</v>
      </c>
      <c r="B2387" s="0" t="s">
        <v>2822</v>
      </c>
      <c r="C2387" s="0" t="s">
        <v>68</v>
      </c>
      <c r="D2387" s="0" t="s">
        <v>2945</v>
      </c>
      <c r="E2387" s="0" t="s">
        <v>130</v>
      </c>
      <c r="F2387" s="0" t="s">
        <v>29</v>
      </c>
      <c r="I2387" s="0" t="n">
        <v>2000</v>
      </c>
      <c r="J2387" s="0" t="n">
        <v>0.5</v>
      </c>
      <c r="K2387" s="0" t="s">
        <v>2951</v>
      </c>
    </row>
    <row r="2388" customFormat="false" ht="15" hidden="false" customHeight="false" outlineLevel="0" collapsed="false">
      <c r="A2388" s="0" t="n">
        <v>196</v>
      </c>
      <c r="B2388" s="0" t="s">
        <v>2822</v>
      </c>
      <c r="C2388" s="0" t="s">
        <v>68</v>
      </c>
      <c r="D2388" s="0" t="s">
        <v>2945</v>
      </c>
      <c r="E2388" s="0" t="s">
        <v>158</v>
      </c>
      <c r="F2388" s="0" t="s">
        <v>28</v>
      </c>
      <c r="I2388" s="0" t="n">
        <v>1000</v>
      </c>
      <c r="J2388" s="0" t="n">
        <v>0.25</v>
      </c>
      <c r="K2388" s="0" t="s">
        <v>2952</v>
      </c>
    </row>
    <row r="2389" customFormat="false" ht="15" hidden="false" customHeight="false" outlineLevel="0" collapsed="false">
      <c r="A2389" s="0" t="n">
        <v>196</v>
      </c>
      <c r="B2389" s="0" t="s">
        <v>2822</v>
      </c>
      <c r="C2389" s="0" t="s">
        <v>68</v>
      </c>
      <c r="D2389" s="0" t="s">
        <v>2945</v>
      </c>
      <c r="E2389" s="0" t="s">
        <v>132</v>
      </c>
      <c r="F2389" s="0" t="s">
        <v>29</v>
      </c>
      <c r="I2389" s="0" t="n">
        <v>200</v>
      </c>
      <c r="J2389" s="0" t="n">
        <v>0.05</v>
      </c>
      <c r="K2389" s="0" t="s">
        <v>2953</v>
      </c>
    </row>
    <row r="2390" customFormat="false" ht="15" hidden="false" customHeight="false" outlineLevel="0" collapsed="false">
      <c r="A2390" s="0" t="n">
        <v>196</v>
      </c>
      <c r="B2390" s="0" t="s">
        <v>2822</v>
      </c>
      <c r="C2390" s="0" t="s">
        <v>68</v>
      </c>
      <c r="D2390" s="0" t="s">
        <v>2945</v>
      </c>
      <c r="E2390" s="0" t="s">
        <v>134</v>
      </c>
      <c r="F2390" s="0" t="s">
        <v>28</v>
      </c>
      <c r="I2390" s="0" t="n">
        <v>200</v>
      </c>
      <c r="J2390" s="0" t="n">
        <v>0.05</v>
      </c>
      <c r="K2390" s="0" t="s">
        <v>2954</v>
      </c>
    </row>
    <row r="2391" customFormat="false" ht="15" hidden="false" customHeight="false" outlineLevel="0" collapsed="false">
      <c r="A2391" s="0" t="n">
        <v>196</v>
      </c>
      <c r="B2391" s="0" t="s">
        <v>2822</v>
      </c>
      <c r="C2391" s="0" t="s">
        <v>68</v>
      </c>
      <c r="D2391" s="0" t="s">
        <v>2945</v>
      </c>
      <c r="E2391" s="0" t="s">
        <v>60</v>
      </c>
      <c r="F2391" s="0" t="s">
        <v>27</v>
      </c>
      <c r="I2391" s="0" t="n">
        <v>200</v>
      </c>
      <c r="J2391" s="0" t="n">
        <v>0.05</v>
      </c>
      <c r="K2391" s="0" t="s">
        <v>2955</v>
      </c>
    </row>
    <row r="2392" customFormat="false" ht="15" hidden="false" customHeight="false" outlineLevel="0" collapsed="false">
      <c r="A2392" s="0" t="n">
        <v>196</v>
      </c>
      <c r="B2392" s="0" t="s">
        <v>2822</v>
      </c>
      <c r="C2392" s="0" t="s">
        <v>68</v>
      </c>
      <c r="D2392" s="0" t="s">
        <v>2945</v>
      </c>
      <c r="E2392" s="0" t="s">
        <v>62</v>
      </c>
      <c r="F2392" s="0" t="s">
        <v>27</v>
      </c>
      <c r="I2392" s="0" t="n">
        <v>100</v>
      </c>
      <c r="J2392" s="0" t="n">
        <v>0.025</v>
      </c>
      <c r="K2392" s="0" t="s">
        <v>2956</v>
      </c>
    </row>
    <row r="2393" customFormat="false" ht="15" hidden="false" customHeight="false" outlineLevel="0" collapsed="false">
      <c r="A2393" s="0" t="n">
        <v>196</v>
      </c>
      <c r="B2393" s="0" t="s">
        <v>2822</v>
      </c>
      <c r="C2393" s="0" t="s">
        <v>68</v>
      </c>
      <c r="D2393" s="0" t="s">
        <v>2945</v>
      </c>
      <c r="E2393" s="0" t="s">
        <v>66</v>
      </c>
      <c r="F2393" s="0" t="s">
        <v>27</v>
      </c>
      <c r="I2393" s="0" t="n">
        <v>250</v>
      </c>
      <c r="J2393" s="0" t="n">
        <v>0.0625</v>
      </c>
      <c r="K2393" s="0" t="s">
        <v>2957</v>
      </c>
    </row>
    <row r="2394" customFormat="false" ht="15" hidden="false" customHeight="false" outlineLevel="0" collapsed="false">
      <c r="A2394" s="0" t="n">
        <v>196</v>
      </c>
      <c r="B2394" s="0" t="s">
        <v>2822</v>
      </c>
      <c r="C2394" s="0" t="s">
        <v>68</v>
      </c>
      <c r="D2394" s="0" t="s">
        <v>2945</v>
      </c>
      <c r="E2394" s="0" t="s">
        <v>64</v>
      </c>
      <c r="F2394" s="0" t="s">
        <v>27</v>
      </c>
      <c r="I2394" s="0" t="n">
        <v>750</v>
      </c>
      <c r="J2394" s="0" t="n">
        <v>0.1875</v>
      </c>
      <c r="K2394" s="0" t="s">
        <v>2958</v>
      </c>
    </row>
    <row r="2395" customFormat="false" ht="15" hidden="false" customHeight="false" outlineLevel="0" collapsed="false">
      <c r="A2395" s="0" t="n">
        <v>196</v>
      </c>
      <c r="B2395" s="0" t="s">
        <v>2822</v>
      </c>
      <c r="C2395" s="0" t="s">
        <v>68</v>
      </c>
      <c r="D2395" s="0" t="s">
        <v>2945</v>
      </c>
      <c r="E2395" s="0" t="s">
        <v>68</v>
      </c>
      <c r="F2395" s="0" t="s">
        <v>30</v>
      </c>
      <c r="I2395" s="0" t="n">
        <v>4000</v>
      </c>
      <c r="J2395" s="0" t="n">
        <v>1</v>
      </c>
      <c r="K2395" s="0" t="s">
        <v>2959</v>
      </c>
    </row>
    <row r="2396" customFormat="false" ht="15" hidden="false" customHeight="false" outlineLevel="0" collapsed="false">
      <c r="A2396" s="0" t="n">
        <v>197</v>
      </c>
      <c r="B2396" s="0" t="s">
        <v>2822</v>
      </c>
      <c r="C2396" s="0" t="s">
        <v>68</v>
      </c>
      <c r="D2396" s="0" t="s">
        <v>349</v>
      </c>
      <c r="E2396" s="0" t="s">
        <v>53</v>
      </c>
      <c r="F2396" s="0" t="s">
        <v>27</v>
      </c>
      <c r="G2396" s="0" t="n">
        <v>0.8</v>
      </c>
      <c r="H2396" s="0" t="n">
        <v>3</v>
      </c>
      <c r="I2396" s="0" t="n">
        <v>6400</v>
      </c>
      <c r="J2396" s="0" t="n">
        <v>1.6</v>
      </c>
      <c r="K2396" s="0" t="s">
        <v>2960</v>
      </c>
      <c r="L2396" s="0" t="s">
        <v>2870</v>
      </c>
    </row>
    <row r="2397" customFormat="false" ht="15" hidden="false" customHeight="false" outlineLevel="0" collapsed="false">
      <c r="A2397" s="0" t="n">
        <v>197</v>
      </c>
      <c r="B2397" s="0" t="s">
        <v>2822</v>
      </c>
      <c r="C2397" s="0" t="s">
        <v>68</v>
      </c>
      <c r="D2397" s="0" t="s">
        <v>349</v>
      </c>
      <c r="E2397" s="0" t="s">
        <v>56</v>
      </c>
      <c r="F2397" s="0" t="s">
        <v>28</v>
      </c>
      <c r="I2397" s="0" t="n">
        <v>700</v>
      </c>
      <c r="J2397" s="0" t="n">
        <v>0.175</v>
      </c>
      <c r="K2397" s="0" t="s">
        <v>2961</v>
      </c>
    </row>
    <row r="2398" customFormat="false" ht="15" hidden="false" customHeight="false" outlineLevel="0" collapsed="false">
      <c r="A2398" s="0" t="n">
        <v>197</v>
      </c>
      <c r="B2398" s="0" t="s">
        <v>2822</v>
      </c>
      <c r="C2398" s="0" t="s">
        <v>68</v>
      </c>
      <c r="D2398" s="0" t="s">
        <v>349</v>
      </c>
      <c r="E2398" s="0" t="s">
        <v>58</v>
      </c>
      <c r="F2398" s="0" t="s">
        <v>28</v>
      </c>
      <c r="I2398" s="0" t="n">
        <v>2500</v>
      </c>
      <c r="J2398" s="0" t="n">
        <v>0.625</v>
      </c>
      <c r="K2398" s="0" t="s">
        <v>2962</v>
      </c>
    </row>
    <row r="2399" customFormat="false" ht="15" hidden="false" customHeight="false" outlineLevel="0" collapsed="false">
      <c r="A2399" s="0" t="n">
        <v>197</v>
      </c>
      <c r="B2399" s="0" t="s">
        <v>2822</v>
      </c>
      <c r="C2399" s="0" t="s">
        <v>68</v>
      </c>
      <c r="D2399" s="0" t="s">
        <v>349</v>
      </c>
      <c r="E2399" s="0" t="s">
        <v>203</v>
      </c>
      <c r="F2399" s="0" t="s">
        <v>29</v>
      </c>
      <c r="I2399" s="0" t="n">
        <v>1000</v>
      </c>
      <c r="J2399" s="0" t="n">
        <v>0.25</v>
      </c>
      <c r="K2399" s="0" t="s">
        <v>2963</v>
      </c>
    </row>
    <row r="2400" customFormat="false" ht="15" hidden="false" customHeight="false" outlineLevel="0" collapsed="false">
      <c r="A2400" s="0" t="n">
        <v>197</v>
      </c>
      <c r="B2400" s="0" t="s">
        <v>2822</v>
      </c>
      <c r="C2400" s="0" t="s">
        <v>68</v>
      </c>
      <c r="D2400" s="0" t="s">
        <v>349</v>
      </c>
      <c r="E2400" s="0" t="s">
        <v>128</v>
      </c>
      <c r="F2400" s="0" t="s">
        <v>28</v>
      </c>
      <c r="I2400" s="0" t="n">
        <v>1000</v>
      </c>
      <c r="J2400" s="0" t="n">
        <v>0.25</v>
      </c>
      <c r="K2400" s="0" t="s">
        <v>2964</v>
      </c>
    </row>
    <row r="2401" customFormat="false" ht="15" hidden="false" customHeight="false" outlineLevel="0" collapsed="false">
      <c r="A2401" s="0" t="n">
        <v>197</v>
      </c>
      <c r="B2401" s="0" t="s">
        <v>2822</v>
      </c>
      <c r="C2401" s="0" t="s">
        <v>68</v>
      </c>
      <c r="D2401" s="0" t="s">
        <v>349</v>
      </c>
      <c r="E2401" s="0" t="s">
        <v>158</v>
      </c>
      <c r="F2401" s="0" t="s">
        <v>28</v>
      </c>
      <c r="I2401" s="0" t="n">
        <v>1000</v>
      </c>
      <c r="J2401" s="0" t="n">
        <v>0.25</v>
      </c>
      <c r="K2401" s="0" t="s">
        <v>2965</v>
      </c>
    </row>
    <row r="2402" customFormat="false" ht="15" hidden="false" customHeight="false" outlineLevel="0" collapsed="false">
      <c r="A2402" s="0" t="n">
        <v>197</v>
      </c>
      <c r="B2402" s="0" t="s">
        <v>2822</v>
      </c>
      <c r="C2402" s="0" t="s">
        <v>68</v>
      </c>
      <c r="D2402" s="0" t="s">
        <v>349</v>
      </c>
      <c r="E2402" s="0" t="s">
        <v>132</v>
      </c>
      <c r="F2402" s="0" t="s">
        <v>29</v>
      </c>
      <c r="I2402" s="0" t="n">
        <v>200</v>
      </c>
      <c r="J2402" s="0" t="n">
        <v>0.05</v>
      </c>
      <c r="K2402" s="0" t="s">
        <v>2966</v>
      </c>
    </row>
    <row r="2403" customFormat="false" ht="15" hidden="false" customHeight="false" outlineLevel="0" collapsed="false">
      <c r="A2403" s="0" t="n">
        <v>197</v>
      </c>
      <c r="B2403" s="0" t="s">
        <v>2822</v>
      </c>
      <c r="C2403" s="0" t="s">
        <v>68</v>
      </c>
      <c r="D2403" s="0" t="s">
        <v>349</v>
      </c>
      <c r="E2403" s="0" t="s">
        <v>134</v>
      </c>
      <c r="F2403" s="0" t="s">
        <v>28</v>
      </c>
      <c r="I2403" s="0" t="n">
        <v>200</v>
      </c>
      <c r="J2403" s="0" t="n">
        <v>0.05</v>
      </c>
      <c r="K2403" s="0" t="s">
        <v>2967</v>
      </c>
      <c r="L2403" s="0" t="s">
        <v>234</v>
      </c>
    </row>
    <row r="2404" customFormat="false" ht="15" hidden="false" customHeight="false" outlineLevel="0" collapsed="false">
      <c r="A2404" s="0" t="n">
        <v>197</v>
      </c>
      <c r="B2404" s="0" t="s">
        <v>2822</v>
      </c>
      <c r="C2404" s="0" t="s">
        <v>68</v>
      </c>
      <c r="D2404" s="0" t="s">
        <v>349</v>
      </c>
      <c r="E2404" s="0" t="s">
        <v>60</v>
      </c>
      <c r="F2404" s="0" t="s">
        <v>27</v>
      </c>
      <c r="I2404" s="0" t="n">
        <v>200</v>
      </c>
      <c r="J2404" s="0" t="n">
        <v>0.05</v>
      </c>
      <c r="K2404" s="0" t="s">
        <v>2968</v>
      </c>
    </row>
    <row r="2405" customFormat="false" ht="15" hidden="false" customHeight="false" outlineLevel="0" collapsed="false">
      <c r="A2405" s="0" t="n">
        <v>197</v>
      </c>
      <c r="B2405" s="0" t="s">
        <v>2822</v>
      </c>
      <c r="C2405" s="0" t="s">
        <v>68</v>
      </c>
      <c r="D2405" s="0" t="s">
        <v>349</v>
      </c>
      <c r="E2405" s="0" t="s">
        <v>62</v>
      </c>
      <c r="F2405" s="0" t="s">
        <v>27</v>
      </c>
      <c r="I2405" s="0" t="n">
        <v>100</v>
      </c>
      <c r="J2405" s="0" t="n">
        <v>0.025</v>
      </c>
      <c r="K2405" s="0" t="s">
        <v>2969</v>
      </c>
    </row>
    <row r="2406" customFormat="false" ht="15" hidden="false" customHeight="false" outlineLevel="0" collapsed="false">
      <c r="A2406" s="0" t="n">
        <v>197</v>
      </c>
      <c r="B2406" s="0" t="s">
        <v>2822</v>
      </c>
      <c r="C2406" s="0" t="s">
        <v>68</v>
      </c>
      <c r="D2406" s="0" t="s">
        <v>349</v>
      </c>
      <c r="E2406" s="0" t="s">
        <v>66</v>
      </c>
      <c r="F2406" s="0" t="s">
        <v>27</v>
      </c>
      <c r="I2406" s="0" t="n">
        <v>250</v>
      </c>
      <c r="J2406" s="0" t="n">
        <v>0.0625</v>
      </c>
      <c r="K2406" s="0" t="s">
        <v>2970</v>
      </c>
    </row>
    <row r="2407" customFormat="false" ht="15" hidden="false" customHeight="false" outlineLevel="0" collapsed="false">
      <c r="A2407" s="0" t="n">
        <v>197</v>
      </c>
      <c r="B2407" s="0" t="s">
        <v>2822</v>
      </c>
      <c r="C2407" s="0" t="s">
        <v>68</v>
      </c>
      <c r="D2407" s="0" t="s">
        <v>349</v>
      </c>
      <c r="E2407" s="0" t="s">
        <v>64</v>
      </c>
      <c r="F2407" s="0" t="s">
        <v>27</v>
      </c>
      <c r="I2407" s="0" t="n">
        <v>750</v>
      </c>
      <c r="J2407" s="0" t="n">
        <v>0.1875</v>
      </c>
      <c r="K2407" s="0" t="s">
        <v>2971</v>
      </c>
    </row>
    <row r="2408" customFormat="false" ht="15" hidden="false" customHeight="false" outlineLevel="0" collapsed="false">
      <c r="A2408" s="0" t="n">
        <v>197</v>
      </c>
      <c r="B2408" s="0" t="s">
        <v>2822</v>
      </c>
      <c r="C2408" s="0" t="s">
        <v>68</v>
      </c>
      <c r="D2408" s="0" t="s">
        <v>349</v>
      </c>
      <c r="E2408" s="0" t="s">
        <v>68</v>
      </c>
      <c r="F2408" s="0" t="s">
        <v>30</v>
      </c>
      <c r="I2408" s="0" t="n">
        <v>4000</v>
      </c>
      <c r="J2408" s="0" t="n">
        <v>1</v>
      </c>
      <c r="K2408" s="0" t="s">
        <v>2972</v>
      </c>
    </row>
    <row r="2409" customFormat="false" ht="15" hidden="false" customHeight="false" outlineLevel="0" collapsed="false">
      <c r="A2409" s="0" t="n">
        <v>198</v>
      </c>
      <c r="B2409" s="0" t="s">
        <v>2822</v>
      </c>
      <c r="C2409" s="0" t="s">
        <v>68</v>
      </c>
      <c r="D2409" s="0" t="s">
        <v>296</v>
      </c>
      <c r="E2409" s="0" t="s">
        <v>53</v>
      </c>
      <c r="F2409" s="0" t="s">
        <v>27</v>
      </c>
      <c r="G2409" s="0" t="n">
        <v>0.7</v>
      </c>
      <c r="H2409" s="0" t="n">
        <v>1.8</v>
      </c>
      <c r="I2409" s="0" t="n">
        <v>3360</v>
      </c>
      <c r="J2409" s="0" t="n">
        <v>0.84</v>
      </c>
      <c r="K2409" s="0" t="s">
        <v>2973</v>
      </c>
      <c r="L2409" s="0" t="s">
        <v>2825</v>
      </c>
    </row>
    <row r="2410" customFormat="false" ht="15" hidden="false" customHeight="false" outlineLevel="0" collapsed="false">
      <c r="A2410" s="0" t="n">
        <v>198</v>
      </c>
      <c r="B2410" s="0" t="s">
        <v>2822</v>
      </c>
      <c r="C2410" s="0" t="s">
        <v>68</v>
      </c>
      <c r="D2410" s="0" t="s">
        <v>296</v>
      </c>
      <c r="E2410" s="0" t="s">
        <v>56</v>
      </c>
      <c r="F2410" s="0" t="s">
        <v>28</v>
      </c>
      <c r="I2410" s="0" t="n">
        <v>700</v>
      </c>
      <c r="J2410" s="0" t="n">
        <v>0.175</v>
      </c>
      <c r="K2410" s="0" t="s">
        <v>2974</v>
      </c>
    </row>
    <row r="2411" customFormat="false" ht="15" hidden="false" customHeight="false" outlineLevel="0" collapsed="false">
      <c r="A2411" s="0" t="n">
        <v>198</v>
      </c>
      <c r="B2411" s="0" t="s">
        <v>2822</v>
      </c>
      <c r="C2411" s="0" t="s">
        <v>68</v>
      </c>
      <c r="D2411" s="0" t="s">
        <v>296</v>
      </c>
      <c r="E2411" s="0" t="s">
        <v>58</v>
      </c>
      <c r="F2411" s="0" t="s">
        <v>28</v>
      </c>
      <c r="I2411" s="0" t="n">
        <v>2500</v>
      </c>
      <c r="J2411" s="0" t="n">
        <v>0.625</v>
      </c>
      <c r="K2411" s="0" t="s">
        <v>2975</v>
      </c>
    </row>
    <row r="2412" customFormat="false" ht="15" hidden="false" customHeight="false" outlineLevel="0" collapsed="false">
      <c r="A2412" s="0" t="n">
        <v>198</v>
      </c>
      <c r="B2412" s="0" t="s">
        <v>2822</v>
      </c>
      <c r="C2412" s="0" t="s">
        <v>68</v>
      </c>
      <c r="D2412" s="0" t="s">
        <v>296</v>
      </c>
      <c r="E2412" s="0" t="s">
        <v>218</v>
      </c>
      <c r="F2412" s="0" t="s">
        <v>29</v>
      </c>
      <c r="G2412" s="0" t="n">
        <v>15000</v>
      </c>
      <c r="H2412" s="0" t="n">
        <v>20</v>
      </c>
      <c r="I2412" s="0" t="n">
        <v>750</v>
      </c>
      <c r="J2412" s="0" t="n">
        <v>0.1875</v>
      </c>
      <c r="K2412" s="0" t="s">
        <v>2976</v>
      </c>
      <c r="L2412" s="0" t="s">
        <v>2977</v>
      </c>
    </row>
    <row r="2413" customFormat="false" ht="15" hidden="false" customHeight="false" outlineLevel="0" collapsed="false">
      <c r="A2413" s="0" t="n">
        <v>198</v>
      </c>
      <c r="B2413" s="0" t="s">
        <v>2822</v>
      </c>
      <c r="C2413" s="0" t="s">
        <v>68</v>
      </c>
      <c r="D2413" s="0" t="s">
        <v>296</v>
      </c>
      <c r="E2413" s="0" t="s">
        <v>158</v>
      </c>
      <c r="F2413" s="0" t="s">
        <v>28</v>
      </c>
      <c r="I2413" s="0" t="n">
        <v>1000</v>
      </c>
      <c r="J2413" s="0" t="n">
        <v>0.25</v>
      </c>
      <c r="K2413" s="0" t="s">
        <v>2978</v>
      </c>
    </row>
    <row r="2414" customFormat="false" ht="15" hidden="false" customHeight="false" outlineLevel="0" collapsed="false">
      <c r="A2414" s="0" t="n">
        <v>198</v>
      </c>
      <c r="B2414" s="0" t="s">
        <v>2822</v>
      </c>
      <c r="C2414" s="0" t="s">
        <v>68</v>
      </c>
      <c r="D2414" s="0" t="s">
        <v>296</v>
      </c>
      <c r="E2414" s="0" t="s">
        <v>128</v>
      </c>
      <c r="F2414" s="0" t="s">
        <v>28</v>
      </c>
      <c r="I2414" s="0" t="n">
        <v>1000</v>
      </c>
      <c r="J2414" s="0" t="n">
        <v>0.25</v>
      </c>
      <c r="K2414" s="0" t="s">
        <v>2979</v>
      </c>
    </row>
    <row r="2415" customFormat="false" ht="15" hidden="false" customHeight="false" outlineLevel="0" collapsed="false">
      <c r="A2415" s="0" t="n">
        <v>198</v>
      </c>
      <c r="B2415" s="0" t="s">
        <v>2822</v>
      </c>
      <c r="C2415" s="0" t="s">
        <v>68</v>
      </c>
      <c r="D2415" s="0" t="s">
        <v>296</v>
      </c>
      <c r="E2415" s="0" t="s">
        <v>60</v>
      </c>
      <c r="F2415" s="0" t="s">
        <v>27</v>
      </c>
      <c r="I2415" s="0" t="n">
        <v>200</v>
      </c>
      <c r="J2415" s="0" t="n">
        <v>0.05</v>
      </c>
      <c r="K2415" s="0" t="s">
        <v>2980</v>
      </c>
    </row>
    <row r="2416" customFormat="false" ht="15" hidden="false" customHeight="false" outlineLevel="0" collapsed="false">
      <c r="A2416" s="0" t="n">
        <v>198</v>
      </c>
      <c r="B2416" s="0" t="s">
        <v>2822</v>
      </c>
      <c r="C2416" s="0" t="s">
        <v>68</v>
      </c>
      <c r="D2416" s="0" t="s">
        <v>296</v>
      </c>
      <c r="E2416" s="0" t="s">
        <v>62</v>
      </c>
      <c r="F2416" s="0" t="s">
        <v>27</v>
      </c>
      <c r="I2416" s="0" t="n">
        <v>100</v>
      </c>
      <c r="J2416" s="0" t="n">
        <v>0.025</v>
      </c>
      <c r="K2416" s="0" t="s">
        <v>2981</v>
      </c>
    </row>
    <row r="2417" customFormat="false" ht="15" hidden="false" customHeight="false" outlineLevel="0" collapsed="false">
      <c r="A2417" s="0" t="n">
        <v>198</v>
      </c>
      <c r="B2417" s="0" t="s">
        <v>2822</v>
      </c>
      <c r="C2417" s="0" t="s">
        <v>68</v>
      </c>
      <c r="D2417" s="0" t="s">
        <v>296</v>
      </c>
      <c r="E2417" s="0" t="s">
        <v>64</v>
      </c>
      <c r="F2417" s="0" t="s">
        <v>27</v>
      </c>
      <c r="I2417" s="0" t="n">
        <v>750</v>
      </c>
      <c r="J2417" s="0" t="n">
        <v>0.1875</v>
      </c>
      <c r="K2417" s="0" t="s">
        <v>2982</v>
      </c>
    </row>
    <row r="2418" customFormat="false" ht="15" hidden="false" customHeight="false" outlineLevel="0" collapsed="false">
      <c r="A2418" s="0" t="n">
        <v>198</v>
      </c>
      <c r="B2418" s="0" t="s">
        <v>2822</v>
      </c>
      <c r="C2418" s="0" t="s">
        <v>68</v>
      </c>
      <c r="D2418" s="0" t="s">
        <v>296</v>
      </c>
      <c r="E2418" s="0" t="s">
        <v>66</v>
      </c>
      <c r="F2418" s="0" t="s">
        <v>27</v>
      </c>
      <c r="I2418" s="0" t="n">
        <v>350</v>
      </c>
      <c r="J2418" s="0" t="n">
        <v>0.0875</v>
      </c>
      <c r="K2418" s="0" t="s">
        <v>2983</v>
      </c>
    </row>
    <row r="2419" customFormat="false" ht="15" hidden="false" customHeight="false" outlineLevel="0" collapsed="false">
      <c r="A2419" s="0" t="n">
        <v>198</v>
      </c>
      <c r="B2419" s="0" t="s">
        <v>2822</v>
      </c>
      <c r="C2419" s="0" t="s">
        <v>68</v>
      </c>
      <c r="D2419" s="0" t="s">
        <v>296</v>
      </c>
      <c r="E2419" s="0" t="s">
        <v>68</v>
      </c>
      <c r="F2419" s="0" t="s">
        <v>30</v>
      </c>
      <c r="I2419" s="0" t="n">
        <v>4000</v>
      </c>
      <c r="J2419" s="0" t="n">
        <v>1</v>
      </c>
      <c r="K2419" s="0" t="s">
        <v>2984</v>
      </c>
    </row>
    <row r="2420" customFormat="false" ht="15" hidden="false" customHeight="false" outlineLevel="0" collapsed="false">
      <c r="A2420" s="0" t="n">
        <v>199</v>
      </c>
      <c r="B2420" s="0" t="s">
        <v>2822</v>
      </c>
      <c r="C2420" s="0" t="s">
        <v>68</v>
      </c>
      <c r="D2420" s="0" t="s">
        <v>311</v>
      </c>
      <c r="E2420" s="0" t="s">
        <v>53</v>
      </c>
      <c r="F2420" s="0" t="s">
        <v>27</v>
      </c>
      <c r="G2420" s="0" t="n">
        <v>0.5</v>
      </c>
      <c r="H2420" s="0" t="n">
        <v>1.8</v>
      </c>
      <c r="I2420" s="0" t="n">
        <v>2400</v>
      </c>
      <c r="J2420" s="0" t="n">
        <v>0.6</v>
      </c>
      <c r="K2420" s="0" t="s">
        <v>2985</v>
      </c>
      <c r="L2420" s="0" t="s">
        <v>2986</v>
      </c>
    </row>
    <row r="2421" customFormat="false" ht="15" hidden="false" customHeight="false" outlineLevel="0" collapsed="false">
      <c r="A2421" s="0" t="n">
        <v>199</v>
      </c>
      <c r="B2421" s="0" t="s">
        <v>2822</v>
      </c>
      <c r="C2421" s="0" t="s">
        <v>68</v>
      </c>
      <c r="D2421" s="0" t="s">
        <v>311</v>
      </c>
      <c r="E2421" s="0" t="s">
        <v>56</v>
      </c>
      <c r="F2421" s="0" t="s">
        <v>28</v>
      </c>
      <c r="I2421" s="0" t="n">
        <v>700</v>
      </c>
      <c r="J2421" s="0" t="n">
        <v>0.175</v>
      </c>
      <c r="K2421" s="0" t="s">
        <v>2987</v>
      </c>
    </row>
    <row r="2422" customFormat="false" ht="15" hidden="false" customHeight="false" outlineLevel="0" collapsed="false">
      <c r="A2422" s="0" t="n">
        <v>199</v>
      </c>
      <c r="B2422" s="0" t="s">
        <v>2822</v>
      </c>
      <c r="C2422" s="0" t="s">
        <v>68</v>
      </c>
      <c r="D2422" s="0" t="s">
        <v>311</v>
      </c>
      <c r="E2422" s="0" t="s">
        <v>58</v>
      </c>
      <c r="F2422" s="0" t="s">
        <v>28</v>
      </c>
      <c r="I2422" s="0" t="n">
        <v>2500</v>
      </c>
      <c r="J2422" s="0" t="n">
        <v>0.625</v>
      </c>
      <c r="K2422" s="0" t="s">
        <v>2988</v>
      </c>
    </row>
    <row r="2423" customFormat="false" ht="15" hidden="false" customHeight="false" outlineLevel="0" collapsed="false">
      <c r="A2423" s="0" t="n">
        <v>199</v>
      </c>
      <c r="B2423" s="0" t="s">
        <v>2822</v>
      </c>
      <c r="C2423" s="0" t="s">
        <v>68</v>
      </c>
      <c r="D2423" s="0" t="s">
        <v>311</v>
      </c>
      <c r="E2423" s="0" t="s">
        <v>218</v>
      </c>
      <c r="F2423" s="0" t="s">
        <v>29</v>
      </c>
      <c r="I2423" s="0" t="n">
        <v>750</v>
      </c>
      <c r="J2423" s="0" t="n">
        <v>0.1875</v>
      </c>
      <c r="K2423" s="0" t="s">
        <v>2989</v>
      </c>
    </row>
    <row r="2424" customFormat="false" ht="15" hidden="false" customHeight="false" outlineLevel="0" collapsed="false">
      <c r="A2424" s="0" t="n">
        <v>199</v>
      </c>
      <c r="B2424" s="0" t="s">
        <v>2822</v>
      </c>
      <c r="C2424" s="0" t="s">
        <v>68</v>
      </c>
      <c r="D2424" s="0" t="s">
        <v>311</v>
      </c>
      <c r="E2424" s="0" t="s">
        <v>158</v>
      </c>
      <c r="F2424" s="0" t="s">
        <v>28</v>
      </c>
      <c r="I2424" s="0" t="n">
        <v>1000</v>
      </c>
      <c r="J2424" s="0" t="n">
        <v>0.25</v>
      </c>
      <c r="K2424" s="0" t="s">
        <v>2990</v>
      </c>
    </row>
    <row r="2425" customFormat="false" ht="15" hidden="false" customHeight="false" outlineLevel="0" collapsed="false">
      <c r="A2425" s="0" t="n">
        <v>199</v>
      </c>
      <c r="B2425" s="0" t="s">
        <v>2822</v>
      </c>
      <c r="C2425" s="0" t="s">
        <v>68</v>
      </c>
      <c r="D2425" s="0" t="s">
        <v>311</v>
      </c>
      <c r="E2425" s="0" t="s">
        <v>128</v>
      </c>
      <c r="F2425" s="0" t="s">
        <v>28</v>
      </c>
      <c r="I2425" s="0" t="n">
        <v>1000</v>
      </c>
      <c r="J2425" s="0" t="n">
        <v>0.25</v>
      </c>
      <c r="K2425" s="0" t="s">
        <v>2991</v>
      </c>
    </row>
    <row r="2426" customFormat="false" ht="15" hidden="false" customHeight="false" outlineLevel="0" collapsed="false">
      <c r="A2426" s="0" t="n">
        <v>199</v>
      </c>
      <c r="B2426" s="0" t="s">
        <v>2822</v>
      </c>
      <c r="C2426" s="0" t="s">
        <v>68</v>
      </c>
      <c r="D2426" s="0" t="s">
        <v>311</v>
      </c>
      <c r="E2426" s="0" t="s">
        <v>60</v>
      </c>
      <c r="F2426" s="0" t="s">
        <v>27</v>
      </c>
      <c r="I2426" s="0" t="n">
        <v>200</v>
      </c>
      <c r="J2426" s="0" t="n">
        <v>0.05</v>
      </c>
      <c r="K2426" s="0" t="s">
        <v>2992</v>
      </c>
    </row>
    <row r="2427" customFormat="false" ht="15" hidden="false" customHeight="false" outlineLevel="0" collapsed="false">
      <c r="A2427" s="0" t="n">
        <v>199</v>
      </c>
      <c r="B2427" s="0" t="s">
        <v>2822</v>
      </c>
      <c r="C2427" s="0" t="s">
        <v>68</v>
      </c>
      <c r="D2427" s="0" t="s">
        <v>311</v>
      </c>
      <c r="E2427" s="0" t="s">
        <v>62</v>
      </c>
      <c r="F2427" s="0" t="s">
        <v>27</v>
      </c>
      <c r="I2427" s="0" t="n">
        <v>100</v>
      </c>
      <c r="J2427" s="0" t="n">
        <v>0.025</v>
      </c>
      <c r="K2427" s="0" t="s">
        <v>2993</v>
      </c>
    </row>
    <row r="2428" customFormat="false" ht="15" hidden="false" customHeight="false" outlineLevel="0" collapsed="false">
      <c r="A2428" s="0" t="n">
        <v>199</v>
      </c>
      <c r="B2428" s="0" t="s">
        <v>2822</v>
      </c>
      <c r="C2428" s="0" t="s">
        <v>68</v>
      </c>
      <c r="D2428" s="0" t="s">
        <v>311</v>
      </c>
      <c r="E2428" s="0" t="s">
        <v>64</v>
      </c>
      <c r="F2428" s="0" t="s">
        <v>27</v>
      </c>
      <c r="I2428" s="0" t="n">
        <v>750</v>
      </c>
      <c r="J2428" s="0" t="n">
        <v>0.1875</v>
      </c>
      <c r="K2428" s="0" t="s">
        <v>2994</v>
      </c>
    </row>
    <row r="2429" customFormat="false" ht="15" hidden="false" customHeight="false" outlineLevel="0" collapsed="false">
      <c r="A2429" s="0" t="n">
        <v>199</v>
      </c>
      <c r="B2429" s="0" t="s">
        <v>2822</v>
      </c>
      <c r="C2429" s="0" t="s">
        <v>68</v>
      </c>
      <c r="D2429" s="0" t="s">
        <v>311</v>
      </c>
      <c r="E2429" s="0" t="s">
        <v>66</v>
      </c>
      <c r="F2429" s="0" t="s">
        <v>27</v>
      </c>
      <c r="I2429" s="0" t="n">
        <v>350</v>
      </c>
      <c r="J2429" s="0" t="n">
        <v>0.0875</v>
      </c>
      <c r="K2429" s="0" t="s">
        <v>2995</v>
      </c>
    </row>
    <row r="2430" customFormat="false" ht="15" hidden="false" customHeight="false" outlineLevel="0" collapsed="false">
      <c r="A2430" s="0" t="n">
        <v>199</v>
      </c>
      <c r="B2430" s="0" t="s">
        <v>2822</v>
      </c>
      <c r="C2430" s="0" t="s">
        <v>68</v>
      </c>
      <c r="D2430" s="0" t="s">
        <v>311</v>
      </c>
      <c r="E2430" s="0" t="s">
        <v>68</v>
      </c>
      <c r="F2430" s="0" t="s">
        <v>30</v>
      </c>
      <c r="I2430" s="0" t="n">
        <v>4000</v>
      </c>
      <c r="J2430" s="0" t="n">
        <v>1</v>
      </c>
      <c r="K2430" s="0" t="s">
        <v>2996</v>
      </c>
    </row>
    <row r="2431" customFormat="false" ht="15" hidden="false" customHeight="false" outlineLevel="0" collapsed="false">
      <c r="A2431" s="0" t="n">
        <v>200</v>
      </c>
      <c r="B2431" s="0" t="s">
        <v>2822</v>
      </c>
      <c r="C2431" s="0" t="s">
        <v>68</v>
      </c>
      <c r="D2431" s="0" t="s">
        <v>296</v>
      </c>
      <c r="E2431" s="0" t="s">
        <v>53</v>
      </c>
      <c r="F2431" s="0" t="s">
        <v>27</v>
      </c>
      <c r="G2431" s="0" t="n">
        <v>0.8</v>
      </c>
      <c r="H2431" s="0" t="n">
        <v>3</v>
      </c>
      <c r="I2431" s="0" t="n">
        <v>6400</v>
      </c>
      <c r="J2431" s="0" t="n">
        <v>1.6</v>
      </c>
      <c r="K2431" s="0" t="s">
        <v>2997</v>
      </c>
      <c r="L2431" s="0" t="s">
        <v>2870</v>
      </c>
    </row>
    <row r="2432" customFormat="false" ht="15" hidden="false" customHeight="false" outlineLevel="0" collapsed="false">
      <c r="A2432" s="0" t="n">
        <v>200</v>
      </c>
      <c r="B2432" s="0" t="s">
        <v>2822</v>
      </c>
      <c r="C2432" s="0" t="s">
        <v>68</v>
      </c>
      <c r="D2432" s="0" t="s">
        <v>296</v>
      </c>
      <c r="E2432" s="0" t="s">
        <v>56</v>
      </c>
      <c r="F2432" s="0" t="s">
        <v>28</v>
      </c>
      <c r="I2432" s="0" t="n">
        <v>700</v>
      </c>
      <c r="J2432" s="0" t="n">
        <v>0.175</v>
      </c>
      <c r="K2432" s="0" t="s">
        <v>2998</v>
      </c>
    </row>
    <row r="2433" customFormat="false" ht="15" hidden="false" customHeight="false" outlineLevel="0" collapsed="false">
      <c r="A2433" s="0" t="n">
        <v>200</v>
      </c>
      <c r="B2433" s="0" t="s">
        <v>2822</v>
      </c>
      <c r="C2433" s="0" t="s">
        <v>68</v>
      </c>
      <c r="D2433" s="0" t="s">
        <v>296</v>
      </c>
      <c r="E2433" s="0" t="s">
        <v>58</v>
      </c>
      <c r="F2433" s="0" t="s">
        <v>28</v>
      </c>
      <c r="I2433" s="0" t="n">
        <v>2500</v>
      </c>
      <c r="J2433" s="0" t="n">
        <v>0.625</v>
      </c>
      <c r="K2433" s="0" t="s">
        <v>2999</v>
      </c>
    </row>
    <row r="2434" customFormat="false" ht="15" hidden="false" customHeight="false" outlineLevel="0" collapsed="false">
      <c r="A2434" s="0" t="n">
        <v>200</v>
      </c>
      <c r="B2434" s="0" t="s">
        <v>2822</v>
      </c>
      <c r="C2434" s="0" t="s">
        <v>68</v>
      </c>
      <c r="D2434" s="0" t="s">
        <v>296</v>
      </c>
      <c r="E2434" s="0" t="s">
        <v>218</v>
      </c>
      <c r="F2434" s="0" t="s">
        <v>29</v>
      </c>
      <c r="I2434" s="0" t="n">
        <v>750</v>
      </c>
      <c r="J2434" s="0" t="n">
        <v>0.1875</v>
      </c>
      <c r="K2434" s="0" t="s">
        <v>3000</v>
      </c>
    </row>
    <row r="2435" customFormat="false" ht="15" hidden="false" customHeight="false" outlineLevel="0" collapsed="false">
      <c r="A2435" s="0" t="n">
        <v>200</v>
      </c>
      <c r="B2435" s="0" t="s">
        <v>2822</v>
      </c>
      <c r="C2435" s="0" t="s">
        <v>68</v>
      </c>
      <c r="D2435" s="0" t="s">
        <v>296</v>
      </c>
      <c r="E2435" s="0" t="s">
        <v>158</v>
      </c>
      <c r="F2435" s="0" t="s">
        <v>28</v>
      </c>
      <c r="I2435" s="0" t="n">
        <v>1000</v>
      </c>
      <c r="J2435" s="0" t="n">
        <v>0.25</v>
      </c>
      <c r="K2435" s="0" t="s">
        <v>3001</v>
      </c>
    </row>
    <row r="2436" customFormat="false" ht="15" hidden="false" customHeight="false" outlineLevel="0" collapsed="false">
      <c r="A2436" s="0" t="n">
        <v>200</v>
      </c>
      <c r="B2436" s="0" t="s">
        <v>2822</v>
      </c>
      <c r="C2436" s="0" t="s">
        <v>68</v>
      </c>
      <c r="D2436" s="0" t="s">
        <v>296</v>
      </c>
      <c r="E2436" s="0" t="s">
        <v>128</v>
      </c>
      <c r="F2436" s="0" t="s">
        <v>28</v>
      </c>
      <c r="I2436" s="0" t="n">
        <v>1000</v>
      </c>
      <c r="J2436" s="0" t="n">
        <v>0.25</v>
      </c>
      <c r="K2436" s="0" t="s">
        <v>3002</v>
      </c>
    </row>
    <row r="2437" customFormat="false" ht="15" hidden="false" customHeight="false" outlineLevel="0" collapsed="false">
      <c r="A2437" s="0" t="n">
        <v>200</v>
      </c>
      <c r="B2437" s="0" t="s">
        <v>2822</v>
      </c>
      <c r="C2437" s="0" t="s">
        <v>68</v>
      </c>
      <c r="D2437" s="0" t="s">
        <v>296</v>
      </c>
      <c r="E2437" s="0" t="s">
        <v>60</v>
      </c>
      <c r="F2437" s="0" t="s">
        <v>27</v>
      </c>
      <c r="I2437" s="0" t="n">
        <v>200</v>
      </c>
      <c r="J2437" s="0" t="n">
        <v>0.05</v>
      </c>
      <c r="K2437" s="0" t="s">
        <v>3003</v>
      </c>
    </row>
    <row r="2438" customFormat="false" ht="15" hidden="false" customHeight="false" outlineLevel="0" collapsed="false">
      <c r="A2438" s="0" t="n">
        <v>200</v>
      </c>
      <c r="B2438" s="0" t="s">
        <v>2822</v>
      </c>
      <c r="C2438" s="0" t="s">
        <v>68</v>
      </c>
      <c r="D2438" s="0" t="s">
        <v>296</v>
      </c>
      <c r="E2438" s="0" t="s">
        <v>62</v>
      </c>
      <c r="F2438" s="0" t="s">
        <v>27</v>
      </c>
      <c r="I2438" s="0" t="n">
        <v>100</v>
      </c>
      <c r="J2438" s="0" t="n">
        <v>0.025</v>
      </c>
      <c r="K2438" s="0" t="s">
        <v>3004</v>
      </c>
    </row>
    <row r="2439" customFormat="false" ht="15" hidden="false" customHeight="false" outlineLevel="0" collapsed="false">
      <c r="A2439" s="0" t="n">
        <v>200</v>
      </c>
      <c r="B2439" s="0" t="s">
        <v>2822</v>
      </c>
      <c r="C2439" s="0" t="s">
        <v>68</v>
      </c>
      <c r="D2439" s="0" t="s">
        <v>296</v>
      </c>
      <c r="E2439" s="0" t="s">
        <v>64</v>
      </c>
      <c r="F2439" s="0" t="s">
        <v>27</v>
      </c>
      <c r="I2439" s="0" t="n">
        <v>750</v>
      </c>
      <c r="J2439" s="0" t="n">
        <v>0.1875</v>
      </c>
      <c r="K2439" s="0" t="s">
        <v>3005</v>
      </c>
    </row>
    <row r="2440" customFormat="false" ht="15" hidden="false" customHeight="false" outlineLevel="0" collapsed="false">
      <c r="A2440" s="0" t="n">
        <v>200</v>
      </c>
      <c r="B2440" s="0" t="s">
        <v>2822</v>
      </c>
      <c r="C2440" s="0" t="s">
        <v>68</v>
      </c>
      <c r="D2440" s="0" t="s">
        <v>296</v>
      </c>
      <c r="E2440" s="0" t="s">
        <v>66</v>
      </c>
      <c r="F2440" s="0" t="s">
        <v>27</v>
      </c>
      <c r="I2440" s="0" t="n">
        <v>350</v>
      </c>
      <c r="J2440" s="0" t="n">
        <v>0.0875</v>
      </c>
      <c r="K2440" s="0" t="s">
        <v>3006</v>
      </c>
    </row>
    <row r="2441" customFormat="false" ht="15" hidden="false" customHeight="false" outlineLevel="0" collapsed="false">
      <c r="A2441" s="0" t="n">
        <v>200</v>
      </c>
      <c r="B2441" s="0" t="s">
        <v>2822</v>
      </c>
      <c r="C2441" s="0" t="s">
        <v>68</v>
      </c>
      <c r="D2441" s="0" t="s">
        <v>296</v>
      </c>
      <c r="E2441" s="0" t="s">
        <v>68</v>
      </c>
      <c r="F2441" s="0" t="s">
        <v>30</v>
      </c>
      <c r="I2441" s="0" t="n">
        <v>4000</v>
      </c>
      <c r="J2441" s="0" t="n">
        <v>1</v>
      </c>
      <c r="K2441" s="0" t="s">
        <v>3007</v>
      </c>
    </row>
    <row r="2442" customFormat="false" ht="15" hidden="false" customHeight="false" outlineLevel="0" collapsed="false">
      <c r="A2442" s="0" t="n">
        <v>201</v>
      </c>
      <c r="B2442" s="0" t="s">
        <v>2822</v>
      </c>
      <c r="C2442" s="0" t="s">
        <v>68</v>
      </c>
      <c r="D2442" s="0" t="s">
        <v>311</v>
      </c>
      <c r="E2442" s="0" t="s">
        <v>53</v>
      </c>
      <c r="F2442" s="0" t="s">
        <v>27</v>
      </c>
      <c r="G2442" s="0" t="n">
        <v>0.5</v>
      </c>
      <c r="H2442" s="0" t="n">
        <v>3</v>
      </c>
      <c r="I2442" s="0" t="n">
        <v>4000</v>
      </c>
      <c r="J2442" s="0" t="n">
        <v>1</v>
      </c>
      <c r="K2442" s="0" t="s">
        <v>3008</v>
      </c>
      <c r="L2442" s="0" t="s">
        <v>3009</v>
      </c>
    </row>
    <row r="2443" customFormat="false" ht="15" hidden="false" customHeight="false" outlineLevel="0" collapsed="false">
      <c r="A2443" s="0" t="n">
        <v>201</v>
      </c>
      <c r="B2443" s="0" t="s">
        <v>2822</v>
      </c>
      <c r="C2443" s="0" t="s">
        <v>68</v>
      </c>
      <c r="D2443" s="0" t="s">
        <v>311</v>
      </c>
      <c r="E2443" s="0" t="s">
        <v>56</v>
      </c>
      <c r="F2443" s="0" t="s">
        <v>28</v>
      </c>
      <c r="I2443" s="0" t="n">
        <v>700</v>
      </c>
      <c r="J2443" s="0" t="n">
        <v>0.175</v>
      </c>
      <c r="K2443" s="0" t="s">
        <v>3010</v>
      </c>
    </row>
    <row r="2444" customFormat="false" ht="15" hidden="false" customHeight="false" outlineLevel="0" collapsed="false">
      <c r="A2444" s="0" t="n">
        <v>201</v>
      </c>
      <c r="B2444" s="0" t="s">
        <v>2822</v>
      </c>
      <c r="C2444" s="0" t="s">
        <v>68</v>
      </c>
      <c r="D2444" s="0" t="s">
        <v>311</v>
      </c>
      <c r="E2444" s="0" t="s">
        <v>58</v>
      </c>
      <c r="F2444" s="0" t="s">
        <v>28</v>
      </c>
      <c r="I2444" s="0" t="n">
        <v>2500</v>
      </c>
      <c r="J2444" s="0" t="n">
        <v>0.625</v>
      </c>
      <c r="K2444" s="0" t="s">
        <v>3011</v>
      </c>
    </row>
    <row r="2445" customFormat="false" ht="15" hidden="false" customHeight="false" outlineLevel="0" collapsed="false">
      <c r="A2445" s="0" t="n">
        <v>201</v>
      </c>
      <c r="B2445" s="0" t="s">
        <v>2822</v>
      </c>
      <c r="C2445" s="0" t="s">
        <v>68</v>
      </c>
      <c r="D2445" s="0" t="s">
        <v>311</v>
      </c>
      <c r="E2445" s="0" t="s">
        <v>218</v>
      </c>
      <c r="F2445" s="0" t="s">
        <v>29</v>
      </c>
      <c r="I2445" s="0" t="n">
        <v>750</v>
      </c>
      <c r="J2445" s="0" t="n">
        <v>0.1875</v>
      </c>
      <c r="K2445" s="0" t="s">
        <v>3012</v>
      </c>
    </row>
    <row r="2446" customFormat="false" ht="15" hidden="false" customHeight="false" outlineLevel="0" collapsed="false">
      <c r="A2446" s="0" t="n">
        <v>201</v>
      </c>
      <c r="B2446" s="0" t="s">
        <v>2822</v>
      </c>
      <c r="C2446" s="0" t="s">
        <v>68</v>
      </c>
      <c r="D2446" s="0" t="s">
        <v>311</v>
      </c>
      <c r="E2446" s="0" t="s">
        <v>158</v>
      </c>
      <c r="F2446" s="0" t="s">
        <v>28</v>
      </c>
      <c r="I2446" s="0" t="n">
        <v>1000</v>
      </c>
      <c r="J2446" s="0" t="n">
        <v>0.25</v>
      </c>
      <c r="K2446" s="0" t="s">
        <v>3013</v>
      </c>
    </row>
    <row r="2447" customFormat="false" ht="15" hidden="false" customHeight="false" outlineLevel="0" collapsed="false">
      <c r="A2447" s="0" t="n">
        <v>201</v>
      </c>
      <c r="B2447" s="0" t="s">
        <v>2822</v>
      </c>
      <c r="C2447" s="0" t="s">
        <v>68</v>
      </c>
      <c r="D2447" s="0" t="s">
        <v>311</v>
      </c>
      <c r="E2447" s="0" t="s">
        <v>128</v>
      </c>
      <c r="F2447" s="0" t="s">
        <v>28</v>
      </c>
      <c r="I2447" s="0" t="n">
        <v>1000</v>
      </c>
      <c r="J2447" s="0" t="n">
        <v>0.25</v>
      </c>
      <c r="K2447" s="0" t="s">
        <v>3014</v>
      </c>
    </row>
    <row r="2448" customFormat="false" ht="15" hidden="false" customHeight="false" outlineLevel="0" collapsed="false">
      <c r="A2448" s="0" t="n">
        <v>201</v>
      </c>
      <c r="B2448" s="0" t="s">
        <v>2822</v>
      </c>
      <c r="C2448" s="0" t="s">
        <v>68</v>
      </c>
      <c r="D2448" s="0" t="s">
        <v>311</v>
      </c>
      <c r="E2448" s="0" t="s">
        <v>60</v>
      </c>
      <c r="F2448" s="0" t="s">
        <v>27</v>
      </c>
      <c r="I2448" s="0" t="n">
        <v>200</v>
      </c>
      <c r="J2448" s="0" t="n">
        <v>0.05</v>
      </c>
      <c r="K2448" s="0" t="s">
        <v>3015</v>
      </c>
    </row>
    <row r="2449" customFormat="false" ht="15" hidden="false" customHeight="false" outlineLevel="0" collapsed="false">
      <c r="A2449" s="0" t="n">
        <v>201</v>
      </c>
      <c r="B2449" s="0" t="s">
        <v>2822</v>
      </c>
      <c r="C2449" s="0" t="s">
        <v>68</v>
      </c>
      <c r="D2449" s="0" t="s">
        <v>311</v>
      </c>
      <c r="E2449" s="0" t="s">
        <v>62</v>
      </c>
      <c r="F2449" s="0" t="s">
        <v>27</v>
      </c>
      <c r="I2449" s="0" t="n">
        <v>100</v>
      </c>
      <c r="J2449" s="0" t="n">
        <v>0.025</v>
      </c>
      <c r="K2449" s="0" t="s">
        <v>3016</v>
      </c>
    </row>
    <row r="2450" customFormat="false" ht="15" hidden="false" customHeight="false" outlineLevel="0" collapsed="false">
      <c r="A2450" s="0" t="n">
        <v>201</v>
      </c>
      <c r="B2450" s="0" t="s">
        <v>2822</v>
      </c>
      <c r="C2450" s="0" t="s">
        <v>68</v>
      </c>
      <c r="D2450" s="0" t="s">
        <v>311</v>
      </c>
      <c r="E2450" s="0" t="s">
        <v>64</v>
      </c>
      <c r="F2450" s="0" t="s">
        <v>27</v>
      </c>
      <c r="I2450" s="0" t="n">
        <v>750</v>
      </c>
      <c r="J2450" s="0" t="n">
        <v>0.1875</v>
      </c>
      <c r="K2450" s="0" t="s">
        <v>3017</v>
      </c>
    </row>
    <row r="2451" customFormat="false" ht="15" hidden="false" customHeight="false" outlineLevel="0" collapsed="false">
      <c r="A2451" s="0" t="n">
        <v>201</v>
      </c>
      <c r="B2451" s="0" t="s">
        <v>2822</v>
      </c>
      <c r="C2451" s="0" t="s">
        <v>68</v>
      </c>
      <c r="D2451" s="0" t="s">
        <v>311</v>
      </c>
      <c r="E2451" s="0" t="s">
        <v>66</v>
      </c>
      <c r="F2451" s="0" t="s">
        <v>27</v>
      </c>
      <c r="I2451" s="0" t="n">
        <v>350</v>
      </c>
      <c r="J2451" s="0" t="n">
        <v>0.0875</v>
      </c>
      <c r="K2451" s="0" t="s">
        <v>3018</v>
      </c>
    </row>
    <row r="2452" customFormat="false" ht="15" hidden="false" customHeight="false" outlineLevel="0" collapsed="false">
      <c r="A2452" s="0" t="n">
        <v>201</v>
      </c>
      <c r="B2452" s="0" t="s">
        <v>2822</v>
      </c>
      <c r="C2452" s="0" t="s">
        <v>68</v>
      </c>
      <c r="D2452" s="0" t="s">
        <v>311</v>
      </c>
      <c r="E2452" s="0" t="s">
        <v>68</v>
      </c>
      <c r="F2452" s="0" t="s">
        <v>30</v>
      </c>
      <c r="I2452" s="0" t="n">
        <v>4000</v>
      </c>
      <c r="J2452" s="0" t="n">
        <v>1</v>
      </c>
      <c r="K2452" s="0" t="s">
        <v>3019</v>
      </c>
    </row>
    <row r="2453" customFormat="false" ht="15" hidden="false" customHeight="false" outlineLevel="0" collapsed="false">
      <c r="A2453" s="0" t="n">
        <v>202</v>
      </c>
      <c r="B2453" s="0" t="s">
        <v>2822</v>
      </c>
      <c r="C2453" s="0" t="s">
        <v>68</v>
      </c>
      <c r="D2453" s="0" t="s">
        <v>349</v>
      </c>
      <c r="E2453" s="0" t="s">
        <v>53</v>
      </c>
      <c r="F2453" s="0" t="s">
        <v>27</v>
      </c>
      <c r="G2453" s="0" t="n">
        <v>0.8</v>
      </c>
      <c r="H2453" s="0" t="n">
        <v>1.8</v>
      </c>
      <c r="I2453" s="0" t="n">
        <v>3840</v>
      </c>
      <c r="J2453" s="0" t="n">
        <v>0.96</v>
      </c>
      <c r="K2453" s="0" t="s">
        <v>3020</v>
      </c>
      <c r="L2453" s="0" t="s">
        <v>3021</v>
      </c>
    </row>
    <row r="2454" customFormat="false" ht="15" hidden="false" customHeight="false" outlineLevel="0" collapsed="false">
      <c r="A2454" s="0" t="n">
        <v>202</v>
      </c>
      <c r="B2454" s="0" t="s">
        <v>2822</v>
      </c>
      <c r="C2454" s="0" t="s">
        <v>68</v>
      </c>
      <c r="D2454" s="0" t="s">
        <v>349</v>
      </c>
      <c r="E2454" s="0" t="s">
        <v>56</v>
      </c>
      <c r="F2454" s="0" t="s">
        <v>28</v>
      </c>
      <c r="I2454" s="0" t="n">
        <v>700</v>
      </c>
      <c r="J2454" s="0" t="n">
        <v>0.175</v>
      </c>
      <c r="K2454" s="0" t="s">
        <v>3022</v>
      </c>
    </row>
    <row r="2455" customFormat="false" ht="15" hidden="false" customHeight="false" outlineLevel="0" collapsed="false">
      <c r="A2455" s="0" t="n">
        <v>202</v>
      </c>
      <c r="B2455" s="0" t="s">
        <v>2822</v>
      </c>
      <c r="C2455" s="0" t="s">
        <v>68</v>
      </c>
      <c r="D2455" s="0" t="s">
        <v>349</v>
      </c>
      <c r="E2455" s="0" t="s">
        <v>58</v>
      </c>
      <c r="F2455" s="0" t="s">
        <v>28</v>
      </c>
      <c r="I2455" s="0" t="n">
        <v>2500</v>
      </c>
      <c r="J2455" s="0" t="n">
        <v>0.625</v>
      </c>
      <c r="K2455" s="0" t="s">
        <v>3023</v>
      </c>
    </row>
    <row r="2456" customFormat="false" ht="15" hidden="false" customHeight="false" outlineLevel="0" collapsed="false">
      <c r="A2456" s="0" t="n">
        <v>202</v>
      </c>
      <c r="B2456" s="0" t="s">
        <v>2822</v>
      </c>
      <c r="C2456" s="0" t="s">
        <v>68</v>
      </c>
      <c r="D2456" s="0" t="s">
        <v>349</v>
      </c>
      <c r="E2456" s="0" t="s">
        <v>218</v>
      </c>
      <c r="F2456" s="0" t="s">
        <v>29</v>
      </c>
      <c r="I2456" s="0" t="n">
        <v>750</v>
      </c>
      <c r="J2456" s="0" t="n">
        <v>0.1875</v>
      </c>
      <c r="K2456" s="0" t="s">
        <v>3024</v>
      </c>
    </row>
    <row r="2457" customFormat="false" ht="15" hidden="false" customHeight="false" outlineLevel="0" collapsed="false">
      <c r="A2457" s="0" t="n">
        <v>202</v>
      </c>
      <c r="B2457" s="0" t="s">
        <v>2822</v>
      </c>
      <c r="C2457" s="0" t="s">
        <v>68</v>
      </c>
      <c r="D2457" s="0" t="s">
        <v>349</v>
      </c>
      <c r="E2457" s="0" t="s">
        <v>158</v>
      </c>
      <c r="F2457" s="0" t="s">
        <v>28</v>
      </c>
      <c r="I2457" s="0" t="n">
        <v>1000</v>
      </c>
      <c r="J2457" s="0" t="n">
        <v>0.25</v>
      </c>
      <c r="K2457" s="0" t="s">
        <v>3025</v>
      </c>
    </row>
    <row r="2458" customFormat="false" ht="15" hidden="false" customHeight="false" outlineLevel="0" collapsed="false">
      <c r="A2458" s="0" t="n">
        <v>202</v>
      </c>
      <c r="B2458" s="0" t="s">
        <v>2822</v>
      </c>
      <c r="C2458" s="0" t="s">
        <v>68</v>
      </c>
      <c r="D2458" s="0" t="s">
        <v>349</v>
      </c>
      <c r="E2458" s="0" t="s">
        <v>128</v>
      </c>
      <c r="F2458" s="0" t="s">
        <v>28</v>
      </c>
      <c r="I2458" s="0" t="n">
        <v>1000</v>
      </c>
      <c r="J2458" s="0" t="n">
        <v>0.25</v>
      </c>
      <c r="K2458" s="0" t="s">
        <v>3026</v>
      </c>
    </row>
    <row r="2459" customFormat="false" ht="15" hidden="false" customHeight="false" outlineLevel="0" collapsed="false">
      <c r="A2459" s="0" t="n">
        <v>202</v>
      </c>
      <c r="B2459" s="0" t="s">
        <v>2822</v>
      </c>
      <c r="C2459" s="0" t="s">
        <v>68</v>
      </c>
      <c r="D2459" s="0" t="s">
        <v>349</v>
      </c>
      <c r="E2459" s="0" t="s">
        <v>60</v>
      </c>
      <c r="F2459" s="0" t="s">
        <v>27</v>
      </c>
      <c r="I2459" s="0" t="n">
        <v>200</v>
      </c>
      <c r="J2459" s="0" t="n">
        <v>0.05</v>
      </c>
      <c r="K2459" s="0" t="s">
        <v>3027</v>
      </c>
    </row>
    <row r="2460" customFormat="false" ht="15" hidden="false" customHeight="false" outlineLevel="0" collapsed="false">
      <c r="A2460" s="0" t="n">
        <v>202</v>
      </c>
      <c r="B2460" s="0" t="s">
        <v>2822</v>
      </c>
      <c r="C2460" s="0" t="s">
        <v>68</v>
      </c>
      <c r="D2460" s="0" t="s">
        <v>349</v>
      </c>
      <c r="E2460" s="0" t="s">
        <v>62</v>
      </c>
      <c r="F2460" s="0" t="s">
        <v>27</v>
      </c>
      <c r="I2460" s="0" t="n">
        <v>100</v>
      </c>
      <c r="J2460" s="0" t="n">
        <v>0.025</v>
      </c>
      <c r="K2460" s="0" t="s">
        <v>3028</v>
      </c>
    </row>
    <row r="2461" customFormat="false" ht="15" hidden="false" customHeight="false" outlineLevel="0" collapsed="false">
      <c r="A2461" s="0" t="n">
        <v>202</v>
      </c>
      <c r="B2461" s="0" t="s">
        <v>2822</v>
      </c>
      <c r="C2461" s="0" t="s">
        <v>68</v>
      </c>
      <c r="D2461" s="0" t="s">
        <v>349</v>
      </c>
      <c r="E2461" s="0" t="s">
        <v>64</v>
      </c>
      <c r="F2461" s="0" t="s">
        <v>27</v>
      </c>
      <c r="I2461" s="0" t="n">
        <v>750</v>
      </c>
      <c r="J2461" s="0" t="n">
        <v>0.1875</v>
      </c>
      <c r="K2461" s="0" t="s">
        <v>3029</v>
      </c>
    </row>
    <row r="2462" customFormat="false" ht="15" hidden="false" customHeight="false" outlineLevel="0" collapsed="false">
      <c r="A2462" s="0" t="n">
        <v>202</v>
      </c>
      <c r="B2462" s="0" t="s">
        <v>2822</v>
      </c>
      <c r="C2462" s="0" t="s">
        <v>68</v>
      </c>
      <c r="D2462" s="0" t="s">
        <v>349</v>
      </c>
      <c r="E2462" s="0" t="s">
        <v>66</v>
      </c>
      <c r="F2462" s="0" t="s">
        <v>27</v>
      </c>
      <c r="I2462" s="0" t="n">
        <v>350</v>
      </c>
      <c r="J2462" s="0" t="n">
        <v>0.0875</v>
      </c>
      <c r="K2462" s="0" t="s">
        <v>3030</v>
      </c>
    </row>
    <row r="2463" customFormat="false" ht="15" hidden="false" customHeight="false" outlineLevel="0" collapsed="false">
      <c r="A2463" s="0" t="n">
        <v>202</v>
      </c>
      <c r="B2463" s="0" t="s">
        <v>2822</v>
      </c>
      <c r="C2463" s="0" t="s">
        <v>68</v>
      </c>
      <c r="D2463" s="0" t="s">
        <v>349</v>
      </c>
      <c r="E2463" s="0" t="s">
        <v>68</v>
      </c>
      <c r="F2463" s="0" t="s">
        <v>30</v>
      </c>
      <c r="I2463" s="0" t="n">
        <v>4000</v>
      </c>
      <c r="J2463" s="0" t="n">
        <v>1</v>
      </c>
      <c r="K2463" s="0" t="s">
        <v>3031</v>
      </c>
    </row>
    <row r="2464" customFormat="false" ht="15" hidden="false" customHeight="false" outlineLevel="0" collapsed="false">
      <c r="A2464" s="0" t="n">
        <v>203</v>
      </c>
      <c r="B2464" s="0" t="s">
        <v>2822</v>
      </c>
      <c r="C2464" s="0" t="s">
        <v>68</v>
      </c>
      <c r="D2464" s="0" t="s">
        <v>349</v>
      </c>
      <c r="E2464" s="0" t="s">
        <v>53</v>
      </c>
      <c r="F2464" s="0" t="s">
        <v>27</v>
      </c>
      <c r="G2464" s="0" t="n">
        <v>0.8</v>
      </c>
      <c r="H2464" s="0" t="n">
        <v>3</v>
      </c>
      <c r="I2464" s="0" t="n">
        <v>6400</v>
      </c>
      <c r="J2464" s="0" t="n">
        <v>1.6</v>
      </c>
      <c r="K2464" s="0" t="s">
        <v>3032</v>
      </c>
      <c r="L2464" s="0" t="s">
        <v>2870</v>
      </c>
    </row>
    <row r="2465" customFormat="false" ht="15" hidden="false" customHeight="false" outlineLevel="0" collapsed="false">
      <c r="A2465" s="0" t="n">
        <v>203</v>
      </c>
      <c r="B2465" s="0" t="s">
        <v>2822</v>
      </c>
      <c r="C2465" s="0" t="s">
        <v>68</v>
      </c>
      <c r="D2465" s="0" t="s">
        <v>349</v>
      </c>
      <c r="E2465" s="0" t="s">
        <v>56</v>
      </c>
      <c r="F2465" s="0" t="s">
        <v>28</v>
      </c>
      <c r="I2465" s="0" t="n">
        <v>700</v>
      </c>
      <c r="J2465" s="0" t="n">
        <v>0.175</v>
      </c>
      <c r="K2465" s="0" t="s">
        <v>3033</v>
      </c>
    </row>
    <row r="2466" customFormat="false" ht="15" hidden="false" customHeight="false" outlineLevel="0" collapsed="false">
      <c r="A2466" s="0" t="n">
        <v>203</v>
      </c>
      <c r="B2466" s="0" t="s">
        <v>2822</v>
      </c>
      <c r="C2466" s="0" t="s">
        <v>68</v>
      </c>
      <c r="D2466" s="0" t="s">
        <v>349</v>
      </c>
      <c r="E2466" s="0" t="s">
        <v>58</v>
      </c>
      <c r="F2466" s="0" t="s">
        <v>28</v>
      </c>
      <c r="I2466" s="0" t="n">
        <v>2500</v>
      </c>
      <c r="J2466" s="0" t="n">
        <v>0.625</v>
      </c>
      <c r="K2466" s="0" t="s">
        <v>3034</v>
      </c>
    </row>
    <row r="2467" customFormat="false" ht="15" hidden="false" customHeight="false" outlineLevel="0" collapsed="false">
      <c r="A2467" s="0" t="n">
        <v>203</v>
      </c>
      <c r="B2467" s="0" t="s">
        <v>2822</v>
      </c>
      <c r="C2467" s="0" t="s">
        <v>68</v>
      </c>
      <c r="D2467" s="0" t="s">
        <v>349</v>
      </c>
      <c r="E2467" s="0" t="s">
        <v>218</v>
      </c>
      <c r="F2467" s="0" t="s">
        <v>29</v>
      </c>
      <c r="I2467" s="0" t="n">
        <v>750</v>
      </c>
      <c r="J2467" s="0" t="n">
        <v>0.1875</v>
      </c>
      <c r="K2467" s="0" t="s">
        <v>3035</v>
      </c>
    </row>
    <row r="2468" customFormat="false" ht="15" hidden="false" customHeight="false" outlineLevel="0" collapsed="false">
      <c r="A2468" s="0" t="n">
        <v>203</v>
      </c>
      <c r="B2468" s="0" t="s">
        <v>2822</v>
      </c>
      <c r="C2468" s="0" t="s">
        <v>68</v>
      </c>
      <c r="D2468" s="0" t="s">
        <v>349</v>
      </c>
      <c r="E2468" s="0" t="s">
        <v>158</v>
      </c>
      <c r="F2468" s="0" t="s">
        <v>28</v>
      </c>
      <c r="I2468" s="0" t="n">
        <v>1000</v>
      </c>
      <c r="J2468" s="0" t="n">
        <v>0.25</v>
      </c>
      <c r="K2468" s="0" t="s">
        <v>3036</v>
      </c>
    </row>
    <row r="2469" customFormat="false" ht="15" hidden="false" customHeight="false" outlineLevel="0" collapsed="false">
      <c r="A2469" s="0" t="n">
        <v>203</v>
      </c>
      <c r="B2469" s="0" t="s">
        <v>2822</v>
      </c>
      <c r="C2469" s="0" t="s">
        <v>68</v>
      </c>
      <c r="D2469" s="0" t="s">
        <v>349</v>
      </c>
      <c r="E2469" s="0" t="s">
        <v>128</v>
      </c>
      <c r="F2469" s="0" t="s">
        <v>28</v>
      </c>
      <c r="I2469" s="0" t="n">
        <v>1000</v>
      </c>
      <c r="J2469" s="0" t="n">
        <v>0.25</v>
      </c>
      <c r="K2469" s="0" t="s">
        <v>3037</v>
      </c>
    </row>
    <row r="2470" customFormat="false" ht="15" hidden="false" customHeight="false" outlineLevel="0" collapsed="false">
      <c r="A2470" s="0" t="n">
        <v>203</v>
      </c>
      <c r="B2470" s="0" t="s">
        <v>2822</v>
      </c>
      <c r="C2470" s="0" t="s">
        <v>68</v>
      </c>
      <c r="D2470" s="0" t="s">
        <v>349</v>
      </c>
      <c r="E2470" s="0" t="s">
        <v>60</v>
      </c>
      <c r="F2470" s="0" t="s">
        <v>27</v>
      </c>
      <c r="I2470" s="0" t="n">
        <v>200</v>
      </c>
      <c r="J2470" s="0" t="n">
        <v>0.05</v>
      </c>
      <c r="K2470" s="0" t="s">
        <v>3038</v>
      </c>
    </row>
    <row r="2471" customFormat="false" ht="15" hidden="false" customHeight="false" outlineLevel="0" collapsed="false">
      <c r="A2471" s="0" t="n">
        <v>203</v>
      </c>
      <c r="B2471" s="0" t="s">
        <v>2822</v>
      </c>
      <c r="C2471" s="0" t="s">
        <v>68</v>
      </c>
      <c r="D2471" s="0" t="s">
        <v>349</v>
      </c>
      <c r="E2471" s="0" t="s">
        <v>62</v>
      </c>
      <c r="F2471" s="0" t="s">
        <v>27</v>
      </c>
      <c r="I2471" s="0" t="n">
        <v>100</v>
      </c>
      <c r="J2471" s="0" t="n">
        <v>0.025</v>
      </c>
      <c r="K2471" s="0" t="s">
        <v>3039</v>
      </c>
    </row>
    <row r="2472" customFormat="false" ht="15" hidden="false" customHeight="false" outlineLevel="0" collapsed="false">
      <c r="A2472" s="0" t="n">
        <v>203</v>
      </c>
      <c r="B2472" s="0" t="s">
        <v>2822</v>
      </c>
      <c r="C2472" s="0" t="s">
        <v>68</v>
      </c>
      <c r="D2472" s="0" t="s">
        <v>349</v>
      </c>
      <c r="E2472" s="0" t="s">
        <v>64</v>
      </c>
      <c r="F2472" s="0" t="s">
        <v>27</v>
      </c>
      <c r="I2472" s="0" t="n">
        <v>750</v>
      </c>
      <c r="J2472" s="0" t="n">
        <v>0.1875</v>
      </c>
      <c r="K2472" s="0" t="s">
        <v>3040</v>
      </c>
    </row>
    <row r="2473" customFormat="false" ht="15" hidden="false" customHeight="false" outlineLevel="0" collapsed="false">
      <c r="A2473" s="0" t="n">
        <v>203</v>
      </c>
      <c r="B2473" s="0" t="s">
        <v>2822</v>
      </c>
      <c r="C2473" s="0" t="s">
        <v>68</v>
      </c>
      <c r="D2473" s="0" t="s">
        <v>349</v>
      </c>
      <c r="E2473" s="0" t="s">
        <v>66</v>
      </c>
      <c r="F2473" s="0" t="s">
        <v>27</v>
      </c>
      <c r="I2473" s="0" t="n">
        <v>350</v>
      </c>
      <c r="J2473" s="0" t="n">
        <v>0.0875</v>
      </c>
      <c r="K2473" s="0" t="s">
        <v>3041</v>
      </c>
    </row>
    <row r="2474" customFormat="false" ht="15" hidden="false" customHeight="false" outlineLevel="0" collapsed="false">
      <c r="A2474" s="0" t="n">
        <v>203</v>
      </c>
      <c r="B2474" s="0" t="s">
        <v>2822</v>
      </c>
      <c r="C2474" s="0" t="s">
        <v>68</v>
      </c>
      <c r="D2474" s="0" t="s">
        <v>349</v>
      </c>
      <c r="E2474" s="0" t="s">
        <v>68</v>
      </c>
      <c r="F2474" s="0" t="s">
        <v>30</v>
      </c>
      <c r="I2474" s="0" t="n">
        <v>4000</v>
      </c>
      <c r="J2474" s="0" t="n">
        <v>1</v>
      </c>
      <c r="K2474" s="0" t="s">
        <v>3042</v>
      </c>
    </row>
    <row r="2475" customFormat="false" ht="15" hidden="false" customHeight="false" outlineLevel="0" collapsed="false">
      <c r="A2475" s="0" t="n">
        <v>204</v>
      </c>
      <c r="B2475" s="0" t="s">
        <v>2822</v>
      </c>
      <c r="C2475" s="0" t="s">
        <v>68</v>
      </c>
      <c r="D2475" s="0" t="s">
        <v>296</v>
      </c>
      <c r="E2475" s="0" t="s">
        <v>53</v>
      </c>
      <c r="F2475" s="0" t="s">
        <v>27</v>
      </c>
      <c r="G2475" s="0" t="n">
        <v>0.7</v>
      </c>
      <c r="H2475" s="0" t="n">
        <v>1.8</v>
      </c>
      <c r="I2475" s="0" t="n">
        <v>3360</v>
      </c>
      <c r="J2475" s="0" t="n">
        <v>0.84</v>
      </c>
      <c r="K2475" s="0" t="s">
        <v>3043</v>
      </c>
      <c r="L2475" s="0" t="s">
        <v>2825</v>
      </c>
    </row>
    <row r="2476" customFormat="false" ht="15" hidden="false" customHeight="false" outlineLevel="0" collapsed="false">
      <c r="A2476" s="0" t="n">
        <v>204</v>
      </c>
      <c r="B2476" s="0" t="s">
        <v>2822</v>
      </c>
      <c r="C2476" s="0" t="s">
        <v>68</v>
      </c>
      <c r="D2476" s="0" t="s">
        <v>296</v>
      </c>
      <c r="E2476" s="0" t="s">
        <v>56</v>
      </c>
      <c r="F2476" s="0" t="s">
        <v>28</v>
      </c>
      <c r="I2476" s="0" t="n">
        <v>700</v>
      </c>
      <c r="J2476" s="0" t="n">
        <v>0.175</v>
      </c>
      <c r="K2476" s="0" t="s">
        <v>3044</v>
      </c>
    </row>
    <row r="2477" customFormat="false" ht="15" hidden="false" customHeight="false" outlineLevel="0" collapsed="false">
      <c r="A2477" s="0" t="n">
        <v>204</v>
      </c>
      <c r="B2477" s="0" t="s">
        <v>2822</v>
      </c>
      <c r="C2477" s="0" t="s">
        <v>68</v>
      </c>
      <c r="D2477" s="0" t="s">
        <v>296</v>
      </c>
      <c r="E2477" s="0" t="s">
        <v>58</v>
      </c>
      <c r="F2477" s="0" t="s">
        <v>28</v>
      </c>
      <c r="I2477" s="0" t="n">
        <v>2500</v>
      </c>
      <c r="J2477" s="0" t="n">
        <v>0.625</v>
      </c>
      <c r="K2477" s="0" t="s">
        <v>3045</v>
      </c>
    </row>
    <row r="2478" customFormat="false" ht="15" hidden="false" customHeight="false" outlineLevel="0" collapsed="false">
      <c r="A2478" s="0" t="n">
        <v>204</v>
      </c>
      <c r="B2478" s="0" t="s">
        <v>2822</v>
      </c>
      <c r="C2478" s="0" t="s">
        <v>68</v>
      </c>
      <c r="D2478" s="0" t="s">
        <v>296</v>
      </c>
      <c r="E2478" s="0" t="s">
        <v>301</v>
      </c>
      <c r="F2478" s="0" t="s">
        <v>29</v>
      </c>
      <c r="G2478" s="0" t="n">
        <v>15000</v>
      </c>
      <c r="H2478" s="0" t="n">
        <v>0.3</v>
      </c>
      <c r="I2478" s="0" t="n">
        <v>1500</v>
      </c>
      <c r="J2478" s="0" t="n">
        <v>0.375</v>
      </c>
      <c r="K2478" s="0" t="s">
        <v>3046</v>
      </c>
      <c r="L2478" s="0" t="s">
        <v>303</v>
      </c>
    </row>
    <row r="2479" customFormat="false" ht="15" hidden="false" customHeight="false" outlineLevel="0" collapsed="false">
      <c r="A2479" s="0" t="n">
        <v>204</v>
      </c>
      <c r="B2479" s="0" t="s">
        <v>2822</v>
      </c>
      <c r="C2479" s="0" t="s">
        <v>68</v>
      </c>
      <c r="D2479" s="0" t="s">
        <v>296</v>
      </c>
      <c r="E2479" s="0" t="s">
        <v>158</v>
      </c>
      <c r="F2479" s="0" t="s">
        <v>28</v>
      </c>
      <c r="I2479" s="0" t="n">
        <v>1000</v>
      </c>
      <c r="J2479" s="0" t="n">
        <v>0.25</v>
      </c>
      <c r="K2479" s="0" t="s">
        <v>3047</v>
      </c>
    </row>
    <row r="2480" customFormat="false" ht="15" hidden="false" customHeight="false" outlineLevel="0" collapsed="false">
      <c r="A2480" s="0" t="n">
        <v>204</v>
      </c>
      <c r="B2480" s="0" t="s">
        <v>2822</v>
      </c>
      <c r="C2480" s="0" t="s">
        <v>68</v>
      </c>
      <c r="D2480" s="0" t="s">
        <v>296</v>
      </c>
      <c r="E2480" s="0" t="s">
        <v>128</v>
      </c>
      <c r="F2480" s="0" t="s">
        <v>28</v>
      </c>
      <c r="I2480" s="0" t="n">
        <v>1000</v>
      </c>
      <c r="J2480" s="0" t="n">
        <v>0.25</v>
      </c>
      <c r="K2480" s="0" t="s">
        <v>3048</v>
      </c>
    </row>
    <row r="2481" customFormat="false" ht="15" hidden="false" customHeight="false" outlineLevel="0" collapsed="false">
      <c r="A2481" s="0" t="n">
        <v>204</v>
      </c>
      <c r="B2481" s="0" t="s">
        <v>2822</v>
      </c>
      <c r="C2481" s="0" t="s">
        <v>68</v>
      </c>
      <c r="D2481" s="0" t="s">
        <v>296</v>
      </c>
      <c r="E2481" s="0" t="s">
        <v>60</v>
      </c>
      <c r="F2481" s="0" t="s">
        <v>27</v>
      </c>
      <c r="I2481" s="0" t="n">
        <v>200</v>
      </c>
      <c r="J2481" s="0" t="n">
        <v>0.05</v>
      </c>
      <c r="K2481" s="0" t="s">
        <v>3049</v>
      </c>
    </row>
    <row r="2482" customFormat="false" ht="15" hidden="false" customHeight="false" outlineLevel="0" collapsed="false">
      <c r="A2482" s="0" t="n">
        <v>204</v>
      </c>
      <c r="B2482" s="0" t="s">
        <v>2822</v>
      </c>
      <c r="C2482" s="0" t="s">
        <v>68</v>
      </c>
      <c r="D2482" s="0" t="s">
        <v>296</v>
      </c>
      <c r="E2482" s="0" t="s">
        <v>62</v>
      </c>
      <c r="F2482" s="0" t="s">
        <v>27</v>
      </c>
      <c r="I2482" s="0" t="n">
        <v>100</v>
      </c>
      <c r="J2482" s="0" t="n">
        <v>0.025</v>
      </c>
      <c r="K2482" s="0" t="s">
        <v>3050</v>
      </c>
    </row>
    <row r="2483" customFormat="false" ht="15" hidden="false" customHeight="false" outlineLevel="0" collapsed="false">
      <c r="A2483" s="0" t="n">
        <v>204</v>
      </c>
      <c r="B2483" s="0" t="s">
        <v>2822</v>
      </c>
      <c r="C2483" s="0" t="s">
        <v>68</v>
      </c>
      <c r="D2483" s="0" t="s">
        <v>296</v>
      </c>
      <c r="E2483" s="0" t="s">
        <v>64</v>
      </c>
      <c r="F2483" s="0" t="s">
        <v>27</v>
      </c>
      <c r="I2483" s="0" t="n">
        <v>750</v>
      </c>
      <c r="J2483" s="0" t="n">
        <v>0.1875</v>
      </c>
      <c r="K2483" s="0" t="s">
        <v>3051</v>
      </c>
    </row>
    <row r="2484" customFormat="false" ht="15" hidden="false" customHeight="false" outlineLevel="0" collapsed="false">
      <c r="A2484" s="0" t="n">
        <v>204</v>
      </c>
      <c r="B2484" s="0" t="s">
        <v>2822</v>
      </c>
      <c r="C2484" s="0" t="s">
        <v>68</v>
      </c>
      <c r="D2484" s="0" t="s">
        <v>296</v>
      </c>
      <c r="E2484" s="0" t="s">
        <v>66</v>
      </c>
      <c r="F2484" s="0" t="s">
        <v>27</v>
      </c>
      <c r="I2484" s="0" t="n">
        <v>350</v>
      </c>
      <c r="J2484" s="0" t="n">
        <v>0.0875</v>
      </c>
      <c r="K2484" s="0" t="s">
        <v>3052</v>
      </c>
    </row>
    <row r="2485" customFormat="false" ht="15" hidden="false" customHeight="false" outlineLevel="0" collapsed="false">
      <c r="A2485" s="0" t="n">
        <v>204</v>
      </c>
      <c r="B2485" s="0" t="s">
        <v>2822</v>
      </c>
      <c r="C2485" s="0" t="s">
        <v>68</v>
      </c>
      <c r="D2485" s="0" t="s">
        <v>296</v>
      </c>
      <c r="E2485" s="0" t="s">
        <v>68</v>
      </c>
      <c r="F2485" s="0" t="s">
        <v>30</v>
      </c>
      <c r="I2485" s="0" t="n">
        <v>4000</v>
      </c>
      <c r="J2485" s="0" t="n">
        <v>1</v>
      </c>
      <c r="K2485" s="0" t="s">
        <v>3053</v>
      </c>
    </row>
    <row r="2486" customFormat="false" ht="15" hidden="false" customHeight="false" outlineLevel="0" collapsed="false">
      <c r="A2486" s="0" t="n">
        <v>205</v>
      </c>
      <c r="B2486" s="0" t="s">
        <v>2822</v>
      </c>
      <c r="C2486" s="0" t="s">
        <v>68</v>
      </c>
      <c r="D2486" s="0" t="s">
        <v>311</v>
      </c>
      <c r="E2486" s="0" t="s">
        <v>53</v>
      </c>
      <c r="F2486" s="0" t="s">
        <v>27</v>
      </c>
      <c r="G2486" s="0" t="n">
        <v>0.5</v>
      </c>
      <c r="H2486" s="0" t="n">
        <v>1.8</v>
      </c>
      <c r="I2486" s="0" t="n">
        <v>1800</v>
      </c>
      <c r="J2486" s="0" t="n">
        <v>0.45</v>
      </c>
      <c r="K2486" s="0" t="s">
        <v>3054</v>
      </c>
      <c r="L2486" s="0" t="s">
        <v>3055</v>
      </c>
    </row>
    <row r="2487" customFormat="false" ht="15" hidden="false" customHeight="false" outlineLevel="0" collapsed="false">
      <c r="A2487" s="0" t="n">
        <v>205</v>
      </c>
      <c r="B2487" s="0" t="s">
        <v>2822</v>
      </c>
      <c r="C2487" s="0" t="s">
        <v>68</v>
      </c>
      <c r="D2487" s="0" t="s">
        <v>311</v>
      </c>
      <c r="E2487" s="0" t="s">
        <v>56</v>
      </c>
      <c r="F2487" s="0" t="s">
        <v>28</v>
      </c>
      <c r="I2487" s="0" t="n">
        <v>700</v>
      </c>
      <c r="J2487" s="0" t="n">
        <v>0.175</v>
      </c>
      <c r="K2487" s="0" t="s">
        <v>3056</v>
      </c>
    </row>
    <row r="2488" customFormat="false" ht="15" hidden="false" customHeight="false" outlineLevel="0" collapsed="false">
      <c r="A2488" s="0" t="n">
        <v>205</v>
      </c>
      <c r="B2488" s="0" t="s">
        <v>2822</v>
      </c>
      <c r="C2488" s="0" t="s">
        <v>68</v>
      </c>
      <c r="D2488" s="0" t="s">
        <v>311</v>
      </c>
      <c r="E2488" s="0" t="s">
        <v>58</v>
      </c>
      <c r="F2488" s="0" t="s">
        <v>28</v>
      </c>
      <c r="I2488" s="0" t="n">
        <v>2500</v>
      </c>
      <c r="J2488" s="0" t="n">
        <v>0.625</v>
      </c>
      <c r="K2488" s="0" t="s">
        <v>3057</v>
      </c>
    </row>
    <row r="2489" customFormat="false" ht="15" hidden="false" customHeight="false" outlineLevel="0" collapsed="false">
      <c r="A2489" s="0" t="n">
        <v>205</v>
      </c>
      <c r="B2489" s="0" t="s">
        <v>2822</v>
      </c>
      <c r="C2489" s="0" t="s">
        <v>68</v>
      </c>
      <c r="D2489" s="0" t="s">
        <v>311</v>
      </c>
      <c r="E2489" s="0" t="s">
        <v>301</v>
      </c>
      <c r="F2489" s="0" t="s">
        <v>29</v>
      </c>
      <c r="G2489" s="0" t="n">
        <v>15000</v>
      </c>
      <c r="H2489" s="0" t="n">
        <v>0.3</v>
      </c>
      <c r="I2489" s="0" t="n">
        <v>1125</v>
      </c>
      <c r="J2489" s="0" t="n">
        <v>0.28125</v>
      </c>
      <c r="K2489" s="0" t="s">
        <v>3058</v>
      </c>
      <c r="L2489" s="0" t="s">
        <v>316</v>
      </c>
    </row>
    <row r="2490" customFormat="false" ht="15" hidden="false" customHeight="false" outlineLevel="0" collapsed="false">
      <c r="A2490" s="0" t="n">
        <v>205</v>
      </c>
      <c r="B2490" s="0" t="s">
        <v>2822</v>
      </c>
      <c r="C2490" s="0" t="s">
        <v>68</v>
      </c>
      <c r="D2490" s="0" t="s">
        <v>311</v>
      </c>
      <c r="E2490" s="0" t="s">
        <v>158</v>
      </c>
      <c r="F2490" s="0" t="s">
        <v>28</v>
      </c>
      <c r="I2490" s="0" t="n">
        <v>1000</v>
      </c>
      <c r="J2490" s="0" t="n">
        <v>0.25</v>
      </c>
      <c r="K2490" s="0" t="s">
        <v>3059</v>
      </c>
    </row>
    <row r="2491" customFormat="false" ht="15" hidden="false" customHeight="false" outlineLevel="0" collapsed="false">
      <c r="A2491" s="0" t="n">
        <v>205</v>
      </c>
      <c r="B2491" s="0" t="s">
        <v>2822</v>
      </c>
      <c r="C2491" s="0" t="s">
        <v>68</v>
      </c>
      <c r="D2491" s="0" t="s">
        <v>311</v>
      </c>
      <c r="E2491" s="0" t="s">
        <v>128</v>
      </c>
      <c r="F2491" s="0" t="s">
        <v>28</v>
      </c>
      <c r="I2491" s="0" t="n">
        <v>1000</v>
      </c>
      <c r="J2491" s="0" t="n">
        <v>0.25</v>
      </c>
      <c r="K2491" s="0" t="s">
        <v>3060</v>
      </c>
    </row>
    <row r="2492" customFormat="false" ht="15" hidden="false" customHeight="false" outlineLevel="0" collapsed="false">
      <c r="A2492" s="0" t="n">
        <v>205</v>
      </c>
      <c r="B2492" s="0" t="s">
        <v>2822</v>
      </c>
      <c r="C2492" s="0" t="s">
        <v>68</v>
      </c>
      <c r="D2492" s="0" t="s">
        <v>311</v>
      </c>
      <c r="E2492" s="0" t="s">
        <v>60</v>
      </c>
      <c r="F2492" s="0" t="s">
        <v>27</v>
      </c>
      <c r="I2492" s="0" t="n">
        <v>200</v>
      </c>
      <c r="J2492" s="0" t="n">
        <v>0.05</v>
      </c>
      <c r="K2492" s="0" t="s">
        <v>3061</v>
      </c>
    </row>
    <row r="2493" customFormat="false" ht="15" hidden="false" customHeight="false" outlineLevel="0" collapsed="false">
      <c r="A2493" s="0" t="n">
        <v>205</v>
      </c>
      <c r="B2493" s="0" t="s">
        <v>2822</v>
      </c>
      <c r="C2493" s="0" t="s">
        <v>68</v>
      </c>
      <c r="D2493" s="0" t="s">
        <v>311</v>
      </c>
      <c r="E2493" s="0" t="s">
        <v>62</v>
      </c>
      <c r="F2493" s="0" t="s">
        <v>27</v>
      </c>
      <c r="I2493" s="0" t="n">
        <v>100</v>
      </c>
      <c r="J2493" s="0" t="n">
        <v>0.025</v>
      </c>
      <c r="K2493" s="0" t="s">
        <v>3062</v>
      </c>
    </row>
    <row r="2494" customFormat="false" ht="15" hidden="false" customHeight="false" outlineLevel="0" collapsed="false">
      <c r="A2494" s="0" t="n">
        <v>205</v>
      </c>
      <c r="B2494" s="0" t="s">
        <v>2822</v>
      </c>
      <c r="C2494" s="0" t="s">
        <v>68</v>
      </c>
      <c r="D2494" s="0" t="s">
        <v>311</v>
      </c>
      <c r="E2494" s="0" t="s">
        <v>64</v>
      </c>
      <c r="F2494" s="0" t="s">
        <v>27</v>
      </c>
      <c r="I2494" s="0" t="n">
        <v>750</v>
      </c>
      <c r="J2494" s="0" t="n">
        <v>0.1875</v>
      </c>
      <c r="K2494" s="0" t="s">
        <v>3063</v>
      </c>
    </row>
    <row r="2495" customFormat="false" ht="15" hidden="false" customHeight="false" outlineLevel="0" collapsed="false">
      <c r="A2495" s="0" t="n">
        <v>205</v>
      </c>
      <c r="B2495" s="0" t="s">
        <v>2822</v>
      </c>
      <c r="C2495" s="0" t="s">
        <v>68</v>
      </c>
      <c r="D2495" s="0" t="s">
        <v>311</v>
      </c>
      <c r="E2495" s="0" t="s">
        <v>66</v>
      </c>
      <c r="F2495" s="0" t="s">
        <v>27</v>
      </c>
      <c r="I2495" s="0" t="n">
        <v>350</v>
      </c>
      <c r="J2495" s="0" t="n">
        <v>0.0875</v>
      </c>
      <c r="K2495" s="0" t="s">
        <v>3064</v>
      </c>
    </row>
    <row r="2496" customFormat="false" ht="15" hidden="false" customHeight="false" outlineLevel="0" collapsed="false">
      <c r="A2496" s="0" t="n">
        <v>205</v>
      </c>
      <c r="B2496" s="0" t="s">
        <v>2822</v>
      </c>
      <c r="C2496" s="0" t="s">
        <v>68</v>
      </c>
      <c r="D2496" s="0" t="s">
        <v>311</v>
      </c>
      <c r="E2496" s="0" t="s">
        <v>68</v>
      </c>
      <c r="F2496" s="0" t="s">
        <v>30</v>
      </c>
      <c r="I2496" s="0" t="n">
        <v>4000</v>
      </c>
      <c r="J2496" s="0" t="n">
        <v>1</v>
      </c>
      <c r="K2496" s="0" t="s">
        <v>3065</v>
      </c>
    </row>
    <row r="2497" customFormat="false" ht="15" hidden="false" customHeight="false" outlineLevel="0" collapsed="false">
      <c r="A2497" s="0" t="n">
        <v>206</v>
      </c>
      <c r="B2497" s="0" t="s">
        <v>2822</v>
      </c>
      <c r="C2497" s="0" t="s">
        <v>68</v>
      </c>
      <c r="D2497" s="0" t="s">
        <v>296</v>
      </c>
      <c r="E2497" s="0" t="s">
        <v>53</v>
      </c>
      <c r="F2497" s="0" t="s">
        <v>27</v>
      </c>
      <c r="G2497" s="0" t="n">
        <v>0.7</v>
      </c>
      <c r="H2497" s="0" t="n">
        <v>3</v>
      </c>
      <c r="I2497" s="0" t="n">
        <v>5600</v>
      </c>
      <c r="J2497" s="0" t="n">
        <v>1.4</v>
      </c>
      <c r="K2497" s="0" t="s">
        <v>3066</v>
      </c>
      <c r="L2497" s="0" t="s">
        <v>2834</v>
      </c>
    </row>
    <row r="2498" customFormat="false" ht="15" hidden="false" customHeight="false" outlineLevel="0" collapsed="false">
      <c r="A2498" s="0" t="n">
        <v>206</v>
      </c>
      <c r="B2498" s="0" t="s">
        <v>2822</v>
      </c>
      <c r="C2498" s="0" t="s">
        <v>68</v>
      </c>
      <c r="D2498" s="0" t="s">
        <v>296</v>
      </c>
      <c r="E2498" s="0" t="s">
        <v>56</v>
      </c>
      <c r="F2498" s="0" t="s">
        <v>28</v>
      </c>
      <c r="I2498" s="0" t="n">
        <v>700</v>
      </c>
      <c r="J2498" s="0" t="n">
        <v>0.175</v>
      </c>
      <c r="K2498" s="0" t="s">
        <v>3067</v>
      </c>
    </row>
    <row r="2499" customFormat="false" ht="15" hidden="false" customHeight="false" outlineLevel="0" collapsed="false">
      <c r="A2499" s="0" t="n">
        <v>206</v>
      </c>
      <c r="B2499" s="0" t="s">
        <v>2822</v>
      </c>
      <c r="C2499" s="0" t="s">
        <v>68</v>
      </c>
      <c r="D2499" s="0" t="s">
        <v>296</v>
      </c>
      <c r="E2499" s="0" t="s">
        <v>58</v>
      </c>
      <c r="F2499" s="0" t="s">
        <v>28</v>
      </c>
      <c r="I2499" s="0" t="n">
        <v>2500</v>
      </c>
      <c r="J2499" s="0" t="n">
        <v>0.625</v>
      </c>
      <c r="K2499" s="0" t="s">
        <v>3068</v>
      </c>
    </row>
    <row r="2500" customFormat="false" ht="15" hidden="false" customHeight="false" outlineLevel="0" collapsed="false">
      <c r="A2500" s="0" t="n">
        <v>206</v>
      </c>
      <c r="B2500" s="0" t="s">
        <v>2822</v>
      </c>
      <c r="C2500" s="0" t="s">
        <v>68</v>
      </c>
      <c r="D2500" s="0" t="s">
        <v>296</v>
      </c>
      <c r="E2500" s="0" t="s">
        <v>301</v>
      </c>
      <c r="F2500" s="0" t="s">
        <v>29</v>
      </c>
      <c r="G2500" s="0" t="n">
        <v>15000</v>
      </c>
      <c r="H2500" s="0" t="n">
        <v>0.3</v>
      </c>
      <c r="I2500" s="0" t="n">
        <v>1500</v>
      </c>
      <c r="J2500" s="0" t="n">
        <v>0.375</v>
      </c>
      <c r="K2500" s="0" t="s">
        <v>3069</v>
      </c>
      <c r="L2500" s="0" t="s">
        <v>303</v>
      </c>
    </row>
    <row r="2501" customFormat="false" ht="15" hidden="false" customHeight="false" outlineLevel="0" collapsed="false">
      <c r="A2501" s="0" t="n">
        <v>206</v>
      </c>
      <c r="B2501" s="0" t="s">
        <v>2822</v>
      </c>
      <c r="C2501" s="0" t="s">
        <v>68</v>
      </c>
      <c r="D2501" s="0" t="s">
        <v>296</v>
      </c>
      <c r="E2501" s="0" t="s">
        <v>158</v>
      </c>
      <c r="F2501" s="0" t="s">
        <v>28</v>
      </c>
      <c r="I2501" s="0" t="n">
        <v>1000</v>
      </c>
      <c r="J2501" s="0" t="n">
        <v>0.25</v>
      </c>
      <c r="K2501" s="0" t="s">
        <v>3070</v>
      </c>
    </row>
    <row r="2502" customFormat="false" ht="15" hidden="false" customHeight="false" outlineLevel="0" collapsed="false">
      <c r="A2502" s="0" t="n">
        <v>206</v>
      </c>
      <c r="B2502" s="0" t="s">
        <v>2822</v>
      </c>
      <c r="C2502" s="0" t="s">
        <v>68</v>
      </c>
      <c r="D2502" s="0" t="s">
        <v>296</v>
      </c>
      <c r="E2502" s="0" t="s">
        <v>128</v>
      </c>
      <c r="F2502" s="0" t="s">
        <v>28</v>
      </c>
      <c r="I2502" s="0" t="n">
        <v>1000</v>
      </c>
      <c r="J2502" s="0" t="n">
        <v>0.25</v>
      </c>
      <c r="K2502" s="0" t="s">
        <v>3071</v>
      </c>
    </row>
    <row r="2503" customFormat="false" ht="15" hidden="false" customHeight="false" outlineLevel="0" collapsed="false">
      <c r="A2503" s="0" t="n">
        <v>206</v>
      </c>
      <c r="B2503" s="0" t="s">
        <v>2822</v>
      </c>
      <c r="C2503" s="0" t="s">
        <v>68</v>
      </c>
      <c r="D2503" s="0" t="s">
        <v>296</v>
      </c>
      <c r="E2503" s="0" t="s">
        <v>60</v>
      </c>
      <c r="F2503" s="0" t="s">
        <v>27</v>
      </c>
      <c r="I2503" s="0" t="n">
        <v>200</v>
      </c>
      <c r="J2503" s="0" t="n">
        <v>0.05</v>
      </c>
      <c r="K2503" s="0" t="s">
        <v>3072</v>
      </c>
    </row>
    <row r="2504" customFormat="false" ht="15" hidden="false" customHeight="false" outlineLevel="0" collapsed="false">
      <c r="A2504" s="0" t="n">
        <v>206</v>
      </c>
      <c r="B2504" s="0" t="s">
        <v>2822</v>
      </c>
      <c r="C2504" s="0" t="s">
        <v>68</v>
      </c>
      <c r="D2504" s="0" t="s">
        <v>296</v>
      </c>
      <c r="E2504" s="0" t="s">
        <v>62</v>
      </c>
      <c r="F2504" s="0" t="s">
        <v>27</v>
      </c>
      <c r="I2504" s="0" t="n">
        <v>100</v>
      </c>
      <c r="J2504" s="0" t="n">
        <v>0.025</v>
      </c>
      <c r="K2504" s="0" t="s">
        <v>3073</v>
      </c>
    </row>
    <row r="2505" customFormat="false" ht="15" hidden="false" customHeight="false" outlineLevel="0" collapsed="false">
      <c r="A2505" s="0" t="n">
        <v>206</v>
      </c>
      <c r="B2505" s="0" t="s">
        <v>2822</v>
      </c>
      <c r="C2505" s="0" t="s">
        <v>68</v>
      </c>
      <c r="D2505" s="0" t="s">
        <v>296</v>
      </c>
      <c r="E2505" s="0" t="s">
        <v>64</v>
      </c>
      <c r="F2505" s="0" t="s">
        <v>27</v>
      </c>
      <c r="I2505" s="0" t="n">
        <v>750</v>
      </c>
      <c r="J2505" s="0" t="n">
        <v>0.1875</v>
      </c>
      <c r="K2505" s="0" t="s">
        <v>3074</v>
      </c>
    </row>
    <row r="2506" customFormat="false" ht="15" hidden="false" customHeight="false" outlineLevel="0" collapsed="false">
      <c r="A2506" s="0" t="n">
        <v>206</v>
      </c>
      <c r="B2506" s="0" t="s">
        <v>2822</v>
      </c>
      <c r="C2506" s="0" t="s">
        <v>68</v>
      </c>
      <c r="D2506" s="0" t="s">
        <v>296</v>
      </c>
      <c r="E2506" s="0" t="s">
        <v>66</v>
      </c>
      <c r="F2506" s="0" t="s">
        <v>27</v>
      </c>
      <c r="I2506" s="0" t="n">
        <v>350</v>
      </c>
      <c r="J2506" s="0" t="n">
        <v>0.0875</v>
      </c>
      <c r="K2506" s="0" t="s">
        <v>3075</v>
      </c>
    </row>
    <row r="2507" customFormat="false" ht="15" hidden="false" customHeight="false" outlineLevel="0" collapsed="false">
      <c r="A2507" s="0" t="n">
        <v>206</v>
      </c>
      <c r="B2507" s="0" t="s">
        <v>2822</v>
      </c>
      <c r="C2507" s="0" t="s">
        <v>68</v>
      </c>
      <c r="D2507" s="0" t="s">
        <v>296</v>
      </c>
      <c r="E2507" s="0" t="s">
        <v>68</v>
      </c>
      <c r="F2507" s="0" t="s">
        <v>30</v>
      </c>
      <c r="I2507" s="0" t="n">
        <v>4000</v>
      </c>
      <c r="J2507" s="0" t="n">
        <v>1</v>
      </c>
      <c r="K2507" s="0" t="s">
        <v>3076</v>
      </c>
    </row>
    <row r="2508" customFormat="false" ht="15" hidden="false" customHeight="false" outlineLevel="0" collapsed="false">
      <c r="A2508" s="0" t="n">
        <v>207</v>
      </c>
      <c r="B2508" s="0" t="s">
        <v>2822</v>
      </c>
      <c r="C2508" s="0" t="s">
        <v>68</v>
      </c>
      <c r="D2508" s="0" t="s">
        <v>311</v>
      </c>
      <c r="E2508" s="0" t="s">
        <v>53</v>
      </c>
      <c r="F2508" s="0" t="s">
        <v>27</v>
      </c>
      <c r="G2508" s="0" t="n">
        <v>0.5</v>
      </c>
      <c r="H2508" s="0" t="n">
        <v>3</v>
      </c>
      <c r="I2508" s="0" t="n">
        <v>3000</v>
      </c>
      <c r="J2508" s="0" t="n">
        <v>0.75</v>
      </c>
      <c r="K2508" s="0" t="s">
        <v>3077</v>
      </c>
      <c r="L2508" s="0" t="s">
        <v>3078</v>
      </c>
    </row>
    <row r="2509" customFormat="false" ht="15" hidden="false" customHeight="false" outlineLevel="0" collapsed="false">
      <c r="A2509" s="0" t="n">
        <v>207</v>
      </c>
      <c r="B2509" s="0" t="s">
        <v>2822</v>
      </c>
      <c r="C2509" s="0" t="s">
        <v>68</v>
      </c>
      <c r="D2509" s="0" t="s">
        <v>311</v>
      </c>
      <c r="E2509" s="0" t="s">
        <v>56</v>
      </c>
      <c r="F2509" s="0" t="s">
        <v>28</v>
      </c>
      <c r="I2509" s="0" t="n">
        <v>700</v>
      </c>
      <c r="J2509" s="0" t="n">
        <v>0.175</v>
      </c>
      <c r="K2509" s="0" t="s">
        <v>3079</v>
      </c>
    </row>
    <row r="2510" customFormat="false" ht="15" hidden="false" customHeight="false" outlineLevel="0" collapsed="false">
      <c r="A2510" s="0" t="n">
        <v>207</v>
      </c>
      <c r="B2510" s="0" t="s">
        <v>2822</v>
      </c>
      <c r="C2510" s="0" t="s">
        <v>68</v>
      </c>
      <c r="D2510" s="0" t="s">
        <v>311</v>
      </c>
      <c r="E2510" s="0" t="s">
        <v>58</v>
      </c>
      <c r="F2510" s="0" t="s">
        <v>28</v>
      </c>
      <c r="I2510" s="0" t="n">
        <v>2500</v>
      </c>
      <c r="J2510" s="0" t="n">
        <v>0.625</v>
      </c>
      <c r="K2510" s="0" t="s">
        <v>3080</v>
      </c>
    </row>
    <row r="2511" customFormat="false" ht="15" hidden="false" customHeight="false" outlineLevel="0" collapsed="false">
      <c r="A2511" s="0" t="n">
        <v>207</v>
      </c>
      <c r="B2511" s="0" t="s">
        <v>2822</v>
      </c>
      <c r="C2511" s="0" t="s">
        <v>68</v>
      </c>
      <c r="D2511" s="0" t="s">
        <v>311</v>
      </c>
      <c r="E2511" s="0" t="s">
        <v>301</v>
      </c>
      <c r="F2511" s="0" t="s">
        <v>29</v>
      </c>
      <c r="G2511" s="0" t="n">
        <v>15000</v>
      </c>
      <c r="H2511" s="0" t="n">
        <v>0.3</v>
      </c>
      <c r="I2511" s="0" t="n">
        <v>1125</v>
      </c>
      <c r="J2511" s="0" t="n">
        <v>0.28125</v>
      </c>
      <c r="K2511" s="0" t="s">
        <v>3081</v>
      </c>
      <c r="L2511" s="0" t="s">
        <v>316</v>
      </c>
    </row>
    <row r="2512" customFormat="false" ht="15" hidden="false" customHeight="false" outlineLevel="0" collapsed="false">
      <c r="A2512" s="0" t="n">
        <v>207</v>
      </c>
      <c r="B2512" s="0" t="s">
        <v>2822</v>
      </c>
      <c r="C2512" s="0" t="s">
        <v>68</v>
      </c>
      <c r="D2512" s="0" t="s">
        <v>311</v>
      </c>
      <c r="E2512" s="0" t="s">
        <v>158</v>
      </c>
      <c r="F2512" s="0" t="s">
        <v>28</v>
      </c>
      <c r="I2512" s="0" t="n">
        <v>1000</v>
      </c>
      <c r="J2512" s="0" t="n">
        <v>0.25</v>
      </c>
      <c r="K2512" s="0" t="s">
        <v>3082</v>
      </c>
    </row>
    <row r="2513" customFormat="false" ht="15" hidden="false" customHeight="false" outlineLevel="0" collapsed="false">
      <c r="A2513" s="0" t="n">
        <v>207</v>
      </c>
      <c r="B2513" s="0" t="s">
        <v>2822</v>
      </c>
      <c r="C2513" s="0" t="s">
        <v>68</v>
      </c>
      <c r="D2513" s="0" t="s">
        <v>311</v>
      </c>
      <c r="E2513" s="0" t="s">
        <v>128</v>
      </c>
      <c r="F2513" s="0" t="s">
        <v>28</v>
      </c>
      <c r="I2513" s="0" t="n">
        <v>1000</v>
      </c>
      <c r="J2513" s="0" t="n">
        <v>0.25</v>
      </c>
      <c r="K2513" s="0" t="s">
        <v>3083</v>
      </c>
    </row>
    <row r="2514" customFormat="false" ht="15" hidden="false" customHeight="false" outlineLevel="0" collapsed="false">
      <c r="A2514" s="0" t="n">
        <v>207</v>
      </c>
      <c r="B2514" s="0" t="s">
        <v>2822</v>
      </c>
      <c r="C2514" s="0" t="s">
        <v>68</v>
      </c>
      <c r="D2514" s="0" t="s">
        <v>311</v>
      </c>
      <c r="E2514" s="0" t="s">
        <v>60</v>
      </c>
      <c r="F2514" s="0" t="s">
        <v>27</v>
      </c>
      <c r="I2514" s="0" t="n">
        <v>200</v>
      </c>
      <c r="J2514" s="0" t="n">
        <v>0.05</v>
      </c>
      <c r="K2514" s="0" t="s">
        <v>3084</v>
      </c>
    </row>
    <row r="2515" customFormat="false" ht="15" hidden="false" customHeight="false" outlineLevel="0" collapsed="false">
      <c r="A2515" s="0" t="n">
        <v>207</v>
      </c>
      <c r="B2515" s="0" t="s">
        <v>2822</v>
      </c>
      <c r="C2515" s="0" t="s">
        <v>68</v>
      </c>
      <c r="D2515" s="0" t="s">
        <v>311</v>
      </c>
      <c r="E2515" s="0" t="s">
        <v>62</v>
      </c>
      <c r="F2515" s="0" t="s">
        <v>27</v>
      </c>
      <c r="I2515" s="0" t="n">
        <v>100</v>
      </c>
      <c r="J2515" s="0" t="n">
        <v>0.025</v>
      </c>
      <c r="K2515" s="0" t="s">
        <v>3085</v>
      </c>
    </row>
    <row r="2516" customFormat="false" ht="15" hidden="false" customHeight="false" outlineLevel="0" collapsed="false">
      <c r="A2516" s="0" t="n">
        <v>207</v>
      </c>
      <c r="B2516" s="0" t="s">
        <v>2822</v>
      </c>
      <c r="C2516" s="0" t="s">
        <v>68</v>
      </c>
      <c r="D2516" s="0" t="s">
        <v>311</v>
      </c>
      <c r="E2516" s="0" t="s">
        <v>64</v>
      </c>
      <c r="F2516" s="0" t="s">
        <v>27</v>
      </c>
      <c r="I2516" s="0" t="n">
        <v>750</v>
      </c>
      <c r="J2516" s="0" t="n">
        <v>0.1875</v>
      </c>
      <c r="K2516" s="0" t="s">
        <v>3086</v>
      </c>
    </row>
    <row r="2517" customFormat="false" ht="15" hidden="false" customHeight="false" outlineLevel="0" collapsed="false">
      <c r="A2517" s="0" t="n">
        <v>207</v>
      </c>
      <c r="B2517" s="0" t="s">
        <v>2822</v>
      </c>
      <c r="C2517" s="0" t="s">
        <v>68</v>
      </c>
      <c r="D2517" s="0" t="s">
        <v>311</v>
      </c>
      <c r="E2517" s="0" t="s">
        <v>66</v>
      </c>
      <c r="F2517" s="0" t="s">
        <v>27</v>
      </c>
      <c r="I2517" s="0" t="n">
        <v>350</v>
      </c>
      <c r="J2517" s="0" t="n">
        <v>0.0875</v>
      </c>
      <c r="K2517" s="0" t="s">
        <v>3087</v>
      </c>
    </row>
    <row r="2518" customFormat="false" ht="15" hidden="false" customHeight="false" outlineLevel="0" collapsed="false">
      <c r="A2518" s="0" t="n">
        <v>207</v>
      </c>
      <c r="B2518" s="0" t="s">
        <v>2822</v>
      </c>
      <c r="C2518" s="0" t="s">
        <v>68</v>
      </c>
      <c r="D2518" s="0" t="s">
        <v>311</v>
      </c>
      <c r="E2518" s="0" t="s">
        <v>68</v>
      </c>
      <c r="F2518" s="0" t="s">
        <v>30</v>
      </c>
      <c r="I2518" s="0" t="n">
        <v>4000</v>
      </c>
      <c r="J2518" s="0" t="n">
        <v>1</v>
      </c>
      <c r="K2518" s="0" t="s">
        <v>3088</v>
      </c>
    </row>
    <row r="2519" customFormat="false" ht="15" hidden="false" customHeight="false" outlineLevel="0" collapsed="false">
      <c r="A2519" s="0" t="n">
        <v>208</v>
      </c>
      <c r="B2519" s="0" t="s">
        <v>2822</v>
      </c>
      <c r="C2519" s="0" t="s">
        <v>68</v>
      </c>
      <c r="D2519" s="0" t="s">
        <v>349</v>
      </c>
      <c r="E2519" s="0" t="s">
        <v>53</v>
      </c>
      <c r="F2519" s="0" t="s">
        <v>27</v>
      </c>
      <c r="G2519" s="0" t="n">
        <v>0.8</v>
      </c>
      <c r="H2519" s="0" t="n">
        <v>1.8</v>
      </c>
      <c r="I2519" s="0" t="n">
        <v>3840</v>
      </c>
      <c r="J2519" s="0" t="n">
        <v>0.96</v>
      </c>
      <c r="K2519" s="0" t="s">
        <v>3089</v>
      </c>
      <c r="L2519" s="0" t="s">
        <v>3021</v>
      </c>
    </row>
    <row r="2520" customFormat="false" ht="15" hidden="false" customHeight="false" outlineLevel="0" collapsed="false">
      <c r="A2520" s="0" t="n">
        <v>208</v>
      </c>
      <c r="B2520" s="0" t="s">
        <v>2822</v>
      </c>
      <c r="C2520" s="0" t="s">
        <v>68</v>
      </c>
      <c r="D2520" s="0" t="s">
        <v>349</v>
      </c>
      <c r="E2520" s="0" t="s">
        <v>56</v>
      </c>
      <c r="F2520" s="0" t="s">
        <v>28</v>
      </c>
      <c r="I2520" s="0" t="n">
        <v>700</v>
      </c>
      <c r="J2520" s="0" t="n">
        <v>0.175</v>
      </c>
      <c r="K2520" s="0" t="s">
        <v>3090</v>
      </c>
    </row>
    <row r="2521" customFormat="false" ht="15" hidden="false" customHeight="false" outlineLevel="0" collapsed="false">
      <c r="A2521" s="0" t="n">
        <v>208</v>
      </c>
      <c r="B2521" s="0" t="s">
        <v>2822</v>
      </c>
      <c r="C2521" s="0" t="s">
        <v>68</v>
      </c>
      <c r="D2521" s="0" t="s">
        <v>349</v>
      </c>
      <c r="E2521" s="0" t="s">
        <v>58</v>
      </c>
      <c r="F2521" s="0" t="s">
        <v>28</v>
      </c>
      <c r="I2521" s="0" t="n">
        <v>2500</v>
      </c>
      <c r="J2521" s="0" t="n">
        <v>0.625</v>
      </c>
      <c r="K2521" s="0" t="s">
        <v>3091</v>
      </c>
    </row>
    <row r="2522" customFormat="false" ht="15" hidden="false" customHeight="false" outlineLevel="0" collapsed="false">
      <c r="A2522" s="0" t="n">
        <v>208</v>
      </c>
      <c r="B2522" s="0" t="s">
        <v>2822</v>
      </c>
      <c r="C2522" s="0" t="s">
        <v>68</v>
      </c>
      <c r="D2522" s="0" t="s">
        <v>349</v>
      </c>
      <c r="E2522" s="0" t="s">
        <v>301</v>
      </c>
      <c r="F2522" s="0" t="s">
        <v>29</v>
      </c>
      <c r="G2522" s="0" t="n">
        <v>15000</v>
      </c>
      <c r="H2522" s="0" t="n">
        <v>0.3</v>
      </c>
      <c r="I2522" s="0" t="n">
        <v>1500</v>
      </c>
      <c r="J2522" s="0" t="n">
        <v>0.375</v>
      </c>
      <c r="K2522" s="0" t="s">
        <v>3092</v>
      </c>
      <c r="L2522" s="0" t="s">
        <v>303</v>
      </c>
    </row>
    <row r="2523" customFormat="false" ht="15" hidden="false" customHeight="false" outlineLevel="0" collapsed="false">
      <c r="A2523" s="0" t="n">
        <v>208</v>
      </c>
      <c r="B2523" s="0" t="s">
        <v>2822</v>
      </c>
      <c r="C2523" s="0" t="s">
        <v>68</v>
      </c>
      <c r="D2523" s="0" t="s">
        <v>349</v>
      </c>
      <c r="E2523" s="0" t="s">
        <v>158</v>
      </c>
      <c r="F2523" s="0" t="s">
        <v>28</v>
      </c>
      <c r="I2523" s="0" t="n">
        <v>1000</v>
      </c>
      <c r="J2523" s="0" t="n">
        <v>0.25</v>
      </c>
      <c r="K2523" s="0" t="s">
        <v>3093</v>
      </c>
    </row>
    <row r="2524" customFormat="false" ht="15" hidden="false" customHeight="false" outlineLevel="0" collapsed="false">
      <c r="A2524" s="0" t="n">
        <v>208</v>
      </c>
      <c r="B2524" s="0" t="s">
        <v>2822</v>
      </c>
      <c r="C2524" s="0" t="s">
        <v>68</v>
      </c>
      <c r="D2524" s="0" t="s">
        <v>349</v>
      </c>
      <c r="E2524" s="0" t="s">
        <v>128</v>
      </c>
      <c r="F2524" s="0" t="s">
        <v>28</v>
      </c>
      <c r="I2524" s="0" t="n">
        <v>1000</v>
      </c>
      <c r="J2524" s="0" t="n">
        <v>0.25</v>
      </c>
      <c r="K2524" s="0" t="s">
        <v>3094</v>
      </c>
    </row>
    <row r="2525" customFormat="false" ht="15" hidden="false" customHeight="false" outlineLevel="0" collapsed="false">
      <c r="A2525" s="0" t="n">
        <v>208</v>
      </c>
      <c r="B2525" s="0" t="s">
        <v>2822</v>
      </c>
      <c r="C2525" s="0" t="s">
        <v>68</v>
      </c>
      <c r="D2525" s="0" t="s">
        <v>349</v>
      </c>
      <c r="E2525" s="0" t="s">
        <v>60</v>
      </c>
      <c r="F2525" s="0" t="s">
        <v>27</v>
      </c>
      <c r="I2525" s="0" t="n">
        <v>200</v>
      </c>
      <c r="J2525" s="0" t="n">
        <v>0.05</v>
      </c>
      <c r="K2525" s="0" t="s">
        <v>3095</v>
      </c>
    </row>
    <row r="2526" customFormat="false" ht="15" hidden="false" customHeight="false" outlineLevel="0" collapsed="false">
      <c r="A2526" s="0" t="n">
        <v>208</v>
      </c>
      <c r="B2526" s="0" t="s">
        <v>2822</v>
      </c>
      <c r="C2526" s="0" t="s">
        <v>68</v>
      </c>
      <c r="D2526" s="0" t="s">
        <v>349</v>
      </c>
      <c r="E2526" s="0" t="s">
        <v>62</v>
      </c>
      <c r="F2526" s="0" t="s">
        <v>27</v>
      </c>
      <c r="I2526" s="0" t="n">
        <v>100</v>
      </c>
      <c r="J2526" s="0" t="n">
        <v>0.025</v>
      </c>
      <c r="K2526" s="0" t="s">
        <v>3096</v>
      </c>
    </row>
    <row r="2527" customFormat="false" ht="15" hidden="false" customHeight="false" outlineLevel="0" collapsed="false">
      <c r="A2527" s="0" t="n">
        <v>208</v>
      </c>
      <c r="B2527" s="0" t="s">
        <v>2822</v>
      </c>
      <c r="C2527" s="0" t="s">
        <v>68</v>
      </c>
      <c r="D2527" s="0" t="s">
        <v>349</v>
      </c>
      <c r="E2527" s="0" t="s">
        <v>64</v>
      </c>
      <c r="F2527" s="0" t="s">
        <v>27</v>
      </c>
      <c r="I2527" s="0" t="n">
        <v>750</v>
      </c>
      <c r="J2527" s="0" t="n">
        <v>0.1875</v>
      </c>
      <c r="K2527" s="0" t="s">
        <v>3097</v>
      </c>
    </row>
    <row r="2528" customFormat="false" ht="15" hidden="false" customHeight="false" outlineLevel="0" collapsed="false">
      <c r="A2528" s="0" t="n">
        <v>208</v>
      </c>
      <c r="B2528" s="0" t="s">
        <v>2822</v>
      </c>
      <c r="C2528" s="0" t="s">
        <v>68</v>
      </c>
      <c r="D2528" s="0" t="s">
        <v>349</v>
      </c>
      <c r="E2528" s="0" t="s">
        <v>66</v>
      </c>
      <c r="F2528" s="0" t="s">
        <v>27</v>
      </c>
      <c r="I2528" s="0" t="n">
        <v>350</v>
      </c>
      <c r="J2528" s="0" t="n">
        <v>0.0875</v>
      </c>
      <c r="K2528" s="0" t="s">
        <v>3098</v>
      </c>
    </row>
    <row r="2529" customFormat="false" ht="15" hidden="false" customHeight="false" outlineLevel="0" collapsed="false">
      <c r="A2529" s="0" t="n">
        <v>208</v>
      </c>
      <c r="B2529" s="0" t="s">
        <v>2822</v>
      </c>
      <c r="C2529" s="0" t="s">
        <v>68</v>
      </c>
      <c r="D2529" s="0" t="s">
        <v>349</v>
      </c>
      <c r="E2529" s="0" t="s">
        <v>68</v>
      </c>
      <c r="F2529" s="0" t="s">
        <v>30</v>
      </c>
      <c r="I2529" s="0" t="n">
        <v>4000</v>
      </c>
      <c r="J2529" s="0" t="n">
        <v>1</v>
      </c>
      <c r="K2529" s="0" t="s">
        <v>3099</v>
      </c>
    </row>
    <row r="2530" customFormat="false" ht="15" hidden="false" customHeight="false" outlineLevel="0" collapsed="false">
      <c r="A2530" s="0" t="n">
        <v>209</v>
      </c>
      <c r="B2530" s="0" t="s">
        <v>2822</v>
      </c>
      <c r="C2530" s="0" t="s">
        <v>68</v>
      </c>
      <c r="D2530" s="0" t="s">
        <v>349</v>
      </c>
      <c r="E2530" s="0" t="s">
        <v>53</v>
      </c>
      <c r="F2530" s="0" t="s">
        <v>27</v>
      </c>
      <c r="G2530" s="0" t="n">
        <v>0.8</v>
      </c>
      <c r="H2530" s="0" t="n">
        <v>3</v>
      </c>
      <c r="I2530" s="0" t="n">
        <v>6400</v>
      </c>
      <c r="J2530" s="0" t="n">
        <v>1.6</v>
      </c>
      <c r="K2530" s="0" t="s">
        <v>3100</v>
      </c>
      <c r="L2530" s="0" t="s">
        <v>2870</v>
      </c>
    </row>
    <row r="2531" customFormat="false" ht="15" hidden="false" customHeight="false" outlineLevel="0" collapsed="false">
      <c r="A2531" s="0" t="n">
        <v>209</v>
      </c>
      <c r="B2531" s="0" t="s">
        <v>2822</v>
      </c>
      <c r="C2531" s="0" t="s">
        <v>68</v>
      </c>
      <c r="D2531" s="0" t="s">
        <v>349</v>
      </c>
      <c r="E2531" s="0" t="s">
        <v>56</v>
      </c>
      <c r="F2531" s="0" t="s">
        <v>28</v>
      </c>
      <c r="I2531" s="0" t="n">
        <v>700</v>
      </c>
      <c r="J2531" s="0" t="n">
        <v>0.175</v>
      </c>
      <c r="K2531" s="0" t="s">
        <v>3101</v>
      </c>
    </row>
    <row r="2532" customFormat="false" ht="15" hidden="false" customHeight="false" outlineLevel="0" collapsed="false">
      <c r="A2532" s="0" t="n">
        <v>209</v>
      </c>
      <c r="B2532" s="0" t="s">
        <v>2822</v>
      </c>
      <c r="C2532" s="0" t="s">
        <v>68</v>
      </c>
      <c r="D2532" s="0" t="s">
        <v>349</v>
      </c>
      <c r="E2532" s="0" t="s">
        <v>58</v>
      </c>
      <c r="F2532" s="0" t="s">
        <v>28</v>
      </c>
      <c r="I2532" s="0" t="n">
        <v>2500</v>
      </c>
      <c r="J2532" s="0" t="n">
        <v>0.625</v>
      </c>
      <c r="K2532" s="0" t="s">
        <v>3102</v>
      </c>
    </row>
    <row r="2533" customFormat="false" ht="15" hidden="false" customHeight="false" outlineLevel="0" collapsed="false">
      <c r="A2533" s="0" t="n">
        <v>209</v>
      </c>
      <c r="B2533" s="0" t="s">
        <v>2822</v>
      </c>
      <c r="C2533" s="0" t="s">
        <v>68</v>
      </c>
      <c r="D2533" s="0" t="s">
        <v>349</v>
      </c>
      <c r="E2533" s="0" t="s">
        <v>301</v>
      </c>
      <c r="F2533" s="0" t="s">
        <v>29</v>
      </c>
      <c r="G2533" s="0" t="n">
        <v>15000</v>
      </c>
      <c r="H2533" s="0" t="n">
        <v>0.3</v>
      </c>
      <c r="I2533" s="0" t="n">
        <v>1500</v>
      </c>
      <c r="J2533" s="0" t="n">
        <v>0.375</v>
      </c>
      <c r="K2533" s="0" t="s">
        <v>3103</v>
      </c>
      <c r="L2533" s="0" t="s">
        <v>303</v>
      </c>
    </row>
    <row r="2534" customFormat="false" ht="15" hidden="false" customHeight="false" outlineLevel="0" collapsed="false">
      <c r="A2534" s="0" t="n">
        <v>209</v>
      </c>
      <c r="B2534" s="0" t="s">
        <v>2822</v>
      </c>
      <c r="C2534" s="0" t="s">
        <v>68</v>
      </c>
      <c r="D2534" s="0" t="s">
        <v>349</v>
      </c>
      <c r="E2534" s="0" t="s">
        <v>158</v>
      </c>
      <c r="F2534" s="0" t="s">
        <v>28</v>
      </c>
      <c r="I2534" s="0" t="n">
        <v>1000</v>
      </c>
      <c r="J2534" s="0" t="n">
        <v>0.25</v>
      </c>
      <c r="K2534" s="0" t="s">
        <v>3104</v>
      </c>
    </row>
    <row r="2535" customFormat="false" ht="15" hidden="false" customHeight="false" outlineLevel="0" collapsed="false">
      <c r="A2535" s="0" t="n">
        <v>209</v>
      </c>
      <c r="B2535" s="0" t="s">
        <v>2822</v>
      </c>
      <c r="C2535" s="0" t="s">
        <v>68</v>
      </c>
      <c r="D2535" s="0" t="s">
        <v>349</v>
      </c>
      <c r="E2535" s="0" t="s">
        <v>128</v>
      </c>
      <c r="F2535" s="0" t="s">
        <v>28</v>
      </c>
      <c r="I2535" s="0" t="n">
        <v>1000</v>
      </c>
      <c r="J2535" s="0" t="n">
        <v>0.25</v>
      </c>
      <c r="K2535" s="0" t="s">
        <v>3105</v>
      </c>
    </row>
    <row r="2536" customFormat="false" ht="15" hidden="false" customHeight="false" outlineLevel="0" collapsed="false">
      <c r="A2536" s="0" t="n">
        <v>209</v>
      </c>
      <c r="B2536" s="0" t="s">
        <v>2822</v>
      </c>
      <c r="C2536" s="0" t="s">
        <v>68</v>
      </c>
      <c r="D2536" s="0" t="s">
        <v>349</v>
      </c>
      <c r="E2536" s="0" t="s">
        <v>60</v>
      </c>
      <c r="F2536" s="0" t="s">
        <v>27</v>
      </c>
      <c r="I2536" s="0" t="n">
        <v>200</v>
      </c>
      <c r="J2536" s="0" t="n">
        <v>0.05</v>
      </c>
      <c r="K2536" s="0" t="s">
        <v>3106</v>
      </c>
    </row>
    <row r="2537" customFormat="false" ht="15" hidden="false" customHeight="false" outlineLevel="0" collapsed="false">
      <c r="A2537" s="0" t="n">
        <v>209</v>
      </c>
      <c r="B2537" s="0" t="s">
        <v>2822</v>
      </c>
      <c r="C2537" s="0" t="s">
        <v>68</v>
      </c>
      <c r="D2537" s="0" t="s">
        <v>349</v>
      </c>
      <c r="E2537" s="0" t="s">
        <v>62</v>
      </c>
      <c r="F2537" s="0" t="s">
        <v>27</v>
      </c>
      <c r="I2537" s="0" t="n">
        <v>100</v>
      </c>
      <c r="J2537" s="0" t="n">
        <v>0.025</v>
      </c>
      <c r="K2537" s="0" t="s">
        <v>3107</v>
      </c>
    </row>
    <row r="2538" customFormat="false" ht="15" hidden="false" customHeight="false" outlineLevel="0" collapsed="false">
      <c r="A2538" s="0" t="n">
        <v>209</v>
      </c>
      <c r="B2538" s="0" t="s">
        <v>2822</v>
      </c>
      <c r="C2538" s="0" t="s">
        <v>68</v>
      </c>
      <c r="D2538" s="0" t="s">
        <v>349</v>
      </c>
      <c r="E2538" s="0" t="s">
        <v>64</v>
      </c>
      <c r="F2538" s="0" t="s">
        <v>27</v>
      </c>
      <c r="I2538" s="0" t="n">
        <v>750</v>
      </c>
      <c r="J2538" s="0" t="n">
        <v>0.1875</v>
      </c>
      <c r="K2538" s="0" t="s">
        <v>3108</v>
      </c>
    </row>
    <row r="2539" customFormat="false" ht="15" hidden="false" customHeight="false" outlineLevel="0" collapsed="false">
      <c r="A2539" s="0" t="n">
        <v>209</v>
      </c>
      <c r="B2539" s="0" t="s">
        <v>2822</v>
      </c>
      <c r="C2539" s="0" t="s">
        <v>68</v>
      </c>
      <c r="D2539" s="0" t="s">
        <v>349</v>
      </c>
      <c r="E2539" s="0" t="s">
        <v>66</v>
      </c>
      <c r="F2539" s="0" t="s">
        <v>27</v>
      </c>
      <c r="I2539" s="0" t="n">
        <v>350</v>
      </c>
      <c r="J2539" s="0" t="n">
        <v>0.0875</v>
      </c>
      <c r="K2539" s="0" t="s">
        <v>3109</v>
      </c>
    </row>
    <row r="2540" customFormat="false" ht="15" hidden="false" customHeight="false" outlineLevel="0" collapsed="false">
      <c r="A2540" s="0" t="n">
        <v>209</v>
      </c>
      <c r="B2540" s="0" t="s">
        <v>2822</v>
      </c>
      <c r="C2540" s="0" t="s">
        <v>68</v>
      </c>
      <c r="D2540" s="0" t="s">
        <v>349</v>
      </c>
      <c r="E2540" s="0" t="s">
        <v>68</v>
      </c>
      <c r="F2540" s="0" t="s">
        <v>30</v>
      </c>
      <c r="I2540" s="0" t="n">
        <v>4000</v>
      </c>
      <c r="J2540" s="0" t="n">
        <v>1</v>
      </c>
      <c r="K2540" s="0" t="s">
        <v>3110</v>
      </c>
    </row>
    <row r="2541" customFormat="false" ht="15" hidden="false" customHeight="false" outlineLevel="0" collapsed="false">
      <c r="A2541" s="0" t="n">
        <v>210</v>
      </c>
      <c r="B2541" s="0" t="s">
        <v>2822</v>
      </c>
      <c r="C2541" s="0" t="s">
        <v>68</v>
      </c>
      <c r="D2541" s="0" t="s">
        <v>296</v>
      </c>
      <c r="E2541" s="0" t="s">
        <v>53</v>
      </c>
      <c r="F2541" s="0" t="s">
        <v>27</v>
      </c>
      <c r="G2541" s="0" t="n">
        <v>0.7</v>
      </c>
      <c r="H2541" s="0" t="n">
        <v>1.8</v>
      </c>
      <c r="I2541" s="0" t="n">
        <v>3360</v>
      </c>
      <c r="J2541" s="0" t="n">
        <v>0.84</v>
      </c>
      <c r="K2541" s="0" t="s">
        <v>3111</v>
      </c>
      <c r="L2541" s="0" t="s">
        <v>3112</v>
      </c>
    </row>
    <row r="2542" customFormat="false" ht="15" hidden="false" customHeight="false" outlineLevel="0" collapsed="false">
      <c r="A2542" s="0" t="n">
        <v>210</v>
      </c>
      <c r="B2542" s="0" t="s">
        <v>2822</v>
      </c>
      <c r="C2542" s="0" t="s">
        <v>68</v>
      </c>
      <c r="D2542" s="0" t="s">
        <v>296</v>
      </c>
      <c r="E2542" s="0" t="s">
        <v>56</v>
      </c>
      <c r="F2542" s="0" t="s">
        <v>28</v>
      </c>
      <c r="I2542" s="0" t="n">
        <v>700</v>
      </c>
      <c r="J2542" s="0" t="n">
        <v>0.175</v>
      </c>
      <c r="K2542" s="0" t="s">
        <v>3113</v>
      </c>
    </row>
    <row r="2543" customFormat="false" ht="15" hidden="false" customHeight="false" outlineLevel="0" collapsed="false">
      <c r="A2543" s="0" t="n">
        <v>210</v>
      </c>
      <c r="B2543" s="0" t="s">
        <v>2822</v>
      </c>
      <c r="C2543" s="0" t="s">
        <v>68</v>
      </c>
      <c r="D2543" s="0" t="s">
        <v>296</v>
      </c>
      <c r="E2543" s="0" t="s">
        <v>58</v>
      </c>
      <c r="F2543" s="0" t="s">
        <v>28</v>
      </c>
      <c r="I2543" s="0" t="n">
        <v>2500</v>
      </c>
      <c r="J2543" s="0" t="n">
        <v>0.625</v>
      </c>
      <c r="K2543" s="0" t="s">
        <v>3114</v>
      </c>
    </row>
    <row r="2544" customFormat="false" ht="15" hidden="false" customHeight="false" outlineLevel="0" collapsed="false">
      <c r="A2544" s="0" t="n">
        <v>210</v>
      </c>
      <c r="B2544" s="0" t="s">
        <v>2822</v>
      </c>
      <c r="C2544" s="0" t="s">
        <v>68</v>
      </c>
      <c r="D2544" s="0" t="s">
        <v>296</v>
      </c>
      <c r="E2544" s="0" t="s">
        <v>379</v>
      </c>
      <c r="F2544" s="0" t="s">
        <v>29</v>
      </c>
      <c r="I2544" s="0" t="n">
        <v>2500</v>
      </c>
      <c r="J2544" s="0" t="n">
        <v>0.625</v>
      </c>
      <c r="K2544" s="0" t="s">
        <v>3115</v>
      </c>
    </row>
    <row r="2545" customFormat="false" ht="15" hidden="false" customHeight="false" outlineLevel="0" collapsed="false">
      <c r="A2545" s="0" t="n">
        <v>210</v>
      </c>
      <c r="B2545" s="0" t="s">
        <v>2822</v>
      </c>
      <c r="C2545" s="0" t="s">
        <v>68</v>
      </c>
      <c r="D2545" s="0" t="s">
        <v>296</v>
      </c>
      <c r="E2545" s="0" t="s">
        <v>158</v>
      </c>
      <c r="F2545" s="0" t="s">
        <v>28</v>
      </c>
      <c r="I2545" s="0" t="n">
        <v>1000</v>
      </c>
      <c r="J2545" s="0" t="n">
        <v>0.25</v>
      </c>
      <c r="K2545" s="0" t="s">
        <v>3116</v>
      </c>
    </row>
    <row r="2546" customFormat="false" ht="15" hidden="false" customHeight="false" outlineLevel="0" collapsed="false">
      <c r="A2546" s="0" t="n">
        <v>210</v>
      </c>
      <c r="B2546" s="0" t="s">
        <v>2822</v>
      </c>
      <c r="C2546" s="0" t="s">
        <v>68</v>
      </c>
      <c r="D2546" s="0" t="s">
        <v>296</v>
      </c>
      <c r="E2546" s="0" t="s">
        <v>128</v>
      </c>
      <c r="F2546" s="0" t="s">
        <v>28</v>
      </c>
      <c r="I2546" s="0" t="n">
        <v>1000</v>
      </c>
      <c r="J2546" s="0" t="n">
        <v>0.25</v>
      </c>
      <c r="K2546" s="0" t="s">
        <v>3117</v>
      </c>
    </row>
    <row r="2547" customFormat="false" ht="15" hidden="false" customHeight="false" outlineLevel="0" collapsed="false">
      <c r="A2547" s="0" t="n">
        <v>210</v>
      </c>
      <c r="B2547" s="0" t="s">
        <v>2822</v>
      </c>
      <c r="C2547" s="0" t="s">
        <v>68</v>
      </c>
      <c r="D2547" s="0" t="s">
        <v>296</v>
      </c>
      <c r="E2547" s="0" t="s">
        <v>60</v>
      </c>
      <c r="F2547" s="0" t="s">
        <v>27</v>
      </c>
      <c r="I2547" s="0" t="n">
        <v>200</v>
      </c>
      <c r="J2547" s="0" t="n">
        <v>0.05</v>
      </c>
      <c r="K2547" s="0" t="s">
        <v>3118</v>
      </c>
    </row>
    <row r="2548" customFormat="false" ht="15" hidden="false" customHeight="false" outlineLevel="0" collapsed="false">
      <c r="A2548" s="0" t="n">
        <v>210</v>
      </c>
      <c r="B2548" s="0" t="s">
        <v>2822</v>
      </c>
      <c r="C2548" s="0" t="s">
        <v>68</v>
      </c>
      <c r="D2548" s="0" t="s">
        <v>296</v>
      </c>
      <c r="E2548" s="0" t="s">
        <v>62</v>
      </c>
      <c r="F2548" s="0" t="s">
        <v>27</v>
      </c>
      <c r="I2548" s="0" t="n">
        <v>100</v>
      </c>
      <c r="J2548" s="0" t="n">
        <v>0.025</v>
      </c>
      <c r="K2548" s="0" t="s">
        <v>3119</v>
      </c>
    </row>
    <row r="2549" customFormat="false" ht="15" hidden="false" customHeight="false" outlineLevel="0" collapsed="false">
      <c r="A2549" s="0" t="n">
        <v>210</v>
      </c>
      <c r="B2549" s="0" t="s">
        <v>2822</v>
      </c>
      <c r="C2549" s="0" t="s">
        <v>68</v>
      </c>
      <c r="D2549" s="0" t="s">
        <v>296</v>
      </c>
      <c r="E2549" s="0" t="s">
        <v>64</v>
      </c>
      <c r="F2549" s="0" t="s">
        <v>27</v>
      </c>
      <c r="I2549" s="0" t="n">
        <v>750</v>
      </c>
      <c r="J2549" s="0" t="n">
        <v>0.1875</v>
      </c>
      <c r="K2549" s="0" t="s">
        <v>3120</v>
      </c>
    </row>
    <row r="2550" customFormat="false" ht="15" hidden="false" customHeight="false" outlineLevel="0" collapsed="false">
      <c r="A2550" s="0" t="n">
        <v>210</v>
      </c>
      <c r="B2550" s="0" t="s">
        <v>2822</v>
      </c>
      <c r="C2550" s="0" t="s">
        <v>68</v>
      </c>
      <c r="D2550" s="0" t="s">
        <v>296</v>
      </c>
      <c r="E2550" s="0" t="s">
        <v>66</v>
      </c>
      <c r="F2550" s="0" t="s">
        <v>27</v>
      </c>
      <c r="I2550" s="0" t="n">
        <v>350</v>
      </c>
      <c r="J2550" s="0" t="n">
        <v>0.0875</v>
      </c>
      <c r="K2550" s="0" t="s">
        <v>3121</v>
      </c>
    </row>
    <row r="2551" customFormat="false" ht="15" hidden="false" customHeight="false" outlineLevel="0" collapsed="false">
      <c r="A2551" s="0" t="n">
        <v>210</v>
      </c>
      <c r="B2551" s="0" t="s">
        <v>2822</v>
      </c>
      <c r="C2551" s="0" t="s">
        <v>68</v>
      </c>
      <c r="D2551" s="0" t="s">
        <v>296</v>
      </c>
      <c r="E2551" s="0" t="s">
        <v>68</v>
      </c>
      <c r="F2551" s="0" t="s">
        <v>30</v>
      </c>
      <c r="I2551" s="0" t="n">
        <v>4000</v>
      </c>
      <c r="J2551" s="0" t="n">
        <v>1</v>
      </c>
      <c r="K2551" s="0" t="s">
        <v>3122</v>
      </c>
    </row>
    <row r="2552" customFormat="false" ht="15" hidden="false" customHeight="false" outlineLevel="0" collapsed="false">
      <c r="A2552" s="0" t="n">
        <v>211</v>
      </c>
      <c r="B2552" s="0" t="s">
        <v>2822</v>
      </c>
      <c r="C2552" s="0" t="s">
        <v>68</v>
      </c>
      <c r="D2552" s="0" t="s">
        <v>311</v>
      </c>
      <c r="E2552" s="0" t="s">
        <v>53</v>
      </c>
      <c r="F2552" s="0" t="s">
        <v>27</v>
      </c>
      <c r="G2552" s="0" t="n">
        <v>0.5</v>
      </c>
      <c r="H2552" s="0" t="n">
        <v>1.8</v>
      </c>
      <c r="I2552" s="0" t="n">
        <v>2400</v>
      </c>
      <c r="J2552" s="0" t="n">
        <v>0.6</v>
      </c>
      <c r="K2552" s="0" t="s">
        <v>3123</v>
      </c>
      <c r="L2552" s="0" t="s">
        <v>2986</v>
      </c>
    </row>
    <row r="2553" customFormat="false" ht="15" hidden="false" customHeight="false" outlineLevel="0" collapsed="false">
      <c r="A2553" s="0" t="n">
        <v>211</v>
      </c>
      <c r="B2553" s="0" t="s">
        <v>2822</v>
      </c>
      <c r="C2553" s="0" t="s">
        <v>68</v>
      </c>
      <c r="D2553" s="0" t="s">
        <v>311</v>
      </c>
      <c r="E2553" s="0" t="s">
        <v>56</v>
      </c>
      <c r="F2553" s="0" t="s">
        <v>28</v>
      </c>
      <c r="I2553" s="0" t="n">
        <v>700</v>
      </c>
      <c r="J2553" s="0" t="n">
        <v>0.175</v>
      </c>
      <c r="K2553" s="0" t="s">
        <v>3124</v>
      </c>
    </row>
    <row r="2554" customFormat="false" ht="15" hidden="false" customHeight="false" outlineLevel="0" collapsed="false">
      <c r="A2554" s="0" t="n">
        <v>211</v>
      </c>
      <c r="B2554" s="0" t="s">
        <v>2822</v>
      </c>
      <c r="C2554" s="0" t="s">
        <v>68</v>
      </c>
      <c r="D2554" s="0" t="s">
        <v>311</v>
      </c>
      <c r="E2554" s="0" t="s">
        <v>58</v>
      </c>
      <c r="F2554" s="0" t="s">
        <v>28</v>
      </c>
      <c r="I2554" s="0" t="n">
        <v>2500</v>
      </c>
      <c r="J2554" s="0" t="n">
        <v>0.625</v>
      </c>
      <c r="K2554" s="0" t="s">
        <v>3125</v>
      </c>
    </row>
    <row r="2555" customFormat="false" ht="15" hidden="false" customHeight="false" outlineLevel="0" collapsed="false">
      <c r="A2555" s="0" t="n">
        <v>211</v>
      </c>
      <c r="B2555" s="0" t="s">
        <v>2822</v>
      </c>
      <c r="C2555" s="0" t="s">
        <v>68</v>
      </c>
      <c r="D2555" s="0" t="s">
        <v>311</v>
      </c>
      <c r="E2555" s="0" t="s">
        <v>379</v>
      </c>
      <c r="F2555" s="0" t="s">
        <v>29</v>
      </c>
      <c r="G2555" s="0" t="n">
        <v>15000</v>
      </c>
      <c r="H2555" s="0" t="n">
        <v>6</v>
      </c>
      <c r="I2555" s="0" t="n">
        <v>2500</v>
      </c>
      <c r="J2555" s="0" t="n">
        <v>0.625</v>
      </c>
      <c r="K2555" s="0" t="s">
        <v>3126</v>
      </c>
      <c r="L2555" s="0" t="s">
        <v>3127</v>
      </c>
    </row>
    <row r="2556" customFormat="false" ht="15" hidden="false" customHeight="false" outlineLevel="0" collapsed="false">
      <c r="A2556" s="0" t="n">
        <v>211</v>
      </c>
      <c r="B2556" s="0" t="s">
        <v>2822</v>
      </c>
      <c r="C2556" s="0" t="s">
        <v>68</v>
      </c>
      <c r="D2556" s="0" t="s">
        <v>311</v>
      </c>
      <c r="E2556" s="0" t="s">
        <v>158</v>
      </c>
      <c r="F2556" s="0" t="s">
        <v>28</v>
      </c>
      <c r="I2556" s="0" t="n">
        <v>1000</v>
      </c>
      <c r="J2556" s="0" t="n">
        <v>0.25</v>
      </c>
      <c r="K2556" s="0" t="s">
        <v>3128</v>
      </c>
    </row>
    <row r="2557" customFormat="false" ht="15" hidden="false" customHeight="false" outlineLevel="0" collapsed="false">
      <c r="A2557" s="0" t="n">
        <v>211</v>
      </c>
      <c r="B2557" s="0" t="s">
        <v>2822</v>
      </c>
      <c r="C2557" s="0" t="s">
        <v>68</v>
      </c>
      <c r="D2557" s="0" t="s">
        <v>311</v>
      </c>
      <c r="E2557" s="0" t="s">
        <v>128</v>
      </c>
      <c r="F2557" s="0" t="s">
        <v>28</v>
      </c>
      <c r="I2557" s="0" t="n">
        <v>1000</v>
      </c>
      <c r="J2557" s="0" t="n">
        <v>0.25</v>
      </c>
      <c r="K2557" s="0" t="s">
        <v>3129</v>
      </c>
    </row>
    <row r="2558" customFormat="false" ht="15" hidden="false" customHeight="false" outlineLevel="0" collapsed="false">
      <c r="A2558" s="0" t="n">
        <v>211</v>
      </c>
      <c r="B2558" s="0" t="s">
        <v>2822</v>
      </c>
      <c r="C2558" s="0" t="s">
        <v>68</v>
      </c>
      <c r="D2558" s="0" t="s">
        <v>311</v>
      </c>
      <c r="E2558" s="0" t="s">
        <v>60</v>
      </c>
      <c r="F2558" s="0" t="s">
        <v>27</v>
      </c>
      <c r="I2558" s="0" t="n">
        <v>200</v>
      </c>
      <c r="J2558" s="0" t="n">
        <v>0.05</v>
      </c>
      <c r="K2558" s="0" t="s">
        <v>3130</v>
      </c>
    </row>
    <row r="2559" customFormat="false" ht="15" hidden="false" customHeight="false" outlineLevel="0" collapsed="false">
      <c r="A2559" s="0" t="n">
        <v>211</v>
      </c>
      <c r="B2559" s="0" t="s">
        <v>2822</v>
      </c>
      <c r="C2559" s="0" t="s">
        <v>68</v>
      </c>
      <c r="D2559" s="0" t="s">
        <v>311</v>
      </c>
      <c r="E2559" s="0" t="s">
        <v>62</v>
      </c>
      <c r="F2559" s="0" t="s">
        <v>27</v>
      </c>
      <c r="I2559" s="0" t="n">
        <v>100</v>
      </c>
      <c r="J2559" s="0" t="n">
        <v>0.025</v>
      </c>
      <c r="K2559" s="0" t="s">
        <v>3131</v>
      </c>
    </row>
    <row r="2560" customFormat="false" ht="15" hidden="false" customHeight="false" outlineLevel="0" collapsed="false">
      <c r="A2560" s="0" t="n">
        <v>211</v>
      </c>
      <c r="B2560" s="0" t="s">
        <v>2822</v>
      </c>
      <c r="C2560" s="0" t="s">
        <v>68</v>
      </c>
      <c r="D2560" s="0" t="s">
        <v>311</v>
      </c>
      <c r="E2560" s="0" t="s">
        <v>64</v>
      </c>
      <c r="F2560" s="0" t="s">
        <v>27</v>
      </c>
      <c r="I2560" s="0" t="n">
        <v>750</v>
      </c>
      <c r="J2560" s="0" t="n">
        <v>0.1875</v>
      </c>
      <c r="K2560" s="0" t="s">
        <v>3132</v>
      </c>
    </row>
    <row r="2561" customFormat="false" ht="15" hidden="false" customHeight="false" outlineLevel="0" collapsed="false">
      <c r="A2561" s="0" t="n">
        <v>211</v>
      </c>
      <c r="B2561" s="0" t="s">
        <v>2822</v>
      </c>
      <c r="C2561" s="0" t="s">
        <v>68</v>
      </c>
      <c r="D2561" s="0" t="s">
        <v>311</v>
      </c>
      <c r="E2561" s="0" t="s">
        <v>66</v>
      </c>
      <c r="F2561" s="0" t="s">
        <v>27</v>
      </c>
      <c r="I2561" s="0" t="n">
        <v>350</v>
      </c>
      <c r="J2561" s="0" t="n">
        <v>0.0875</v>
      </c>
      <c r="K2561" s="0" t="s">
        <v>3133</v>
      </c>
    </row>
    <row r="2562" customFormat="false" ht="15" hidden="false" customHeight="false" outlineLevel="0" collapsed="false">
      <c r="A2562" s="0" t="n">
        <v>211</v>
      </c>
      <c r="B2562" s="0" t="s">
        <v>2822</v>
      </c>
      <c r="C2562" s="0" t="s">
        <v>68</v>
      </c>
      <c r="D2562" s="0" t="s">
        <v>311</v>
      </c>
      <c r="E2562" s="0" t="s">
        <v>68</v>
      </c>
      <c r="F2562" s="0" t="s">
        <v>30</v>
      </c>
      <c r="I2562" s="0" t="n">
        <v>4000</v>
      </c>
      <c r="J2562" s="0" t="n">
        <v>1</v>
      </c>
      <c r="K2562" s="0" t="s">
        <v>3134</v>
      </c>
    </row>
    <row r="2563" customFormat="false" ht="15" hidden="false" customHeight="false" outlineLevel="0" collapsed="false">
      <c r="A2563" s="0" t="n">
        <v>212</v>
      </c>
      <c r="B2563" s="0" t="s">
        <v>2822</v>
      </c>
      <c r="C2563" s="0" t="s">
        <v>68</v>
      </c>
      <c r="D2563" s="0" t="s">
        <v>296</v>
      </c>
      <c r="E2563" s="0" t="s">
        <v>53</v>
      </c>
      <c r="F2563" s="0" t="s">
        <v>27</v>
      </c>
      <c r="G2563" s="0" t="n">
        <v>0.7</v>
      </c>
      <c r="H2563" s="0" t="n">
        <v>3</v>
      </c>
      <c r="I2563" s="0" t="n">
        <v>5600</v>
      </c>
      <c r="J2563" s="0" t="n">
        <v>1.4</v>
      </c>
      <c r="K2563" s="0" t="s">
        <v>3135</v>
      </c>
      <c r="L2563" s="0" t="s">
        <v>2834</v>
      </c>
    </row>
    <row r="2564" customFormat="false" ht="15" hidden="false" customHeight="false" outlineLevel="0" collapsed="false">
      <c r="A2564" s="0" t="n">
        <v>212</v>
      </c>
      <c r="B2564" s="0" t="s">
        <v>2822</v>
      </c>
      <c r="C2564" s="0" t="s">
        <v>68</v>
      </c>
      <c r="D2564" s="0" t="s">
        <v>296</v>
      </c>
      <c r="E2564" s="0" t="s">
        <v>56</v>
      </c>
      <c r="F2564" s="0" t="s">
        <v>28</v>
      </c>
      <c r="I2564" s="0" t="n">
        <v>700</v>
      </c>
      <c r="J2564" s="0" t="n">
        <v>0.175</v>
      </c>
      <c r="K2564" s="0" t="s">
        <v>3136</v>
      </c>
    </row>
    <row r="2565" customFormat="false" ht="15" hidden="false" customHeight="false" outlineLevel="0" collapsed="false">
      <c r="A2565" s="0" t="n">
        <v>212</v>
      </c>
      <c r="B2565" s="0" t="s">
        <v>2822</v>
      </c>
      <c r="C2565" s="0" t="s">
        <v>68</v>
      </c>
      <c r="D2565" s="0" t="s">
        <v>296</v>
      </c>
      <c r="E2565" s="0" t="s">
        <v>58</v>
      </c>
      <c r="F2565" s="0" t="s">
        <v>28</v>
      </c>
      <c r="I2565" s="0" t="n">
        <v>2500</v>
      </c>
      <c r="J2565" s="0" t="n">
        <v>0.625</v>
      </c>
      <c r="K2565" s="0" t="s">
        <v>3137</v>
      </c>
    </row>
    <row r="2566" customFormat="false" ht="15" hidden="false" customHeight="false" outlineLevel="0" collapsed="false">
      <c r="A2566" s="0" t="n">
        <v>212</v>
      </c>
      <c r="B2566" s="0" t="s">
        <v>2822</v>
      </c>
      <c r="C2566" s="0" t="s">
        <v>68</v>
      </c>
      <c r="D2566" s="0" t="s">
        <v>296</v>
      </c>
      <c r="E2566" s="0" t="s">
        <v>379</v>
      </c>
      <c r="F2566" s="0" t="s">
        <v>29</v>
      </c>
      <c r="I2566" s="0" t="n">
        <v>3750</v>
      </c>
      <c r="J2566" s="0" t="n">
        <v>0.9375</v>
      </c>
      <c r="K2566" s="0" t="s">
        <v>3138</v>
      </c>
    </row>
    <row r="2567" customFormat="false" ht="15" hidden="false" customHeight="false" outlineLevel="0" collapsed="false">
      <c r="A2567" s="0" t="n">
        <v>212</v>
      </c>
      <c r="B2567" s="0" t="s">
        <v>2822</v>
      </c>
      <c r="C2567" s="0" t="s">
        <v>68</v>
      </c>
      <c r="D2567" s="0" t="s">
        <v>296</v>
      </c>
      <c r="E2567" s="0" t="s">
        <v>158</v>
      </c>
      <c r="F2567" s="0" t="s">
        <v>28</v>
      </c>
      <c r="I2567" s="0" t="n">
        <v>1000</v>
      </c>
      <c r="J2567" s="0" t="n">
        <v>0.25</v>
      </c>
      <c r="K2567" s="0" t="s">
        <v>3139</v>
      </c>
    </row>
    <row r="2568" customFormat="false" ht="15" hidden="false" customHeight="false" outlineLevel="0" collapsed="false">
      <c r="A2568" s="0" t="n">
        <v>212</v>
      </c>
      <c r="B2568" s="0" t="s">
        <v>2822</v>
      </c>
      <c r="C2568" s="0" t="s">
        <v>68</v>
      </c>
      <c r="D2568" s="0" t="s">
        <v>296</v>
      </c>
      <c r="E2568" s="0" t="s">
        <v>128</v>
      </c>
      <c r="F2568" s="0" t="s">
        <v>28</v>
      </c>
      <c r="I2568" s="0" t="n">
        <v>1000</v>
      </c>
      <c r="J2568" s="0" t="n">
        <v>0.25</v>
      </c>
      <c r="K2568" s="0" t="s">
        <v>3140</v>
      </c>
    </row>
    <row r="2569" customFormat="false" ht="15" hidden="false" customHeight="false" outlineLevel="0" collapsed="false">
      <c r="A2569" s="0" t="n">
        <v>212</v>
      </c>
      <c r="B2569" s="0" t="s">
        <v>2822</v>
      </c>
      <c r="C2569" s="0" t="s">
        <v>68</v>
      </c>
      <c r="D2569" s="0" t="s">
        <v>296</v>
      </c>
      <c r="E2569" s="0" t="s">
        <v>60</v>
      </c>
      <c r="F2569" s="0" t="s">
        <v>27</v>
      </c>
      <c r="I2569" s="0" t="n">
        <v>200</v>
      </c>
      <c r="J2569" s="0" t="n">
        <v>0.05</v>
      </c>
      <c r="K2569" s="0" t="s">
        <v>3141</v>
      </c>
    </row>
    <row r="2570" customFormat="false" ht="15" hidden="false" customHeight="false" outlineLevel="0" collapsed="false">
      <c r="A2570" s="0" t="n">
        <v>212</v>
      </c>
      <c r="B2570" s="0" t="s">
        <v>2822</v>
      </c>
      <c r="C2570" s="0" t="s">
        <v>68</v>
      </c>
      <c r="D2570" s="0" t="s">
        <v>296</v>
      </c>
      <c r="E2570" s="0" t="s">
        <v>62</v>
      </c>
      <c r="F2570" s="0" t="s">
        <v>27</v>
      </c>
      <c r="I2570" s="0" t="n">
        <v>100</v>
      </c>
      <c r="J2570" s="0" t="n">
        <v>0.025</v>
      </c>
      <c r="K2570" s="0" t="s">
        <v>3142</v>
      </c>
    </row>
    <row r="2571" customFormat="false" ht="15" hidden="false" customHeight="false" outlineLevel="0" collapsed="false">
      <c r="A2571" s="0" t="n">
        <v>212</v>
      </c>
      <c r="B2571" s="0" t="s">
        <v>2822</v>
      </c>
      <c r="C2571" s="0" t="s">
        <v>68</v>
      </c>
      <c r="D2571" s="0" t="s">
        <v>296</v>
      </c>
      <c r="E2571" s="0" t="s">
        <v>64</v>
      </c>
      <c r="F2571" s="0" t="s">
        <v>27</v>
      </c>
      <c r="I2571" s="0" t="n">
        <v>750</v>
      </c>
      <c r="J2571" s="0" t="n">
        <v>0.1875</v>
      </c>
      <c r="K2571" s="0" t="s">
        <v>3143</v>
      </c>
    </row>
    <row r="2572" customFormat="false" ht="15" hidden="false" customHeight="false" outlineLevel="0" collapsed="false">
      <c r="A2572" s="0" t="n">
        <v>212</v>
      </c>
      <c r="B2572" s="0" t="s">
        <v>2822</v>
      </c>
      <c r="C2572" s="0" t="s">
        <v>68</v>
      </c>
      <c r="D2572" s="0" t="s">
        <v>296</v>
      </c>
      <c r="E2572" s="0" t="s">
        <v>66</v>
      </c>
      <c r="F2572" s="0" t="s">
        <v>27</v>
      </c>
      <c r="I2572" s="0" t="n">
        <v>350</v>
      </c>
      <c r="J2572" s="0" t="n">
        <v>0.0875</v>
      </c>
      <c r="K2572" s="0" t="s">
        <v>3144</v>
      </c>
    </row>
    <row r="2573" customFormat="false" ht="15" hidden="false" customHeight="false" outlineLevel="0" collapsed="false">
      <c r="A2573" s="0" t="n">
        <v>212</v>
      </c>
      <c r="B2573" s="0" t="s">
        <v>2822</v>
      </c>
      <c r="C2573" s="0" t="s">
        <v>68</v>
      </c>
      <c r="D2573" s="0" t="s">
        <v>296</v>
      </c>
      <c r="E2573" s="0" t="s">
        <v>68</v>
      </c>
      <c r="F2573" s="0" t="s">
        <v>30</v>
      </c>
      <c r="I2573" s="0" t="n">
        <v>4000</v>
      </c>
      <c r="J2573" s="0" t="n">
        <v>1</v>
      </c>
      <c r="K2573" s="0" t="s">
        <v>3145</v>
      </c>
    </row>
    <row r="2574" customFormat="false" ht="15" hidden="false" customHeight="false" outlineLevel="0" collapsed="false">
      <c r="A2574" s="0" t="n">
        <v>213</v>
      </c>
      <c r="B2574" s="0" t="s">
        <v>2822</v>
      </c>
      <c r="C2574" s="0" t="s">
        <v>68</v>
      </c>
      <c r="D2574" s="0" t="s">
        <v>311</v>
      </c>
      <c r="E2574" s="0" t="s">
        <v>53</v>
      </c>
      <c r="F2574" s="0" t="s">
        <v>27</v>
      </c>
      <c r="G2574" s="0" t="n">
        <v>0.5</v>
      </c>
      <c r="H2574" s="0" t="n">
        <v>3</v>
      </c>
      <c r="I2574" s="0" t="n">
        <v>3000</v>
      </c>
      <c r="J2574" s="0" t="n">
        <v>0.75</v>
      </c>
      <c r="K2574" s="0" t="s">
        <v>3146</v>
      </c>
      <c r="L2574" s="0" t="s">
        <v>2852</v>
      </c>
    </row>
    <row r="2575" customFormat="false" ht="15" hidden="false" customHeight="false" outlineLevel="0" collapsed="false">
      <c r="A2575" s="0" t="n">
        <v>213</v>
      </c>
      <c r="B2575" s="0" t="s">
        <v>2822</v>
      </c>
      <c r="C2575" s="0" t="s">
        <v>68</v>
      </c>
      <c r="D2575" s="0" t="s">
        <v>311</v>
      </c>
      <c r="E2575" s="0" t="s">
        <v>56</v>
      </c>
      <c r="F2575" s="0" t="s">
        <v>28</v>
      </c>
      <c r="I2575" s="0" t="n">
        <v>700</v>
      </c>
      <c r="J2575" s="0" t="n">
        <v>0.175</v>
      </c>
      <c r="K2575" s="0" t="s">
        <v>3147</v>
      </c>
    </row>
    <row r="2576" customFormat="false" ht="15" hidden="false" customHeight="false" outlineLevel="0" collapsed="false">
      <c r="A2576" s="0" t="n">
        <v>213</v>
      </c>
      <c r="B2576" s="0" t="s">
        <v>2822</v>
      </c>
      <c r="C2576" s="0" t="s">
        <v>68</v>
      </c>
      <c r="D2576" s="0" t="s">
        <v>311</v>
      </c>
      <c r="E2576" s="0" t="s">
        <v>58</v>
      </c>
      <c r="F2576" s="0" t="s">
        <v>28</v>
      </c>
      <c r="I2576" s="0" t="n">
        <v>2500</v>
      </c>
      <c r="J2576" s="0" t="n">
        <v>0.625</v>
      </c>
      <c r="K2576" s="0" t="s">
        <v>3148</v>
      </c>
    </row>
    <row r="2577" customFormat="false" ht="15" hidden="false" customHeight="false" outlineLevel="0" collapsed="false">
      <c r="A2577" s="0" t="n">
        <v>213</v>
      </c>
      <c r="B2577" s="0" t="s">
        <v>2822</v>
      </c>
      <c r="C2577" s="0" t="s">
        <v>68</v>
      </c>
      <c r="D2577" s="0" t="s">
        <v>311</v>
      </c>
      <c r="E2577" s="0" t="s">
        <v>379</v>
      </c>
      <c r="F2577" s="0" t="s">
        <v>29</v>
      </c>
      <c r="G2577" s="0" t="n">
        <v>15000</v>
      </c>
      <c r="H2577" s="0" t="n">
        <v>4</v>
      </c>
      <c r="I2577" s="0" t="n">
        <v>3750</v>
      </c>
      <c r="J2577" s="0" t="n">
        <v>0.9375</v>
      </c>
      <c r="K2577" s="0" t="s">
        <v>3149</v>
      </c>
      <c r="L2577" s="0" t="s">
        <v>417</v>
      </c>
    </row>
    <row r="2578" customFormat="false" ht="15" hidden="false" customHeight="false" outlineLevel="0" collapsed="false">
      <c r="A2578" s="0" t="n">
        <v>213</v>
      </c>
      <c r="B2578" s="0" t="s">
        <v>2822</v>
      </c>
      <c r="C2578" s="0" t="s">
        <v>68</v>
      </c>
      <c r="D2578" s="0" t="s">
        <v>311</v>
      </c>
      <c r="E2578" s="0" t="s">
        <v>158</v>
      </c>
      <c r="F2578" s="0" t="s">
        <v>28</v>
      </c>
      <c r="I2578" s="0" t="n">
        <v>1000</v>
      </c>
      <c r="J2578" s="0" t="n">
        <v>0.25</v>
      </c>
      <c r="K2578" s="0" t="s">
        <v>3150</v>
      </c>
    </row>
    <row r="2579" customFormat="false" ht="15" hidden="false" customHeight="false" outlineLevel="0" collapsed="false">
      <c r="A2579" s="0" t="n">
        <v>213</v>
      </c>
      <c r="B2579" s="0" t="s">
        <v>2822</v>
      </c>
      <c r="C2579" s="0" t="s">
        <v>68</v>
      </c>
      <c r="D2579" s="0" t="s">
        <v>311</v>
      </c>
      <c r="E2579" s="0" t="s">
        <v>128</v>
      </c>
      <c r="F2579" s="0" t="s">
        <v>28</v>
      </c>
      <c r="I2579" s="0" t="n">
        <v>1000</v>
      </c>
      <c r="J2579" s="0" t="n">
        <v>0.25</v>
      </c>
      <c r="K2579" s="0" t="s">
        <v>3151</v>
      </c>
    </row>
    <row r="2580" customFormat="false" ht="15" hidden="false" customHeight="false" outlineLevel="0" collapsed="false">
      <c r="A2580" s="0" t="n">
        <v>213</v>
      </c>
      <c r="B2580" s="0" t="s">
        <v>2822</v>
      </c>
      <c r="C2580" s="0" t="s">
        <v>68</v>
      </c>
      <c r="D2580" s="0" t="s">
        <v>311</v>
      </c>
      <c r="E2580" s="0" t="s">
        <v>60</v>
      </c>
      <c r="F2580" s="0" t="s">
        <v>27</v>
      </c>
      <c r="I2580" s="0" t="n">
        <v>200</v>
      </c>
      <c r="J2580" s="0" t="n">
        <v>0.05</v>
      </c>
      <c r="K2580" s="0" t="s">
        <v>3152</v>
      </c>
    </row>
    <row r="2581" customFormat="false" ht="15" hidden="false" customHeight="false" outlineLevel="0" collapsed="false">
      <c r="A2581" s="0" t="n">
        <v>213</v>
      </c>
      <c r="B2581" s="0" t="s">
        <v>2822</v>
      </c>
      <c r="C2581" s="0" t="s">
        <v>68</v>
      </c>
      <c r="D2581" s="0" t="s">
        <v>311</v>
      </c>
      <c r="E2581" s="0" t="s">
        <v>62</v>
      </c>
      <c r="F2581" s="0" t="s">
        <v>27</v>
      </c>
      <c r="I2581" s="0" t="n">
        <v>100</v>
      </c>
      <c r="J2581" s="0" t="n">
        <v>0.025</v>
      </c>
      <c r="K2581" s="0" t="s">
        <v>3153</v>
      </c>
    </row>
    <row r="2582" customFormat="false" ht="15" hidden="false" customHeight="false" outlineLevel="0" collapsed="false">
      <c r="A2582" s="0" t="n">
        <v>213</v>
      </c>
      <c r="B2582" s="0" t="s">
        <v>2822</v>
      </c>
      <c r="C2582" s="0" t="s">
        <v>68</v>
      </c>
      <c r="D2582" s="0" t="s">
        <v>311</v>
      </c>
      <c r="E2582" s="0" t="s">
        <v>64</v>
      </c>
      <c r="F2582" s="0" t="s">
        <v>27</v>
      </c>
      <c r="I2582" s="0" t="n">
        <v>750</v>
      </c>
      <c r="J2582" s="0" t="n">
        <v>0.1875</v>
      </c>
      <c r="K2582" s="0" t="s">
        <v>3154</v>
      </c>
    </row>
    <row r="2583" customFormat="false" ht="15" hidden="false" customHeight="false" outlineLevel="0" collapsed="false">
      <c r="A2583" s="0" t="n">
        <v>213</v>
      </c>
      <c r="B2583" s="0" t="s">
        <v>2822</v>
      </c>
      <c r="C2583" s="0" t="s">
        <v>68</v>
      </c>
      <c r="D2583" s="0" t="s">
        <v>311</v>
      </c>
      <c r="E2583" s="0" t="s">
        <v>66</v>
      </c>
      <c r="F2583" s="0" t="s">
        <v>27</v>
      </c>
      <c r="I2583" s="0" t="n">
        <v>350</v>
      </c>
      <c r="J2583" s="0" t="n">
        <v>0.0875</v>
      </c>
      <c r="K2583" s="0" t="s">
        <v>3155</v>
      </c>
    </row>
    <row r="2584" customFormat="false" ht="15" hidden="false" customHeight="false" outlineLevel="0" collapsed="false">
      <c r="A2584" s="0" t="n">
        <v>213</v>
      </c>
      <c r="B2584" s="0" t="s">
        <v>2822</v>
      </c>
      <c r="C2584" s="0" t="s">
        <v>68</v>
      </c>
      <c r="D2584" s="0" t="s">
        <v>311</v>
      </c>
      <c r="E2584" s="0" t="s">
        <v>68</v>
      </c>
      <c r="F2584" s="0" t="s">
        <v>30</v>
      </c>
      <c r="I2584" s="0" t="n">
        <v>4000</v>
      </c>
      <c r="J2584" s="0" t="n">
        <v>1</v>
      </c>
      <c r="K2584" s="0" t="s">
        <v>3156</v>
      </c>
    </row>
    <row r="2585" customFormat="false" ht="15" hidden="false" customHeight="false" outlineLevel="0" collapsed="false">
      <c r="A2585" s="0" t="n">
        <v>214</v>
      </c>
      <c r="B2585" s="0" t="s">
        <v>2822</v>
      </c>
      <c r="C2585" s="0" t="s">
        <v>68</v>
      </c>
      <c r="D2585" s="0" t="s">
        <v>349</v>
      </c>
      <c r="E2585" s="0" t="s">
        <v>53</v>
      </c>
      <c r="F2585" s="0" t="s">
        <v>27</v>
      </c>
      <c r="G2585" s="0" t="n">
        <v>0.8</v>
      </c>
      <c r="H2585" s="0" t="n">
        <v>3</v>
      </c>
      <c r="I2585" s="0" t="n">
        <v>6400</v>
      </c>
      <c r="J2585" s="0" t="n">
        <v>1.6</v>
      </c>
      <c r="K2585" s="0" t="s">
        <v>3157</v>
      </c>
      <c r="L2585" s="0" t="s">
        <v>2870</v>
      </c>
    </row>
    <row r="2586" customFormat="false" ht="15" hidden="false" customHeight="false" outlineLevel="0" collapsed="false">
      <c r="A2586" s="0" t="n">
        <v>214</v>
      </c>
      <c r="B2586" s="0" t="s">
        <v>2822</v>
      </c>
      <c r="C2586" s="0" t="s">
        <v>68</v>
      </c>
      <c r="D2586" s="0" t="s">
        <v>349</v>
      </c>
      <c r="E2586" s="0" t="s">
        <v>56</v>
      </c>
      <c r="F2586" s="0" t="s">
        <v>28</v>
      </c>
      <c r="I2586" s="0" t="n">
        <v>700</v>
      </c>
      <c r="J2586" s="0" t="n">
        <v>0.175</v>
      </c>
      <c r="K2586" s="0" t="s">
        <v>3158</v>
      </c>
    </row>
    <row r="2587" customFormat="false" ht="15" hidden="false" customHeight="false" outlineLevel="0" collapsed="false">
      <c r="A2587" s="0" t="n">
        <v>214</v>
      </c>
      <c r="B2587" s="0" t="s">
        <v>2822</v>
      </c>
      <c r="C2587" s="0" t="s">
        <v>68</v>
      </c>
      <c r="D2587" s="0" t="s">
        <v>349</v>
      </c>
      <c r="E2587" s="0" t="s">
        <v>58</v>
      </c>
      <c r="F2587" s="0" t="s">
        <v>28</v>
      </c>
      <c r="I2587" s="0" t="n">
        <v>2500</v>
      </c>
      <c r="J2587" s="0" t="n">
        <v>0.625</v>
      </c>
      <c r="K2587" s="0" t="s">
        <v>3159</v>
      </c>
    </row>
    <row r="2588" customFormat="false" ht="15" hidden="false" customHeight="false" outlineLevel="0" collapsed="false">
      <c r="A2588" s="0" t="n">
        <v>214</v>
      </c>
      <c r="B2588" s="0" t="s">
        <v>2822</v>
      </c>
      <c r="C2588" s="0" t="s">
        <v>68</v>
      </c>
      <c r="D2588" s="0" t="s">
        <v>349</v>
      </c>
      <c r="E2588" s="0" t="s">
        <v>379</v>
      </c>
      <c r="F2588" s="0" t="s">
        <v>29</v>
      </c>
      <c r="G2588" s="0" t="n">
        <v>15000</v>
      </c>
      <c r="H2588" s="0" t="n">
        <v>4</v>
      </c>
      <c r="I2588" s="0" t="n">
        <v>3750</v>
      </c>
      <c r="J2588" s="0" t="n">
        <v>0.9375</v>
      </c>
      <c r="K2588" s="0" t="s">
        <v>3160</v>
      </c>
      <c r="L2588" s="0" t="s">
        <v>417</v>
      </c>
    </row>
    <row r="2589" customFormat="false" ht="15" hidden="false" customHeight="false" outlineLevel="0" collapsed="false">
      <c r="A2589" s="0" t="n">
        <v>214</v>
      </c>
      <c r="B2589" s="0" t="s">
        <v>2822</v>
      </c>
      <c r="C2589" s="0" t="s">
        <v>68</v>
      </c>
      <c r="D2589" s="0" t="s">
        <v>349</v>
      </c>
      <c r="E2589" s="0" t="s">
        <v>158</v>
      </c>
      <c r="F2589" s="0" t="s">
        <v>28</v>
      </c>
      <c r="I2589" s="0" t="n">
        <v>1000</v>
      </c>
      <c r="J2589" s="0" t="n">
        <v>0.25</v>
      </c>
      <c r="K2589" s="0" t="s">
        <v>3161</v>
      </c>
    </row>
    <row r="2590" customFormat="false" ht="15" hidden="false" customHeight="false" outlineLevel="0" collapsed="false">
      <c r="A2590" s="0" t="n">
        <v>214</v>
      </c>
      <c r="B2590" s="0" t="s">
        <v>2822</v>
      </c>
      <c r="C2590" s="0" t="s">
        <v>68</v>
      </c>
      <c r="D2590" s="0" t="s">
        <v>349</v>
      </c>
      <c r="E2590" s="0" t="s">
        <v>128</v>
      </c>
      <c r="F2590" s="0" t="s">
        <v>28</v>
      </c>
      <c r="I2590" s="0" t="n">
        <v>2000</v>
      </c>
      <c r="J2590" s="0" t="n">
        <v>0.5</v>
      </c>
      <c r="K2590" s="0" t="s">
        <v>3162</v>
      </c>
    </row>
    <row r="2591" customFormat="false" ht="15" hidden="false" customHeight="false" outlineLevel="0" collapsed="false">
      <c r="A2591" s="0" t="n">
        <v>214</v>
      </c>
      <c r="B2591" s="0" t="s">
        <v>2822</v>
      </c>
      <c r="C2591" s="0" t="s">
        <v>68</v>
      </c>
      <c r="D2591" s="0" t="s">
        <v>349</v>
      </c>
      <c r="E2591" s="0" t="s">
        <v>60</v>
      </c>
      <c r="F2591" s="0" t="s">
        <v>27</v>
      </c>
      <c r="I2591" s="0" t="n">
        <v>200</v>
      </c>
      <c r="J2591" s="0" t="n">
        <v>0.05</v>
      </c>
      <c r="K2591" s="0" t="s">
        <v>3163</v>
      </c>
    </row>
    <row r="2592" customFormat="false" ht="15" hidden="false" customHeight="false" outlineLevel="0" collapsed="false">
      <c r="A2592" s="0" t="n">
        <v>214</v>
      </c>
      <c r="B2592" s="0" t="s">
        <v>2822</v>
      </c>
      <c r="C2592" s="0" t="s">
        <v>68</v>
      </c>
      <c r="D2592" s="0" t="s">
        <v>349</v>
      </c>
      <c r="E2592" s="0" t="s">
        <v>62</v>
      </c>
      <c r="F2592" s="0" t="s">
        <v>27</v>
      </c>
      <c r="I2592" s="0" t="n">
        <v>100</v>
      </c>
      <c r="J2592" s="0" t="n">
        <v>0.025</v>
      </c>
      <c r="K2592" s="0" t="s">
        <v>3164</v>
      </c>
    </row>
    <row r="2593" customFormat="false" ht="15" hidden="false" customHeight="false" outlineLevel="0" collapsed="false">
      <c r="A2593" s="0" t="n">
        <v>214</v>
      </c>
      <c r="B2593" s="0" t="s">
        <v>2822</v>
      </c>
      <c r="C2593" s="0" t="s">
        <v>68</v>
      </c>
      <c r="D2593" s="0" t="s">
        <v>349</v>
      </c>
      <c r="E2593" s="0" t="s">
        <v>64</v>
      </c>
      <c r="F2593" s="0" t="s">
        <v>27</v>
      </c>
      <c r="I2593" s="0" t="n">
        <v>750</v>
      </c>
      <c r="J2593" s="0" t="n">
        <v>0.1875</v>
      </c>
      <c r="K2593" s="0" t="s">
        <v>3165</v>
      </c>
    </row>
    <row r="2594" customFormat="false" ht="15" hidden="false" customHeight="false" outlineLevel="0" collapsed="false">
      <c r="A2594" s="0" t="n">
        <v>214</v>
      </c>
      <c r="B2594" s="0" t="s">
        <v>2822</v>
      </c>
      <c r="C2594" s="0" t="s">
        <v>68</v>
      </c>
      <c r="D2594" s="0" t="s">
        <v>349</v>
      </c>
      <c r="E2594" s="0" t="s">
        <v>66</v>
      </c>
      <c r="F2594" s="0" t="s">
        <v>27</v>
      </c>
      <c r="I2594" s="0" t="n">
        <v>350</v>
      </c>
      <c r="J2594" s="0" t="n">
        <v>0.0875</v>
      </c>
      <c r="K2594" s="0" t="s">
        <v>3166</v>
      </c>
    </row>
    <row r="2595" customFormat="false" ht="15" hidden="false" customHeight="false" outlineLevel="0" collapsed="false">
      <c r="A2595" s="0" t="n">
        <v>214</v>
      </c>
      <c r="B2595" s="0" t="s">
        <v>2822</v>
      </c>
      <c r="C2595" s="0" t="s">
        <v>68</v>
      </c>
      <c r="D2595" s="0" t="s">
        <v>349</v>
      </c>
      <c r="E2595" s="0" t="s">
        <v>68</v>
      </c>
      <c r="F2595" s="0" t="s">
        <v>30</v>
      </c>
      <c r="I2595" s="0" t="n">
        <v>4000</v>
      </c>
      <c r="J2595" s="0" t="n">
        <v>1</v>
      </c>
      <c r="K2595" s="0" t="s">
        <v>3167</v>
      </c>
    </row>
    <row r="2596" customFormat="false" ht="15" hidden="false" customHeight="false" outlineLevel="0" collapsed="false">
      <c r="A2596" s="0" t="n">
        <v>215</v>
      </c>
      <c r="B2596" s="0" t="s">
        <v>2822</v>
      </c>
      <c r="C2596" s="0" t="s">
        <v>68</v>
      </c>
      <c r="D2596" s="0" t="s">
        <v>349</v>
      </c>
      <c r="E2596" s="0" t="s">
        <v>53</v>
      </c>
      <c r="F2596" s="0" t="s">
        <v>27</v>
      </c>
      <c r="G2596" s="0" t="n">
        <v>0.8</v>
      </c>
      <c r="H2596" s="0" t="n">
        <v>1.8</v>
      </c>
      <c r="I2596" s="0" t="n">
        <v>3840</v>
      </c>
      <c r="J2596" s="0" t="n">
        <v>0.96</v>
      </c>
      <c r="K2596" s="0" t="s">
        <v>3168</v>
      </c>
      <c r="L2596" s="0" t="s">
        <v>2861</v>
      </c>
    </row>
    <row r="2597" customFormat="false" ht="15" hidden="false" customHeight="false" outlineLevel="0" collapsed="false">
      <c r="A2597" s="0" t="n">
        <v>215</v>
      </c>
      <c r="B2597" s="0" t="s">
        <v>2822</v>
      </c>
      <c r="C2597" s="0" t="s">
        <v>68</v>
      </c>
      <c r="D2597" s="0" t="s">
        <v>349</v>
      </c>
      <c r="E2597" s="0" t="s">
        <v>56</v>
      </c>
      <c r="F2597" s="0" t="s">
        <v>28</v>
      </c>
      <c r="I2597" s="0" t="n">
        <v>700</v>
      </c>
      <c r="J2597" s="0" t="n">
        <v>0.175</v>
      </c>
      <c r="K2597" s="0" t="s">
        <v>3169</v>
      </c>
    </row>
    <row r="2598" customFormat="false" ht="15" hidden="false" customHeight="false" outlineLevel="0" collapsed="false">
      <c r="A2598" s="0" t="n">
        <v>215</v>
      </c>
      <c r="B2598" s="0" t="s">
        <v>2822</v>
      </c>
      <c r="C2598" s="0" t="s">
        <v>68</v>
      </c>
      <c r="D2598" s="0" t="s">
        <v>349</v>
      </c>
      <c r="E2598" s="0" t="s">
        <v>58</v>
      </c>
      <c r="F2598" s="0" t="s">
        <v>28</v>
      </c>
      <c r="I2598" s="0" t="n">
        <v>2500</v>
      </c>
      <c r="J2598" s="0" t="n">
        <v>0.625</v>
      </c>
      <c r="K2598" s="0" t="s">
        <v>3170</v>
      </c>
    </row>
    <row r="2599" customFormat="false" ht="15" hidden="false" customHeight="false" outlineLevel="0" collapsed="false">
      <c r="A2599" s="0" t="n">
        <v>215</v>
      </c>
      <c r="B2599" s="0" t="s">
        <v>2822</v>
      </c>
      <c r="C2599" s="0" t="s">
        <v>68</v>
      </c>
      <c r="D2599" s="0" t="s">
        <v>349</v>
      </c>
      <c r="E2599" s="0" t="s">
        <v>379</v>
      </c>
      <c r="F2599" s="0" t="s">
        <v>29</v>
      </c>
      <c r="G2599" s="0" t="n">
        <v>15000</v>
      </c>
      <c r="H2599" s="0" t="n">
        <v>4</v>
      </c>
      <c r="I2599" s="0" t="n">
        <v>3750</v>
      </c>
      <c r="J2599" s="0" t="n">
        <v>0.9375</v>
      </c>
      <c r="K2599" s="0" t="s">
        <v>3171</v>
      </c>
      <c r="L2599" s="0" t="s">
        <v>417</v>
      </c>
    </row>
    <row r="2600" customFormat="false" ht="15" hidden="false" customHeight="false" outlineLevel="0" collapsed="false">
      <c r="A2600" s="0" t="n">
        <v>215</v>
      </c>
      <c r="B2600" s="0" t="s">
        <v>2822</v>
      </c>
      <c r="C2600" s="0" t="s">
        <v>68</v>
      </c>
      <c r="D2600" s="0" t="s">
        <v>349</v>
      </c>
      <c r="E2600" s="0" t="s">
        <v>158</v>
      </c>
      <c r="F2600" s="0" t="s">
        <v>28</v>
      </c>
      <c r="I2600" s="0" t="n">
        <v>1000</v>
      </c>
      <c r="J2600" s="0" t="n">
        <v>0.25</v>
      </c>
      <c r="K2600" s="0" t="s">
        <v>3172</v>
      </c>
    </row>
    <row r="2601" customFormat="false" ht="15" hidden="false" customHeight="false" outlineLevel="0" collapsed="false">
      <c r="A2601" s="0" t="n">
        <v>215</v>
      </c>
      <c r="B2601" s="0" t="s">
        <v>2822</v>
      </c>
      <c r="C2601" s="0" t="s">
        <v>68</v>
      </c>
      <c r="D2601" s="0" t="s">
        <v>349</v>
      </c>
      <c r="E2601" s="0" t="s">
        <v>128</v>
      </c>
      <c r="F2601" s="0" t="s">
        <v>28</v>
      </c>
      <c r="I2601" s="0" t="n">
        <v>1000</v>
      </c>
      <c r="J2601" s="0" t="n">
        <v>0.25</v>
      </c>
      <c r="K2601" s="0" t="s">
        <v>3173</v>
      </c>
    </row>
    <row r="2602" customFormat="false" ht="15" hidden="false" customHeight="false" outlineLevel="0" collapsed="false">
      <c r="A2602" s="0" t="n">
        <v>215</v>
      </c>
      <c r="B2602" s="0" t="s">
        <v>2822</v>
      </c>
      <c r="C2602" s="0" t="s">
        <v>68</v>
      </c>
      <c r="D2602" s="0" t="s">
        <v>349</v>
      </c>
      <c r="E2602" s="0" t="s">
        <v>60</v>
      </c>
      <c r="F2602" s="0" t="s">
        <v>27</v>
      </c>
      <c r="I2602" s="0" t="n">
        <v>200</v>
      </c>
      <c r="J2602" s="0" t="n">
        <v>0.05</v>
      </c>
      <c r="K2602" s="0" t="s">
        <v>3174</v>
      </c>
    </row>
    <row r="2603" customFormat="false" ht="15" hidden="false" customHeight="false" outlineLevel="0" collapsed="false">
      <c r="A2603" s="0" t="n">
        <v>215</v>
      </c>
      <c r="B2603" s="0" t="s">
        <v>2822</v>
      </c>
      <c r="C2603" s="0" t="s">
        <v>68</v>
      </c>
      <c r="D2603" s="0" t="s">
        <v>349</v>
      </c>
      <c r="E2603" s="0" t="s">
        <v>62</v>
      </c>
      <c r="F2603" s="0" t="s">
        <v>27</v>
      </c>
      <c r="I2603" s="0" t="n">
        <v>100</v>
      </c>
      <c r="J2603" s="0" t="n">
        <v>0.025</v>
      </c>
      <c r="K2603" s="0" t="s">
        <v>3175</v>
      </c>
    </row>
    <row r="2604" customFormat="false" ht="15" hidden="false" customHeight="false" outlineLevel="0" collapsed="false">
      <c r="A2604" s="0" t="n">
        <v>215</v>
      </c>
      <c r="B2604" s="0" t="s">
        <v>2822</v>
      </c>
      <c r="C2604" s="0" t="s">
        <v>68</v>
      </c>
      <c r="D2604" s="0" t="s">
        <v>349</v>
      </c>
      <c r="E2604" s="0" t="s">
        <v>64</v>
      </c>
      <c r="F2604" s="0" t="s">
        <v>27</v>
      </c>
      <c r="I2604" s="0" t="n">
        <v>750</v>
      </c>
      <c r="J2604" s="0" t="n">
        <v>0.1875</v>
      </c>
      <c r="K2604" s="0" t="s">
        <v>3176</v>
      </c>
    </row>
    <row r="2605" customFormat="false" ht="15" hidden="false" customHeight="false" outlineLevel="0" collapsed="false">
      <c r="A2605" s="0" t="n">
        <v>215</v>
      </c>
      <c r="B2605" s="0" t="s">
        <v>2822</v>
      </c>
      <c r="C2605" s="0" t="s">
        <v>68</v>
      </c>
      <c r="D2605" s="0" t="s">
        <v>349</v>
      </c>
      <c r="E2605" s="0" t="s">
        <v>66</v>
      </c>
      <c r="F2605" s="0" t="s">
        <v>27</v>
      </c>
      <c r="I2605" s="0" t="n">
        <v>350</v>
      </c>
      <c r="J2605" s="0" t="n">
        <v>0.0875</v>
      </c>
      <c r="K2605" s="0" t="s">
        <v>3177</v>
      </c>
    </row>
    <row r="2606" customFormat="false" ht="15" hidden="false" customHeight="false" outlineLevel="0" collapsed="false">
      <c r="A2606" s="0" t="n">
        <v>215</v>
      </c>
      <c r="B2606" s="0" t="s">
        <v>2822</v>
      </c>
      <c r="C2606" s="0" t="s">
        <v>68</v>
      </c>
      <c r="D2606" s="0" t="s">
        <v>349</v>
      </c>
      <c r="E2606" s="0" t="s">
        <v>68</v>
      </c>
      <c r="F2606" s="0" t="s">
        <v>30</v>
      </c>
      <c r="I2606" s="0" t="n">
        <v>4000</v>
      </c>
      <c r="J2606" s="0" t="n">
        <v>1</v>
      </c>
      <c r="K2606" s="0" t="s">
        <v>3178</v>
      </c>
    </row>
    <row r="2607" customFormat="false" ht="15" hidden="false" customHeight="false" outlineLevel="0" collapsed="false">
      <c r="A2607" s="0" t="n">
        <v>216</v>
      </c>
      <c r="B2607" s="0" t="s">
        <v>2822</v>
      </c>
      <c r="C2607" s="0" t="s">
        <v>68</v>
      </c>
      <c r="D2607" s="0" t="s">
        <v>311</v>
      </c>
      <c r="E2607" s="0" t="s">
        <v>53</v>
      </c>
      <c r="F2607" s="0" t="s">
        <v>27</v>
      </c>
      <c r="G2607" s="0" t="n">
        <v>0.5</v>
      </c>
      <c r="H2607" s="0" t="n">
        <v>3</v>
      </c>
      <c r="I2607" s="0" t="n">
        <v>3000</v>
      </c>
      <c r="J2607" s="0" t="n">
        <v>0.75</v>
      </c>
      <c r="K2607" s="0" t="s">
        <v>3179</v>
      </c>
      <c r="L2607" s="0" t="s">
        <v>2852</v>
      </c>
    </row>
    <row r="2608" customFormat="false" ht="15" hidden="false" customHeight="false" outlineLevel="0" collapsed="false">
      <c r="A2608" s="0" t="n">
        <v>216</v>
      </c>
      <c r="B2608" s="0" t="s">
        <v>2822</v>
      </c>
      <c r="C2608" s="0" t="s">
        <v>68</v>
      </c>
      <c r="D2608" s="0" t="s">
        <v>311</v>
      </c>
      <c r="E2608" s="0" t="s">
        <v>56</v>
      </c>
      <c r="F2608" s="0" t="s">
        <v>28</v>
      </c>
      <c r="I2608" s="0" t="n">
        <v>700</v>
      </c>
      <c r="J2608" s="0" t="n">
        <v>0.175</v>
      </c>
      <c r="K2608" s="0" t="s">
        <v>3180</v>
      </c>
    </row>
    <row r="2609" customFormat="false" ht="15" hidden="false" customHeight="false" outlineLevel="0" collapsed="false">
      <c r="A2609" s="0" t="n">
        <v>216</v>
      </c>
      <c r="B2609" s="0" t="s">
        <v>2822</v>
      </c>
      <c r="C2609" s="0" t="s">
        <v>68</v>
      </c>
      <c r="D2609" s="0" t="s">
        <v>311</v>
      </c>
      <c r="E2609" s="0" t="s">
        <v>58</v>
      </c>
      <c r="F2609" s="0" t="s">
        <v>28</v>
      </c>
      <c r="I2609" s="0" t="n">
        <v>2500</v>
      </c>
      <c r="J2609" s="0" t="n">
        <v>0.625</v>
      </c>
      <c r="K2609" s="0" t="s">
        <v>3181</v>
      </c>
    </row>
    <row r="2610" customFormat="false" ht="15" hidden="false" customHeight="false" outlineLevel="0" collapsed="false">
      <c r="A2610" s="0" t="n">
        <v>216</v>
      </c>
      <c r="B2610" s="0" t="s">
        <v>2822</v>
      </c>
      <c r="C2610" s="0" t="s">
        <v>68</v>
      </c>
      <c r="D2610" s="0" t="s">
        <v>311</v>
      </c>
      <c r="E2610" s="0" t="s">
        <v>379</v>
      </c>
      <c r="F2610" s="0" t="s">
        <v>29</v>
      </c>
      <c r="G2610" s="0" t="n">
        <v>15000</v>
      </c>
      <c r="H2610" s="0" t="n">
        <v>1.7</v>
      </c>
      <c r="I2610" s="0" t="n">
        <v>8823.52941176471</v>
      </c>
      <c r="J2610" s="0" t="n">
        <v>2.20588235294118</v>
      </c>
      <c r="K2610" s="0" t="s">
        <v>3182</v>
      </c>
      <c r="L2610" s="0" t="s">
        <v>3183</v>
      </c>
    </row>
    <row r="2611" customFormat="false" ht="15" hidden="false" customHeight="false" outlineLevel="0" collapsed="false">
      <c r="A2611" s="0" t="n">
        <v>216</v>
      </c>
      <c r="B2611" s="0" t="s">
        <v>2822</v>
      </c>
      <c r="C2611" s="0" t="s">
        <v>68</v>
      </c>
      <c r="D2611" s="0" t="s">
        <v>311</v>
      </c>
      <c r="E2611" s="0" t="s">
        <v>158</v>
      </c>
      <c r="F2611" s="0" t="s">
        <v>28</v>
      </c>
      <c r="I2611" s="0" t="n">
        <v>2000</v>
      </c>
      <c r="J2611" s="0" t="n">
        <v>0.5</v>
      </c>
      <c r="K2611" s="0" t="s">
        <v>3184</v>
      </c>
    </row>
    <row r="2612" customFormat="false" ht="15" hidden="false" customHeight="false" outlineLevel="0" collapsed="false">
      <c r="A2612" s="0" t="n">
        <v>216</v>
      </c>
      <c r="B2612" s="0" t="s">
        <v>2822</v>
      </c>
      <c r="C2612" s="0" t="s">
        <v>68</v>
      </c>
      <c r="D2612" s="0" t="s">
        <v>311</v>
      </c>
      <c r="E2612" s="0" t="s">
        <v>128</v>
      </c>
      <c r="F2612" s="0" t="s">
        <v>28</v>
      </c>
      <c r="I2612" s="0" t="n">
        <v>1000</v>
      </c>
      <c r="J2612" s="0" t="n">
        <v>0.25</v>
      </c>
      <c r="K2612" s="0" t="s">
        <v>3185</v>
      </c>
    </row>
    <row r="2613" customFormat="false" ht="15" hidden="false" customHeight="false" outlineLevel="0" collapsed="false">
      <c r="A2613" s="0" t="n">
        <v>216</v>
      </c>
      <c r="B2613" s="0" t="s">
        <v>2822</v>
      </c>
      <c r="C2613" s="0" t="s">
        <v>68</v>
      </c>
      <c r="D2613" s="0" t="s">
        <v>311</v>
      </c>
      <c r="E2613" s="0" t="s">
        <v>60</v>
      </c>
      <c r="F2613" s="0" t="s">
        <v>27</v>
      </c>
      <c r="I2613" s="0" t="n">
        <v>200</v>
      </c>
      <c r="J2613" s="0" t="n">
        <v>0.05</v>
      </c>
      <c r="K2613" s="0" t="s">
        <v>3186</v>
      </c>
    </row>
    <row r="2614" customFormat="false" ht="15" hidden="false" customHeight="false" outlineLevel="0" collapsed="false">
      <c r="A2614" s="0" t="n">
        <v>216</v>
      </c>
      <c r="B2614" s="0" t="s">
        <v>2822</v>
      </c>
      <c r="C2614" s="0" t="s">
        <v>68</v>
      </c>
      <c r="D2614" s="0" t="s">
        <v>311</v>
      </c>
      <c r="E2614" s="0" t="s">
        <v>62</v>
      </c>
      <c r="F2614" s="0" t="s">
        <v>27</v>
      </c>
      <c r="I2614" s="0" t="n">
        <v>100</v>
      </c>
      <c r="J2614" s="0" t="n">
        <v>0.025</v>
      </c>
      <c r="K2614" s="0" t="s">
        <v>3187</v>
      </c>
    </row>
    <row r="2615" customFormat="false" ht="15" hidden="false" customHeight="false" outlineLevel="0" collapsed="false">
      <c r="A2615" s="0" t="n">
        <v>216</v>
      </c>
      <c r="B2615" s="0" t="s">
        <v>2822</v>
      </c>
      <c r="C2615" s="0" t="s">
        <v>68</v>
      </c>
      <c r="D2615" s="0" t="s">
        <v>311</v>
      </c>
      <c r="E2615" s="0" t="s">
        <v>64</v>
      </c>
      <c r="F2615" s="0" t="s">
        <v>27</v>
      </c>
      <c r="I2615" s="0" t="n">
        <v>750</v>
      </c>
      <c r="J2615" s="0" t="n">
        <v>0.1875</v>
      </c>
      <c r="K2615" s="0" t="s">
        <v>3188</v>
      </c>
    </row>
    <row r="2616" customFormat="false" ht="15" hidden="false" customHeight="false" outlineLevel="0" collapsed="false">
      <c r="A2616" s="0" t="n">
        <v>216</v>
      </c>
      <c r="B2616" s="0" t="s">
        <v>2822</v>
      </c>
      <c r="C2616" s="0" t="s">
        <v>68</v>
      </c>
      <c r="D2616" s="0" t="s">
        <v>311</v>
      </c>
      <c r="E2616" s="0" t="s">
        <v>66</v>
      </c>
      <c r="F2616" s="0" t="s">
        <v>27</v>
      </c>
      <c r="I2616" s="0" t="n">
        <v>350</v>
      </c>
      <c r="J2616" s="0" t="n">
        <v>0.0875</v>
      </c>
      <c r="K2616" s="0" t="s">
        <v>3189</v>
      </c>
    </row>
    <row r="2617" customFormat="false" ht="15" hidden="false" customHeight="false" outlineLevel="0" collapsed="false">
      <c r="A2617" s="0" t="n">
        <v>216</v>
      </c>
      <c r="B2617" s="0" t="s">
        <v>2822</v>
      </c>
      <c r="C2617" s="0" t="s">
        <v>68</v>
      </c>
      <c r="D2617" s="0" t="s">
        <v>311</v>
      </c>
      <c r="E2617" s="0" t="s">
        <v>68</v>
      </c>
      <c r="F2617" s="0" t="s">
        <v>30</v>
      </c>
      <c r="I2617" s="0" t="n">
        <v>4000</v>
      </c>
      <c r="J2617" s="0" t="n">
        <v>1</v>
      </c>
      <c r="K2617" s="0" t="s">
        <v>3190</v>
      </c>
    </row>
    <row r="2618" customFormat="false" ht="15" hidden="false" customHeight="false" outlineLevel="0" collapsed="false">
      <c r="A2618" s="0" t="n">
        <v>217</v>
      </c>
      <c r="B2618" s="0" t="s">
        <v>2822</v>
      </c>
      <c r="C2618" s="0" t="s">
        <v>68</v>
      </c>
      <c r="D2618" s="0" t="s">
        <v>311</v>
      </c>
      <c r="E2618" s="0" t="s">
        <v>53</v>
      </c>
      <c r="F2618" s="0" t="s">
        <v>27</v>
      </c>
      <c r="G2618" s="0" t="n">
        <v>0.5</v>
      </c>
      <c r="H2618" s="0" t="n">
        <v>1.8</v>
      </c>
      <c r="I2618" s="0" t="n">
        <v>1800</v>
      </c>
      <c r="J2618" s="0" t="n">
        <v>0.45</v>
      </c>
      <c r="K2618" s="0" t="s">
        <v>3191</v>
      </c>
      <c r="L2618" s="0" t="s">
        <v>3192</v>
      </c>
    </row>
    <row r="2619" customFormat="false" ht="15" hidden="false" customHeight="false" outlineLevel="0" collapsed="false">
      <c r="A2619" s="0" t="n">
        <v>217</v>
      </c>
      <c r="B2619" s="0" t="s">
        <v>2822</v>
      </c>
      <c r="C2619" s="0" t="s">
        <v>68</v>
      </c>
      <c r="D2619" s="0" t="s">
        <v>311</v>
      </c>
      <c r="E2619" s="0" t="s">
        <v>56</v>
      </c>
      <c r="F2619" s="0" t="s">
        <v>28</v>
      </c>
      <c r="I2619" s="0" t="n">
        <v>700</v>
      </c>
      <c r="J2619" s="0" t="n">
        <v>0.175</v>
      </c>
      <c r="K2619" s="0" t="s">
        <v>3193</v>
      </c>
    </row>
    <row r="2620" customFormat="false" ht="15" hidden="false" customHeight="false" outlineLevel="0" collapsed="false">
      <c r="A2620" s="0" t="n">
        <v>217</v>
      </c>
      <c r="B2620" s="0" t="s">
        <v>2822</v>
      </c>
      <c r="C2620" s="0" t="s">
        <v>68</v>
      </c>
      <c r="D2620" s="0" t="s">
        <v>311</v>
      </c>
      <c r="E2620" s="0" t="s">
        <v>58</v>
      </c>
      <c r="F2620" s="0" t="s">
        <v>28</v>
      </c>
      <c r="I2620" s="0" t="n">
        <v>2500</v>
      </c>
      <c r="J2620" s="0" t="n">
        <v>0.625</v>
      </c>
      <c r="K2620" s="0" t="s">
        <v>3194</v>
      </c>
    </row>
    <row r="2621" customFormat="false" ht="15" hidden="false" customHeight="false" outlineLevel="0" collapsed="false">
      <c r="A2621" s="0" t="n">
        <v>217</v>
      </c>
      <c r="B2621" s="0" t="s">
        <v>2822</v>
      </c>
      <c r="C2621" s="0" t="s">
        <v>68</v>
      </c>
      <c r="D2621" s="0" t="s">
        <v>311</v>
      </c>
      <c r="E2621" s="0" t="s">
        <v>379</v>
      </c>
      <c r="F2621" s="0" t="s">
        <v>29</v>
      </c>
      <c r="G2621" s="0" t="n">
        <v>13000</v>
      </c>
      <c r="H2621" s="0" t="n">
        <v>2</v>
      </c>
      <c r="I2621" s="0" t="n">
        <v>6500</v>
      </c>
      <c r="J2621" s="0" t="n">
        <v>1.625</v>
      </c>
      <c r="K2621" s="0" t="s">
        <v>3195</v>
      </c>
      <c r="L2621" s="0" t="s">
        <v>3196</v>
      </c>
    </row>
    <row r="2622" customFormat="false" ht="15" hidden="false" customHeight="false" outlineLevel="0" collapsed="false">
      <c r="A2622" s="0" t="n">
        <v>217</v>
      </c>
      <c r="B2622" s="0" t="s">
        <v>2822</v>
      </c>
      <c r="C2622" s="0" t="s">
        <v>68</v>
      </c>
      <c r="D2622" s="0" t="s">
        <v>311</v>
      </c>
      <c r="E2622" s="0" t="s">
        <v>158</v>
      </c>
      <c r="F2622" s="0" t="s">
        <v>28</v>
      </c>
      <c r="I2622" s="0" t="n">
        <v>2000</v>
      </c>
      <c r="J2622" s="0" t="n">
        <v>0.5</v>
      </c>
      <c r="K2622" s="0" t="s">
        <v>3197</v>
      </c>
    </row>
    <row r="2623" customFormat="false" ht="15" hidden="false" customHeight="false" outlineLevel="0" collapsed="false">
      <c r="A2623" s="0" t="n">
        <v>217</v>
      </c>
      <c r="B2623" s="0" t="s">
        <v>2822</v>
      </c>
      <c r="C2623" s="0" t="s">
        <v>68</v>
      </c>
      <c r="D2623" s="0" t="s">
        <v>311</v>
      </c>
      <c r="E2623" s="0" t="s">
        <v>128</v>
      </c>
      <c r="F2623" s="0" t="s">
        <v>28</v>
      </c>
      <c r="I2623" s="0" t="n">
        <v>1000</v>
      </c>
      <c r="J2623" s="0" t="n">
        <v>0.25</v>
      </c>
      <c r="K2623" s="0" t="s">
        <v>3198</v>
      </c>
    </row>
    <row r="2624" customFormat="false" ht="15" hidden="false" customHeight="false" outlineLevel="0" collapsed="false">
      <c r="A2624" s="0" t="n">
        <v>217</v>
      </c>
      <c r="B2624" s="0" t="s">
        <v>2822</v>
      </c>
      <c r="C2624" s="0" t="s">
        <v>68</v>
      </c>
      <c r="D2624" s="0" t="s">
        <v>311</v>
      </c>
      <c r="E2624" s="0" t="s">
        <v>60</v>
      </c>
      <c r="F2624" s="0" t="s">
        <v>27</v>
      </c>
      <c r="I2624" s="0" t="n">
        <v>200</v>
      </c>
      <c r="J2624" s="0" t="n">
        <v>0.05</v>
      </c>
      <c r="K2624" s="0" t="s">
        <v>3199</v>
      </c>
    </row>
    <row r="2625" customFormat="false" ht="15" hidden="false" customHeight="false" outlineLevel="0" collapsed="false">
      <c r="A2625" s="0" t="n">
        <v>217</v>
      </c>
      <c r="B2625" s="0" t="s">
        <v>2822</v>
      </c>
      <c r="C2625" s="0" t="s">
        <v>68</v>
      </c>
      <c r="D2625" s="0" t="s">
        <v>311</v>
      </c>
      <c r="E2625" s="0" t="s">
        <v>62</v>
      </c>
      <c r="F2625" s="0" t="s">
        <v>27</v>
      </c>
      <c r="I2625" s="0" t="n">
        <v>100</v>
      </c>
      <c r="J2625" s="0" t="n">
        <v>0.025</v>
      </c>
      <c r="K2625" s="0" t="s">
        <v>3200</v>
      </c>
    </row>
    <row r="2626" customFormat="false" ht="15" hidden="false" customHeight="false" outlineLevel="0" collapsed="false">
      <c r="A2626" s="0" t="n">
        <v>217</v>
      </c>
      <c r="B2626" s="0" t="s">
        <v>2822</v>
      </c>
      <c r="C2626" s="0" t="s">
        <v>68</v>
      </c>
      <c r="D2626" s="0" t="s">
        <v>311</v>
      </c>
      <c r="E2626" s="0" t="s">
        <v>64</v>
      </c>
      <c r="F2626" s="0" t="s">
        <v>27</v>
      </c>
      <c r="I2626" s="0" t="n">
        <v>500</v>
      </c>
      <c r="J2626" s="0" t="n">
        <v>0.125</v>
      </c>
      <c r="K2626" s="0" t="s">
        <v>3201</v>
      </c>
    </row>
    <row r="2627" customFormat="false" ht="15" hidden="false" customHeight="false" outlineLevel="0" collapsed="false">
      <c r="A2627" s="0" t="n">
        <v>217</v>
      </c>
      <c r="B2627" s="0" t="s">
        <v>2822</v>
      </c>
      <c r="C2627" s="0" t="s">
        <v>68</v>
      </c>
      <c r="D2627" s="0" t="s">
        <v>311</v>
      </c>
      <c r="E2627" s="0" t="s">
        <v>66</v>
      </c>
      <c r="F2627" s="0" t="s">
        <v>27</v>
      </c>
      <c r="I2627" s="0" t="n">
        <v>350</v>
      </c>
      <c r="J2627" s="0" t="n">
        <v>0.0875</v>
      </c>
      <c r="K2627" s="0" t="s">
        <v>3202</v>
      </c>
    </row>
    <row r="2628" customFormat="false" ht="15" hidden="false" customHeight="false" outlineLevel="0" collapsed="false">
      <c r="A2628" s="0" t="n">
        <v>217</v>
      </c>
      <c r="B2628" s="0" t="s">
        <v>2822</v>
      </c>
      <c r="C2628" s="0" t="s">
        <v>68</v>
      </c>
      <c r="D2628" s="0" t="s">
        <v>311</v>
      </c>
      <c r="E2628" s="0" t="s">
        <v>68</v>
      </c>
      <c r="F2628" s="0" t="s">
        <v>30</v>
      </c>
      <c r="I2628" s="0" t="n">
        <v>4000</v>
      </c>
      <c r="J2628" s="0" t="n">
        <v>1</v>
      </c>
      <c r="K2628" s="0" t="s">
        <v>3203</v>
      </c>
    </row>
    <row r="2629" customFormat="false" ht="15" hidden="false" customHeight="false" outlineLevel="0" collapsed="false">
      <c r="A2629" s="0" t="n">
        <v>218</v>
      </c>
      <c r="B2629" s="0" t="s">
        <v>2822</v>
      </c>
      <c r="C2629" s="0" t="s">
        <v>68</v>
      </c>
      <c r="D2629" s="0" t="s">
        <v>296</v>
      </c>
      <c r="E2629" s="0" t="s">
        <v>53</v>
      </c>
      <c r="F2629" s="0" t="s">
        <v>27</v>
      </c>
      <c r="G2629" s="0" t="n">
        <v>0.7</v>
      </c>
      <c r="H2629" s="0" t="n">
        <v>3</v>
      </c>
      <c r="I2629" s="0" t="n">
        <v>5600</v>
      </c>
      <c r="J2629" s="0" t="n">
        <v>1.4</v>
      </c>
      <c r="K2629" s="0" t="s">
        <v>3204</v>
      </c>
      <c r="L2629" s="0" t="s">
        <v>2834</v>
      </c>
    </row>
    <row r="2630" customFormat="false" ht="15" hidden="false" customHeight="false" outlineLevel="0" collapsed="false">
      <c r="A2630" s="0" t="n">
        <v>218</v>
      </c>
      <c r="B2630" s="0" t="s">
        <v>2822</v>
      </c>
      <c r="C2630" s="0" t="s">
        <v>68</v>
      </c>
      <c r="D2630" s="0" t="s">
        <v>296</v>
      </c>
      <c r="E2630" s="0" t="s">
        <v>56</v>
      </c>
      <c r="F2630" s="0" t="s">
        <v>28</v>
      </c>
      <c r="I2630" s="0" t="n">
        <v>700</v>
      </c>
      <c r="J2630" s="0" t="n">
        <v>0.175</v>
      </c>
      <c r="K2630" s="0" t="s">
        <v>3205</v>
      </c>
    </row>
    <row r="2631" customFormat="false" ht="15" hidden="false" customHeight="false" outlineLevel="0" collapsed="false">
      <c r="A2631" s="0" t="n">
        <v>218</v>
      </c>
      <c r="B2631" s="0" t="s">
        <v>2822</v>
      </c>
      <c r="C2631" s="0" t="s">
        <v>68</v>
      </c>
      <c r="D2631" s="0" t="s">
        <v>296</v>
      </c>
      <c r="E2631" s="0" t="s">
        <v>58</v>
      </c>
      <c r="F2631" s="0" t="s">
        <v>28</v>
      </c>
      <c r="I2631" s="0" t="n">
        <v>2500</v>
      </c>
      <c r="J2631" s="0" t="n">
        <v>0.625</v>
      </c>
      <c r="K2631" s="0" t="s">
        <v>3206</v>
      </c>
    </row>
    <row r="2632" customFormat="false" ht="15" hidden="false" customHeight="false" outlineLevel="0" collapsed="false">
      <c r="A2632" s="0" t="n">
        <v>218</v>
      </c>
      <c r="B2632" s="0" t="s">
        <v>2822</v>
      </c>
      <c r="C2632" s="0" t="s">
        <v>68</v>
      </c>
      <c r="D2632" s="0" t="s">
        <v>296</v>
      </c>
      <c r="E2632" s="0" t="s">
        <v>379</v>
      </c>
      <c r="F2632" s="0" t="s">
        <v>29</v>
      </c>
      <c r="G2632" s="0" t="n">
        <v>15000</v>
      </c>
      <c r="H2632" s="0" t="n">
        <v>1.5</v>
      </c>
      <c r="I2632" s="0" t="n">
        <v>10000</v>
      </c>
      <c r="J2632" s="0" t="n">
        <v>2.5</v>
      </c>
      <c r="K2632" s="0" t="s">
        <v>3207</v>
      </c>
      <c r="L2632" s="0" t="s">
        <v>2197</v>
      </c>
    </row>
    <row r="2633" customFormat="false" ht="15" hidden="false" customHeight="false" outlineLevel="0" collapsed="false">
      <c r="A2633" s="0" t="n">
        <v>218</v>
      </c>
      <c r="B2633" s="0" t="s">
        <v>2822</v>
      </c>
      <c r="C2633" s="0" t="s">
        <v>68</v>
      </c>
      <c r="D2633" s="0" t="s">
        <v>296</v>
      </c>
      <c r="E2633" s="0" t="s">
        <v>158</v>
      </c>
      <c r="F2633" s="0" t="s">
        <v>28</v>
      </c>
      <c r="I2633" s="0" t="n">
        <v>2000</v>
      </c>
      <c r="J2633" s="0" t="n">
        <v>0.5</v>
      </c>
      <c r="K2633" s="0" t="s">
        <v>3208</v>
      </c>
    </row>
    <row r="2634" customFormat="false" ht="15" hidden="false" customHeight="false" outlineLevel="0" collapsed="false">
      <c r="A2634" s="0" t="n">
        <v>218</v>
      </c>
      <c r="B2634" s="0" t="s">
        <v>2822</v>
      </c>
      <c r="C2634" s="0" t="s">
        <v>68</v>
      </c>
      <c r="D2634" s="0" t="s">
        <v>296</v>
      </c>
      <c r="E2634" s="0" t="s">
        <v>128</v>
      </c>
      <c r="F2634" s="0" t="s">
        <v>28</v>
      </c>
      <c r="I2634" s="0" t="n">
        <v>2000</v>
      </c>
      <c r="J2634" s="0" t="n">
        <v>0.5</v>
      </c>
      <c r="K2634" s="0" t="s">
        <v>3209</v>
      </c>
    </row>
    <row r="2635" customFormat="false" ht="15" hidden="false" customHeight="false" outlineLevel="0" collapsed="false">
      <c r="A2635" s="0" t="n">
        <v>218</v>
      </c>
      <c r="B2635" s="0" t="s">
        <v>2822</v>
      </c>
      <c r="C2635" s="0" t="s">
        <v>68</v>
      </c>
      <c r="D2635" s="0" t="s">
        <v>296</v>
      </c>
      <c r="E2635" s="0" t="s">
        <v>60</v>
      </c>
      <c r="F2635" s="0" t="s">
        <v>27</v>
      </c>
      <c r="I2635" s="0" t="n">
        <v>2500</v>
      </c>
      <c r="J2635" s="0" t="n">
        <v>0.625</v>
      </c>
      <c r="K2635" s="0" t="s">
        <v>3210</v>
      </c>
    </row>
    <row r="2636" customFormat="false" ht="15" hidden="false" customHeight="false" outlineLevel="0" collapsed="false">
      <c r="A2636" s="0" t="n">
        <v>218</v>
      </c>
      <c r="B2636" s="0" t="s">
        <v>2822</v>
      </c>
      <c r="C2636" s="0" t="s">
        <v>68</v>
      </c>
      <c r="D2636" s="0" t="s">
        <v>296</v>
      </c>
      <c r="E2636" s="0" t="s">
        <v>62</v>
      </c>
      <c r="F2636" s="0" t="s">
        <v>27</v>
      </c>
      <c r="I2636" s="0" t="n">
        <v>100</v>
      </c>
      <c r="J2636" s="0" t="n">
        <v>0.025</v>
      </c>
      <c r="K2636" s="0" t="s">
        <v>3211</v>
      </c>
    </row>
    <row r="2637" customFormat="false" ht="15" hidden="false" customHeight="false" outlineLevel="0" collapsed="false">
      <c r="A2637" s="0" t="n">
        <v>218</v>
      </c>
      <c r="B2637" s="0" t="s">
        <v>2822</v>
      </c>
      <c r="C2637" s="0" t="s">
        <v>68</v>
      </c>
      <c r="D2637" s="0" t="s">
        <v>296</v>
      </c>
      <c r="E2637" s="0" t="s">
        <v>64</v>
      </c>
      <c r="F2637" s="0" t="s">
        <v>27</v>
      </c>
      <c r="I2637" s="0" t="n">
        <v>750</v>
      </c>
      <c r="J2637" s="0" t="n">
        <v>0.1875</v>
      </c>
      <c r="K2637" s="0" t="s">
        <v>3212</v>
      </c>
    </row>
    <row r="2638" customFormat="false" ht="15" hidden="false" customHeight="false" outlineLevel="0" collapsed="false">
      <c r="A2638" s="0" t="n">
        <v>218</v>
      </c>
      <c r="B2638" s="0" t="s">
        <v>2822</v>
      </c>
      <c r="C2638" s="0" t="s">
        <v>68</v>
      </c>
      <c r="D2638" s="0" t="s">
        <v>296</v>
      </c>
      <c r="E2638" s="0" t="s">
        <v>66</v>
      </c>
      <c r="F2638" s="0" t="s">
        <v>27</v>
      </c>
      <c r="I2638" s="0" t="n">
        <v>350</v>
      </c>
      <c r="J2638" s="0" t="n">
        <v>0.0875</v>
      </c>
      <c r="K2638" s="0" t="s">
        <v>3213</v>
      </c>
    </row>
    <row r="2639" customFormat="false" ht="15" hidden="false" customHeight="false" outlineLevel="0" collapsed="false">
      <c r="A2639" s="0" t="n">
        <v>218</v>
      </c>
      <c r="B2639" s="0" t="s">
        <v>2822</v>
      </c>
      <c r="C2639" s="0" t="s">
        <v>68</v>
      </c>
      <c r="D2639" s="0" t="s">
        <v>296</v>
      </c>
      <c r="E2639" s="0" t="s">
        <v>68</v>
      </c>
      <c r="F2639" s="0" t="s">
        <v>30</v>
      </c>
      <c r="I2639" s="0" t="n">
        <v>4000</v>
      </c>
      <c r="J2639" s="0" t="n">
        <v>1</v>
      </c>
      <c r="K2639" s="0" t="s">
        <v>3214</v>
      </c>
    </row>
    <row r="2640" customFormat="false" ht="15" hidden="false" customHeight="false" outlineLevel="0" collapsed="false">
      <c r="A2640" s="0" t="n">
        <v>219</v>
      </c>
      <c r="B2640" s="0" t="s">
        <v>2822</v>
      </c>
      <c r="C2640" s="0" t="s">
        <v>68</v>
      </c>
      <c r="D2640" s="0" t="s">
        <v>296</v>
      </c>
      <c r="E2640" s="0" t="s">
        <v>53</v>
      </c>
      <c r="F2640" s="0" t="s">
        <v>27</v>
      </c>
      <c r="G2640" s="0" t="n">
        <v>0.7</v>
      </c>
      <c r="H2640" s="0" t="n">
        <v>1.8</v>
      </c>
      <c r="I2640" s="0" t="n">
        <v>3360</v>
      </c>
      <c r="J2640" s="0" t="n">
        <v>0.84</v>
      </c>
      <c r="K2640" s="0" t="s">
        <v>3215</v>
      </c>
      <c r="L2640" s="0" t="s">
        <v>2825</v>
      </c>
    </row>
    <row r="2641" customFormat="false" ht="15" hidden="false" customHeight="false" outlineLevel="0" collapsed="false">
      <c r="A2641" s="0" t="n">
        <v>219</v>
      </c>
      <c r="B2641" s="0" t="s">
        <v>2822</v>
      </c>
      <c r="C2641" s="0" t="s">
        <v>68</v>
      </c>
      <c r="D2641" s="0" t="s">
        <v>296</v>
      </c>
      <c r="E2641" s="0" t="s">
        <v>56</v>
      </c>
      <c r="F2641" s="0" t="s">
        <v>28</v>
      </c>
      <c r="I2641" s="0" t="n">
        <v>700</v>
      </c>
      <c r="J2641" s="0" t="n">
        <v>0.175</v>
      </c>
      <c r="K2641" s="0" t="s">
        <v>3216</v>
      </c>
    </row>
    <row r="2642" customFormat="false" ht="15" hidden="false" customHeight="false" outlineLevel="0" collapsed="false">
      <c r="A2642" s="0" t="n">
        <v>219</v>
      </c>
      <c r="B2642" s="0" t="s">
        <v>2822</v>
      </c>
      <c r="C2642" s="0" t="s">
        <v>68</v>
      </c>
      <c r="D2642" s="0" t="s">
        <v>296</v>
      </c>
      <c r="E2642" s="0" t="s">
        <v>58</v>
      </c>
      <c r="F2642" s="0" t="s">
        <v>28</v>
      </c>
      <c r="I2642" s="0" t="n">
        <v>2500</v>
      </c>
      <c r="J2642" s="0" t="n">
        <v>0.625</v>
      </c>
      <c r="K2642" s="0" t="s">
        <v>3217</v>
      </c>
    </row>
    <row r="2643" customFormat="false" ht="15" hidden="false" customHeight="false" outlineLevel="0" collapsed="false">
      <c r="A2643" s="0" t="n">
        <v>219</v>
      </c>
      <c r="B2643" s="0" t="s">
        <v>2822</v>
      </c>
      <c r="C2643" s="0" t="s">
        <v>68</v>
      </c>
      <c r="D2643" s="0" t="s">
        <v>296</v>
      </c>
      <c r="E2643" s="0" t="s">
        <v>379</v>
      </c>
      <c r="F2643" s="0" t="s">
        <v>29</v>
      </c>
      <c r="G2643" s="0" t="n">
        <v>13000</v>
      </c>
      <c r="H2643" s="0" t="n">
        <v>1.5</v>
      </c>
      <c r="I2643" s="0" t="n">
        <v>8666.66666666667</v>
      </c>
      <c r="J2643" s="0" t="n">
        <v>2.16666666666667</v>
      </c>
      <c r="K2643" s="0" t="s">
        <v>3218</v>
      </c>
      <c r="L2643" s="0" t="s">
        <v>3219</v>
      </c>
    </row>
    <row r="2644" customFormat="false" ht="15" hidden="false" customHeight="false" outlineLevel="0" collapsed="false">
      <c r="A2644" s="0" t="n">
        <v>219</v>
      </c>
      <c r="B2644" s="0" t="s">
        <v>2822</v>
      </c>
      <c r="C2644" s="0" t="s">
        <v>68</v>
      </c>
      <c r="D2644" s="0" t="s">
        <v>296</v>
      </c>
      <c r="E2644" s="0" t="s">
        <v>158</v>
      </c>
      <c r="F2644" s="0" t="s">
        <v>28</v>
      </c>
      <c r="I2644" s="0" t="n">
        <v>2000</v>
      </c>
      <c r="J2644" s="0" t="n">
        <v>0.5</v>
      </c>
      <c r="K2644" s="0" t="s">
        <v>3220</v>
      </c>
    </row>
    <row r="2645" customFormat="false" ht="15" hidden="false" customHeight="false" outlineLevel="0" collapsed="false">
      <c r="A2645" s="0" t="n">
        <v>219</v>
      </c>
      <c r="B2645" s="0" t="s">
        <v>2822</v>
      </c>
      <c r="C2645" s="0" t="s">
        <v>68</v>
      </c>
      <c r="D2645" s="0" t="s">
        <v>296</v>
      </c>
      <c r="E2645" s="0" t="s">
        <v>128</v>
      </c>
      <c r="F2645" s="0" t="s">
        <v>28</v>
      </c>
      <c r="I2645" s="0" t="n">
        <v>2000</v>
      </c>
      <c r="J2645" s="0" t="n">
        <v>0.5</v>
      </c>
      <c r="K2645" s="0" t="s">
        <v>3221</v>
      </c>
    </row>
    <row r="2646" customFormat="false" ht="15" hidden="false" customHeight="false" outlineLevel="0" collapsed="false">
      <c r="A2646" s="0" t="n">
        <v>219</v>
      </c>
      <c r="B2646" s="0" t="s">
        <v>2822</v>
      </c>
      <c r="C2646" s="0" t="s">
        <v>68</v>
      </c>
      <c r="D2646" s="0" t="s">
        <v>296</v>
      </c>
      <c r="E2646" s="0" t="s">
        <v>60</v>
      </c>
      <c r="F2646" s="0" t="s">
        <v>27</v>
      </c>
      <c r="I2646" s="0" t="n">
        <v>200</v>
      </c>
      <c r="J2646" s="0" t="n">
        <v>0.05</v>
      </c>
      <c r="K2646" s="0" t="s">
        <v>3222</v>
      </c>
    </row>
    <row r="2647" customFormat="false" ht="15" hidden="false" customHeight="false" outlineLevel="0" collapsed="false">
      <c r="A2647" s="0" t="n">
        <v>219</v>
      </c>
      <c r="B2647" s="0" t="s">
        <v>2822</v>
      </c>
      <c r="C2647" s="0" t="s">
        <v>68</v>
      </c>
      <c r="D2647" s="0" t="s">
        <v>296</v>
      </c>
      <c r="E2647" s="0" t="s">
        <v>62</v>
      </c>
      <c r="F2647" s="0" t="s">
        <v>27</v>
      </c>
      <c r="I2647" s="0" t="n">
        <v>100</v>
      </c>
      <c r="J2647" s="0" t="n">
        <v>0.025</v>
      </c>
      <c r="K2647" s="0" t="s">
        <v>3223</v>
      </c>
    </row>
    <row r="2648" customFormat="false" ht="15" hidden="false" customHeight="false" outlineLevel="0" collapsed="false">
      <c r="A2648" s="0" t="n">
        <v>219</v>
      </c>
      <c r="B2648" s="0" t="s">
        <v>2822</v>
      </c>
      <c r="C2648" s="0" t="s">
        <v>68</v>
      </c>
      <c r="D2648" s="0" t="s">
        <v>296</v>
      </c>
      <c r="E2648" s="0" t="s">
        <v>64</v>
      </c>
      <c r="F2648" s="0" t="s">
        <v>27</v>
      </c>
      <c r="I2648" s="0" t="n">
        <v>500</v>
      </c>
      <c r="J2648" s="0" t="n">
        <v>0.125</v>
      </c>
      <c r="K2648" s="0" t="s">
        <v>3224</v>
      </c>
    </row>
    <row r="2649" customFormat="false" ht="15" hidden="false" customHeight="false" outlineLevel="0" collapsed="false">
      <c r="A2649" s="0" t="n">
        <v>219</v>
      </c>
      <c r="B2649" s="0" t="s">
        <v>2822</v>
      </c>
      <c r="C2649" s="0" t="s">
        <v>68</v>
      </c>
      <c r="D2649" s="0" t="s">
        <v>296</v>
      </c>
      <c r="E2649" s="0" t="s">
        <v>66</v>
      </c>
      <c r="F2649" s="0" t="s">
        <v>27</v>
      </c>
      <c r="I2649" s="0" t="n">
        <v>350</v>
      </c>
      <c r="J2649" s="0" t="n">
        <v>0.0875</v>
      </c>
      <c r="K2649" s="0" t="s">
        <v>3225</v>
      </c>
    </row>
    <row r="2650" customFormat="false" ht="15" hidden="false" customHeight="false" outlineLevel="0" collapsed="false">
      <c r="A2650" s="0" t="n">
        <v>219</v>
      </c>
      <c r="B2650" s="0" t="s">
        <v>2822</v>
      </c>
      <c r="C2650" s="0" t="s">
        <v>68</v>
      </c>
      <c r="D2650" s="0" t="s">
        <v>296</v>
      </c>
      <c r="E2650" s="0" t="s">
        <v>68</v>
      </c>
      <c r="F2650" s="0" t="s">
        <v>30</v>
      </c>
      <c r="I2650" s="0" t="n">
        <v>4000</v>
      </c>
      <c r="J2650" s="0" t="n">
        <v>1</v>
      </c>
      <c r="K2650" s="0" t="s">
        <v>3226</v>
      </c>
    </row>
    <row r="2651" customFormat="false" ht="15" hidden="false" customHeight="false" outlineLevel="0" collapsed="false">
      <c r="A2651" s="0" t="n">
        <v>220</v>
      </c>
      <c r="B2651" s="0" t="s">
        <v>2822</v>
      </c>
      <c r="C2651" s="0" t="s">
        <v>68</v>
      </c>
      <c r="D2651" s="0" t="s">
        <v>349</v>
      </c>
      <c r="E2651" s="0" t="s">
        <v>53</v>
      </c>
      <c r="F2651" s="0" t="s">
        <v>27</v>
      </c>
      <c r="G2651" s="0" t="n">
        <v>0.8</v>
      </c>
      <c r="H2651" s="0" t="n">
        <v>3</v>
      </c>
      <c r="I2651" s="0" t="n">
        <v>6400</v>
      </c>
      <c r="J2651" s="0" t="n">
        <v>1.6</v>
      </c>
      <c r="K2651" s="0" t="s">
        <v>3227</v>
      </c>
      <c r="L2651" s="0" t="s">
        <v>2870</v>
      </c>
    </row>
    <row r="2652" customFormat="false" ht="15" hidden="false" customHeight="false" outlineLevel="0" collapsed="false">
      <c r="A2652" s="0" t="n">
        <v>220</v>
      </c>
      <c r="B2652" s="0" t="s">
        <v>2822</v>
      </c>
      <c r="C2652" s="0" t="s">
        <v>68</v>
      </c>
      <c r="D2652" s="0" t="s">
        <v>349</v>
      </c>
      <c r="E2652" s="0" t="s">
        <v>56</v>
      </c>
      <c r="F2652" s="0" t="s">
        <v>28</v>
      </c>
      <c r="I2652" s="0" t="n">
        <v>700</v>
      </c>
      <c r="J2652" s="0" t="n">
        <v>0.175</v>
      </c>
      <c r="K2652" s="0" t="s">
        <v>3228</v>
      </c>
    </row>
    <row r="2653" customFormat="false" ht="15" hidden="false" customHeight="false" outlineLevel="0" collapsed="false">
      <c r="A2653" s="0" t="n">
        <v>220</v>
      </c>
      <c r="B2653" s="0" t="s">
        <v>2822</v>
      </c>
      <c r="C2653" s="0" t="s">
        <v>68</v>
      </c>
      <c r="D2653" s="0" t="s">
        <v>349</v>
      </c>
      <c r="E2653" s="0" t="s">
        <v>58</v>
      </c>
      <c r="F2653" s="0" t="s">
        <v>28</v>
      </c>
      <c r="I2653" s="0" t="n">
        <v>2500</v>
      </c>
      <c r="J2653" s="0" t="n">
        <v>0.625</v>
      </c>
      <c r="K2653" s="0" t="s">
        <v>3229</v>
      </c>
    </row>
    <row r="2654" customFormat="false" ht="15" hidden="false" customHeight="false" outlineLevel="0" collapsed="false">
      <c r="A2654" s="0" t="n">
        <v>220</v>
      </c>
      <c r="B2654" s="0" t="s">
        <v>2822</v>
      </c>
      <c r="C2654" s="0" t="s">
        <v>68</v>
      </c>
      <c r="D2654" s="0" t="s">
        <v>349</v>
      </c>
      <c r="E2654" s="0" t="s">
        <v>379</v>
      </c>
      <c r="F2654" s="0" t="s">
        <v>29</v>
      </c>
      <c r="I2654" s="0" t="n">
        <v>13000</v>
      </c>
      <c r="J2654" s="0" t="n">
        <v>3.25</v>
      </c>
      <c r="K2654" s="0" t="s">
        <v>3230</v>
      </c>
    </row>
    <row r="2655" customFormat="false" ht="15" hidden="false" customHeight="false" outlineLevel="0" collapsed="false">
      <c r="A2655" s="0" t="n">
        <v>220</v>
      </c>
      <c r="B2655" s="0" t="s">
        <v>2822</v>
      </c>
      <c r="C2655" s="0" t="s">
        <v>68</v>
      </c>
      <c r="D2655" s="0" t="s">
        <v>349</v>
      </c>
      <c r="E2655" s="0" t="s">
        <v>158</v>
      </c>
      <c r="F2655" s="0" t="s">
        <v>28</v>
      </c>
      <c r="I2655" s="0" t="n">
        <v>2000</v>
      </c>
      <c r="J2655" s="0" t="n">
        <v>0.5</v>
      </c>
      <c r="K2655" s="0" t="s">
        <v>3231</v>
      </c>
    </row>
    <row r="2656" customFormat="false" ht="15" hidden="false" customHeight="false" outlineLevel="0" collapsed="false">
      <c r="A2656" s="0" t="n">
        <v>220</v>
      </c>
      <c r="B2656" s="0" t="s">
        <v>2822</v>
      </c>
      <c r="C2656" s="0" t="s">
        <v>68</v>
      </c>
      <c r="D2656" s="0" t="s">
        <v>349</v>
      </c>
      <c r="E2656" s="0" t="s">
        <v>128</v>
      </c>
      <c r="F2656" s="0" t="s">
        <v>28</v>
      </c>
      <c r="I2656" s="0" t="n">
        <v>3000</v>
      </c>
      <c r="J2656" s="0" t="n">
        <v>0.75</v>
      </c>
      <c r="K2656" s="0" t="s">
        <v>3232</v>
      </c>
    </row>
    <row r="2657" customFormat="false" ht="15" hidden="false" customHeight="false" outlineLevel="0" collapsed="false">
      <c r="A2657" s="0" t="n">
        <v>220</v>
      </c>
      <c r="B2657" s="0" t="s">
        <v>2822</v>
      </c>
      <c r="C2657" s="0" t="s">
        <v>68</v>
      </c>
      <c r="D2657" s="0" t="s">
        <v>349</v>
      </c>
      <c r="E2657" s="0" t="s">
        <v>60</v>
      </c>
      <c r="F2657" s="0" t="s">
        <v>27</v>
      </c>
      <c r="I2657" s="0" t="n">
        <v>200</v>
      </c>
      <c r="J2657" s="0" t="n">
        <v>0.05</v>
      </c>
      <c r="K2657" s="0" t="s">
        <v>3233</v>
      </c>
    </row>
    <row r="2658" customFormat="false" ht="15" hidden="false" customHeight="false" outlineLevel="0" collapsed="false">
      <c r="A2658" s="0" t="n">
        <v>220</v>
      </c>
      <c r="B2658" s="0" t="s">
        <v>2822</v>
      </c>
      <c r="C2658" s="0" t="s">
        <v>68</v>
      </c>
      <c r="D2658" s="0" t="s">
        <v>349</v>
      </c>
      <c r="E2658" s="0" t="s">
        <v>62</v>
      </c>
      <c r="F2658" s="0" t="s">
        <v>27</v>
      </c>
      <c r="I2658" s="0" t="n">
        <v>100</v>
      </c>
      <c r="J2658" s="0" t="n">
        <v>0.025</v>
      </c>
      <c r="K2658" s="0" t="s">
        <v>3234</v>
      </c>
    </row>
    <row r="2659" customFormat="false" ht="15" hidden="false" customHeight="false" outlineLevel="0" collapsed="false">
      <c r="A2659" s="0" t="n">
        <v>220</v>
      </c>
      <c r="B2659" s="0" t="s">
        <v>2822</v>
      </c>
      <c r="C2659" s="0" t="s">
        <v>68</v>
      </c>
      <c r="D2659" s="0" t="s">
        <v>349</v>
      </c>
      <c r="E2659" s="0" t="s">
        <v>64</v>
      </c>
      <c r="F2659" s="0" t="s">
        <v>27</v>
      </c>
      <c r="I2659" s="0" t="n">
        <v>750</v>
      </c>
      <c r="J2659" s="0" t="n">
        <v>0.1875</v>
      </c>
      <c r="K2659" s="0" t="s">
        <v>3235</v>
      </c>
    </row>
    <row r="2660" customFormat="false" ht="15" hidden="false" customHeight="false" outlineLevel="0" collapsed="false">
      <c r="A2660" s="0" t="n">
        <v>220</v>
      </c>
      <c r="B2660" s="0" t="s">
        <v>2822</v>
      </c>
      <c r="C2660" s="0" t="s">
        <v>68</v>
      </c>
      <c r="D2660" s="0" t="s">
        <v>349</v>
      </c>
      <c r="E2660" s="0" t="s">
        <v>66</v>
      </c>
      <c r="F2660" s="0" t="s">
        <v>27</v>
      </c>
      <c r="I2660" s="0" t="n">
        <v>350</v>
      </c>
      <c r="J2660" s="0" t="n">
        <v>0.0875</v>
      </c>
      <c r="K2660" s="0" t="s">
        <v>3236</v>
      </c>
    </row>
    <row r="2661" customFormat="false" ht="15" hidden="false" customHeight="false" outlineLevel="0" collapsed="false">
      <c r="A2661" s="0" t="n">
        <v>220</v>
      </c>
      <c r="B2661" s="0" t="s">
        <v>2822</v>
      </c>
      <c r="C2661" s="0" t="s">
        <v>68</v>
      </c>
      <c r="D2661" s="0" t="s">
        <v>349</v>
      </c>
      <c r="E2661" s="0" t="s">
        <v>68</v>
      </c>
      <c r="F2661" s="0" t="s">
        <v>30</v>
      </c>
      <c r="I2661" s="0" t="n">
        <v>4000</v>
      </c>
      <c r="J2661" s="0" t="n">
        <v>1</v>
      </c>
      <c r="K2661" s="0" t="s">
        <v>3237</v>
      </c>
    </row>
    <row r="2662" customFormat="false" ht="15" hidden="false" customHeight="false" outlineLevel="0" collapsed="false">
      <c r="A2662" s="0" t="n">
        <v>221</v>
      </c>
      <c r="B2662" s="0" t="s">
        <v>2822</v>
      </c>
      <c r="C2662" s="0" t="s">
        <v>68</v>
      </c>
      <c r="D2662" s="0" t="s">
        <v>349</v>
      </c>
      <c r="E2662" s="0" t="s">
        <v>53</v>
      </c>
      <c r="F2662" s="0" t="s">
        <v>27</v>
      </c>
      <c r="G2662" s="0" t="n">
        <v>0.8</v>
      </c>
      <c r="H2662" s="0" t="n">
        <v>1.8</v>
      </c>
      <c r="I2662" s="0" t="n">
        <v>3840</v>
      </c>
      <c r="J2662" s="0" t="n">
        <v>0.96</v>
      </c>
      <c r="K2662" s="0" t="s">
        <v>3238</v>
      </c>
      <c r="L2662" s="0" t="s">
        <v>2861</v>
      </c>
    </row>
    <row r="2663" customFormat="false" ht="15" hidden="false" customHeight="false" outlineLevel="0" collapsed="false">
      <c r="A2663" s="0" t="n">
        <v>221</v>
      </c>
      <c r="B2663" s="0" t="s">
        <v>2822</v>
      </c>
      <c r="C2663" s="0" t="s">
        <v>68</v>
      </c>
      <c r="D2663" s="0" t="s">
        <v>349</v>
      </c>
      <c r="E2663" s="0" t="s">
        <v>56</v>
      </c>
      <c r="F2663" s="0" t="s">
        <v>28</v>
      </c>
      <c r="I2663" s="0" t="n">
        <v>700</v>
      </c>
      <c r="J2663" s="0" t="n">
        <v>0.175</v>
      </c>
      <c r="K2663" s="0" t="s">
        <v>3239</v>
      </c>
    </row>
    <row r="2664" customFormat="false" ht="15" hidden="false" customHeight="false" outlineLevel="0" collapsed="false">
      <c r="A2664" s="0" t="n">
        <v>221</v>
      </c>
      <c r="B2664" s="0" t="s">
        <v>2822</v>
      </c>
      <c r="C2664" s="0" t="s">
        <v>68</v>
      </c>
      <c r="D2664" s="0" t="s">
        <v>349</v>
      </c>
      <c r="E2664" s="0" t="s">
        <v>58</v>
      </c>
      <c r="F2664" s="0" t="s">
        <v>28</v>
      </c>
      <c r="I2664" s="0" t="n">
        <v>2500</v>
      </c>
      <c r="J2664" s="0" t="n">
        <v>0.625</v>
      </c>
      <c r="K2664" s="0" t="s">
        <v>3240</v>
      </c>
    </row>
    <row r="2665" customFormat="false" ht="15" hidden="false" customHeight="false" outlineLevel="0" collapsed="false">
      <c r="A2665" s="0" t="n">
        <v>221</v>
      </c>
      <c r="B2665" s="0" t="s">
        <v>2822</v>
      </c>
      <c r="C2665" s="0" t="s">
        <v>68</v>
      </c>
      <c r="D2665" s="0" t="s">
        <v>349</v>
      </c>
      <c r="E2665" s="0" t="s">
        <v>379</v>
      </c>
      <c r="F2665" s="0" t="s">
        <v>29</v>
      </c>
      <c r="I2665" s="0" t="n">
        <v>13000</v>
      </c>
      <c r="J2665" s="0" t="n">
        <v>3.25</v>
      </c>
      <c r="K2665" s="0" t="s">
        <v>3241</v>
      </c>
    </row>
    <row r="2666" customFormat="false" ht="15" hidden="false" customHeight="false" outlineLevel="0" collapsed="false">
      <c r="A2666" s="0" t="n">
        <v>221</v>
      </c>
      <c r="B2666" s="0" t="s">
        <v>2822</v>
      </c>
      <c r="C2666" s="0" t="s">
        <v>68</v>
      </c>
      <c r="D2666" s="0" t="s">
        <v>349</v>
      </c>
      <c r="E2666" s="0" t="s">
        <v>158</v>
      </c>
      <c r="F2666" s="0" t="s">
        <v>28</v>
      </c>
      <c r="I2666" s="0" t="n">
        <v>2000</v>
      </c>
      <c r="J2666" s="0" t="n">
        <v>0.5</v>
      </c>
      <c r="K2666" s="0" t="s">
        <v>3242</v>
      </c>
    </row>
    <row r="2667" customFormat="false" ht="15" hidden="false" customHeight="false" outlineLevel="0" collapsed="false">
      <c r="A2667" s="0" t="n">
        <v>221</v>
      </c>
      <c r="B2667" s="0" t="s">
        <v>2822</v>
      </c>
      <c r="C2667" s="0" t="s">
        <v>68</v>
      </c>
      <c r="D2667" s="0" t="s">
        <v>349</v>
      </c>
      <c r="E2667" s="0" t="s">
        <v>128</v>
      </c>
      <c r="F2667" s="0" t="s">
        <v>28</v>
      </c>
      <c r="I2667" s="0" t="n">
        <v>3000</v>
      </c>
      <c r="J2667" s="0" t="n">
        <v>0.75</v>
      </c>
      <c r="K2667" s="0" t="s">
        <v>3243</v>
      </c>
    </row>
    <row r="2668" customFormat="false" ht="15" hidden="false" customHeight="false" outlineLevel="0" collapsed="false">
      <c r="A2668" s="0" t="n">
        <v>221</v>
      </c>
      <c r="B2668" s="0" t="s">
        <v>2822</v>
      </c>
      <c r="C2668" s="0" t="s">
        <v>68</v>
      </c>
      <c r="D2668" s="0" t="s">
        <v>349</v>
      </c>
      <c r="E2668" s="0" t="s">
        <v>60</v>
      </c>
      <c r="F2668" s="0" t="s">
        <v>27</v>
      </c>
      <c r="I2668" s="0" t="n">
        <v>200</v>
      </c>
      <c r="J2668" s="0" t="n">
        <v>0.05</v>
      </c>
      <c r="K2668" s="0" t="s">
        <v>3244</v>
      </c>
    </row>
    <row r="2669" customFormat="false" ht="15" hidden="false" customHeight="false" outlineLevel="0" collapsed="false">
      <c r="A2669" s="0" t="n">
        <v>221</v>
      </c>
      <c r="B2669" s="0" t="s">
        <v>2822</v>
      </c>
      <c r="C2669" s="0" t="s">
        <v>68</v>
      </c>
      <c r="D2669" s="0" t="s">
        <v>349</v>
      </c>
      <c r="E2669" s="0" t="s">
        <v>62</v>
      </c>
      <c r="F2669" s="0" t="s">
        <v>27</v>
      </c>
      <c r="I2669" s="0" t="n">
        <v>100</v>
      </c>
      <c r="J2669" s="0" t="n">
        <v>0.025</v>
      </c>
      <c r="K2669" s="0" t="s">
        <v>3245</v>
      </c>
    </row>
    <row r="2670" customFormat="false" ht="15" hidden="false" customHeight="false" outlineLevel="0" collapsed="false">
      <c r="A2670" s="0" t="n">
        <v>221</v>
      </c>
      <c r="B2670" s="0" t="s">
        <v>2822</v>
      </c>
      <c r="C2670" s="0" t="s">
        <v>68</v>
      </c>
      <c r="D2670" s="0" t="s">
        <v>349</v>
      </c>
      <c r="E2670" s="0" t="s">
        <v>64</v>
      </c>
      <c r="F2670" s="0" t="s">
        <v>27</v>
      </c>
      <c r="I2670" s="0" t="n">
        <v>750</v>
      </c>
      <c r="J2670" s="0" t="n">
        <v>0.1875</v>
      </c>
      <c r="K2670" s="0" t="s">
        <v>3246</v>
      </c>
    </row>
    <row r="2671" customFormat="false" ht="15" hidden="false" customHeight="false" outlineLevel="0" collapsed="false">
      <c r="A2671" s="0" t="n">
        <v>221</v>
      </c>
      <c r="B2671" s="0" t="s">
        <v>2822</v>
      </c>
      <c r="C2671" s="0" t="s">
        <v>68</v>
      </c>
      <c r="D2671" s="0" t="s">
        <v>349</v>
      </c>
      <c r="E2671" s="0" t="s">
        <v>66</v>
      </c>
      <c r="F2671" s="0" t="s">
        <v>27</v>
      </c>
      <c r="I2671" s="0" t="n">
        <v>350</v>
      </c>
      <c r="J2671" s="0" t="n">
        <v>0.0875</v>
      </c>
      <c r="K2671" s="0" t="s">
        <v>3247</v>
      </c>
    </row>
    <row r="2672" customFormat="false" ht="15" hidden="false" customHeight="false" outlineLevel="0" collapsed="false">
      <c r="A2672" s="0" t="n">
        <v>221</v>
      </c>
      <c r="B2672" s="0" t="s">
        <v>2822</v>
      </c>
      <c r="C2672" s="0" t="s">
        <v>68</v>
      </c>
      <c r="D2672" s="0" t="s">
        <v>349</v>
      </c>
      <c r="E2672" s="0" t="s">
        <v>68</v>
      </c>
      <c r="F2672" s="0" t="s">
        <v>30</v>
      </c>
      <c r="I2672" s="0" t="n">
        <v>4000</v>
      </c>
      <c r="J2672" s="0" t="n">
        <v>1</v>
      </c>
      <c r="K2672" s="0" t="s">
        <v>3248</v>
      </c>
    </row>
    <row r="2673" customFormat="false" ht="15" hidden="false" customHeight="false" outlineLevel="0" collapsed="false">
      <c r="A2673" s="0" t="n">
        <v>222</v>
      </c>
      <c r="B2673" s="0" t="s">
        <v>2822</v>
      </c>
      <c r="C2673" s="0" t="s">
        <v>68</v>
      </c>
      <c r="D2673" s="0" t="s">
        <v>296</v>
      </c>
      <c r="E2673" s="0" t="s">
        <v>53</v>
      </c>
      <c r="F2673" s="0" t="s">
        <v>27</v>
      </c>
      <c r="G2673" s="0" t="n">
        <v>0.7</v>
      </c>
      <c r="H2673" s="0" t="n">
        <v>1.8</v>
      </c>
      <c r="I2673" s="0" t="n">
        <v>3780</v>
      </c>
      <c r="J2673" s="0" t="n">
        <v>0.945</v>
      </c>
      <c r="K2673" s="0" t="s">
        <v>3249</v>
      </c>
      <c r="L2673" s="0" t="s">
        <v>3250</v>
      </c>
    </row>
    <row r="2674" customFormat="false" ht="15" hidden="false" customHeight="false" outlineLevel="0" collapsed="false">
      <c r="A2674" s="0" t="n">
        <v>222</v>
      </c>
      <c r="B2674" s="0" t="s">
        <v>2822</v>
      </c>
      <c r="C2674" s="0" t="s">
        <v>68</v>
      </c>
      <c r="D2674" s="0" t="s">
        <v>296</v>
      </c>
      <c r="E2674" s="0" t="s">
        <v>56</v>
      </c>
      <c r="F2674" s="0" t="s">
        <v>28</v>
      </c>
      <c r="I2674" s="0" t="n">
        <v>700</v>
      </c>
      <c r="J2674" s="0" t="n">
        <v>0.175</v>
      </c>
      <c r="K2674" s="0" t="s">
        <v>3251</v>
      </c>
    </row>
    <row r="2675" customFormat="false" ht="15" hidden="false" customHeight="false" outlineLevel="0" collapsed="false">
      <c r="A2675" s="0" t="n">
        <v>222</v>
      </c>
      <c r="B2675" s="0" t="s">
        <v>2822</v>
      </c>
      <c r="C2675" s="0" t="s">
        <v>68</v>
      </c>
      <c r="D2675" s="0" t="s">
        <v>296</v>
      </c>
      <c r="E2675" s="0" t="s">
        <v>58</v>
      </c>
      <c r="F2675" s="0" t="s">
        <v>28</v>
      </c>
      <c r="I2675" s="0" t="n">
        <v>2500</v>
      </c>
      <c r="J2675" s="0" t="n">
        <v>0.625</v>
      </c>
      <c r="K2675" s="0" t="s">
        <v>3252</v>
      </c>
    </row>
    <row r="2676" customFormat="false" ht="15" hidden="false" customHeight="false" outlineLevel="0" collapsed="false">
      <c r="A2676" s="0" t="n">
        <v>222</v>
      </c>
      <c r="B2676" s="0" t="s">
        <v>2822</v>
      </c>
      <c r="C2676" s="0" t="s">
        <v>68</v>
      </c>
      <c r="D2676" s="0" t="s">
        <v>296</v>
      </c>
      <c r="E2676" s="0" t="s">
        <v>128</v>
      </c>
      <c r="F2676" s="0" t="s">
        <v>28</v>
      </c>
      <c r="I2676" s="0" t="n">
        <v>1000</v>
      </c>
      <c r="J2676" s="0" t="n">
        <v>0.25</v>
      </c>
      <c r="K2676" s="0" t="s">
        <v>3253</v>
      </c>
    </row>
    <row r="2677" customFormat="false" ht="15" hidden="false" customHeight="false" outlineLevel="0" collapsed="false">
      <c r="A2677" s="0" t="n">
        <v>222</v>
      </c>
      <c r="B2677" s="0" t="s">
        <v>2822</v>
      </c>
      <c r="C2677" s="0" t="s">
        <v>68</v>
      </c>
      <c r="D2677" s="0" t="s">
        <v>296</v>
      </c>
      <c r="E2677" s="0" t="s">
        <v>531</v>
      </c>
      <c r="F2677" s="0" t="s">
        <v>29</v>
      </c>
      <c r="I2677" s="0" t="n">
        <v>3000</v>
      </c>
      <c r="J2677" s="0" t="n">
        <v>0.75</v>
      </c>
      <c r="K2677" s="0" t="s">
        <v>3254</v>
      </c>
    </row>
    <row r="2678" customFormat="false" ht="15" hidden="false" customHeight="false" outlineLevel="0" collapsed="false">
      <c r="A2678" s="0" t="n">
        <v>222</v>
      </c>
      <c r="B2678" s="0" t="s">
        <v>2822</v>
      </c>
      <c r="C2678" s="0" t="s">
        <v>68</v>
      </c>
      <c r="D2678" s="0" t="s">
        <v>296</v>
      </c>
      <c r="E2678" s="0" t="s">
        <v>158</v>
      </c>
      <c r="F2678" s="0" t="s">
        <v>28</v>
      </c>
      <c r="I2678" s="0" t="n">
        <v>2000</v>
      </c>
      <c r="J2678" s="0" t="n">
        <v>0.5</v>
      </c>
      <c r="K2678" s="0" t="s">
        <v>3255</v>
      </c>
    </row>
    <row r="2679" customFormat="false" ht="15" hidden="false" customHeight="false" outlineLevel="0" collapsed="false">
      <c r="A2679" s="0" t="n">
        <v>222</v>
      </c>
      <c r="B2679" s="0" t="s">
        <v>2822</v>
      </c>
      <c r="C2679" s="0" t="s">
        <v>68</v>
      </c>
      <c r="D2679" s="0" t="s">
        <v>296</v>
      </c>
      <c r="E2679" s="0" t="s">
        <v>132</v>
      </c>
      <c r="F2679" s="0" t="s">
        <v>29</v>
      </c>
      <c r="I2679" s="0" t="n">
        <v>200</v>
      </c>
      <c r="J2679" s="0" t="n">
        <v>0.05</v>
      </c>
      <c r="K2679" s="0" t="s">
        <v>3256</v>
      </c>
    </row>
    <row r="2680" customFormat="false" ht="15" hidden="false" customHeight="false" outlineLevel="0" collapsed="false">
      <c r="A2680" s="0" t="n">
        <v>222</v>
      </c>
      <c r="B2680" s="0" t="s">
        <v>2822</v>
      </c>
      <c r="C2680" s="0" t="s">
        <v>68</v>
      </c>
      <c r="D2680" s="0" t="s">
        <v>296</v>
      </c>
      <c r="E2680" s="0" t="s">
        <v>134</v>
      </c>
      <c r="F2680" s="0" t="s">
        <v>28</v>
      </c>
      <c r="I2680" s="0" t="n">
        <v>200</v>
      </c>
      <c r="J2680" s="0" t="n">
        <v>0.05</v>
      </c>
      <c r="K2680" s="0" t="s">
        <v>3257</v>
      </c>
    </row>
    <row r="2681" customFormat="false" ht="15" hidden="false" customHeight="false" outlineLevel="0" collapsed="false">
      <c r="A2681" s="0" t="n">
        <v>222</v>
      </c>
      <c r="B2681" s="0" t="s">
        <v>2822</v>
      </c>
      <c r="C2681" s="0" t="s">
        <v>68</v>
      </c>
      <c r="D2681" s="0" t="s">
        <v>296</v>
      </c>
      <c r="E2681" s="0" t="s">
        <v>60</v>
      </c>
      <c r="F2681" s="0" t="s">
        <v>27</v>
      </c>
      <c r="I2681" s="0" t="n">
        <v>200</v>
      </c>
      <c r="J2681" s="0" t="n">
        <v>0.05</v>
      </c>
      <c r="K2681" s="0" t="s">
        <v>3258</v>
      </c>
    </row>
    <row r="2682" customFormat="false" ht="15" hidden="false" customHeight="false" outlineLevel="0" collapsed="false">
      <c r="A2682" s="0" t="n">
        <v>222</v>
      </c>
      <c r="B2682" s="0" t="s">
        <v>2822</v>
      </c>
      <c r="C2682" s="0" t="s">
        <v>68</v>
      </c>
      <c r="D2682" s="0" t="s">
        <v>296</v>
      </c>
      <c r="E2682" s="0" t="s">
        <v>62</v>
      </c>
      <c r="F2682" s="0" t="s">
        <v>27</v>
      </c>
      <c r="I2682" s="0" t="n">
        <v>100</v>
      </c>
      <c r="J2682" s="0" t="n">
        <v>0.025</v>
      </c>
      <c r="K2682" s="0" t="s">
        <v>3259</v>
      </c>
    </row>
    <row r="2683" customFormat="false" ht="15" hidden="false" customHeight="false" outlineLevel="0" collapsed="false">
      <c r="A2683" s="0" t="n">
        <v>222</v>
      </c>
      <c r="B2683" s="0" t="s">
        <v>2822</v>
      </c>
      <c r="C2683" s="0" t="s">
        <v>68</v>
      </c>
      <c r="D2683" s="0" t="s">
        <v>296</v>
      </c>
      <c r="E2683" s="0" t="s">
        <v>66</v>
      </c>
      <c r="F2683" s="0" t="s">
        <v>27</v>
      </c>
      <c r="I2683" s="0" t="n">
        <v>250</v>
      </c>
      <c r="J2683" s="0" t="n">
        <v>0.0625</v>
      </c>
      <c r="K2683" s="0" t="s">
        <v>3260</v>
      </c>
    </row>
    <row r="2684" customFormat="false" ht="15" hidden="false" customHeight="false" outlineLevel="0" collapsed="false">
      <c r="A2684" s="0" t="n">
        <v>222</v>
      </c>
      <c r="B2684" s="0" t="s">
        <v>2822</v>
      </c>
      <c r="C2684" s="0" t="s">
        <v>68</v>
      </c>
      <c r="D2684" s="0" t="s">
        <v>296</v>
      </c>
      <c r="E2684" s="0" t="s">
        <v>64</v>
      </c>
      <c r="F2684" s="0" t="s">
        <v>27</v>
      </c>
      <c r="I2684" s="0" t="n">
        <v>750</v>
      </c>
      <c r="J2684" s="0" t="n">
        <v>0.1875</v>
      </c>
      <c r="K2684" s="0" t="s">
        <v>3261</v>
      </c>
    </row>
    <row r="2685" customFormat="false" ht="15" hidden="false" customHeight="false" outlineLevel="0" collapsed="false">
      <c r="A2685" s="0" t="n">
        <v>222</v>
      </c>
      <c r="B2685" s="0" t="s">
        <v>2822</v>
      </c>
      <c r="C2685" s="0" t="s">
        <v>68</v>
      </c>
      <c r="D2685" s="0" t="s">
        <v>296</v>
      </c>
      <c r="E2685" s="0" t="s">
        <v>68</v>
      </c>
      <c r="F2685" s="0" t="s">
        <v>30</v>
      </c>
      <c r="I2685" s="0" t="n">
        <v>4000</v>
      </c>
      <c r="J2685" s="0" t="n">
        <v>1</v>
      </c>
      <c r="K2685" s="0" t="s">
        <v>3262</v>
      </c>
    </row>
    <row r="2686" customFormat="false" ht="15" hidden="false" customHeight="false" outlineLevel="0" collapsed="false">
      <c r="A2686" s="0" t="n">
        <v>223</v>
      </c>
      <c r="B2686" s="0" t="s">
        <v>2822</v>
      </c>
      <c r="C2686" s="0" t="s">
        <v>68</v>
      </c>
      <c r="D2686" s="0" t="s">
        <v>311</v>
      </c>
      <c r="E2686" s="0" t="s">
        <v>53</v>
      </c>
      <c r="F2686" s="0" t="s">
        <v>27</v>
      </c>
      <c r="G2686" s="0" t="n">
        <v>0.5</v>
      </c>
      <c r="H2686" s="0" t="n">
        <v>1.8</v>
      </c>
      <c r="I2686" s="0" t="n">
        <v>1800</v>
      </c>
      <c r="J2686" s="0" t="n">
        <v>0.45</v>
      </c>
      <c r="K2686" s="0" t="s">
        <v>3263</v>
      </c>
      <c r="L2686" s="0" t="s">
        <v>3192</v>
      </c>
    </row>
    <row r="2687" customFormat="false" ht="15" hidden="false" customHeight="false" outlineLevel="0" collapsed="false">
      <c r="A2687" s="0" t="n">
        <v>223</v>
      </c>
      <c r="B2687" s="0" t="s">
        <v>2822</v>
      </c>
      <c r="C2687" s="0" t="s">
        <v>68</v>
      </c>
      <c r="D2687" s="0" t="s">
        <v>311</v>
      </c>
      <c r="E2687" s="0" t="s">
        <v>56</v>
      </c>
      <c r="F2687" s="0" t="s">
        <v>28</v>
      </c>
      <c r="I2687" s="0" t="n">
        <v>700</v>
      </c>
      <c r="J2687" s="0" t="n">
        <v>0.175</v>
      </c>
      <c r="K2687" s="0" t="s">
        <v>3264</v>
      </c>
    </row>
    <row r="2688" customFormat="false" ht="15" hidden="false" customHeight="false" outlineLevel="0" collapsed="false">
      <c r="A2688" s="0" t="n">
        <v>223</v>
      </c>
      <c r="B2688" s="0" t="s">
        <v>2822</v>
      </c>
      <c r="C2688" s="0" t="s">
        <v>68</v>
      </c>
      <c r="D2688" s="0" t="s">
        <v>311</v>
      </c>
      <c r="E2688" s="0" t="s">
        <v>58</v>
      </c>
      <c r="F2688" s="0" t="s">
        <v>28</v>
      </c>
      <c r="I2688" s="0" t="n">
        <v>2500</v>
      </c>
      <c r="J2688" s="0" t="n">
        <v>0.625</v>
      </c>
      <c r="K2688" s="0" t="s">
        <v>3265</v>
      </c>
    </row>
    <row r="2689" customFormat="false" ht="15" hidden="false" customHeight="false" outlineLevel="0" collapsed="false">
      <c r="A2689" s="0" t="n">
        <v>223</v>
      </c>
      <c r="B2689" s="0" t="s">
        <v>2822</v>
      </c>
      <c r="C2689" s="0" t="s">
        <v>68</v>
      </c>
      <c r="D2689" s="0" t="s">
        <v>311</v>
      </c>
      <c r="E2689" s="0" t="s">
        <v>128</v>
      </c>
      <c r="F2689" s="0" t="s">
        <v>28</v>
      </c>
      <c r="I2689" s="0" t="n">
        <v>1000</v>
      </c>
      <c r="J2689" s="0" t="n">
        <v>0.25</v>
      </c>
      <c r="K2689" s="0" t="s">
        <v>3266</v>
      </c>
    </row>
    <row r="2690" customFormat="false" ht="15" hidden="false" customHeight="false" outlineLevel="0" collapsed="false">
      <c r="A2690" s="0" t="n">
        <v>223</v>
      </c>
      <c r="B2690" s="0" t="s">
        <v>2822</v>
      </c>
      <c r="C2690" s="0" t="s">
        <v>68</v>
      </c>
      <c r="D2690" s="0" t="s">
        <v>311</v>
      </c>
      <c r="E2690" s="0" t="s">
        <v>545</v>
      </c>
      <c r="F2690" s="0" t="s">
        <v>29</v>
      </c>
      <c r="I2690" s="0" t="n">
        <v>2500</v>
      </c>
      <c r="J2690" s="0" t="n">
        <v>0.625</v>
      </c>
      <c r="K2690" s="0" t="s">
        <v>3267</v>
      </c>
    </row>
    <row r="2691" customFormat="false" ht="15" hidden="false" customHeight="false" outlineLevel="0" collapsed="false">
      <c r="A2691" s="0" t="n">
        <v>223</v>
      </c>
      <c r="B2691" s="0" t="s">
        <v>2822</v>
      </c>
      <c r="C2691" s="0" t="s">
        <v>68</v>
      </c>
      <c r="D2691" s="0" t="s">
        <v>311</v>
      </c>
      <c r="E2691" s="0" t="s">
        <v>158</v>
      </c>
      <c r="F2691" s="0" t="s">
        <v>28</v>
      </c>
      <c r="I2691" s="0" t="n">
        <v>2000</v>
      </c>
      <c r="J2691" s="0" t="n">
        <v>0.5</v>
      </c>
      <c r="K2691" s="0" t="s">
        <v>3268</v>
      </c>
    </row>
    <row r="2692" customFormat="false" ht="15" hidden="false" customHeight="false" outlineLevel="0" collapsed="false">
      <c r="A2692" s="0" t="n">
        <v>223</v>
      </c>
      <c r="B2692" s="0" t="s">
        <v>2822</v>
      </c>
      <c r="C2692" s="0" t="s">
        <v>68</v>
      </c>
      <c r="D2692" s="0" t="s">
        <v>311</v>
      </c>
      <c r="E2692" s="0" t="s">
        <v>132</v>
      </c>
      <c r="F2692" s="0" t="s">
        <v>29</v>
      </c>
      <c r="I2692" s="0" t="n">
        <v>200</v>
      </c>
      <c r="J2692" s="0" t="n">
        <v>0.05</v>
      </c>
      <c r="K2692" s="0" t="s">
        <v>3269</v>
      </c>
    </row>
    <row r="2693" customFormat="false" ht="15" hidden="false" customHeight="false" outlineLevel="0" collapsed="false">
      <c r="A2693" s="0" t="n">
        <v>223</v>
      </c>
      <c r="B2693" s="0" t="s">
        <v>2822</v>
      </c>
      <c r="C2693" s="0" t="s">
        <v>68</v>
      </c>
      <c r="D2693" s="0" t="s">
        <v>311</v>
      </c>
      <c r="E2693" s="0" t="s">
        <v>134</v>
      </c>
      <c r="F2693" s="0" t="s">
        <v>28</v>
      </c>
      <c r="I2693" s="0" t="n">
        <v>200</v>
      </c>
      <c r="J2693" s="0" t="n">
        <v>0.05</v>
      </c>
      <c r="K2693" s="0" t="s">
        <v>3270</v>
      </c>
    </row>
    <row r="2694" customFormat="false" ht="15" hidden="false" customHeight="false" outlineLevel="0" collapsed="false">
      <c r="A2694" s="0" t="n">
        <v>223</v>
      </c>
      <c r="B2694" s="0" t="s">
        <v>2822</v>
      </c>
      <c r="C2694" s="0" t="s">
        <v>68</v>
      </c>
      <c r="D2694" s="0" t="s">
        <v>311</v>
      </c>
      <c r="E2694" s="0" t="s">
        <v>60</v>
      </c>
      <c r="F2694" s="0" t="s">
        <v>27</v>
      </c>
      <c r="I2694" s="0" t="n">
        <v>200</v>
      </c>
      <c r="J2694" s="0" t="n">
        <v>0.05</v>
      </c>
      <c r="K2694" s="0" t="s">
        <v>3271</v>
      </c>
    </row>
    <row r="2695" customFormat="false" ht="15" hidden="false" customHeight="false" outlineLevel="0" collapsed="false">
      <c r="A2695" s="0" t="n">
        <v>223</v>
      </c>
      <c r="B2695" s="0" t="s">
        <v>2822</v>
      </c>
      <c r="C2695" s="0" t="s">
        <v>68</v>
      </c>
      <c r="D2695" s="0" t="s">
        <v>311</v>
      </c>
      <c r="E2695" s="0" t="s">
        <v>62</v>
      </c>
      <c r="F2695" s="0" t="s">
        <v>27</v>
      </c>
      <c r="I2695" s="0" t="n">
        <v>100</v>
      </c>
      <c r="J2695" s="0" t="n">
        <v>0.025</v>
      </c>
      <c r="K2695" s="0" t="s">
        <v>3272</v>
      </c>
    </row>
    <row r="2696" customFormat="false" ht="15" hidden="false" customHeight="false" outlineLevel="0" collapsed="false">
      <c r="A2696" s="0" t="n">
        <v>223</v>
      </c>
      <c r="B2696" s="0" t="s">
        <v>2822</v>
      </c>
      <c r="C2696" s="0" t="s">
        <v>68</v>
      </c>
      <c r="D2696" s="0" t="s">
        <v>311</v>
      </c>
      <c r="E2696" s="0" t="s">
        <v>66</v>
      </c>
      <c r="F2696" s="0" t="s">
        <v>27</v>
      </c>
      <c r="I2696" s="0" t="n">
        <v>250</v>
      </c>
      <c r="J2696" s="0" t="n">
        <v>0.0625</v>
      </c>
      <c r="K2696" s="0" t="s">
        <v>3273</v>
      </c>
    </row>
    <row r="2697" customFormat="false" ht="15" hidden="false" customHeight="false" outlineLevel="0" collapsed="false">
      <c r="A2697" s="0" t="n">
        <v>223</v>
      </c>
      <c r="B2697" s="0" t="s">
        <v>2822</v>
      </c>
      <c r="C2697" s="0" t="s">
        <v>68</v>
      </c>
      <c r="D2697" s="0" t="s">
        <v>311</v>
      </c>
      <c r="E2697" s="0" t="s">
        <v>64</v>
      </c>
      <c r="F2697" s="0" t="s">
        <v>27</v>
      </c>
      <c r="I2697" s="0" t="n">
        <v>750</v>
      </c>
      <c r="J2697" s="0" t="n">
        <v>0.1875</v>
      </c>
      <c r="K2697" s="0" t="s">
        <v>3274</v>
      </c>
    </row>
    <row r="2698" customFormat="false" ht="15" hidden="false" customHeight="false" outlineLevel="0" collapsed="false">
      <c r="A2698" s="0" t="n">
        <v>223</v>
      </c>
      <c r="B2698" s="0" t="s">
        <v>2822</v>
      </c>
      <c r="C2698" s="0" t="s">
        <v>68</v>
      </c>
      <c r="D2698" s="0" t="s">
        <v>311</v>
      </c>
      <c r="E2698" s="0" t="s">
        <v>68</v>
      </c>
      <c r="F2698" s="0" t="s">
        <v>30</v>
      </c>
      <c r="I2698" s="0" t="n">
        <v>4000</v>
      </c>
      <c r="J2698" s="0" t="n">
        <v>1</v>
      </c>
      <c r="K2698" s="0" t="s">
        <v>3275</v>
      </c>
    </row>
    <row r="2699" customFormat="false" ht="15" hidden="false" customHeight="false" outlineLevel="0" collapsed="false">
      <c r="A2699" s="0" t="n">
        <v>224</v>
      </c>
      <c r="B2699" s="0" t="s">
        <v>2822</v>
      </c>
      <c r="C2699" s="0" t="s">
        <v>70</v>
      </c>
      <c r="D2699" s="0" t="s">
        <v>70</v>
      </c>
      <c r="E2699" s="0" t="s">
        <v>53</v>
      </c>
      <c r="F2699" s="0" t="s">
        <v>27</v>
      </c>
      <c r="G2699" s="0" t="n">
        <v>0.7</v>
      </c>
      <c r="H2699" s="0" t="n">
        <v>3</v>
      </c>
      <c r="I2699" s="0" t="n">
        <v>6300</v>
      </c>
      <c r="J2699" s="0" t="n">
        <v>1.575</v>
      </c>
      <c r="K2699" s="0" t="s">
        <v>3276</v>
      </c>
      <c r="L2699" s="0" t="s">
        <v>3277</v>
      </c>
    </row>
    <row r="2700" customFormat="false" ht="15" hidden="false" customHeight="false" outlineLevel="0" collapsed="false">
      <c r="A2700" s="0" t="n">
        <v>224</v>
      </c>
      <c r="B2700" s="0" t="s">
        <v>2822</v>
      </c>
      <c r="C2700" s="0" t="s">
        <v>70</v>
      </c>
      <c r="D2700" s="0" t="s">
        <v>70</v>
      </c>
      <c r="E2700" s="0" t="s">
        <v>56</v>
      </c>
      <c r="F2700" s="0" t="s">
        <v>28</v>
      </c>
      <c r="I2700" s="0" t="n">
        <v>700</v>
      </c>
      <c r="J2700" s="0" t="n">
        <v>0.175</v>
      </c>
      <c r="K2700" s="0" t="s">
        <v>3278</v>
      </c>
    </row>
    <row r="2701" customFormat="false" ht="15" hidden="false" customHeight="false" outlineLevel="0" collapsed="false">
      <c r="A2701" s="0" t="n">
        <v>224</v>
      </c>
      <c r="B2701" s="0" t="s">
        <v>2822</v>
      </c>
      <c r="C2701" s="0" t="s">
        <v>70</v>
      </c>
      <c r="D2701" s="0" t="s">
        <v>70</v>
      </c>
      <c r="E2701" s="0" t="s">
        <v>58</v>
      </c>
      <c r="F2701" s="0" t="s">
        <v>28</v>
      </c>
      <c r="I2701" s="0" t="n">
        <v>2500</v>
      </c>
      <c r="J2701" s="0" t="n">
        <v>0.625</v>
      </c>
      <c r="K2701" s="0" t="s">
        <v>3279</v>
      </c>
    </row>
    <row r="2702" customFormat="false" ht="15" hidden="false" customHeight="false" outlineLevel="0" collapsed="false">
      <c r="A2702" s="0" t="n">
        <v>224</v>
      </c>
      <c r="B2702" s="0" t="s">
        <v>2822</v>
      </c>
      <c r="C2702" s="0" t="s">
        <v>70</v>
      </c>
      <c r="D2702" s="0" t="s">
        <v>70</v>
      </c>
      <c r="E2702" s="0" t="s">
        <v>128</v>
      </c>
      <c r="F2702" s="0" t="s">
        <v>28</v>
      </c>
      <c r="I2702" s="0" t="n">
        <v>1000</v>
      </c>
      <c r="J2702" s="0" t="n">
        <v>0.25</v>
      </c>
      <c r="K2702" s="0" t="s">
        <v>3280</v>
      </c>
    </row>
    <row r="2703" customFormat="false" ht="15" hidden="false" customHeight="false" outlineLevel="0" collapsed="false">
      <c r="A2703" s="0" t="n">
        <v>224</v>
      </c>
      <c r="B2703" s="0" t="s">
        <v>2822</v>
      </c>
      <c r="C2703" s="0" t="s">
        <v>70</v>
      </c>
      <c r="D2703" s="0" t="s">
        <v>70</v>
      </c>
      <c r="E2703" s="0" t="s">
        <v>531</v>
      </c>
      <c r="F2703" s="0" t="s">
        <v>29</v>
      </c>
      <c r="I2703" s="0" t="n">
        <v>3000</v>
      </c>
      <c r="J2703" s="0" t="n">
        <v>0.75</v>
      </c>
      <c r="K2703" s="0" t="s">
        <v>3281</v>
      </c>
      <c r="L2703" s="0" t="s">
        <v>3282</v>
      </c>
    </row>
    <row r="2704" customFormat="false" ht="15" hidden="false" customHeight="false" outlineLevel="0" collapsed="false">
      <c r="A2704" s="0" t="n">
        <v>224</v>
      </c>
      <c r="B2704" s="0" t="s">
        <v>2822</v>
      </c>
      <c r="C2704" s="0" t="s">
        <v>70</v>
      </c>
      <c r="D2704" s="0" t="s">
        <v>70</v>
      </c>
      <c r="E2704" s="0" t="s">
        <v>158</v>
      </c>
      <c r="F2704" s="0" t="s">
        <v>28</v>
      </c>
      <c r="I2704" s="0" t="n">
        <v>2000</v>
      </c>
      <c r="J2704" s="0" t="n">
        <v>0.5</v>
      </c>
      <c r="K2704" s="0" t="s">
        <v>3283</v>
      </c>
      <c r="L2704" s="0" t="s">
        <v>3284</v>
      </c>
    </row>
    <row r="2705" customFormat="false" ht="15" hidden="false" customHeight="false" outlineLevel="0" collapsed="false">
      <c r="A2705" s="0" t="n">
        <v>224</v>
      </c>
      <c r="B2705" s="0" t="s">
        <v>2822</v>
      </c>
      <c r="C2705" s="0" t="s">
        <v>70</v>
      </c>
      <c r="D2705" s="0" t="s">
        <v>70</v>
      </c>
      <c r="E2705" s="0" t="s">
        <v>132</v>
      </c>
      <c r="F2705" s="0" t="s">
        <v>29</v>
      </c>
      <c r="I2705" s="0" t="n">
        <v>200</v>
      </c>
      <c r="J2705" s="0" t="n">
        <v>0.05</v>
      </c>
      <c r="K2705" s="0" t="s">
        <v>3285</v>
      </c>
      <c r="L2705" s="0" t="s">
        <v>3286</v>
      </c>
    </row>
    <row r="2706" customFormat="false" ht="15" hidden="false" customHeight="false" outlineLevel="0" collapsed="false">
      <c r="A2706" s="0" t="n">
        <v>224</v>
      </c>
      <c r="B2706" s="0" t="s">
        <v>2822</v>
      </c>
      <c r="C2706" s="0" t="s">
        <v>70</v>
      </c>
      <c r="D2706" s="0" t="s">
        <v>70</v>
      </c>
      <c r="E2706" s="0" t="s">
        <v>134</v>
      </c>
      <c r="F2706" s="0" t="s">
        <v>28</v>
      </c>
      <c r="I2706" s="0" t="n">
        <v>200</v>
      </c>
      <c r="J2706" s="0" t="n">
        <v>0.05</v>
      </c>
      <c r="K2706" s="0" t="s">
        <v>3287</v>
      </c>
      <c r="L2706" s="0" t="s">
        <v>3288</v>
      </c>
    </row>
    <row r="2707" customFormat="false" ht="15" hidden="false" customHeight="false" outlineLevel="0" collapsed="false">
      <c r="A2707" s="0" t="n">
        <v>224</v>
      </c>
      <c r="B2707" s="0" t="s">
        <v>2822</v>
      </c>
      <c r="C2707" s="0" t="s">
        <v>70</v>
      </c>
      <c r="D2707" s="0" t="s">
        <v>70</v>
      </c>
      <c r="E2707" s="0" t="s">
        <v>60</v>
      </c>
      <c r="F2707" s="0" t="s">
        <v>27</v>
      </c>
      <c r="I2707" s="0" t="n">
        <v>200</v>
      </c>
      <c r="J2707" s="0" t="n">
        <v>0.05</v>
      </c>
      <c r="K2707" s="0" t="s">
        <v>3289</v>
      </c>
    </row>
    <row r="2708" customFormat="false" ht="15" hidden="false" customHeight="false" outlineLevel="0" collapsed="false">
      <c r="A2708" s="0" t="n">
        <v>224</v>
      </c>
      <c r="B2708" s="0" t="s">
        <v>2822</v>
      </c>
      <c r="C2708" s="0" t="s">
        <v>70</v>
      </c>
      <c r="D2708" s="0" t="s">
        <v>70</v>
      </c>
      <c r="E2708" s="0" t="s">
        <v>62</v>
      </c>
      <c r="F2708" s="0" t="s">
        <v>27</v>
      </c>
      <c r="I2708" s="0" t="n">
        <v>100</v>
      </c>
      <c r="J2708" s="0" t="n">
        <v>0.025</v>
      </c>
      <c r="K2708" s="0" t="s">
        <v>3290</v>
      </c>
    </row>
    <row r="2709" customFormat="false" ht="15" hidden="false" customHeight="false" outlineLevel="0" collapsed="false">
      <c r="A2709" s="0" t="n">
        <v>224</v>
      </c>
      <c r="B2709" s="0" t="s">
        <v>2822</v>
      </c>
      <c r="C2709" s="0" t="s">
        <v>70</v>
      </c>
      <c r="D2709" s="0" t="s">
        <v>70</v>
      </c>
      <c r="E2709" s="0" t="s">
        <v>66</v>
      </c>
      <c r="F2709" s="0" t="s">
        <v>27</v>
      </c>
      <c r="I2709" s="0" t="n">
        <v>250</v>
      </c>
      <c r="J2709" s="0" t="n">
        <v>0.0625</v>
      </c>
      <c r="K2709" s="0" t="s">
        <v>3291</v>
      </c>
      <c r="L2709" s="0" t="s">
        <v>3292</v>
      </c>
    </row>
    <row r="2710" customFormat="false" ht="15" hidden="false" customHeight="false" outlineLevel="0" collapsed="false">
      <c r="A2710" s="0" t="n">
        <v>224</v>
      </c>
      <c r="B2710" s="0" t="s">
        <v>2822</v>
      </c>
      <c r="C2710" s="0" t="s">
        <v>70</v>
      </c>
      <c r="D2710" s="0" t="s">
        <v>70</v>
      </c>
      <c r="E2710" s="0" t="s">
        <v>64</v>
      </c>
      <c r="F2710" s="0" t="s">
        <v>27</v>
      </c>
      <c r="I2710" s="0" t="n">
        <v>750</v>
      </c>
      <c r="J2710" s="0" t="n">
        <v>0.1875</v>
      </c>
      <c r="K2710" s="0" t="s">
        <v>3293</v>
      </c>
      <c r="L2710" s="0" t="s">
        <v>3294</v>
      </c>
    </row>
    <row r="2711" customFormat="false" ht="15" hidden="false" customHeight="false" outlineLevel="0" collapsed="false">
      <c r="A2711" s="0" t="n">
        <v>224</v>
      </c>
      <c r="B2711" s="0" t="s">
        <v>2822</v>
      </c>
      <c r="C2711" s="0" t="s">
        <v>70</v>
      </c>
      <c r="D2711" s="0" t="s">
        <v>70</v>
      </c>
      <c r="E2711" s="0" t="s">
        <v>68</v>
      </c>
      <c r="F2711" s="0" t="s">
        <v>30</v>
      </c>
      <c r="I2711" s="0" t="n">
        <v>4000</v>
      </c>
      <c r="J2711" s="0" t="n">
        <v>1</v>
      </c>
      <c r="K2711" s="0" t="s">
        <v>3295</v>
      </c>
      <c r="L2711" s="0" t="s">
        <v>3296</v>
      </c>
    </row>
    <row r="2712" customFormat="false" ht="15" hidden="false" customHeight="false" outlineLevel="0" collapsed="false">
      <c r="A2712" s="0" t="n">
        <v>225</v>
      </c>
      <c r="B2712" s="0" t="s">
        <v>2822</v>
      </c>
      <c r="C2712" s="0" t="s">
        <v>70</v>
      </c>
      <c r="D2712" s="0" t="s">
        <v>90</v>
      </c>
      <c r="E2712" s="0" t="s">
        <v>53</v>
      </c>
      <c r="F2712" s="0" t="s">
        <v>27</v>
      </c>
      <c r="G2712" s="0" t="n">
        <v>0.5</v>
      </c>
      <c r="H2712" s="0" t="n">
        <v>3</v>
      </c>
      <c r="I2712" s="0" t="n">
        <v>3000</v>
      </c>
      <c r="J2712" s="0" t="n">
        <v>0.75</v>
      </c>
      <c r="K2712" s="0" t="s">
        <v>3297</v>
      </c>
      <c r="L2712" s="0" t="s">
        <v>2852</v>
      </c>
    </row>
    <row r="2713" customFormat="false" ht="15" hidden="false" customHeight="false" outlineLevel="0" collapsed="false">
      <c r="A2713" s="0" t="n">
        <v>225</v>
      </c>
      <c r="B2713" s="0" t="s">
        <v>2822</v>
      </c>
      <c r="C2713" s="0" t="s">
        <v>70</v>
      </c>
      <c r="D2713" s="0" t="s">
        <v>90</v>
      </c>
      <c r="E2713" s="0" t="s">
        <v>56</v>
      </c>
      <c r="F2713" s="0" t="s">
        <v>28</v>
      </c>
      <c r="I2713" s="0" t="n">
        <v>700</v>
      </c>
      <c r="J2713" s="0" t="n">
        <v>0.175</v>
      </c>
      <c r="K2713" s="0" t="s">
        <v>3298</v>
      </c>
    </row>
    <row r="2714" customFormat="false" ht="15" hidden="false" customHeight="false" outlineLevel="0" collapsed="false">
      <c r="A2714" s="0" t="n">
        <v>225</v>
      </c>
      <c r="B2714" s="0" t="s">
        <v>2822</v>
      </c>
      <c r="C2714" s="0" t="s">
        <v>70</v>
      </c>
      <c r="D2714" s="0" t="s">
        <v>90</v>
      </c>
      <c r="E2714" s="0" t="s">
        <v>58</v>
      </c>
      <c r="F2714" s="0" t="s">
        <v>28</v>
      </c>
      <c r="I2714" s="0" t="n">
        <v>2500</v>
      </c>
      <c r="J2714" s="0" t="n">
        <v>0.625</v>
      </c>
      <c r="K2714" s="0" t="s">
        <v>3299</v>
      </c>
    </row>
    <row r="2715" customFormat="false" ht="15" hidden="false" customHeight="false" outlineLevel="0" collapsed="false">
      <c r="A2715" s="0" t="n">
        <v>225</v>
      </c>
      <c r="B2715" s="0" t="s">
        <v>2822</v>
      </c>
      <c r="C2715" s="0" t="s">
        <v>70</v>
      </c>
      <c r="D2715" s="0" t="s">
        <v>90</v>
      </c>
      <c r="E2715" s="0" t="s">
        <v>128</v>
      </c>
      <c r="F2715" s="0" t="s">
        <v>28</v>
      </c>
      <c r="I2715" s="0" t="n">
        <v>1000</v>
      </c>
      <c r="J2715" s="0" t="n">
        <v>0.25</v>
      </c>
      <c r="K2715" s="0" t="s">
        <v>3300</v>
      </c>
    </row>
    <row r="2716" customFormat="false" ht="15" hidden="false" customHeight="false" outlineLevel="0" collapsed="false">
      <c r="A2716" s="0" t="n">
        <v>225</v>
      </c>
      <c r="B2716" s="0" t="s">
        <v>2822</v>
      </c>
      <c r="C2716" s="0" t="s">
        <v>70</v>
      </c>
      <c r="D2716" s="0" t="s">
        <v>90</v>
      </c>
      <c r="E2716" s="0" t="s">
        <v>545</v>
      </c>
      <c r="F2716" s="0" t="s">
        <v>29</v>
      </c>
      <c r="I2716" s="0" t="n">
        <v>2500</v>
      </c>
      <c r="J2716" s="0" t="n">
        <v>0.625</v>
      </c>
      <c r="K2716" s="0" t="s">
        <v>3301</v>
      </c>
      <c r="L2716" s="0" t="s">
        <v>3302</v>
      </c>
    </row>
    <row r="2717" customFormat="false" ht="15" hidden="false" customHeight="false" outlineLevel="0" collapsed="false">
      <c r="A2717" s="0" t="n">
        <v>225</v>
      </c>
      <c r="B2717" s="0" t="s">
        <v>2822</v>
      </c>
      <c r="C2717" s="0" t="s">
        <v>70</v>
      </c>
      <c r="D2717" s="0" t="s">
        <v>90</v>
      </c>
      <c r="E2717" s="0" t="s">
        <v>158</v>
      </c>
      <c r="F2717" s="0" t="s">
        <v>28</v>
      </c>
      <c r="I2717" s="0" t="n">
        <v>2000</v>
      </c>
      <c r="J2717" s="0" t="n">
        <v>0.5</v>
      </c>
      <c r="K2717" s="0" t="s">
        <v>3303</v>
      </c>
      <c r="L2717" s="0" t="s">
        <v>3304</v>
      </c>
    </row>
    <row r="2718" customFormat="false" ht="15" hidden="false" customHeight="false" outlineLevel="0" collapsed="false">
      <c r="A2718" s="0" t="n">
        <v>225</v>
      </c>
      <c r="B2718" s="0" t="s">
        <v>2822</v>
      </c>
      <c r="C2718" s="0" t="s">
        <v>70</v>
      </c>
      <c r="D2718" s="0" t="s">
        <v>90</v>
      </c>
      <c r="E2718" s="0" t="s">
        <v>132</v>
      </c>
      <c r="F2718" s="0" t="s">
        <v>29</v>
      </c>
      <c r="I2718" s="0" t="n">
        <v>200</v>
      </c>
      <c r="J2718" s="0" t="n">
        <v>0.05</v>
      </c>
      <c r="K2718" s="0" t="s">
        <v>3305</v>
      </c>
      <c r="L2718" s="0" t="s">
        <v>3306</v>
      </c>
    </row>
    <row r="2719" customFormat="false" ht="15" hidden="false" customHeight="false" outlineLevel="0" collapsed="false">
      <c r="A2719" s="0" t="n">
        <v>225</v>
      </c>
      <c r="B2719" s="0" t="s">
        <v>2822</v>
      </c>
      <c r="C2719" s="0" t="s">
        <v>70</v>
      </c>
      <c r="D2719" s="0" t="s">
        <v>90</v>
      </c>
      <c r="E2719" s="0" t="s">
        <v>134</v>
      </c>
      <c r="F2719" s="0" t="s">
        <v>28</v>
      </c>
      <c r="I2719" s="0" t="n">
        <v>200</v>
      </c>
      <c r="J2719" s="0" t="n">
        <v>0.05</v>
      </c>
      <c r="K2719" s="0" t="s">
        <v>3307</v>
      </c>
      <c r="L2719" s="0" t="s">
        <v>3308</v>
      </c>
    </row>
    <row r="2720" customFormat="false" ht="15" hidden="false" customHeight="false" outlineLevel="0" collapsed="false">
      <c r="A2720" s="0" t="n">
        <v>225</v>
      </c>
      <c r="B2720" s="0" t="s">
        <v>2822</v>
      </c>
      <c r="C2720" s="0" t="s">
        <v>70</v>
      </c>
      <c r="D2720" s="0" t="s">
        <v>90</v>
      </c>
      <c r="E2720" s="0" t="s">
        <v>60</v>
      </c>
      <c r="F2720" s="0" t="s">
        <v>27</v>
      </c>
      <c r="I2720" s="0" t="n">
        <v>200</v>
      </c>
      <c r="J2720" s="0" t="n">
        <v>0.05</v>
      </c>
      <c r="K2720" s="0" t="s">
        <v>3309</v>
      </c>
    </row>
    <row r="2721" customFormat="false" ht="15" hidden="false" customHeight="false" outlineLevel="0" collapsed="false">
      <c r="A2721" s="0" t="n">
        <v>225</v>
      </c>
      <c r="B2721" s="0" t="s">
        <v>2822</v>
      </c>
      <c r="C2721" s="0" t="s">
        <v>70</v>
      </c>
      <c r="D2721" s="0" t="s">
        <v>90</v>
      </c>
      <c r="E2721" s="0" t="s">
        <v>62</v>
      </c>
      <c r="F2721" s="0" t="s">
        <v>27</v>
      </c>
      <c r="I2721" s="0" t="n">
        <v>100</v>
      </c>
      <c r="J2721" s="0" t="n">
        <v>0.025</v>
      </c>
      <c r="K2721" s="0" t="s">
        <v>3310</v>
      </c>
    </row>
    <row r="2722" customFormat="false" ht="15" hidden="false" customHeight="false" outlineLevel="0" collapsed="false">
      <c r="A2722" s="0" t="n">
        <v>225</v>
      </c>
      <c r="B2722" s="0" t="s">
        <v>2822</v>
      </c>
      <c r="C2722" s="0" t="s">
        <v>70</v>
      </c>
      <c r="D2722" s="0" t="s">
        <v>90</v>
      </c>
      <c r="E2722" s="0" t="s">
        <v>66</v>
      </c>
      <c r="F2722" s="0" t="s">
        <v>27</v>
      </c>
      <c r="I2722" s="0" t="n">
        <v>250</v>
      </c>
      <c r="J2722" s="0" t="n">
        <v>0.0625</v>
      </c>
      <c r="K2722" s="0" t="s">
        <v>3311</v>
      </c>
      <c r="L2722" s="0" t="s">
        <v>3312</v>
      </c>
    </row>
    <row r="2723" customFormat="false" ht="15" hidden="false" customHeight="false" outlineLevel="0" collapsed="false">
      <c r="A2723" s="0" t="n">
        <v>225</v>
      </c>
      <c r="B2723" s="0" t="s">
        <v>2822</v>
      </c>
      <c r="C2723" s="0" t="s">
        <v>70</v>
      </c>
      <c r="D2723" s="0" t="s">
        <v>90</v>
      </c>
      <c r="E2723" s="0" t="s">
        <v>64</v>
      </c>
      <c r="F2723" s="0" t="s">
        <v>27</v>
      </c>
      <c r="I2723" s="0" t="n">
        <v>750</v>
      </c>
      <c r="J2723" s="0" t="n">
        <v>0.1875</v>
      </c>
      <c r="K2723" s="0" t="s">
        <v>3313</v>
      </c>
      <c r="L2723" s="0" t="s">
        <v>3314</v>
      </c>
    </row>
    <row r="2724" customFormat="false" ht="15" hidden="false" customHeight="false" outlineLevel="0" collapsed="false">
      <c r="A2724" s="0" t="n">
        <v>225</v>
      </c>
      <c r="B2724" s="0" t="s">
        <v>2822</v>
      </c>
      <c r="C2724" s="0" t="s">
        <v>70</v>
      </c>
      <c r="D2724" s="0" t="s">
        <v>90</v>
      </c>
      <c r="E2724" s="0" t="s">
        <v>68</v>
      </c>
      <c r="F2724" s="0" t="s">
        <v>30</v>
      </c>
      <c r="I2724" s="0" t="n">
        <v>4000</v>
      </c>
      <c r="J2724" s="0" t="n">
        <v>1</v>
      </c>
      <c r="K2724" s="0" t="s">
        <v>3315</v>
      </c>
      <c r="L2724" s="0" t="s">
        <v>3316</v>
      </c>
    </row>
    <row r="2725" customFormat="false" ht="15" hidden="false" customHeight="false" outlineLevel="0" collapsed="false">
      <c r="A2725" s="0" t="n">
        <v>226</v>
      </c>
      <c r="B2725" s="0" t="s">
        <v>2822</v>
      </c>
      <c r="C2725" s="0" t="s">
        <v>68</v>
      </c>
      <c r="D2725" s="0" t="s">
        <v>349</v>
      </c>
      <c r="E2725" s="0" t="s">
        <v>53</v>
      </c>
      <c r="F2725" s="0" t="s">
        <v>27</v>
      </c>
      <c r="G2725" s="0" t="n">
        <v>0.8</v>
      </c>
      <c r="H2725" s="0" t="n">
        <v>1.8</v>
      </c>
      <c r="I2725" s="0" t="n">
        <v>4320</v>
      </c>
      <c r="J2725" s="0" t="n">
        <v>1.08</v>
      </c>
      <c r="K2725" s="0" t="s">
        <v>3317</v>
      </c>
      <c r="L2725" s="0" t="s">
        <v>3318</v>
      </c>
    </row>
    <row r="2726" customFormat="false" ht="15" hidden="false" customHeight="false" outlineLevel="0" collapsed="false">
      <c r="A2726" s="0" t="n">
        <v>226</v>
      </c>
      <c r="B2726" s="0" t="s">
        <v>2822</v>
      </c>
      <c r="C2726" s="0" t="s">
        <v>68</v>
      </c>
      <c r="D2726" s="0" t="s">
        <v>349</v>
      </c>
      <c r="E2726" s="0" t="s">
        <v>56</v>
      </c>
      <c r="F2726" s="0" t="s">
        <v>28</v>
      </c>
      <c r="I2726" s="0" t="n">
        <v>700</v>
      </c>
      <c r="J2726" s="0" t="n">
        <v>0.175</v>
      </c>
      <c r="K2726" s="0" t="s">
        <v>3319</v>
      </c>
    </row>
    <row r="2727" customFormat="false" ht="15" hidden="false" customHeight="false" outlineLevel="0" collapsed="false">
      <c r="A2727" s="0" t="n">
        <v>226</v>
      </c>
      <c r="B2727" s="0" t="s">
        <v>2822</v>
      </c>
      <c r="C2727" s="0" t="s">
        <v>68</v>
      </c>
      <c r="D2727" s="0" t="s">
        <v>349</v>
      </c>
      <c r="E2727" s="0" t="s">
        <v>58</v>
      </c>
      <c r="F2727" s="0" t="s">
        <v>28</v>
      </c>
      <c r="I2727" s="0" t="n">
        <v>2500</v>
      </c>
      <c r="J2727" s="0" t="n">
        <v>0.625</v>
      </c>
      <c r="K2727" s="0" t="s">
        <v>3320</v>
      </c>
    </row>
    <row r="2728" customFormat="false" ht="15" hidden="false" customHeight="false" outlineLevel="0" collapsed="false">
      <c r="A2728" s="0" t="n">
        <v>226</v>
      </c>
      <c r="B2728" s="0" t="s">
        <v>2822</v>
      </c>
      <c r="C2728" s="0" t="s">
        <v>68</v>
      </c>
      <c r="D2728" s="0" t="s">
        <v>349</v>
      </c>
      <c r="E2728" s="0" t="s">
        <v>128</v>
      </c>
      <c r="F2728" s="0" t="s">
        <v>28</v>
      </c>
      <c r="I2728" s="0" t="n">
        <v>1000</v>
      </c>
      <c r="J2728" s="0" t="n">
        <v>0.25</v>
      </c>
      <c r="K2728" s="0" t="s">
        <v>3321</v>
      </c>
    </row>
    <row r="2729" customFormat="false" ht="15" hidden="false" customHeight="false" outlineLevel="0" collapsed="false">
      <c r="A2729" s="0" t="n">
        <v>226</v>
      </c>
      <c r="B2729" s="0" t="s">
        <v>2822</v>
      </c>
      <c r="C2729" s="0" t="s">
        <v>68</v>
      </c>
      <c r="D2729" s="0" t="s">
        <v>349</v>
      </c>
      <c r="E2729" s="0" t="s">
        <v>531</v>
      </c>
      <c r="F2729" s="0" t="s">
        <v>29</v>
      </c>
      <c r="I2729" s="0" t="n">
        <v>4000</v>
      </c>
      <c r="J2729" s="0" t="n">
        <v>1</v>
      </c>
      <c r="K2729" s="0" t="s">
        <v>3322</v>
      </c>
    </row>
    <row r="2730" customFormat="false" ht="15" hidden="false" customHeight="false" outlineLevel="0" collapsed="false">
      <c r="A2730" s="0" t="n">
        <v>226</v>
      </c>
      <c r="B2730" s="0" t="s">
        <v>2822</v>
      </c>
      <c r="C2730" s="0" t="s">
        <v>68</v>
      </c>
      <c r="D2730" s="0" t="s">
        <v>349</v>
      </c>
      <c r="E2730" s="0" t="s">
        <v>158</v>
      </c>
      <c r="F2730" s="0" t="s">
        <v>28</v>
      </c>
      <c r="I2730" s="0" t="n">
        <v>2000</v>
      </c>
      <c r="J2730" s="0" t="n">
        <v>0.5</v>
      </c>
      <c r="K2730" s="0" t="s">
        <v>3323</v>
      </c>
    </row>
    <row r="2731" customFormat="false" ht="15" hidden="false" customHeight="false" outlineLevel="0" collapsed="false">
      <c r="A2731" s="0" t="n">
        <v>226</v>
      </c>
      <c r="B2731" s="0" t="s">
        <v>2822</v>
      </c>
      <c r="C2731" s="0" t="s">
        <v>68</v>
      </c>
      <c r="D2731" s="0" t="s">
        <v>349</v>
      </c>
      <c r="E2731" s="0" t="s">
        <v>132</v>
      </c>
      <c r="F2731" s="0" t="s">
        <v>29</v>
      </c>
      <c r="I2731" s="0" t="n">
        <v>200</v>
      </c>
      <c r="J2731" s="0" t="n">
        <v>0.05</v>
      </c>
      <c r="K2731" s="0" t="s">
        <v>3324</v>
      </c>
    </row>
    <row r="2732" customFormat="false" ht="15" hidden="false" customHeight="false" outlineLevel="0" collapsed="false">
      <c r="A2732" s="0" t="n">
        <v>226</v>
      </c>
      <c r="B2732" s="0" t="s">
        <v>2822</v>
      </c>
      <c r="C2732" s="0" t="s">
        <v>68</v>
      </c>
      <c r="D2732" s="0" t="s">
        <v>349</v>
      </c>
      <c r="E2732" s="0" t="s">
        <v>134</v>
      </c>
      <c r="F2732" s="0" t="s">
        <v>28</v>
      </c>
      <c r="I2732" s="0" t="n">
        <v>200</v>
      </c>
      <c r="J2732" s="0" t="n">
        <v>0.05</v>
      </c>
      <c r="K2732" s="0" t="s">
        <v>3325</v>
      </c>
    </row>
    <row r="2733" customFormat="false" ht="15" hidden="false" customHeight="false" outlineLevel="0" collapsed="false">
      <c r="A2733" s="0" t="n">
        <v>226</v>
      </c>
      <c r="B2733" s="0" t="s">
        <v>2822</v>
      </c>
      <c r="C2733" s="0" t="s">
        <v>68</v>
      </c>
      <c r="D2733" s="0" t="s">
        <v>349</v>
      </c>
      <c r="E2733" s="0" t="s">
        <v>60</v>
      </c>
      <c r="F2733" s="0" t="s">
        <v>27</v>
      </c>
      <c r="I2733" s="0" t="n">
        <v>200</v>
      </c>
      <c r="J2733" s="0" t="n">
        <v>0.05</v>
      </c>
      <c r="K2733" s="0" t="s">
        <v>3326</v>
      </c>
    </row>
    <row r="2734" customFormat="false" ht="15" hidden="false" customHeight="false" outlineLevel="0" collapsed="false">
      <c r="A2734" s="0" t="n">
        <v>226</v>
      </c>
      <c r="B2734" s="0" t="s">
        <v>2822</v>
      </c>
      <c r="C2734" s="0" t="s">
        <v>68</v>
      </c>
      <c r="D2734" s="0" t="s">
        <v>349</v>
      </c>
      <c r="E2734" s="0" t="s">
        <v>62</v>
      </c>
      <c r="F2734" s="0" t="s">
        <v>27</v>
      </c>
      <c r="I2734" s="0" t="n">
        <v>100</v>
      </c>
      <c r="J2734" s="0" t="n">
        <v>0.025</v>
      </c>
      <c r="K2734" s="0" t="s">
        <v>3327</v>
      </c>
    </row>
    <row r="2735" customFormat="false" ht="15" hidden="false" customHeight="false" outlineLevel="0" collapsed="false">
      <c r="A2735" s="0" t="n">
        <v>226</v>
      </c>
      <c r="B2735" s="0" t="s">
        <v>2822</v>
      </c>
      <c r="C2735" s="0" t="s">
        <v>68</v>
      </c>
      <c r="D2735" s="0" t="s">
        <v>349</v>
      </c>
      <c r="E2735" s="0" t="s">
        <v>66</v>
      </c>
      <c r="F2735" s="0" t="s">
        <v>27</v>
      </c>
      <c r="I2735" s="0" t="n">
        <v>250</v>
      </c>
      <c r="J2735" s="0" t="n">
        <v>0.0625</v>
      </c>
      <c r="K2735" s="0" t="s">
        <v>3328</v>
      </c>
    </row>
    <row r="2736" customFormat="false" ht="15" hidden="false" customHeight="false" outlineLevel="0" collapsed="false">
      <c r="A2736" s="0" t="n">
        <v>226</v>
      </c>
      <c r="B2736" s="0" t="s">
        <v>2822</v>
      </c>
      <c r="C2736" s="0" t="s">
        <v>68</v>
      </c>
      <c r="D2736" s="0" t="s">
        <v>349</v>
      </c>
      <c r="E2736" s="0" t="s">
        <v>64</v>
      </c>
      <c r="F2736" s="0" t="s">
        <v>27</v>
      </c>
      <c r="I2736" s="0" t="n">
        <v>750</v>
      </c>
      <c r="J2736" s="0" t="n">
        <v>0.1875</v>
      </c>
      <c r="K2736" s="0" t="s">
        <v>3329</v>
      </c>
    </row>
    <row r="2737" customFormat="false" ht="15" hidden="false" customHeight="false" outlineLevel="0" collapsed="false">
      <c r="A2737" s="0" t="n">
        <v>226</v>
      </c>
      <c r="B2737" s="0" t="s">
        <v>2822</v>
      </c>
      <c r="C2737" s="0" t="s">
        <v>68</v>
      </c>
      <c r="D2737" s="0" t="s">
        <v>349</v>
      </c>
      <c r="E2737" s="0" t="s">
        <v>68</v>
      </c>
      <c r="F2737" s="0" t="s">
        <v>30</v>
      </c>
      <c r="I2737" s="0" t="n">
        <v>4000</v>
      </c>
      <c r="J2737" s="0" t="n">
        <v>1</v>
      </c>
      <c r="K2737" s="0" t="s">
        <v>3330</v>
      </c>
    </row>
    <row r="2738" customFormat="false" ht="15" hidden="false" customHeight="false" outlineLevel="0" collapsed="false">
      <c r="A2738" s="0" t="n">
        <v>227</v>
      </c>
      <c r="B2738" s="0" t="s">
        <v>2822</v>
      </c>
      <c r="C2738" s="0" t="s">
        <v>68</v>
      </c>
      <c r="D2738" s="0" t="s">
        <v>349</v>
      </c>
      <c r="E2738" s="0" t="s">
        <v>53</v>
      </c>
      <c r="F2738" s="0" t="s">
        <v>27</v>
      </c>
      <c r="G2738" s="0" t="n">
        <v>0.8</v>
      </c>
      <c r="H2738" s="0" t="n">
        <v>3</v>
      </c>
      <c r="I2738" s="0" t="n">
        <v>7200</v>
      </c>
      <c r="J2738" s="0" t="n">
        <v>1.8</v>
      </c>
      <c r="K2738" s="0" t="s">
        <v>3331</v>
      </c>
      <c r="L2738" s="0" t="s">
        <v>3332</v>
      </c>
    </row>
    <row r="2739" customFormat="false" ht="15" hidden="false" customHeight="false" outlineLevel="0" collapsed="false">
      <c r="A2739" s="0" t="n">
        <v>227</v>
      </c>
      <c r="B2739" s="0" t="s">
        <v>2822</v>
      </c>
      <c r="C2739" s="0" t="s">
        <v>68</v>
      </c>
      <c r="D2739" s="0" t="s">
        <v>349</v>
      </c>
      <c r="E2739" s="0" t="s">
        <v>56</v>
      </c>
      <c r="F2739" s="0" t="s">
        <v>28</v>
      </c>
      <c r="I2739" s="0" t="n">
        <v>700</v>
      </c>
      <c r="J2739" s="0" t="n">
        <v>0.175</v>
      </c>
      <c r="K2739" s="0" t="s">
        <v>3333</v>
      </c>
    </row>
    <row r="2740" customFormat="false" ht="15" hidden="false" customHeight="false" outlineLevel="0" collapsed="false">
      <c r="A2740" s="0" t="n">
        <v>227</v>
      </c>
      <c r="B2740" s="0" t="s">
        <v>2822</v>
      </c>
      <c r="C2740" s="0" t="s">
        <v>68</v>
      </c>
      <c r="D2740" s="0" t="s">
        <v>349</v>
      </c>
      <c r="E2740" s="0" t="s">
        <v>58</v>
      </c>
      <c r="F2740" s="0" t="s">
        <v>28</v>
      </c>
      <c r="I2740" s="0" t="n">
        <v>2500</v>
      </c>
      <c r="J2740" s="0" t="n">
        <v>0.625</v>
      </c>
      <c r="K2740" s="0" t="s">
        <v>3334</v>
      </c>
    </row>
    <row r="2741" customFormat="false" ht="15" hidden="false" customHeight="false" outlineLevel="0" collapsed="false">
      <c r="A2741" s="0" t="n">
        <v>227</v>
      </c>
      <c r="B2741" s="0" t="s">
        <v>2822</v>
      </c>
      <c r="C2741" s="0" t="s">
        <v>68</v>
      </c>
      <c r="D2741" s="0" t="s">
        <v>349</v>
      </c>
      <c r="E2741" s="0" t="s">
        <v>531</v>
      </c>
      <c r="F2741" s="0" t="s">
        <v>29</v>
      </c>
      <c r="I2741" s="0" t="n">
        <v>4000</v>
      </c>
      <c r="J2741" s="0" t="n">
        <v>1</v>
      </c>
      <c r="K2741" s="0" t="s">
        <v>3335</v>
      </c>
    </row>
    <row r="2742" customFormat="false" ht="15" hidden="false" customHeight="false" outlineLevel="0" collapsed="false">
      <c r="A2742" s="0" t="n">
        <v>227</v>
      </c>
      <c r="B2742" s="0" t="s">
        <v>2822</v>
      </c>
      <c r="C2742" s="0" t="s">
        <v>68</v>
      </c>
      <c r="D2742" s="0" t="s">
        <v>349</v>
      </c>
      <c r="E2742" s="0" t="s">
        <v>128</v>
      </c>
      <c r="F2742" s="0" t="s">
        <v>28</v>
      </c>
      <c r="I2742" s="0" t="n">
        <v>1000</v>
      </c>
      <c r="J2742" s="0" t="n">
        <v>0.25</v>
      </c>
      <c r="K2742" s="0" t="s">
        <v>3336</v>
      </c>
    </row>
    <row r="2743" customFormat="false" ht="15" hidden="false" customHeight="false" outlineLevel="0" collapsed="false">
      <c r="A2743" s="0" t="n">
        <v>227</v>
      </c>
      <c r="B2743" s="0" t="s">
        <v>2822</v>
      </c>
      <c r="C2743" s="0" t="s">
        <v>68</v>
      </c>
      <c r="D2743" s="0" t="s">
        <v>349</v>
      </c>
      <c r="E2743" s="0" t="s">
        <v>158</v>
      </c>
      <c r="F2743" s="0" t="s">
        <v>28</v>
      </c>
      <c r="I2743" s="0" t="n">
        <v>2000</v>
      </c>
      <c r="J2743" s="0" t="n">
        <v>0.5</v>
      </c>
      <c r="K2743" s="0" t="s">
        <v>3337</v>
      </c>
    </row>
    <row r="2744" customFormat="false" ht="15" hidden="false" customHeight="false" outlineLevel="0" collapsed="false">
      <c r="A2744" s="0" t="n">
        <v>227</v>
      </c>
      <c r="B2744" s="0" t="s">
        <v>2822</v>
      </c>
      <c r="C2744" s="0" t="s">
        <v>68</v>
      </c>
      <c r="D2744" s="0" t="s">
        <v>349</v>
      </c>
      <c r="E2744" s="0" t="s">
        <v>132</v>
      </c>
      <c r="F2744" s="0" t="s">
        <v>29</v>
      </c>
      <c r="I2744" s="0" t="n">
        <v>200</v>
      </c>
      <c r="J2744" s="0" t="n">
        <v>0.05</v>
      </c>
      <c r="K2744" s="0" t="s">
        <v>3338</v>
      </c>
    </row>
    <row r="2745" customFormat="false" ht="15" hidden="false" customHeight="false" outlineLevel="0" collapsed="false">
      <c r="A2745" s="0" t="n">
        <v>227</v>
      </c>
      <c r="B2745" s="0" t="s">
        <v>2822</v>
      </c>
      <c r="C2745" s="0" t="s">
        <v>68</v>
      </c>
      <c r="D2745" s="0" t="s">
        <v>349</v>
      </c>
      <c r="E2745" s="0" t="s">
        <v>134</v>
      </c>
      <c r="F2745" s="0" t="s">
        <v>28</v>
      </c>
      <c r="I2745" s="0" t="n">
        <v>200</v>
      </c>
      <c r="J2745" s="0" t="n">
        <v>0.05</v>
      </c>
      <c r="K2745" s="0" t="s">
        <v>3339</v>
      </c>
      <c r="L2745" s="0" t="s">
        <v>3340</v>
      </c>
    </row>
    <row r="2746" customFormat="false" ht="15" hidden="false" customHeight="false" outlineLevel="0" collapsed="false">
      <c r="A2746" s="0" t="n">
        <v>227</v>
      </c>
      <c r="B2746" s="0" t="s">
        <v>2822</v>
      </c>
      <c r="C2746" s="0" t="s">
        <v>68</v>
      </c>
      <c r="D2746" s="0" t="s">
        <v>349</v>
      </c>
      <c r="E2746" s="0" t="s">
        <v>60</v>
      </c>
      <c r="F2746" s="0" t="s">
        <v>27</v>
      </c>
      <c r="I2746" s="0" t="n">
        <v>200</v>
      </c>
      <c r="J2746" s="0" t="n">
        <v>0.05</v>
      </c>
      <c r="K2746" s="0" t="s">
        <v>3341</v>
      </c>
    </row>
    <row r="2747" customFormat="false" ht="15" hidden="false" customHeight="false" outlineLevel="0" collapsed="false">
      <c r="A2747" s="0" t="n">
        <v>227</v>
      </c>
      <c r="B2747" s="0" t="s">
        <v>2822</v>
      </c>
      <c r="C2747" s="0" t="s">
        <v>68</v>
      </c>
      <c r="D2747" s="0" t="s">
        <v>349</v>
      </c>
      <c r="E2747" s="0" t="s">
        <v>62</v>
      </c>
      <c r="F2747" s="0" t="s">
        <v>27</v>
      </c>
      <c r="I2747" s="0" t="n">
        <v>100</v>
      </c>
      <c r="J2747" s="0" t="n">
        <v>0.025</v>
      </c>
      <c r="K2747" s="0" t="s">
        <v>3342</v>
      </c>
    </row>
    <row r="2748" customFormat="false" ht="15" hidden="false" customHeight="false" outlineLevel="0" collapsed="false">
      <c r="A2748" s="0" t="n">
        <v>227</v>
      </c>
      <c r="B2748" s="0" t="s">
        <v>2822</v>
      </c>
      <c r="C2748" s="0" t="s">
        <v>68</v>
      </c>
      <c r="D2748" s="0" t="s">
        <v>349</v>
      </c>
      <c r="E2748" s="0" t="s">
        <v>66</v>
      </c>
      <c r="F2748" s="0" t="s">
        <v>27</v>
      </c>
      <c r="I2748" s="0" t="n">
        <v>250</v>
      </c>
      <c r="J2748" s="0" t="n">
        <v>0.0625</v>
      </c>
      <c r="K2748" s="0" t="s">
        <v>3343</v>
      </c>
    </row>
    <row r="2749" customFormat="false" ht="15" hidden="false" customHeight="false" outlineLevel="0" collapsed="false">
      <c r="A2749" s="0" t="n">
        <v>227</v>
      </c>
      <c r="B2749" s="0" t="s">
        <v>2822</v>
      </c>
      <c r="C2749" s="0" t="s">
        <v>68</v>
      </c>
      <c r="D2749" s="0" t="s">
        <v>349</v>
      </c>
      <c r="E2749" s="0" t="s">
        <v>64</v>
      </c>
      <c r="F2749" s="0" t="s">
        <v>27</v>
      </c>
      <c r="I2749" s="0" t="n">
        <v>750</v>
      </c>
      <c r="J2749" s="0" t="n">
        <v>0.1875</v>
      </c>
      <c r="K2749" s="0" t="s">
        <v>3344</v>
      </c>
    </row>
    <row r="2750" customFormat="false" ht="15" hidden="false" customHeight="false" outlineLevel="0" collapsed="false">
      <c r="A2750" s="0" t="n">
        <v>227</v>
      </c>
      <c r="B2750" s="0" t="s">
        <v>2822</v>
      </c>
      <c r="C2750" s="0" t="s">
        <v>68</v>
      </c>
      <c r="D2750" s="0" t="s">
        <v>349</v>
      </c>
      <c r="E2750" s="0" t="s">
        <v>68</v>
      </c>
      <c r="F2750" s="0" t="s">
        <v>30</v>
      </c>
      <c r="I2750" s="0" t="n">
        <v>4000</v>
      </c>
      <c r="J2750" s="0" t="n">
        <v>1</v>
      </c>
      <c r="K2750" s="0" t="s">
        <v>3345</v>
      </c>
    </row>
    <row r="2751" customFormat="false" ht="15" hidden="false" customHeight="false" outlineLevel="0" collapsed="false">
      <c r="A2751" s="0" t="n">
        <v>228</v>
      </c>
      <c r="B2751" s="0" t="s">
        <v>3346</v>
      </c>
      <c r="C2751" s="0" t="s">
        <v>3347</v>
      </c>
      <c r="D2751" s="0" t="s">
        <v>3347</v>
      </c>
      <c r="E2751" s="0" t="s">
        <v>53</v>
      </c>
      <c r="F2751" s="0" t="s">
        <v>27</v>
      </c>
      <c r="G2751" s="0" t="n">
        <v>0.6</v>
      </c>
      <c r="H2751" s="0" t="n">
        <v>6</v>
      </c>
      <c r="I2751" s="0" t="n">
        <v>2664</v>
      </c>
      <c r="J2751" s="0" t="n">
        <v>0.72</v>
      </c>
      <c r="K2751" s="0" t="s">
        <v>3348</v>
      </c>
      <c r="L2751" s="0" t="s">
        <v>3349</v>
      </c>
    </row>
    <row r="2752" customFormat="false" ht="15" hidden="false" customHeight="false" outlineLevel="0" collapsed="false">
      <c r="A2752" s="0" t="n">
        <v>228</v>
      </c>
      <c r="B2752" s="0" t="s">
        <v>3346</v>
      </c>
      <c r="C2752" s="0" t="s">
        <v>3347</v>
      </c>
      <c r="D2752" s="0" t="s">
        <v>3347</v>
      </c>
      <c r="E2752" s="0" t="s">
        <v>2616</v>
      </c>
      <c r="F2752" s="0" t="s">
        <v>31</v>
      </c>
      <c r="G2752" s="0" t="n">
        <v>0.6</v>
      </c>
      <c r="H2752" s="0" t="n">
        <v>13000</v>
      </c>
      <c r="I2752" s="0" t="n">
        <v>1560</v>
      </c>
      <c r="J2752" s="0" t="n">
        <v>0.421621621621622</v>
      </c>
      <c r="K2752" s="0" t="s">
        <v>3350</v>
      </c>
      <c r="L2752" s="0" t="s">
        <v>3351</v>
      </c>
    </row>
    <row r="2753" customFormat="false" ht="15" hidden="false" customHeight="false" outlineLevel="0" collapsed="false">
      <c r="A2753" s="0" t="n">
        <v>228</v>
      </c>
      <c r="B2753" s="0" t="s">
        <v>3346</v>
      </c>
      <c r="C2753" s="0" t="s">
        <v>3347</v>
      </c>
      <c r="D2753" s="0" t="s">
        <v>3347</v>
      </c>
      <c r="E2753" s="0" t="s">
        <v>2554</v>
      </c>
      <c r="F2753" s="0" t="s">
        <v>28</v>
      </c>
      <c r="I2753" s="0" t="n">
        <v>1500</v>
      </c>
      <c r="J2753" s="0" t="n">
        <v>0.405405405405405</v>
      </c>
      <c r="K2753" s="0" t="s">
        <v>3352</v>
      </c>
    </row>
    <row r="2754" customFormat="false" ht="15" hidden="false" customHeight="false" outlineLevel="0" collapsed="false">
      <c r="A2754" s="0" t="n">
        <v>228</v>
      </c>
      <c r="B2754" s="0" t="s">
        <v>3346</v>
      </c>
      <c r="C2754" s="0" t="s">
        <v>3347</v>
      </c>
      <c r="D2754" s="0" t="s">
        <v>3347</v>
      </c>
      <c r="E2754" s="0" t="s">
        <v>158</v>
      </c>
      <c r="F2754" s="0" t="s">
        <v>28</v>
      </c>
      <c r="I2754" s="0" t="n">
        <v>1000</v>
      </c>
      <c r="J2754" s="0" t="n">
        <v>0.27027027027027</v>
      </c>
      <c r="K2754" s="0" t="s">
        <v>3353</v>
      </c>
    </row>
    <row r="2755" customFormat="false" ht="15" hidden="false" customHeight="false" outlineLevel="0" collapsed="false">
      <c r="A2755" s="0" t="n">
        <v>228</v>
      </c>
      <c r="B2755" s="0" t="s">
        <v>3346</v>
      </c>
      <c r="C2755" s="0" t="s">
        <v>3347</v>
      </c>
      <c r="D2755" s="0" t="s">
        <v>3347</v>
      </c>
      <c r="E2755" s="0" t="s">
        <v>56</v>
      </c>
      <c r="F2755" s="0" t="s">
        <v>28</v>
      </c>
      <c r="I2755" s="0" t="n">
        <v>700</v>
      </c>
      <c r="J2755" s="0" t="n">
        <v>0.189189189189189</v>
      </c>
      <c r="K2755" s="0" t="s">
        <v>3354</v>
      </c>
    </row>
    <row r="2756" customFormat="false" ht="15" hidden="false" customHeight="false" outlineLevel="0" collapsed="false">
      <c r="A2756" s="0" t="n">
        <v>228</v>
      </c>
      <c r="B2756" s="0" t="s">
        <v>3346</v>
      </c>
      <c r="C2756" s="0" t="s">
        <v>3347</v>
      </c>
      <c r="D2756" s="0" t="s">
        <v>3347</v>
      </c>
      <c r="E2756" s="0" t="s">
        <v>58</v>
      </c>
      <c r="F2756" s="0" t="s">
        <v>28</v>
      </c>
      <c r="I2756" s="0" t="n">
        <v>4000</v>
      </c>
      <c r="J2756" s="0" t="n">
        <v>1.08108108108108</v>
      </c>
      <c r="K2756" s="0" t="s">
        <v>3355</v>
      </c>
    </row>
    <row r="2757" customFormat="false" ht="15" hidden="false" customHeight="false" outlineLevel="0" collapsed="false">
      <c r="A2757" s="0" t="n">
        <v>228</v>
      </c>
      <c r="B2757" s="0" t="s">
        <v>3346</v>
      </c>
      <c r="C2757" s="0" t="s">
        <v>3347</v>
      </c>
      <c r="D2757" s="0" t="s">
        <v>3347</v>
      </c>
      <c r="E2757" s="0" t="s">
        <v>60</v>
      </c>
      <c r="F2757" s="0" t="s">
        <v>27</v>
      </c>
      <c r="I2757" s="0" t="n">
        <v>0</v>
      </c>
      <c r="J2757" s="0" t="n">
        <v>0</v>
      </c>
      <c r="K2757" s="0" t="s">
        <v>3356</v>
      </c>
    </row>
    <row r="2758" customFormat="false" ht="15" hidden="false" customHeight="false" outlineLevel="0" collapsed="false">
      <c r="A2758" s="0" t="n">
        <v>228</v>
      </c>
      <c r="B2758" s="0" t="s">
        <v>3346</v>
      </c>
      <c r="C2758" s="0" t="s">
        <v>3347</v>
      </c>
      <c r="D2758" s="0" t="s">
        <v>3347</v>
      </c>
      <c r="E2758" s="0" t="s">
        <v>1428</v>
      </c>
      <c r="F2758" s="0" t="s">
        <v>27</v>
      </c>
      <c r="I2758" s="0" t="n">
        <v>200</v>
      </c>
      <c r="J2758" s="0" t="n">
        <v>0.0540540540540541</v>
      </c>
      <c r="K2758" s="0" t="s">
        <v>3357</v>
      </c>
    </row>
    <row r="2759" customFormat="false" ht="15" hidden="false" customHeight="false" outlineLevel="0" collapsed="false">
      <c r="A2759" s="0" t="n">
        <v>228</v>
      </c>
      <c r="B2759" s="0" t="s">
        <v>3346</v>
      </c>
      <c r="C2759" s="0" t="s">
        <v>3347</v>
      </c>
      <c r="D2759" s="0" t="s">
        <v>3347</v>
      </c>
      <c r="E2759" s="0" t="s">
        <v>64</v>
      </c>
      <c r="F2759" s="0" t="s">
        <v>27</v>
      </c>
      <c r="I2759" s="0" t="n">
        <v>0</v>
      </c>
      <c r="J2759" s="0" t="n">
        <v>0</v>
      </c>
      <c r="K2759" s="0" t="s">
        <v>3358</v>
      </c>
    </row>
    <row r="2760" customFormat="false" ht="15" hidden="false" customHeight="false" outlineLevel="0" collapsed="false">
      <c r="A2760" s="0" t="n">
        <v>228</v>
      </c>
      <c r="B2760" s="0" t="s">
        <v>3346</v>
      </c>
      <c r="C2760" s="0" t="s">
        <v>3347</v>
      </c>
      <c r="D2760" s="0" t="s">
        <v>3347</v>
      </c>
      <c r="E2760" s="0" t="s">
        <v>66</v>
      </c>
      <c r="F2760" s="0" t="s">
        <v>27</v>
      </c>
      <c r="I2760" s="0" t="n">
        <v>0</v>
      </c>
      <c r="J2760" s="0" t="n">
        <v>0</v>
      </c>
      <c r="K2760" s="0" t="s">
        <v>3359</v>
      </c>
    </row>
    <row r="2761" customFormat="false" ht="15" hidden="false" customHeight="false" outlineLevel="0" collapsed="false">
      <c r="A2761" s="0" t="n">
        <v>228</v>
      </c>
      <c r="B2761" s="0" t="s">
        <v>3346</v>
      </c>
      <c r="C2761" s="0" t="s">
        <v>3347</v>
      </c>
      <c r="D2761" s="0" t="s">
        <v>3347</v>
      </c>
      <c r="E2761" s="0" t="s">
        <v>68</v>
      </c>
      <c r="F2761" s="0" t="s">
        <v>30</v>
      </c>
      <c r="I2761" s="0" t="n">
        <v>3700</v>
      </c>
      <c r="J2761" s="0" t="n">
        <v>1</v>
      </c>
      <c r="K2761" s="0" t="s">
        <v>3360</v>
      </c>
    </row>
    <row r="2762" customFormat="false" ht="15" hidden="false" customHeight="false" outlineLevel="0" collapsed="false">
      <c r="A2762" s="0" t="n">
        <v>229</v>
      </c>
      <c r="B2762" s="0" t="s">
        <v>3346</v>
      </c>
      <c r="C2762" s="0" t="s">
        <v>3347</v>
      </c>
      <c r="D2762" s="0" t="s">
        <v>3347</v>
      </c>
      <c r="E2762" s="0" t="s">
        <v>53</v>
      </c>
      <c r="F2762" s="0" t="s">
        <v>27</v>
      </c>
      <c r="G2762" s="0" t="n">
        <v>1.8</v>
      </c>
      <c r="H2762" s="0" t="n">
        <v>6</v>
      </c>
      <c r="I2762" s="0" t="n">
        <v>1170</v>
      </c>
      <c r="J2762" s="0" t="n">
        <v>0.3</v>
      </c>
      <c r="K2762" s="0" t="s">
        <v>3361</v>
      </c>
      <c r="L2762" s="0" t="s">
        <v>3362</v>
      </c>
    </row>
    <row r="2763" customFormat="false" ht="15" hidden="false" customHeight="false" outlineLevel="0" collapsed="false">
      <c r="A2763" s="0" t="n">
        <v>229</v>
      </c>
      <c r="B2763" s="0" t="s">
        <v>3346</v>
      </c>
      <c r="C2763" s="0" t="s">
        <v>3347</v>
      </c>
      <c r="D2763" s="0" t="s">
        <v>3347</v>
      </c>
      <c r="E2763" s="0" t="s">
        <v>2554</v>
      </c>
      <c r="F2763" s="0" t="s">
        <v>28</v>
      </c>
      <c r="I2763" s="0" t="n">
        <v>500</v>
      </c>
      <c r="J2763" s="0" t="n">
        <v>0.128205128205128</v>
      </c>
      <c r="K2763" s="0" t="s">
        <v>3363</v>
      </c>
    </row>
    <row r="2764" customFormat="false" ht="15" hidden="false" customHeight="false" outlineLevel="0" collapsed="false">
      <c r="A2764" s="0" t="n">
        <v>229</v>
      </c>
      <c r="B2764" s="0" t="s">
        <v>3346</v>
      </c>
      <c r="C2764" s="0" t="s">
        <v>3347</v>
      </c>
      <c r="D2764" s="0" t="s">
        <v>3347</v>
      </c>
      <c r="E2764" s="0" t="s">
        <v>203</v>
      </c>
      <c r="F2764" s="0" t="s">
        <v>29</v>
      </c>
      <c r="I2764" s="0" t="n">
        <v>1500</v>
      </c>
      <c r="J2764" s="0" t="n">
        <v>0.384615384615385</v>
      </c>
      <c r="K2764" s="0" t="s">
        <v>3364</v>
      </c>
    </row>
    <row r="2765" customFormat="false" ht="15" hidden="false" customHeight="false" outlineLevel="0" collapsed="false">
      <c r="A2765" s="0" t="n">
        <v>229</v>
      </c>
      <c r="B2765" s="0" t="s">
        <v>3346</v>
      </c>
      <c r="C2765" s="0" t="s">
        <v>3347</v>
      </c>
      <c r="D2765" s="0" t="s">
        <v>3347</v>
      </c>
      <c r="E2765" s="0" t="s">
        <v>56</v>
      </c>
      <c r="F2765" s="0" t="s">
        <v>28</v>
      </c>
      <c r="I2765" s="0" t="n">
        <v>300</v>
      </c>
      <c r="J2765" s="0" t="n">
        <v>0.0769230769230769</v>
      </c>
      <c r="K2765" s="0" t="s">
        <v>3365</v>
      </c>
    </row>
    <row r="2766" customFormat="false" ht="15" hidden="false" customHeight="false" outlineLevel="0" collapsed="false">
      <c r="A2766" s="0" t="n">
        <v>229</v>
      </c>
      <c r="B2766" s="0" t="s">
        <v>3346</v>
      </c>
      <c r="C2766" s="0" t="s">
        <v>3347</v>
      </c>
      <c r="D2766" s="0" t="s">
        <v>3347</v>
      </c>
      <c r="E2766" s="0" t="s">
        <v>58</v>
      </c>
      <c r="F2766" s="0" t="s">
        <v>28</v>
      </c>
      <c r="I2766" s="0" t="n">
        <v>2000</v>
      </c>
      <c r="J2766" s="0" t="n">
        <v>0.512820512820513</v>
      </c>
      <c r="K2766" s="0" t="s">
        <v>3366</v>
      </c>
    </row>
    <row r="2767" customFormat="false" ht="15" hidden="false" customHeight="false" outlineLevel="0" collapsed="false">
      <c r="A2767" s="0" t="n">
        <v>229</v>
      </c>
      <c r="B2767" s="0" t="s">
        <v>3346</v>
      </c>
      <c r="C2767" s="0" t="s">
        <v>3347</v>
      </c>
      <c r="D2767" s="0" t="s">
        <v>3347</v>
      </c>
      <c r="E2767" s="0" t="s">
        <v>60</v>
      </c>
      <c r="F2767" s="0" t="s">
        <v>27</v>
      </c>
      <c r="I2767" s="0" t="n">
        <v>200</v>
      </c>
      <c r="J2767" s="0" t="n">
        <v>0.0512820512820513</v>
      </c>
      <c r="K2767" s="0" t="s">
        <v>3367</v>
      </c>
    </row>
    <row r="2768" customFormat="false" ht="15" hidden="false" customHeight="false" outlineLevel="0" collapsed="false">
      <c r="A2768" s="0" t="n">
        <v>229</v>
      </c>
      <c r="B2768" s="0" t="s">
        <v>3346</v>
      </c>
      <c r="C2768" s="0" t="s">
        <v>3347</v>
      </c>
      <c r="D2768" s="0" t="s">
        <v>3347</v>
      </c>
      <c r="E2768" s="0" t="s">
        <v>62</v>
      </c>
      <c r="F2768" s="0" t="s">
        <v>27</v>
      </c>
      <c r="I2768" s="0" t="n">
        <v>100</v>
      </c>
      <c r="J2768" s="0" t="n">
        <v>0.0256410256410256</v>
      </c>
      <c r="K2768" s="0" t="s">
        <v>3368</v>
      </c>
    </row>
    <row r="2769" customFormat="false" ht="15" hidden="false" customHeight="false" outlineLevel="0" collapsed="false">
      <c r="A2769" s="0" t="n">
        <v>229</v>
      </c>
      <c r="B2769" s="0" t="s">
        <v>3346</v>
      </c>
      <c r="C2769" s="0" t="s">
        <v>3347</v>
      </c>
      <c r="D2769" s="0" t="s">
        <v>3347</v>
      </c>
      <c r="E2769" s="0" t="s">
        <v>64</v>
      </c>
      <c r="F2769" s="0" t="s">
        <v>27</v>
      </c>
      <c r="I2769" s="0" t="n">
        <v>500</v>
      </c>
      <c r="J2769" s="0" t="n">
        <v>0.128205128205128</v>
      </c>
      <c r="K2769" s="0" t="s">
        <v>3369</v>
      </c>
    </row>
    <row r="2770" customFormat="false" ht="15" hidden="false" customHeight="false" outlineLevel="0" collapsed="false">
      <c r="A2770" s="0" t="n">
        <v>229</v>
      </c>
      <c r="B2770" s="0" t="s">
        <v>3346</v>
      </c>
      <c r="C2770" s="0" t="s">
        <v>3347</v>
      </c>
      <c r="D2770" s="0" t="s">
        <v>3347</v>
      </c>
      <c r="E2770" s="0" t="s">
        <v>66</v>
      </c>
      <c r="F2770" s="0" t="s">
        <v>27</v>
      </c>
      <c r="I2770" s="0" t="n">
        <v>300</v>
      </c>
      <c r="J2770" s="0" t="n">
        <v>0.0769230769230769</v>
      </c>
      <c r="K2770" s="0" t="s">
        <v>3370</v>
      </c>
    </row>
    <row r="2771" customFormat="false" ht="15" hidden="false" customHeight="false" outlineLevel="0" collapsed="false">
      <c r="A2771" s="0" t="n">
        <v>229</v>
      </c>
      <c r="B2771" s="0" t="s">
        <v>3346</v>
      </c>
      <c r="C2771" s="0" t="s">
        <v>3347</v>
      </c>
      <c r="D2771" s="0" t="s">
        <v>3347</v>
      </c>
      <c r="E2771" s="0" t="s">
        <v>68</v>
      </c>
      <c r="F2771" s="0" t="s">
        <v>30</v>
      </c>
      <c r="I2771" s="0" t="n">
        <v>3000</v>
      </c>
      <c r="J2771" s="0" t="n">
        <v>0.769230769230769</v>
      </c>
      <c r="K2771" s="0" t="s">
        <v>3371</v>
      </c>
    </row>
    <row r="2772" customFormat="false" ht="15" hidden="false" customHeight="false" outlineLevel="0" collapsed="false">
      <c r="A2772" s="0" t="n">
        <v>230</v>
      </c>
      <c r="B2772" s="0" t="s">
        <v>3372</v>
      </c>
      <c r="C2772" s="0" t="s">
        <v>3373</v>
      </c>
      <c r="D2772" s="0" t="s">
        <v>3373</v>
      </c>
      <c r="E2772" s="0" t="s">
        <v>3374</v>
      </c>
      <c r="F2772" s="0" t="s">
        <v>31</v>
      </c>
      <c r="I2772" s="0" t="n">
        <v>9500</v>
      </c>
      <c r="J2772" s="0" t="n">
        <v>2.375</v>
      </c>
      <c r="K2772" s="0" t="s">
        <v>3375</v>
      </c>
    </row>
    <row r="2773" customFormat="false" ht="15" hidden="false" customHeight="false" outlineLevel="0" collapsed="false">
      <c r="A2773" s="0" t="n">
        <v>230</v>
      </c>
      <c r="B2773" s="0" t="s">
        <v>3372</v>
      </c>
      <c r="C2773" s="0" t="s">
        <v>3373</v>
      </c>
      <c r="D2773" s="0" t="s">
        <v>3373</v>
      </c>
      <c r="E2773" s="0" t="s">
        <v>2554</v>
      </c>
      <c r="F2773" s="0" t="s">
        <v>28</v>
      </c>
      <c r="I2773" s="0" t="n">
        <v>500</v>
      </c>
      <c r="J2773" s="0" t="n">
        <v>0.125</v>
      </c>
      <c r="K2773" s="0" t="s">
        <v>3376</v>
      </c>
    </row>
    <row r="2774" customFormat="false" ht="15" hidden="false" customHeight="false" outlineLevel="0" collapsed="false">
      <c r="A2774" s="0" t="n">
        <v>230</v>
      </c>
      <c r="B2774" s="0" t="s">
        <v>3372</v>
      </c>
      <c r="C2774" s="0" t="s">
        <v>3373</v>
      </c>
      <c r="D2774" s="0" t="s">
        <v>3373</v>
      </c>
      <c r="E2774" s="0" t="s">
        <v>2385</v>
      </c>
      <c r="F2774" s="0" t="s">
        <v>29</v>
      </c>
      <c r="I2774" s="0" t="n">
        <v>1500</v>
      </c>
      <c r="J2774" s="0" t="n">
        <v>0.375</v>
      </c>
      <c r="K2774" s="0" t="s">
        <v>3377</v>
      </c>
    </row>
    <row r="2775" customFormat="false" ht="15" hidden="false" customHeight="false" outlineLevel="0" collapsed="false">
      <c r="A2775" s="0" t="n">
        <v>230</v>
      </c>
      <c r="B2775" s="0" t="s">
        <v>3372</v>
      </c>
      <c r="C2775" s="0" t="s">
        <v>3373</v>
      </c>
      <c r="D2775" s="0" t="s">
        <v>3373</v>
      </c>
      <c r="E2775" s="0" t="s">
        <v>203</v>
      </c>
      <c r="F2775" s="0" t="s">
        <v>29</v>
      </c>
      <c r="I2775" s="0" t="n">
        <v>500</v>
      </c>
      <c r="J2775" s="0" t="n">
        <v>0.125</v>
      </c>
      <c r="K2775" s="0" t="s">
        <v>3378</v>
      </c>
    </row>
    <row r="2776" customFormat="false" ht="15" hidden="false" customHeight="false" outlineLevel="0" collapsed="false">
      <c r="A2776" s="0" t="n">
        <v>230</v>
      </c>
      <c r="B2776" s="0" t="s">
        <v>3372</v>
      </c>
      <c r="C2776" s="0" t="s">
        <v>3373</v>
      </c>
      <c r="D2776" s="0" t="s">
        <v>3373</v>
      </c>
      <c r="E2776" s="0" t="s">
        <v>60</v>
      </c>
      <c r="F2776" s="0" t="s">
        <v>27</v>
      </c>
      <c r="I2776" s="0" t="n">
        <v>200</v>
      </c>
      <c r="J2776" s="0" t="n">
        <v>0.05</v>
      </c>
      <c r="K2776" s="0" t="s">
        <v>3379</v>
      </c>
    </row>
    <row r="2777" customFormat="false" ht="15" hidden="false" customHeight="false" outlineLevel="0" collapsed="false">
      <c r="A2777" s="0" t="n">
        <v>230</v>
      </c>
      <c r="B2777" s="0" t="s">
        <v>3372</v>
      </c>
      <c r="C2777" s="0" t="s">
        <v>3373</v>
      </c>
      <c r="D2777" s="0" t="s">
        <v>3373</v>
      </c>
      <c r="E2777" s="0" t="s">
        <v>62</v>
      </c>
      <c r="F2777" s="0" t="s">
        <v>27</v>
      </c>
      <c r="I2777" s="0" t="n">
        <v>100</v>
      </c>
      <c r="J2777" s="0" t="n">
        <v>0.025</v>
      </c>
      <c r="K2777" s="0" t="s">
        <v>3380</v>
      </c>
    </row>
    <row r="2778" customFormat="false" ht="15" hidden="false" customHeight="false" outlineLevel="0" collapsed="false">
      <c r="A2778" s="0" t="n">
        <v>230</v>
      </c>
      <c r="B2778" s="0" t="s">
        <v>3372</v>
      </c>
      <c r="C2778" s="0" t="s">
        <v>3373</v>
      </c>
      <c r="D2778" s="0" t="s">
        <v>3373</v>
      </c>
      <c r="E2778" s="0" t="s">
        <v>64</v>
      </c>
      <c r="F2778" s="0" t="s">
        <v>27</v>
      </c>
      <c r="I2778" s="0" t="n">
        <v>200</v>
      </c>
      <c r="J2778" s="0" t="n">
        <v>0.05</v>
      </c>
      <c r="K2778" s="0" t="s">
        <v>3381</v>
      </c>
    </row>
    <row r="2779" customFormat="false" ht="15" hidden="false" customHeight="false" outlineLevel="0" collapsed="false">
      <c r="A2779" s="0" t="n">
        <v>230</v>
      </c>
      <c r="B2779" s="0" t="s">
        <v>3372</v>
      </c>
      <c r="C2779" s="0" t="s">
        <v>3373</v>
      </c>
      <c r="D2779" s="0" t="s">
        <v>3373</v>
      </c>
      <c r="E2779" s="0" t="s">
        <v>66</v>
      </c>
      <c r="F2779" s="0" t="s">
        <v>27</v>
      </c>
      <c r="I2779" s="0" t="n">
        <v>300</v>
      </c>
      <c r="J2779" s="0" t="n">
        <v>0.075</v>
      </c>
      <c r="K2779" s="0" t="s">
        <v>3382</v>
      </c>
    </row>
    <row r="2780" customFormat="false" ht="15" hidden="false" customHeight="false" outlineLevel="0" collapsed="false">
      <c r="A2780" s="0" t="n">
        <v>230</v>
      </c>
      <c r="B2780" s="0" t="s">
        <v>3372</v>
      </c>
      <c r="C2780" s="0" t="s">
        <v>3373</v>
      </c>
      <c r="D2780" s="0" t="s">
        <v>3373</v>
      </c>
      <c r="E2780" s="0" t="s">
        <v>68</v>
      </c>
      <c r="F2780" s="0" t="s">
        <v>30</v>
      </c>
      <c r="I2780" s="0" t="n">
        <v>2700</v>
      </c>
      <c r="J2780" s="0" t="n">
        <v>0.675</v>
      </c>
      <c r="K2780" s="0" t="s">
        <v>3383</v>
      </c>
    </row>
    <row r="2781" customFormat="false" ht="15" hidden="false" customHeight="false" outlineLevel="0" collapsed="false">
      <c r="A2781" s="0" t="n">
        <v>231</v>
      </c>
      <c r="B2781" s="0" t="s">
        <v>3384</v>
      </c>
      <c r="C2781" s="0" t="s">
        <v>2823</v>
      </c>
      <c r="D2781" s="0" t="s">
        <v>296</v>
      </c>
      <c r="E2781" s="0" t="s">
        <v>53</v>
      </c>
      <c r="F2781" s="0" t="s">
        <v>27</v>
      </c>
      <c r="G2781" s="0" t="n">
        <v>0.7</v>
      </c>
      <c r="H2781" s="0" t="n">
        <v>1.8</v>
      </c>
      <c r="I2781" s="0" t="n">
        <v>3780</v>
      </c>
      <c r="J2781" s="0" t="n">
        <v>0.84</v>
      </c>
      <c r="K2781" s="0" t="s">
        <v>3385</v>
      </c>
      <c r="L2781" s="0" t="s">
        <v>3386</v>
      </c>
    </row>
    <row r="2782" customFormat="false" ht="15" hidden="false" customHeight="false" outlineLevel="0" collapsed="false">
      <c r="A2782" s="0" t="n">
        <v>231</v>
      </c>
      <c r="B2782" s="0" t="s">
        <v>3384</v>
      </c>
      <c r="C2782" s="0" t="s">
        <v>2823</v>
      </c>
      <c r="D2782" s="0" t="s">
        <v>296</v>
      </c>
      <c r="E2782" s="0" t="s">
        <v>56</v>
      </c>
      <c r="F2782" s="0" t="s">
        <v>28</v>
      </c>
      <c r="I2782" s="0" t="n">
        <v>700</v>
      </c>
      <c r="J2782" s="0" t="n">
        <v>0.155555555555556</v>
      </c>
      <c r="K2782" s="0" t="s">
        <v>3387</v>
      </c>
    </row>
    <row r="2783" customFormat="false" ht="15" hidden="false" customHeight="false" outlineLevel="0" collapsed="false">
      <c r="A2783" s="0" t="n">
        <v>231</v>
      </c>
      <c r="B2783" s="0" t="s">
        <v>3384</v>
      </c>
      <c r="C2783" s="0" t="s">
        <v>2823</v>
      </c>
      <c r="D2783" s="0" t="s">
        <v>296</v>
      </c>
      <c r="E2783" s="0" t="s">
        <v>58</v>
      </c>
      <c r="F2783" s="0" t="s">
        <v>28</v>
      </c>
      <c r="I2783" s="0" t="n">
        <v>2500</v>
      </c>
      <c r="J2783" s="0" t="n">
        <v>0.555555555555556</v>
      </c>
      <c r="K2783" s="0" t="s">
        <v>3388</v>
      </c>
    </row>
    <row r="2784" customFormat="false" ht="15" hidden="false" customHeight="false" outlineLevel="0" collapsed="false">
      <c r="A2784" s="0" t="n">
        <v>231</v>
      </c>
      <c r="B2784" s="0" t="s">
        <v>3384</v>
      </c>
      <c r="C2784" s="0" t="s">
        <v>2823</v>
      </c>
      <c r="D2784" s="0" t="s">
        <v>296</v>
      </c>
      <c r="E2784" s="0" t="s">
        <v>60</v>
      </c>
      <c r="F2784" s="0" t="s">
        <v>27</v>
      </c>
      <c r="I2784" s="0" t="n">
        <v>200</v>
      </c>
      <c r="J2784" s="0" t="n">
        <v>0.0444444444444445</v>
      </c>
      <c r="K2784" s="0" t="s">
        <v>3389</v>
      </c>
    </row>
    <row r="2785" customFormat="false" ht="15" hidden="false" customHeight="false" outlineLevel="0" collapsed="false">
      <c r="A2785" s="0" t="n">
        <v>231</v>
      </c>
      <c r="B2785" s="0" t="s">
        <v>3384</v>
      </c>
      <c r="C2785" s="0" t="s">
        <v>2823</v>
      </c>
      <c r="D2785" s="0" t="s">
        <v>296</v>
      </c>
      <c r="E2785" s="0" t="s">
        <v>62</v>
      </c>
      <c r="F2785" s="0" t="s">
        <v>27</v>
      </c>
      <c r="I2785" s="0" t="n">
        <v>100</v>
      </c>
      <c r="J2785" s="0" t="n">
        <v>0.0222222222222222</v>
      </c>
      <c r="K2785" s="0" t="s">
        <v>3390</v>
      </c>
    </row>
    <row r="2786" customFormat="false" ht="15" hidden="false" customHeight="false" outlineLevel="0" collapsed="false">
      <c r="A2786" s="0" t="n">
        <v>231</v>
      </c>
      <c r="B2786" s="0" t="s">
        <v>3384</v>
      </c>
      <c r="C2786" s="0" t="s">
        <v>2823</v>
      </c>
      <c r="D2786" s="0" t="s">
        <v>296</v>
      </c>
      <c r="E2786" s="0" t="s">
        <v>64</v>
      </c>
      <c r="F2786" s="0" t="s">
        <v>27</v>
      </c>
      <c r="I2786" s="0" t="n">
        <v>750</v>
      </c>
      <c r="J2786" s="0" t="n">
        <v>0.166666666666667</v>
      </c>
      <c r="K2786" s="0" t="s">
        <v>3391</v>
      </c>
    </row>
    <row r="2787" customFormat="false" ht="15" hidden="false" customHeight="false" outlineLevel="0" collapsed="false">
      <c r="A2787" s="0" t="n">
        <v>231</v>
      </c>
      <c r="B2787" s="0" t="s">
        <v>3384</v>
      </c>
      <c r="C2787" s="0" t="s">
        <v>2823</v>
      </c>
      <c r="D2787" s="0" t="s">
        <v>296</v>
      </c>
      <c r="E2787" s="0" t="s">
        <v>66</v>
      </c>
      <c r="F2787" s="0" t="s">
        <v>27</v>
      </c>
      <c r="I2787" s="0" t="n">
        <v>250</v>
      </c>
      <c r="J2787" s="0" t="n">
        <v>0.0555555555555556</v>
      </c>
      <c r="K2787" s="0" t="s">
        <v>3392</v>
      </c>
    </row>
    <row r="2788" customFormat="false" ht="15" hidden="false" customHeight="false" outlineLevel="0" collapsed="false">
      <c r="A2788" s="0" t="n">
        <v>231</v>
      </c>
      <c r="B2788" s="0" t="s">
        <v>3384</v>
      </c>
      <c r="C2788" s="0" t="s">
        <v>2823</v>
      </c>
      <c r="D2788" s="0" t="s">
        <v>296</v>
      </c>
      <c r="E2788" s="0" t="s">
        <v>68</v>
      </c>
      <c r="F2788" s="0" t="s">
        <v>30</v>
      </c>
      <c r="I2788" s="0" t="n">
        <v>4000</v>
      </c>
      <c r="J2788" s="0" t="n">
        <v>0.888888888888889</v>
      </c>
      <c r="K2788" s="0" t="s">
        <v>3393</v>
      </c>
    </row>
    <row r="2789" customFormat="false" ht="15" hidden="false" customHeight="false" outlineLevel="0" collapsed="false">
      <c r="A2789" s="0" t="n">
        <v>232</v>
      </c>
      <c r="B2789" s="0" t="s">
        <v>3384</v>
      </c>
      <c r="C2789" s="0" t="s">
        <v>2823</v>
      </c>
      <c r="D2789" s="0" t="s">
        <v>296</v>
      </c>
      <c r="E2789" s="0" t="s">
        <v>53</v>
      </c>
      <c r="F2789" s="0" t="s">
        <v>27</v>
      </c>
      <c r="G2789" s="0" t="n">
        <v>0.7</v>
      </c>
      <c r="H2789" s="0" t="n">
        <v>3</v>
      </c>
      <c r="I2789" s="0" t="n">
        <v>6300</v>
      </c>
      <c r="J2789" s="0" t="n">
        <v>1.4</v>
      </c>
      <c r="K2789" s="0" t="s">
        <v>3394</v>
      </c>
      <c r="L2789" s="0" t="s">
        <v>3395</v>
      </c>
    </row>
    <row r="2790" customFormat="false" ht="15" hidden="false" customHeight="false" outlineLevel="0" collapsed="false">
      <c r="A2790" s="0" t="n">
        <v>232</v>
      </c>
      <c r="B2790" s="0" t="s">
        <v>3384</v>
      </c>
      <c r="C2790" s="0" t="s">
        <v>2823</v>
      </c>
      <c r="D2790" s="0" t="s">
        <v>296</v>
      </c>
      <c r="E2790" s="0" t="s">
        <v>56</v>
      </c>
      <c r="F2790" s="0" t="s">
        <v>28</v>
      </c>
      <c r="I2790" s="0" t="n">
        <v>700</v>
      </c>
      <c r="J2790" s="0" t="n">
        <v>0.155555555555556</v>
      </c>
      <c r="K2790" s="0" t="s">
        <v>3396</v>
      </c>
    </row>
    <row r="2791" customFormat="false" ht="15" hidden="false" customHeight="false" outlineLevel="0" collapsed="false">
      <c r="A2791" s="0" t="n">
        <v>232</v>
      </c>
      <c r="B2791" s="0" t="s">
        <v>3384</v>
      </c>
      <c r="C2791" s="0" t="s">
        <v>2823</v>
      </c>
      <c r="D2791" s="0" t="s">
        <v>296</v>
      </c>
      <c r="E2791" s="0" t="s">
        <v>58</v>
      </c>
      <c r="F2791" s="0" t="s">
        <v>28</v>
      </c>
      <c r="I2791" s="0" t="n">
        <v>2500</v>
      </c>
      <c r="J2791" s="0" t="n">
        <v>0.555555555555556</v>
      </c>
      <c r="K2791" s="0" t="s">
        <v>3397</v>
      </c>
    </row>
    <row r="2792" customFormat="false" ht="15" hidden="false" customHeight="false" outlineLevel="0" collapsed="false">
      <c r="A2792" s="0" t="n">
        <v>232</v>
      </c>
      <c r="B2792" s="0" t="s">
        <v>3384</v>
      </c>
      <c r="C2792" s="0" t="s">
        <v>2823</v>
      </c>
      <c r="D2792" s="0" t="s">
        <v>296</v>
      </c>
      <c r="E2792" s="0" t="s">
        <v>60</v>
      </c>
      <c r="F2792" s="0" t="s">
        <v>27</v>
      </c>
      <c r="I2792" s="0" t="n">
        <v>200</v>
      </c>
      <c r="J2792" s="0" t="n">
        <v>0.0444444444444445</v>
      </c>
      <c r="K2792" s="0" t="s">
        <v>3398</v>
      </c>
    </row>
    <row r="2793" customFormat="false" ht="15" hidden="false" customHeight="false" outlineLevel="0" collapsed="false">
      <c r="A2793" s="0" t="n">
        <v>232</v>
      </c>
      <c r="B2793" s="0" t="s">
        <v>3384</v>
      </c>
      <c r="C2793" s="0" t="s">
        <v>2823</v>
      </c>
      <c r="D2793" s="0" t="s">
        <v>296</v>
      </c>
      <c r="E2793" s="0" t="s">
        <v>62</v>
      </c>
      <c r="F2793" s="0" t="s">
        <v>27</v>
      </c>
      <c r="I2793" s="0" t="n">
        <v>100</v>
      </c>
      <c r="J2793" s="0" t="n">
        <v>0.0222222222222222</v>
      </c>
      <c r="K2793" s="0" t="s">
        <v>3399</v>
      </c>
    </row>
    <row r="2794" customFormat="false" ht="15" hidden="false" customHeight="false" outlineLevel="0" collapsed="false">
      <c r="A2794" s="0" t="n">
        <v>232</v>
      </c>
      <c r="B2794" s="0" t="s">
        <v>3384</v>
      </c>
      <c r="C2794" s="0" t="s">
        <v>2823</v>
      </c>
      <c r="D2794" s="0" t="s">
        <v>296</v>
      </c>
      <c r="E2794" s="0" t="s">
        <v>64</v>
      </c>
      <c r="F2794" s="0" t="s">
        <v>27</v>
      </c>
      <c r="I2794" s="0" t="n">
        <v>750</v>
      </c>
      <c r="J2794" s="0" t="n">
        <v>0.166666666666667</v>
      </c>
      <c r="K2794" s="0" t="s">
        <v>3400</v>
      </c>
    </row>
    <row r="2795" customFormat="false" ht="15" hidden="false" customHeight="false" outlineLevel="0" collapsed="false">
      <c r="A2795" s="0" t="n">
        <v>232</v>
      </c>
      <c r="B2795" s="0" t="s">
        <v>3384</v>
      </c>
      <c r="C2795" s="0" t="s">
        <v>2823</v>
      </c>
      <c r="D2795" s="0" t="s">
        <v>296</v>
      </c>
      <c r="E2795" s="0" t="s">
        <v>66</v>
      </c>
      <c r="F2795" s="0" t="s">
        <v>27</v>
      </c>
      <c r="I2795" s="0" t="n">
        <v>250</v>
      </c>
      <c r="J2795" s="0" t="n">
        <v>0.0555555555555556</v>
      </c>
      <c r="K2795" s="0" t="s">
        <v>3401</v>
      </c>
      <c r="L2795" s="0" t="s">
        <v>645</v>
      </c>
    </row>
    <row r="2796" customFormat="false" ht="15" hidden="false" customHeight="false" outlineLevel="0" collapsed="false">
      <c r="A2796" s="0" t="n">
        <v>232</v>
      </c>
      <c r="B2796" s="0" t="s">
        <v>3384</v>
      </c>
      <c r="C2796" s="0" t="s">
        <v>2823</v>
      </c>
      <c r="D2796" s="0" t="s">
        <v>296</v>
      </c>
      <c r="E2796" s="0" t="s">
        <v>68</v>
      </c>
      <c r="F2796" s="0" t="s">
        <v>30</v>
      </c>
      <c r="I2796" s="0" t="n">
        <v>4000</v>
      </c>
      <c r="J2796" s="0" t="n">
        <v>0.888888888888889</v>
      </c>
      <c r="K2796" s="0" t="s">
        <v>3402</v>
      </c>
      <c r="L2796" s="0" t="s">
        <v>647</v>
      </c>
    </row>
    <row r="2797" customFormat="false" ht="15" hidden="false" customHeight="false" outlineLevel="0" collapsed="false">
      <c r="A2797" s="0" t="n">
        <v>233</v>
      </c>
      <c r="B2797" s="0" t="s">
        <v>3384</v>
      </c>
      <c r="C2797" s="0" t="s">
        <v>68</v>
      </c>
      <c r="D2797" s="0" t="s">
        <v>311</v>
      </c>
      <c r="E2797" s="0" t="s">
        <v>53</v>
      </c>
      <c r="F2797" s="0" t="s">
        <v>27</v>
      </c>
      <c r="G2797" s="0" t="n">
        <v>0.5</v>
      </c>
      <c r="H2797" s="0" t="n">
        <v>1.8</v>
      </c>
      <c r="I2797" s="0" t="n">
        <v>2025</v>
      </c>
      <c r="J2797" s="0" t="n">
        <v>0.45</v>
      </c>
      <c r="K2797" s="0" t="s">
        <v>3403</v>
      </c>
      <c r="L2797" s="0" t="s">
        <v>3404</v>
      </c>
    </row>
    <row r="2798" customFormat="false" ht="15" hidden="false" customHeight="false" outlineLevel="0" collapsed="false">
      <c r="A2798" s="0" t="n">
        <v>233</v>
      </c>
      <c r="B2798" s="0" t="s">
        <v>3384</v>
      </c>
      <c r="C2798" s="0" t="s">
        <v>68</v>
      </c>
      <c r="D2798" s="0" t="s">
        <v>311</v>
      </c>
      <c r="E2798" s="0" t="s">
        <v>56</v>
      </c>
      <c r="F2798" s="0" t="s">
        <v>28</v>
      </c>
      <c r="I2798" s="0" t="n">
        <v>700</v>
      </c>
      <c r="J2798" s="0" t="n">
        <v>0.155555555555556</v>
      </c>
      <c r="K2798" s="0" t="s">
        <v>3405</v>
      </c>
    </row>
    <row r="2799" customFormat="false" ht="15" hidden="false" customHeight="false" outlineLevel="0" collapsed="false">
      <c r="A2799" s="0" t="n">
        <v>233</v>
      </c>
      <c r="B2799" s="0" t="s">
        <v>3384</v>
      </c>
      <c r="C2799" s="0" t="s">
        <v>68</v>
      </c>
      <c r="D2799" s="0" t="s">
        <v>311</v>
      </c>
      <c r="E2799" s="0" t="s">
        <v>58</v>
      </c>
      <c r="F2799" s="0" t="s">
        <v>28</v>
      </c>
      <c r="I2799" s="0" t="n">
        <v>2500</v>
      </c>
      <c r="J2799" s="0" t="n">
        <v>0.555555555555556</v>
      </c>
      <c r="K2799" s="0" t="s">
        <v>3406</v>
      </c>
    </row>
    <row r="2800" customFormat="false" ht="15" hidden="false" customHeight="false" outlineLevel="0" collapsed="false">
      <c r="A2800" s="0" t="n">
        <v>233</v>
      </c>
      <c r="B2800" s="0" t="s">
        <v>3384</v>
      </c>
      <c r="C2800" s="0" t="s">
        <v>68</v>
      </c>
      <c r="D2800" s="0" t="s">
        <v>311</v>
      </c>
      <c r="E2800" s="0" t="s">
        <v>60</v>
      </c>
      <c r="F2800" s="0" t="s">
        <v>27</v>
      </c>
      <c r="I2800" s="0" t="n">
        <v>200</v>
      </c>
      <c r="J2800" s="0" t="n">
        <v>0.0444444444444445</v>
      </c>
      <c r="K2800" s="0" t="s">
        <v>3407</v>
      </c>
    </row>
    <row r="2801" customFormat="false" ht="15" hidden="false" customHeight="false" outlineLevel="0" collapsed="false">
      <c r="A2801" s="0" t="n">
        <v>233</v>
      </c>
      <c r="B2801" s="0" t="s">
        <v>3384</v>
      </c>
      <c r="C2801" s="0" t="s">
        <v>68</v>
      </c>
      <c r="D2801" s="0" t="s">
        <v>311</v>
      </c>
      <c r="E2801" s="0" t="s">
        <v>62</v>
      </c>
      <c r="F2801" s="0" t="s">
        <v>27</v>
      </c>
      <c r="I2801" s="0" t="n">
        <v>100</v>
      </c>
      <c r="J2801" s="0" t="n">
        <v>0.0222222222222222</v>
      </c>
      <c r="K2801" s="0" t="s">
        <v>3408</v>
      </c>
    </row>
    <row r="2802" customFormat="false" ht="15" hidden="false" customHeight="false" outlineLevel="0" collapsed="false">
      <c r="A2802" s="0" t="n">
        <v>233</v>
      </c>
      <c r="B2802" s="0" t="s">
        <v>3384</v>
      </c>
      <c r="C2802" s="0" t="s">
        <v>68</v>
      </c>
      <c r="D2802" s="0" t="s">
        <v>311</v>
      </c>
      <c r="E2802" s="0" t="s">
        <v>64</v>
      </c>
      <c r="F2802" s="0" t="s">
        <v>27</v>
      </c>
      <c r="I2802" s="0" t="n">
        <v>750</v>
      </c>
      <c r="J2802" s="0" t="n">
        <v>0.166666666666667</v>
      </c>
      <c r="K2802" s="0" t="s">
        <v>3409</v>
      </c>
    </row>
    <row r="2803" customFormat="false" ht="15" hidden="false" customHeight="false" outlineLevel="0" collapsed="false">
      <c r="A2803" s="0" t="n">
        <v>233</v>
      </c>
      <c r="B2803" s="0" t="s">
        <v>3384</v>
      </c>
      <c r="C2803" s="0" t="s">
        <v>68</v>
      </c>
      <c r="D2803" s="0" t="s">
        <v>311</v>
      </c>
      <c r="E2803" s="0" t="s">
        <v>66</v>
      </c>
      <c r="F2803" s="0" t="s">
        <v>27</v>
      </c>
      <c r="I2803" s="0" t="n">
        <v>250</v>
      </c>
      <c r="J2803" s="0" t="n">
        <v>0.0555555555555556</v>
      </c>
      <c r="K2803" s="0" t="s">
        <v>3410</v>
      </c>
    </row>
    <row r="2804" customFormat="false" ht="15" hidden="false" customHeight="false" outlineLevel="0" collapsed="false">
      <c r="A2804" s="0" t="n">
        <v>233</v>
      </c>
      <c r="B2804" s="0" t="s">
        <v>3384</v>
      </c>
      <c r="C2804" s="0" t="s">
        <v>68</v>
      </c>
      <c r="D2804" s="0" t="s">
        <v>311</v>
      </c>
      <c r="E2804" s="0" t="s">
        <v>68</v>
      </c>
      <c r="F2804" s="0" t="s">
        <v>30</v>
      </c>
      <c r="I2804" s="0" t="n">
        <v>4000</v>
      </c>
      <c r="J2804" s="0" t="n">
        <v>0.888888888888889</v>
      </c>
      <c r="K2804" s="0" t="s">
        <v>3411</v>
      </c>
    </row>
    <row r="2805" customFormat="false" ht="15" hidden="false" customHeight="false" outlineLevel="0" collapsed="false">
      <c r="A2805" s="0" t="n">
        <v>234</v>
      </c>
      <c r="B2805" s="0" t="s">
        <v>3384</v>
      </c>
      <c r="C2805" s="0" t="s">
        <v>68</v>
      </c>
      <c r="D2805" s="0" t="s">
        <v>311</v>
      </c>
      <c r="E2805" s="0" t="s">
        <v>53</v>
      </c>
      <c r="F2805" s="0" t="s">
        <v>27</v>
      </c>
      <c r="G2805" s="0" t="n">
        <v>0.5</v>
      </c>
      <c r="H2805" s="0" t="n">
        <v>3</v>
      </c>
      <c r="I2805" s="0" t="n">
        <v>3375</v>
      </c>
      <c r="J2805" s="0" t="n">
        <v>0.75</v>
      </c>
      <c r="K2805" s="0" t="s">
        <v>3412</v>
      </c>
      <c r="L2805" s="0" t="s">
        <v>3413</v>
      </c>
    </row>
    <row r="2806" customFormat="false" ht="15" hidden="false" customHeight="false" outlineLevel="0" collapsed="false">
      <c r="A2806" s="0" t="n">
        <v>234</v>
      </c>
      <c r="B2806" s="0" t="s">
        <v>3384</v>
      </c>
      <c r="C2806" s="0" t="s">
        <v>68</v>
      </c>
      <c r="D2806" s="0" t="s">
        <v>311</v>
      </c>
      <c r="E2806" s="0" t="s">
        <v>56</v>
      </c>
      <c r="F2806" s="0" t="s">
        <v>28</v>
      </c>
      <c r="I2806" s="0" t="n">
        <v>700</v>
      </c>
      <c r="J2806" s="0" t="n">
        <v>0.155555555555556</v>
      </c>
      <c r="K2806" s="0" t="s">
        <v>3414</v>
      </c>
    </row>
    <row r="2807" customFormat="false" ht="15" hidden="false" customHeight="false" outlineLevel="0" collapsed="false">
      <c r="A2807" s="0" t="n">
        <v>234</v>
      </c>
      <c r="B2807" s="0" t="s">
        <v>3384</v>
      </c>
      <c r="C2807" s="0" t="s">
        <v>68</v>
      </c>
      <c r="D2807" s="0" t="s">
        <v>311</v>
      </c>
      <c r="E2807" s="0" t="s">
        <v>58</v>
      </c>
      <c r="F2807" s="0" t="s">
        <v>28</v>
      </c>
      <c r="I2807" s="0" t="n">
        <v>2500</v>
      </c>
      <c r="J2807" s="0" t="n">
        <v>0.555555555555556</v>
      </c>
      <c r="K2807" s="0" t="s">
        <v>3415</v>
      </c>
    </row>
    <row r="2808" customFormat="false" ht="15" hidden="false" customHeight="false" outlineLevel="0" collapsed="false">
      <c r="A2808" s="0" t="n">
        <v>234</v>
      </c>
      <c r="B2808" s="0" t="s">
        <v>3384</v>
      </c>
      <c r="C2808" s="0" t="s">
        <v>68</v>
      </c>
      <c r="D2808" s="0" t="s">
        <v>311</v>
      </c>
      <c r="E2808" s="0" t="s">
        <v>60</v>
      </c>
      <c r="F2808" s="0" t="s">
        <v>27</v>
      </c>
      <c r="I2808" s="0" t="n">
        <v>200</v>
      </c>
      <c r="J2808" s="0" t="n">
        <v>0.0444444444444445</v>
      </c>
      <c r="K2808" s="0" t="s">
        <v>3416</v>
      </c>
    </row>
    <row r="2809" customFormat="false" ht="15" hidden="false" customHeight="false" outlineLevel="0" collapsed="false">
      <c r="A2809" s="0" t="n">
        <v>234</v>
      </c>
      <c r="B2809" s="0" t="s">
        <v>3384</v>
      </c>
      <c r="C2809" s="0" t="s">
        <v>68</v>
      </c>
      <c r="D2809" s="0" t="s">
        <v>311</v>
      </c>
      <c r="E2809" s="0" t="s">
        <v>62</v>
      </c>
      <c r="F2809" s="0" t="s">
        <v>27</v>
      </c>
      <c r="I2809" s="0" t="n">
        <v>100</v>
      </c>
      <c r="J2809" s="0" t="n">
        <v>0.0222222222222222</v>
      </c>
      <c r="K2809" s="0" t="s">
        <v>3417</v>
      </c>
    </row>
    <row r="2810" customFormat="false" ht="15" hidden="false" customHeight="false" outlineLevel="0" collapsed="false">
      <c r="A2810" s="0" t="n">
        <v>234</v>
      </c>
      <c r="B2810" s="0" t="s">
        <v>3384</v>
      </c>
      <c r="C2810" s="0" t="s">
        <v>68</v>
      </c>
      <c r="D2810" s="0" t="s">
        <v>311</v>
      </c>
      <c r="E2810" s="0" t="s">
        <v>64</v>
      </c>
      <c r="F2810" s="0" t="s">
        <v>27</v>
      </c>
      <c r="I2810" s="0" t="n">
        <v>750</v>
      </c>
      <c r="J2810" s="0" t="n">
        <v>0.166666666666667</v>
      </c>
      <c r="K2810" s="0" t="s">
        <v>3418</v>
      </c>
    </row>
    <row r="2811" customFormat="false" ht="15" hidden="false" customHeight="false" outlineLevel="0" collapsed="false">
      <c r="A2811" s="0" t="n">
        <v>234</v>
      </c>
      <c r="B2811" s="0" t="s">
        <v>3384</v>
      </c>
      <c r="C2811" s="0" t="s">
        <v>68</v>
      </c>
      <c r="D2811" s="0" t="s">
        <v>311</v>
      </c>
      <c r="E2811" s="0" t="s">
        <v>66</v>
      </c>
      <c r="F2811" s="0" t="s">
        <v>27</v>
      </c>
      <c r="I2811" s="0" t="n">
        <v>250</v>
      </c>
      <c r="J2811" s="0" t="n">
        <v>0.0555555555555556</v>
      </c>
      <c r="K2811" s="0" t="s">
        <v>3419</v>
      </c>
    </row>
    <row r="2812" customFormat="false" ht="15" hidden="false" customHeight="false" outlineLevel="0" collapsed="false">
      <c r="A2812" s="0" t="n">
        <v>234</v>
      </c>
      <c r="B2812" s="0" t="s">
        <v>3384</v>
      </c>
      <c r="C2812" s="0" t="s">
        <v>68</v>
      </c>
      <c r="D2812" s="0" t="s">
        <v>311</v>
      </c>
      <c r="E2812" s="0" t="s">
        <v>68</v>
      </c>
      <c r="F2812" s="0" t="s">
        <v>30</v>
      </c>
      <c r="I2812" s="0" t="n">
        <v>4000</v>
      </c>
      <c r="J2812" s="0" t="n">
        <v>0.888888888888889</v>
      </c>
      <c r="K2812" s="0" t="s">
        <v>3420</v>
      </c>
    </row>
    <row r="2813" customFormat="false" ht="15" hidden="false" customHeight="false" outlineLevel="0" collapsed="false">
      <c r="A2813" s="0" t="n">
        <v>235</v>
      </c>
      <c r="B2813" s="0" t="s">
        <v>3384</v>
      </c>
      <c r="C2813" s="0" t="s">
        <v>68</v>
      </c>
      <c r="D2813" s="0" t="s">
        <v>349</v>
      </c>
      <c r="E2813" s="0" t="s">
        <v>53</v>
      </c>
      <c r="F2813" s="0" t="s">
        <v>27</v>
      </c>
      <c r="G2813" s="0" t="n">
        <v>0.8</v>
      </c>
      <c r="H2813" s="0" t="n">
        <v>1.8</v>
      </c>
      <c r="I2813" s="0" t="n">
        <v>4320</v>
      </c>
      <c r="J2813" s="0" t="n">
        <v>0.96</v>
      </c>
      <c r="K2813" s="0" t="s">
        <v>3421</v>
      </c>
      <c r="L2813" s="0" t="s">
        <v>3422</v>
      </c>
    </row>
    <row r="2814" customFormat="false" ht="15" hidden="false" customHeight="false" outlineLevel="0" collapsed="false">
      <c r="A2814" s="0" t="n">
        <v>235</v>
      </c>
      <c r="B2814" s="0" t="s">
        <v>3384</v>
      </c>
      <c r="C2814" s="0" t="s">
        <v>68</v>
      </c>
      <c r="D2814" s="0" t="s">
        <v>349</v>
      </c>
      <c r="E2814" s="0" t="s">
        <v>56</v>
      </c>
      <c r="F2814" s="0" t="s">
        <v>28</v>
      </c>
      <c r="I2814" s="0" t="n">
        <v>700</v>
      </c>
      <c r="J2814" s="0" t="n">
        <v>0.155555555555556</v>
      </c>
      <c r="K2814" s="0" t="s">
        <v>3423</v>
      </c>
    </row>
    <row r="2815" customFormat="false" ht="15" hidden="false" customHeight="false" outlineLevel="0" collapsed="false">
      <c r="A2815" s="0" t="n">
        <v>235</v>
      </c>
      <c r="B2815" s="0" t="s">
        <v>3384</v>
      </c>
      <c r="C2815" s="0" t="s">
        <v>68</v>
      </c>
      <c r="D2815" s="0" t="s">
        <v>349</v>
      </c>
      <c r="E2815" s="0" t="s">
        <v>58</v>
      </c>
      <c r="F2815" s="0" t="s">
        <v>28</v>
      </c>
      <c r="I2815" s="0" t="n">
        <v>2500</v>
      </c>
      <c r="J2815" s="0" t="n">
        <v>0.555555555555556</v>
      </c>
      <c r="K2815" s="0" t="s">
        <v>3424</v>
      </c>
    </row>
    <row r="2816" customFormat="false" ht="15" hidden="false" customHeight="false" outlineLevel="0" collapsed="false">
      <c r="A2816" s="0" t="n">
        <v>235</v>
      </c>
      <c r="B2816" s="0" t="s">
        <v>3384</v>
      </c>
      <c r="C2816" s="0" t="s">
        <v>68</v>
      </c>
      <c r="D2816" s="0" t="s">
        <v>349</v>
      </c>
      <c r="E2816" s="0" t="s">
        <v>64</v>
      </c>
      <c r="F2816" s="0" t="s">
        <v>27</v>
      </c>
      <c r="I2816" s="0" t="n">
        <v>750</v>
      </c>
      <c r="J2816" s="0" t="n">
        <v>0.166666666666667</v>
      </c>
      <c r="K2816" s="0" t="s">
        <v>3425</v>
      </c>
    </row>
    <row r="2817" customFormat="false" ht="15" hidden="false" customHeight="false" outlineLevel="0" collapsed="false">
      <c r="A2817" s="0" t="n">
        <v>235</v>
      </c>
      <c r="B2817" s="0" t="s">
        <v>3384</v>
      </c>
      <c r="C2817" s="0" t="s">
        <v>68</v>
      </c>
      <c r="D2817" s="0" t="s">
        <v>349</v>
      </c>
      <c r="E2817" s="0" t="s">
        <v>60</v>
      </c>
      <c r="F2817" s="0" t="s">
        <v>27</v>
      </c>
      <c r="I2817" s="0" t="n">
        <v>200</v>
      </c>
      <c r="J2817" s="0" t="n">
        <v>0.0444444444444445</v>
      </c>
      <c r="K2817" s="0" t="s">
        <v>3426</v>
      </c>
    </row>
    <row r="2818" customFormat="false" ht="15" hidden="false" customHeight="false" outlineLevel="0" collapsed="false">
      <c r="A2818" s="0" t="n">
        <v>235</v>
      </c>
      <c r="B2818" s="0" t="s">
        <v>3384</v>
      </c>
      <c r="C2818" s="0" t="s">
        <v>68</v>
      </c>
      <c r="D2818" s="0" t="s">
        <v>349</v>
      </c>
      <c r="E2818" s="0" t="s">
        <v>62</v>
      </c>
      <c r="F2818" s="0" t="s">
        <v>27</v>
      </c>
      <c r="I2818" s="0" t="n">
        <v>100</v>
      </c>
      <c r="J2818" s="0" t="n">
        <v>0.0222222222222222</v>
      </c>
      <c r="K2818" s="0" t="s">
        <v>3427</v>
      </c>
    </row>
    <row r="2819" customFormat="false" ht="15" hidden="false" customHeight="false" outlineLevel="0" collapsed="false">
      <c r="A2819" s="0" t="n">
        <v>235</v>
      </c>
      <c r="B2819" s="0" t="s">
        <v>3384</v>
      </c>
      <c r="C2819" s="0" t="s">
        <v>68</v>
      </c>
      <c r="D2819" s="0" t="s">
        <v>349</v>
      </c>
      <c r="E2819" s="0" t="s">
        <v>66</v>
      </c>
      <c r="F2819" s="0" t="s">
        <v>27</v>
      </c>
      <c r="I2819" s="0" t="n">
        <v>250</v>
      </c>
      <c r="J2819" s="0" t="n">
        <v>0.0555555555555556</v>
      </c>
      <c r="K2819" s="0" t="s">
        <v>3428</v>
      </c>
    </row>
    <row r="2820" customFormat="false" ht="15" hidden="false" customHeight="false" outlineLevel="0" collapsed="false">
      <c r="A2820" s="0" t="n">
        <v>235</v>
      </c>
      <c r="B2820" s="0" t="s">
        <v>3384</v>
      </c>
      <c r="C2820" s="0" t="s">
        <v>68</v>
      </c>
      <c r="D2820" s="0" t="s">
        <v>349</v>
      </c>
      <c r="E2820" s="0" t="s">
        <v>68</v>
      </c>
      <c r="F2820" s="0" t="s">
        <v>30</v>
      </c>
      <c r="I2820" s="0" t="n">
        <v>4000</v>
      </c>
      <c r="J2820" s="0" t="n">
        <v>0.888888888888889</v>
      </c>
      <c r="K2820" s="0" t="s">
        <v>3429</v>
      </c>
    </row>
    <row r="2821" customFormat="false" ht="15" hidden="false" customHeight="false" outlineLevel="0" collapsed="false">
      <c r="A2821" s="0" t="n">
        <v>236</v>
      </c>
      <c r="B2821" s="0" t="s">
        <v>3384</v>
      </c>
      <c r="C2821" s="0" t="s">
        <v>68</v>
      </c>
      <c r="D2821" s="0" t="s">
        <v>349</v>
      </c>
      <c r="E2821" s="0" t="s">
        <v>53</v>
      </c>
      <c r="F2821" s="0" t="s">
        <v>27</v>
      </c>
      <c r="G2821" s="0" t="n">
        <v>0.8</v>
      </c>
      <c r="H2821" s="0" t="n">
        <v>3</v>
      </c>
      <c r="I2821" s="0" t="n">
        <v>7200</v>
      </c>
      <c r="J2821" s="0" t="n">
        <v>1.6</v>
      </c>
      <c r="K2821" s="0" t="s">
        <v>3430</v>
      </c>
      <c r="L2821" s="0" t="s">
        <v>3431</v>
      </c>
    </row>
    <row r="2822" customFormat="false" ht="15" hidden="false" customHeight="false" outlineLevel="0" collapsed="false">
      <c r="A2822" s="0" t="n">
        <v>236</v>
      </c>
      <c r="B2822" s="0" t="s">
        <v>3384</v>
      </c>
      <c r="C2822" s="0" t="s">
        <v>68</v>
      </c>
      <c r="D2822" s="0" t="s">
        <v>349</v>
      </c>
      <c r="E2822" s="0" t="s">
        <v>56</v>
      </c>
      <c r="F2822" s="0" t="s">
        <v>28</v>
      </c>
      <c r="I2822" s="0" t="n">
        <v>700</v>
      </c>
      <c r="J2822" s="0" t="n">
        <v>0.155555555555556</v>
      </c>
      <c r="K2822" s="0" t="s">
        <v>3432</v>
      </c>
    </row>
    <row r="2823" customFormat="false" ht="15" hidden="false" customHeight="false" outlineLevel="0" collapsed="false">
      <c r="A2823" s="0" t="n">
        <v>236</v>
      </c>
      <c r="B2823" s="0" t="s">
        <v>3384</v>
      </c>
      <c r="C2823" s="0" t="s">
        <v>68</v>
      </c>
      <c r="D2823" s="0" t="s">
        <v>349</v>
      </c>
      <c r="E2823" s="0" t="s">
        <v>58</v>
      </c>
      <c r="F2823" s="0" t="s">
        <v>28</v>
      </c>
      <c r="I2823" s="0" t="n">
        <v>2500</v>
      </c>
      <c r="J2823" s="0" t="n">
        <v>0.555555555555556</v>
      </c>
      <c r="K2823" s="0" t="s">
        <v>3433</v>
      </c>
    </row>
    <row r="2824" customFormat="false" ht="15" hidden="false" customHeight="false" outlineLevel="0" collapsed="false">
      <c r="A2824" s="0" t="n">
        <v>236</v>
      </c>
      <c r="B2824" s="0" t="s">
        <v>3384</v>
      </c>
      <c r="C2824" s="0" t="s">
        <v>68</v>
      </c>
      <c r="D2824" s="0" t="s">
        <v>349</v>
      </c>
      <c r="E2824" s="0" t="s">
        <v>64</v>
      </c>
      <c r="F2824" s="0" t="s">
        <v>27</v>
      </c>
      <c r="I2824" s="0" t="n">
        <v>750</v>
      </c>
      <c r="J2824" s="0" t="n">
        <v>0.166666666666667</v>
      </c>
      <c r="K2824" s="0" t="s">
        <v>3434</v>
      </c>
    </row>
    <row r="2825" customFormat="false" ht="15" hidden="false" customHeight="false" outlineLevel="0" collapsed="false">
      <c r="A2825" s="0" t="n">
        <v>236</v>
      </c>
      <c r="B2825" s="0" t="s">
        <v>3384</v>
      </c>
      <c r="C2825" s="0" t="s">
        <v>68</v>
      </c>
      <c r="D2825" s="0" t="s">
        <v>349</v>
      </c>
      <c r="E2825" s="0" t="s">
        <v>60</v>
      </c>
      <c r="F2825" s="0" t="s">
        <v>27</v>
      </c>
      <c r="I2825" s="0" t="n">
        <v>200</v>
      </c>
      <c r="J2825" s="0" t="n">
        <v>0.0444444444444445</v>
      </c>
      <c r="K2825" s="0" t="s">
        <v>3435</v>
      </c>
    </row>
    <row r="2826" customFormat="false" ht="15" hidden="false" customHeight="false" outlineLevel="0" collapsed="false">
      <c r="A2826" s="0" t="n">
        <v>236</v>
      </c>
      <c r="B2826" s="0" t="s">
        <v>3384</v>
      </c>
      <c r="C2826" s="0" t="s">
        <v>68</v>
      </c>
      <c r="D2826" s="0" t="s">
        <v>349</v>
      </c>
      <c r="E2826" s="0" t="s">
        <v>62</v>
      </c>
      <c r="F2826" s="0" t="s">
        <v>27</v>
      </c>
      <c r="I2826" s="0" t="n">
        <v>100</v>
      </c>
      <c r="J2826" s="0" t="n">
        <v>0.0222222222222222</v>
      </c>
      <c r="K2826" s="0" t="s">
        <v>3436</v>
      </c>
    </row>
    <row r="2827" customFormat="false" ht="15" hidden="false" customHeight="false" outlineLevel="0" collapsed="false">
      <c r="A2827" s="0" t="n">
        <v>236</v>
      </c>
      <c r="B2827" s="0" t="s">
        <v>3384</v>
      </c>
      <c r="C2827" s="0" t="s">
        <v>68</v>
      </c>
      <c r="D2827" s="0" t="s">
        <v>349</v>
      </c>
      <c r="E2827" s="0" t="s">
        <v>66</v>
      </c>
      <c r="F2827" s="0" t="s">
        <v>27</v>
      </c>
      <c r="I2827" s="0" t="n">
        <v>250</v>
      </c>
      <c r="J2827" s="0" t="n">
        <v>0.0555555555555556</v>
      </c>
      <c r="K2827" s="0" t="s">
        <v>3437</v>
      </c>
      <c r="L2827" s="0" t="s">
        <v>3438</v>
      </c>
    </row>
    <row r="2828" customFormat="false" ht="15" hidden="false" customHeight="false" outlineLevel="0" collapsed="false">
      <c r="A2828" s="0" t="n">
        <v>236</v>
      </c>
      <c r="B2828" s="0" t="s">
        <v>3384</v>
      </c>
      <c r="C2828" s="0" t="s">
        <v>68</v>
      </c>
      <c r="D2828" s="0" t="s">
        <v>349</v>
      </c>
      <c r="E2828" s="0" t="s">
        <v>68</v>
      </c>
      <c r="F2828" s="0" t="s">
        <v>30</v>
      </c>
      <c r="I2828" s="0" t="n">
        <v>4000</v>
      </c>
      <c r="J2828" s="0" t="n">
        <v>0.888888888888889</v>
      </c>
      <c r="K2828" s="0" t="s">
        <v>3439</v>
      </c>
      <c r="L2828" s="0" t="s">
        <v>2877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39</v>
      </c>
      <c r="B1" s="0" t="s">
        <v>40</v>
      </c>
      <c r="C1" s="0" t="s">
        <v>3440</v>
      </c>
      <c r="D1" s="0" t="s">
        <v>3441</v>
      </c>
      <c r="E1" s="0" t="s">
        <v>3442</v>
      </c>
      <c r="F1" s="0" t="s">
        <v>48</v>
      </c>
      <c r="G1" s="0" t="s">
        <v>3443</v>
      </c>
      <c r="H1" s="0" t="s">
        <v>3444</v>
      </c>
      <c r="I1" s="23" t="s">
        <v>3445</v>
      </c>
    </row>
    <row r="2" customFormat="false" ht="15" hidden="false" customHeight="false" outlineLevel="0" collapsed="false">
      <c r="A2" s="0" t="n">
        <v>1</v>
      </c>
      <c r="B2" s="0" t="s">
        <v>51</v>
      </c>
      <c r="C2" s="0" t="s">
        <v>52</v>
      </c>
      <c r="D2" s="0" t="s">
        <v>3446</v>
      </c>
      <c r="E2" s="0" t="n">
        <v>1.4</v>
      </c>
      <c r="F2" s="0" t="n">
        <v>3.6525</v>
      </c>
      <c r="G2" s="0" t="n">
        <v>5.1135</v>
      </c>
      <c r="H2" s="0" t="s">
        <v>3447</v>
      </c>
      <c r="I2" s="0" t="str">
        <f aca="false">A2&amp;"|"&amp;TRIM(D2)</f>
        <v>1|+5 DOC</v>
      </c>
    </row>
    <row r="3" customFormat="false" ht="15" hidden="false" customHeight="false" outlineLevel="0" collapsed="false">
      <c r="A3" s="0" t="n">
        <v>1</v>
      </c>
      <c r="B3" s="0" t="s">
        <v>51</v>
      </c>
      <c r="C3" s="0" t="s">
        <v>52</v>
      </c>
      <c r="D3" s="0" t="s">
        <v>9</v>
      </c>
      <c r="E3" s="0" t="n">
        <v>1.6</v>
      </c>
      <c r="F3" s="0" t="n">
        <v>3.6525</v>
      </c>
      <c r="G3" s="0" t="n">
        <v>5.844</v>
      </c>
      <c r="H3" s="0" t="s">
        <v>3448</v>
      </c>
      <c r="I3" s="0" t="str">
        <f aca="false">A3&amp;"|"&amp;TRIM(D3)</f>
        <v>1|1 A 5 DOC</v>
      </c>
    </row>
    <row r="4" customFormat="false" ht="15" hidden="false" customHeight="false" outlineLevel="0" collapsed="false">
      <c r="A4" s="0" t="n">
        <v>1</v>
      </c>
      <c r="B4" s="0" t="s">
        <v>51</v>
      </c>
      <c r="C4" s="0" t="s">
        <v>52</v>
      </c>
      <c r="D4" s="0" t="s">
        <v>3449</v>
      </c>
      <c r="E4" s="0" t="n">
        <v>1.99</v>
      </c>
      <c r="F4" s="0" t="n">
        <v>3.6525</v>
      </c>
      <c r="G4" s="0" t="n">
        <v>7.268475</v>
      </c>
      <c r="H4" s="0" t="s">
        <v>3450</v>
      </c>
      <c r="I4" s="0" t="str">
        <f aca="false">A4&amp;"|"&amp;TRIM(D4)</f>
        <v>1|DETAL</v>
      </c>
    </row>
    <row r="5" customFormat="false" ht="15" hidden="false" customHeight="false" outlineLevel="0" collapsed="false">
      <c r="A5" s="0" t="n">
        <v>2</v>
      </c>
      <c r="B5" s="0" t="s">
        <v>51</v>
      </c>
      <c r="C5" s="0" t="s">
        <v>70</v>
      </c>
      <c r="D5" s="0" t="s">
        <v>3446</v>
      </c>
      <c r="E5" s="0" t="n">
        <v>1.3</v>
      </c>
      <c r="F5" s="0" t="n">
        <v>4.4125</v>
      </c>
      <c r="G5" s="0" t="n">
        <v>5.73625</v>
      </c>
      <c r="H5" s="0" t="s">
        <v>3451</v>
      </c>
      <c r="I5" s="0" t="str">
        <f aca="false">A5&amp;"|"&amp;TRIM(D5)</f>
        <v>2|+5 DOC</v>
      </c>
    </row>
    <row r="6" customFormat="false" ht="15" hidden="false" customHeight="false" outlineLevel="0" collapsed="false">
      <c r="A6" s="0" t="n">
        <v>2</v>
      </c>
      <c r="B6" s="0" t="s">
        <v>51</v>
      </c>
      <c r="C6" s="0" t="s">
        <v>70</v>
      </c>
      <c r="D6" s="0" t="s">
        <v>9</v>
      </c>
      <c r="E6" s="0" t="n">
        <v>1.5</v>
      </c>
      <c r="F6" s="0" t="n">
        <v>4.4125</v>
      </c>
      <c r="G6" s="0" t="n">
        <v>6.61875</v>
      </c>
      <c r="H6" s="0" t="s">
        <v>3452</v>
      </c>
      <c r="I6" s="0" t="str">
        <f aca="false">A6&amp;"|"&amp;TRIM(D6)</f>
        <v>2|1 A 5 DOC</v>
      </c>
    </row>
    <row r="7" customFormat="false" ht="15" hidden="false" customHeight="false" outlineLevel="0" collapsed="false">
      <c r="A7" s="0" t="n">
        <v>2</v>
      </c>
      <c r="B7" s="0" t="s">
        <v>51</v>
      </c>
      <c r="C7" s="0" t="s">
        <v>70</v>
      </c>
      <c r="D7" s="0" t="s">
        <v>3449</v>
      </c>
      <c r="E7" s="0" t="n">
        <v>1.7</v>
      </c>
      <c r="F7" s="0" t="n">
        <v>4.4125</v>
      </c>
      <c r="G7" s="0" t="n">
        <v>7.50125</v>
      </c>
      <c r="H7" s="0" t="s">
        <v>3453</v>
      </c>
      <c r="I7" s="0" t="str">
        <f aca="false">A7&amp;"|"&amp;TRIM(D7)</f>
        <v>2|DETAL</v>
      </c>
    </row>
    <row r="8" customFormat="false" ht="15" hidden="false" customHeight="false" outlineLevel="0" collapsed="false">
      <c r="A8" s="0" t="n">
        <v>3</v>
      </c>
      <c r="B8" s="0" t="s">
        <v>51</v>
      </c>
      <c r="C8" s="0" t="s">
        <v>80</v>
      </c>
      <c r="D8" s="0" t="s">
        <v>3446</v>
      </c>
      <c r="E8" s="0" t="n">
        <v>1.3</v>
      </c>
      <c r="F8" s="0" t="n">
        <v>1.5775</v>
      </c>
      <c r="G8" s="0" t="n">
        <v>2.05075</v>
      </c>
      <c r="H8" s="0" t="s">
        <v>3454</v>
      </c>
      <c r="I8" s="0" t="str">
        <f aca="false">A8&amp;"|"&amp;TRIM(D8)</f>
        <v>3|+5 DOC</v>
      </c>
    </row>
    <row r="9" customFormat="false" ht="15" hidden="false" customHeight="false" outlineLevel="0" collapsed="false">
      <c r="A9" s="0" t="n">
        <v>3</v>
      </c>
      <c r="B9" s="0" t="s">
        <v>51</v>
      </c>
      <c r="C9" s="0" t="s">
        <v>80</v>
      </c>
      <c r="D9" s="0" t="s">
        <v>9</v>
      </c>
      <c r="E9" s="0" t="n">
        <v>1.5</v>
      </c>
      <c r="F9" s="0" t="n">
        <v>1.5775</v>
      </c>
      <c r="G9" s="0" t="n">
        <v>2.36625</v>
      </c>
      <c r="H9" s="0" t="s">
        <v>3455</v>
      </c>
      <c r="I9" s="0" t="str">
        <f aca="false">A9&amp;"|"&amp;TRIM(D9)</f>
        <v>3|1 A 5 DOC</v>
      </c>
    </row>
    <row r="10" customFormat="false" ht="15" hidden="false" customHeight="false" outlineLevel="0" collapsed="false">
      <c r="A10" s="0" t="n">
        <v>3</v>
      </c>
      <c r="B10" s="0" t="s">
        <v>51</v>
      </c>
      <c r="C10" s="0" t="s">
        <v>80</v>
      </c>
      <c r="D10" s="0" t="s">
        <v>3449</v>
      </c>
      <c r="E10" s="0" t="n">
        <v>1.99</v>
      </c>
      <c r="F10" s="0" t="n">
        <v>1.5775</v>
      </c>
      <c r="G10" s="0" t="n">
        <v>3.139225</v>
      </c>
      <c r="H10" s="0" t="s">
        <v>3456</v>
      </c>
      <c r="I10" s="0" t="str">
        <f aca="false">A10&amp;"|"&amp;TRIM(D10)</f>
        <v>3|DETAL</v>
      </c>
    </row>
    <row r="11" customFormat="false" ht="15" hidden="false" customHeight="false" outlineLevel="0" collapsed="false">
      <c r="A11" s="0" t="n">
        <v>4</v>
      </c>
      <c r="B11" s="0" t="s">
        <v>51</v>
      </c>
      <c r="C11" s="0" t="s">
        <v>90</v>
      </c>
      <c r="D11" s="0" t="s">
        <v>3446</v>
      </c>
      <c r="E11" s="0" t="n">
        <v>1.4</v>
      </c>
      <c r="F11" s="0" t="n">
        <v>3.9875</v>
      </c>
      <c r="G11" s="0" t="n">
        <v>5.5825</v>
      </c>
      <c r="H11" s="0" t="s">
        <v>3457</v>
      </c>
      <c r="I11" s="0" t="str">
        <f aca="false">A11&amp;"|"&amp;TRIM(D11)</f>
        <v>4|+5 DOC</v>
      </c>
    </row>
    <row r="12" customFormat="false" ht="15" hidden="false" customHeight="false" outlineLevel="0" collapsed="false">
      <c r="A12" s="0" t="n">
        <v>4</v>
      </c>
      <c r="B12" s="0" t="s">
        <v>51</v>
      </c>
      <c r="C12" s="0" t="s">
        <v>90</v>
      </c>
      <c r="D12" s="0" t="s">
        <v>9</v>
      </c>
      <c r="E12" s="0" t="n">
        <v>1.6</v>
      </c>
      <c r="F12" s="0" t="n">
        <v>3.9875</v>
      </c>
      <c r="G12" s="0" t="n">
        <v>6.38</v>
      </c>
      <c r="H12" s="0" t="s">
        <v>3458</v>
      </c>
      <c r="I12" s="0" t="str">
        <f aca="false">A12&amp;"|"&amp;TRIM(D12)</f>
        <v>4|1 A 5 DOC</v>
      </c>
    </row>
    <row r="13" customFormat="false" ht="15" hidden="false" customHeight="false" outlineLevel="0" collapsed="false">
      <c r="A13" s="0" t="n">
        <v>4</v>
      </c>
      <c r="B13" s="0" t="s">
        <v>51</v>
      </c>
      <c r="C13" s="0" t="s">
        <v>90</v>
      </c>
      <c r="D13" s="0" t="s">
        <v>3449</v>
      </c>
      <c r="E13" s="0" t="n">
        <v>1.99</v>
      </c>
      <c r="F13" s="0" t="n">
        <v>3.9875</v>
      </c>
      <c r="G13" s="0" t="n">
        <v>7.935125</v>
      </c>
      <c r="H13" s="0" t="s">
        <v>3459</v>
      </c>
      <c r="I13" s="0" t="str">
        <f aca="false">A13&amp;"|"&amp;TRIM(D13)</f>
        <v>4|DETAL</v>
      </c>
    </row>
    <row r="14" customFormat="false" ht="15" hidden="false" customHeight="false" outlineLevel="0" collapsed="false">
      <c r="A14" s="0" t="n">
        <v>5</v>
      </c>
      <c r="B14" s="0" t="s">
        <v>51</v>
      </c>
      <c r="C14" s="0" t="s">
        <v>101</v>
      </c>
      <c r="D14" s="0" t="s">
        <v>3446</v>
      </c>
      <c r="E14" s="0" t="n">
        <v>1.4</v>
      </c>
      <c r="F14" s="0" t="n">
        <v>2.8375</v>
      </c>
      <c r="G14" s="0" t="n">
        <v>3.9725</v>
      </c>
      <c r="H14" s="0" t="s">
        <v>3460</v>
      </c>
      <c r="I14" s="0" t="str">
        <f aca="false">A14&amp;"|"&amp;TRIM(D14)</f>
        <v>5|+5 DOC</v>
      </c>
    </row>
    <row r="15" customFormat="false" ht="15" hidden="false" customHeight="false" outlineLevel="0" collapsed="false">
      <c r="A15" s="0" t="n">
        <v>5</v>
      </c>
      <c r="B15" s="0" t="s">
        <v>51</v>
      </c>
      <c r="C15" s="0" t="s">
        <v>101</v>
      </c>
      <c r="D15" s="0" t="s">
        <v>9</v>
      </c>
      <c r="E15" s="0" t="n">
        <v>1.6</v>
      </c>
      <c r="F15" s="0" t="n">
        <v>2.8375</v>
      </c>
      <c r="G15" s="0" t="n">
        <v>4.54</v>
      </c>
      <c r="H15" s="0" t="s">
        <v>3461</v>
      </c>
      <c r="I15" s="0" t="str">
        <f aca="false">A15&amp;"|"&amp;TRIM(D15)</f>
        <v>5|1 A 5 DOC</v>
      </c>
    </row>
    <row r="16" customFormat="false" ht="15" hidden="false" customHeight="false" outlineLevel="0" collapsed="false">
      <c r="A16" s="0" t="n">
        <v>5</v>
      </c>
      <c r="B16" s="0" t="s">
        <v>51</v>
      </c>
      <c r="C16" s="0" t="s">
        <v>101</v>
      </c>
      <c r="D16" s="0" t="s">
        <v>3449</v>
      </c>
      <c r="E16" s="0" t="n">
        <v>1.99</v>
      </c>
      <c r="F16" s="0" t="n">
        <v>2.8375</v>
      </c>
      <c r="G16" s="0" t="n">
        <v>5.646625</v>
      </c>
      <c r="H16" s="0" t="s">
        <v>3462</v>
      </c>
      <c r="I16" s="0" t="str">
        <f aca="false">A16&amp;"|"&amp;TRIM(D16)</f>
        <v>5|DETAL</v>
      </c>
    </row>
    <row r="17" customFormat="false" ht="15" hidden="false" customHeight="false" outlineLevel="0" collapsed="false">
      <c r="A17" s="0" t="n">
        <v>6</v>
      </c>
      <c r="B17" s="0" t="s">
        <v>51</v>
      </c>
      <c r="C17" s="0" t="s">
        <v>113</v>
      </c>
      <c r="D17" s="0" t="s">
        <v>3446</v>
      </c>
      <c r="E17" s="0" t="n">
        <v>1.3</v>
      </c>
      <c r="F17" s="0" t="n">
        <v>6.2375</v>
      </c>
      <c r="G17" s="0" t="n">
        <v>8.10875</v>
      </c>
      <c r="H17" s="0" t="s">
        <v>3463</v>
      </c>
      <c r="I17" s="0" t="str">
        <f aca="false">A17&amp;"|"&amp;TRIM(D17)</f>
        <v>6|+5 DOC</v>
      </c>
    </row>
    <row r="18" customFormat="false" ht="15" hidden="false" customHeight="false" outlineLevel="0" collapsed="false">
      <c r="A18" s="0" t="n">
        <v>6</v>
      </c>
      <c r="B18" s="0" t="s">
        <v>51</v>
      </c>
      <c r="C18" s="0" t="s">
        <v>113</v>
      </c>
      <c r="D18" s="0" t="s">
        <v>9</v>
      </c>
      <c r="E18" s="0" t="n">
        <v>1.7</v>
      </c>
      <c r="F18" s="0" t="n">
        <v>6.2375</v>
      </c>
      <c r="G18" s="0" t="n">
        <v>10.60375</v>
      </c>
      <c r="H18" s="0" t="s">
        <v>3464</v>
      </c>
      <c r="I18" s="0" t="str">
        <f aca="false">A18&amp;"|"&amp;TRIM(D18)</f>
        <v>6|1 A 5 DOC</v>
      </c>
    </row>
    <row r="19" customFormat="false" ht="15" hidden="false" customHeight="false" outlineLevel="0" collapsed="false">
      <c r="A19" s="0" t="n">
        <v>6</v>
      </c>
      <c r="B19" s="0" t="s">
        <v>51</v>
      </c>
      <c r="C19" s="0" t="s">
        <v>113</v>
      </c>
      <c r="D19" s="0" t="s">
        <v>3449</v>
      </c>
      <c r="E19" s="0" t="n">
        <v>1.9</v>
      </c>
      <c r="F19" s="0" t="n">
        <v>6.2375</v>
      </c>
      <c r="G19" s="0" t="n">
        <v>11.85125</v>
      </c>
      <c r="H19" s="0" t="s">
        <v>3465</v>
      </c>
      <c r="I19" s="0" t="str">
        <f aca="false">A19&amp;"|"&amp;TRIM(D19)</f>
        <v>6|DETAL</v>
      </c>
    </row>
    <row r="20" customFormat="false" ht="15" hidden="false" customHeight="false" outlineLevel="0" collapsed="false">
      <c r="A20" s="0" t="n">
        <v>7</v>
      </c>
      <c r="B20" s="0" t="s">
        <v>51</v>
      </c>
      <c r="C20" s="0" t="s">
        <v>52</v>
      </c>
      <c r="D20" s="0" t="s">
        <v>3446</v>
      </c>
      <c r="E20" s="0" t="n">
        <v>1.35</v>
      </c>
      <c r="F20" s="0" t="n">
        <v>3.6375</v>
      </c>
      <c r="G20" s="0" t="n">
        <v>4.910625</v>
      </c>
      <c r="H20" s="0" t="s">
        <v>3466</v>
      </c>
      <c r="I20" s="0" t="str">
        <f aca="false">A20&amp;"|"&amp;TRIM(D20)</f>
        <v>7|+5 DOC</v>
      </c>
    </row>
    <row r="21" customFormat="false" ht="15" hidden="false" customHeight="false" outlineLevel="0" collapsed="false">
      <c r="A21" s="0" t="n">
        <v>7</v>
      </c>
      <c r="B21" s="0" t="s">
        <v>51</v>
      </c>
      <c r="C21" s="0" t="s">
        <v>52</v>
      </c>
      <c r="D21" s="0" t="s">
        <v>9</v>
      </c>
      <c r="E21" s="0" t="n">
        <v>1.65</v>
      </c>
      <c r="F21" s="0" t="n">
        <v>3.6375</v>
      </c>
      <c r="G21" s="0" t="n">
        <v>6.001875</v>
      </c>
      <c r="H21" s="0" t="s">
        <v>3467</v>
      </c>
      <c r="I21" s="0" t="str">
        <f aca="false">A21&amp;"|"&amp;TRIM(D21)</f>
        <v>7|1 A 5 DOC</v>
      </c>
    </row>
    <row r="22" customFormat="false" ht="15" hidden="false" customHeight="false" outlineLevel="0" collapsed="false">
      <c r="A22" s="0" t="n">
        <v>7</v>
      </c>
      <c r="B22" s="0" t="s">
        <v>51</v>
      </c>
      <c r="C22" s="0" t="s">
        <v>52</v>
      </c>
      <c r="D22" s="0" t="s">
        <v>3449</v>
      </c>
      <c r="E22" s="0" t="n">
        <v>1.99</v>
      </c>
      <c r="F22" s="0" t="n">
        <v>3.6375</v>
      </c>
      <c r="G22" s="0" t="n">
        <v>7.238625</v>
      </c>
      <c r="H22" s="0" t="s">
        <v>3468</v>
      </c>
      <c r="I22" s="0" t="str">
        <f aca="false">A22&amp;"|"&amp;TRIM(D22)</f>
        <v>7|DETAL</v>
      </c>
    </row>
    <row r="23" customFormat="false" ht="15" hidden="false" customHeight="false" outlineLevel="0" collapsed="false">
      <c r="A23" s="0" t="n">
        <v>8</v>
      </c>
      <c r="B23" s="0" t="s">
        <v>51</v>
      </c>
      <c r="C23" s="0" t="s">
        <v>141</v>
      </c>
      <c r="D23" s="0" t="s">
        <v>3446</v>
      </c>
      <c r="E23" s="0" t="n">
        <v>1.5</v>
      </c>
      <c r="F23" s="0" t="n">
        <v>4.0275</v>
      </c>
      <c r="G23" s="0" t="n">
        <v>6.04125</v>
      </c>
      <c r="H23" s="0" t="s">
        <v>3469</v>
      </c>
      <c r="I23" s="0" t="str">
        <f aca="false">A23&amp;"|"&amp;TRIM(D23)</f>
        <v>8|+5 DOC</v>
      </c>
    </row>
    <row r="24" customFormat="false" ht="15" hidden="false" customHeight="false" outlineLevel="0" collapsed="false">
      <c r="A24" s="0" t="n">
        <v>8</v>
      </c>
      <c r="B24" s="0" t="s">
        <v>51</v>
      </c>
      <c r="C24" s="0" t="s">
        <v>141</v>
      </c>
      <c r="D24" s="0" t="s">
        <v>9</v>
      </c>
      <c r="E24" s="0" t="n">
        <v>1.65</v>
      </c>
      <c r="F24" s="0" t="n">
        <v>4.0275</v>
      </c>
      <c r="G24" s="0" t="n">
        <v>6.645375</v>
      </c>
      <c r="H24" s="0" t="s">
        <v>3470</v>
      </c>
      <c r="I24" s="0" t="str">
        <f aca="false">A24&amp;"|"&amp;TRIM(D24)</f>
        <v>8|1 A 5 DOC</v>
      </c>
    </row>
    <row r="25" customFormat="false" ht="15" hidden="false" customHeight="false" outlineLevel="0" collapsed="false">
      <c r="A25" s="0" t="n">
        <v>8</v>
      </c>
      <c r="B25" s="0" t="s">
        <v>51</v>
      </c>
      <c r="C25" s="0" t="s">
        <v>141</v>
      </c>
      <c r="D25" s="0" t="s">
        <v>3449</v>
      </c>
      <c r="E25" s="0" t="n">
        <v>1.9</v>
      </c>
      <c r="F25" s="0" t="n">
        <v>4.0275</v>
      </c>
      <c r="G25" s="0" t="n">
        <v>7.65225</v>
      </c>
      <c r="H25" s="0" t="s">
        <v>3471</v>
      </c>
      <c r="I25" s="0" t="str">
        <f aca="false">A25&amp;"|"&amp;TRIM(D25)</f>
        <v>8|DETAL</v>
      </c>
    </row>
    <row r="26" customFormat="false" ht="15" hidden="false" customHeight="false" outlineLevel="0" collapsed="false">
      <c r="A26" s="0" t="n">
        <v>9</v>
      </c>
      <c r="B26" s="0" t="s">
        <v>51</v>
      </c>
      <c r="C26" s="0" t="s">
        <v>70</v>
      </c>
      <c r="D26" s="0" t="s">
        <v>3446</v>
      </c>
      <c r="E26" s="0" t="n">
        <v>1.45</v>
      </c>
      <c r="F26" s="0" t="n">
        <v>4.9025</v>
      </c>
      <c r="G26" s="0" t="n">
        <v>7.108625</v>
      </c>
      <c r="H26" s="0" t="s">
        <v>3472</v>
      </c>
      <c r="I26" s="0" t="str">
        <f aca="false">A26&amp;"|"&amp;TRIM(D26)</f>
        <v>9|+5 DOC</v>
      </c>
    </row>
    <row r="27" customFormat="false" ht="15" hidden="false" customHeight="false" outlineLevel="0" collapsed="false">
      <c r="A27" s="0" t="n">
        <v>9</v>
      </c>
      <c r="B27" s="0" t="s">
        <v>51</v>
      </c>
      <c r="C27" s="0" t="s">
        <v>70</v>
      </c>
      <c r="D27" s="0" t="s">
        <v>9</v>
      </c>
      <c r="E27" s="0" t="n">
        <v>1.7</v>
      </c>
      <c r="F27" s="0" t="n">
        <v>4.9025</v>
      </c>
      <c r="G27" s="0" t="n">
        <v>8.33425</v>
      </c>
      <c r="H27" s="0" t="s">
        <v>3473</v>
      </c>
      <c r="I27" s="0" t="str">
        <f aca="false">A27&amp;"|"&amp;TRIM(D27)</f>
        <v>9|1 A 5 DOC</v>
      </c>
    </row>
    <row r="28" customFormat="false" ht="15" hidden="false" customHeight="false" outlineLevel="0" collapsed="false">
      <c r="A28" s="0" t="n">
        <v>9</v>
      </c>
      <c r="B28" s="0" t="s">
        <v>51</v>
      </c>
      <c r="C28" s="0" t="s">
        <v>70</v>
      </c>
      <c r="D28" s="0" t="s">
        <v>3449</v>
      </c>
      <c r="E28" s="0" t="n">
        <v>1.99</v>
      </c>
      <c r="F28" s="0" t="n">
        <v>4.9025</v>
      </c>
      <c r="G28" s="0" t="n">
        <v>9.755975</v>
      </c>
      <c r="H28" s="0" t="s">
        <v>3474</v>
      </c>
      <c r="I28" s="0" t="str">
        <f aca="false">A28&amp;"|"&amp;TRIM(D28)</f>
        <v>9|DETAL</v>
      </c>
    </row>
    <row r="29" customFormat="false" ht="15" hidden="false" customHeight="false" outlineLevel="0" collapsed="false">
      <c r="A29" s="0" t="n">
        <v>10</v>
      </c>
      <c r="B29" s="0" t="s">
        <v>51</v>
      </c>
      <c r="C29" s="0" t="s">
        <v>90</v>
      </c>
      <c r="D29" s="0" t="s">
        <v>3446</v>
      </c>
      <c r="E29" s="0" t="n">
        <v>1.3</v>
      </c>
      <c r="F29" s="0" t="n">
        <v>5.6875</v>
      </c>
      <c r="G29" s="0" t="n">
        <v>7.39375</v>
      </c>
      <c r="H29" s="0" t="s">
        <v>3475</v>
      </c>
      <c r="I29" s="0" t="str">
        <f aca="false">A29&amp;"|"&amp;TRIM(D29)</f>
        <v>10|+5 DOC</v>
      </c>
    </row>
    <row r="30" customFormat="false" ht="15" hidden="false" customHeight="false" outlineLevel="0" collapsed="false">
      <c r="A30" s="0" t="n">
        <v>10</v>
      </c>
      <c r="B30" s="0" t="s">
        <v>51</v>
      </c>
      <c r="C30" s="0" t="s">
        <v>90</v>
      </c>
      <c r="D30" s="0" t="s">
        <v>9</v>
      </c>
      <c r="E30" s="0" t="n">
        <v>1.5</v>
      </c>
      <c r="F30" s="0" t="n">
        <v>5.6875</v>
      </c>
      <c r="G30" s="0" t="n">
        <v>8.53125</v>
      </c>
      <c r="H30" s="0" t="s">
        <v>3476</v>
      </c>
      <c r="I30" s="0" t="str">
        <f aca="false">A30&amp;"|"&amp;TRIM(D30)</f>
        <v>10|1 A 5 DOC</v>
      </c>
    </row>
    <row r="31" customFormat="false" ht="15" hidden="false" customHeight="false" outlineLevel="0" collapsed="false">
      <c r="A31" s="0" t="n">
        <v>10</v>
      </c>
      <c r="B31" s="0" t="s">
        <v>51</v>
      </c>
      <c r="C31" s="0" t="s">
        <v>90</v>
      </c>
      <c r="D31" s="0" t="s">
        <v>3449</v>
      </c>
      <c r="E31" s="0" t="n">
        <v>1.99</v>
      </c>
      <c r="F31" s="0" t="n">
        <v>5.6875</v>
      </c>
      <c r="G31" s="0" t="n">
        <v>11.318125</v>
      </c>
      <c r="H31" s="0" t="s">
        <v>3477</v>
      </c>
      <c r="I31" s="0" t="str">
        <f aca="false">A31&amp;"|"&amp;TRIM(D31)</f>
        <v>10|DETAL</v>
      </c>
    </row>
    <row r="32" customFormat="false" ht="15" hidden="false" customHeight="false" outlineLevel="0" collapsed="false">
      <c r="A32" s="0" t="n">
        <v>11</v>
      </c>
      <c r="B32" s="0" t="s">
        <v>51</v>
      </c>
      <c r="C32" s="0" t="s">
        <v>184</v>
      </c>
      <c r="D32" s="0" t="s">
        <v>3446</v>
      </c>
      <c r="E32" s="0" t="n">
        <v>1.5</v>
      </c>
      <c r="F32" s="0" t="n">
        <v>3.54</v>
      </c>
      <c r="G32" s="0" t="n">
        <v>5.31</v>
      </c>
      <c r="H32" s="0" t="s">
        <v>3478</v>
      </c>
      <c r="I32" s="0" t="str">
        <f aca="false">A32&amp;"|"&amp;TRIM(D32)</f>
        <v>11|+5 DOC</v>
      </c>
    </row>
    <row r="33" customFormat="false" ht="15" hidden="false" customHeight="false" outlineLevel="0" collapsed="false">
      <c r="A33" s="0" t="n">
        <v>11</v>
      </c>
      <c r="B33" s="0" t="s">
        <v>51</v>
      </c>
      <c r="C33" s="0" t="s">
        <v>184</v>
      </c>
      <c r="D33" s="0" t="s">
        <v>9</v>
      </c>
      <c r="E33" s="0" t="n">
        <v>1.6</v>
      </c>
      <c r="F33" s="0" t="n">
        <v>3.54</v>
      </c>
      <c r="G33" s="0" t="n">
        <v>5.664</v>
      </c>
      <c r="H33" s="0" t="s">
        <v>3479</v>
      </c>
      <c r="I33" s="0" t="str">
        <f aca="false">A33&amp;"|"&amp;TRIM(D33)</f>
        <v>11|1 A 5 DOC</v>
      </c>
    </row>
    <row r="34" customFormat="false" ht="15" hidden="false" customHeight="false" outlineLevel="0" collapsed="false">
      <c r="A34" s="0" t="n">
        <v>11</v>
      </c>
      <c r="B34" s="0" t="s">
        <v>51</v>
      </c>
      <c r="C34" s="0" t="s">
        <v>184</v>
      </c>
      <c r="D34" s="0" t="s">
        <v>3449</v>
      </c>
      <c r="E34" s="0" t="n">
        <v>1.99</v>
      </c>
      <c r="F34" s="0" t="n">
        <v>3.54</v>
      </c>
      <c r="G34" s="0" t="n">
        <v>7.0446</v>
      </c>
      <c r="H34" s="0" t="s">
        <v>3480</v>
      </c>
      <c r="I34" s="0" t="str">
        <f aca="false">A34&amp;"|"&amp;TRIM(D34)</f>
        <v>11|DETAL</v>
      </c>
    </row>
    <row r="35" customFormat="false" ht="15" hidden="false" customHeight="false" outlineLevel="0" collapsed="false">
      <c r="A35" s="0" t="n">
        <v>12</v>
      </c>
      <c r="B35" s="0" t="s">
        <v>51</v>
      </c>
      <c r="C35" s="0" t="s">
        <v>198</v>
      </c>
      <c r="D35" s="0" t="s">
        <v>3446</v>
      </c>
      <c r="E35" s="0" t="n">
        <v>1.35</v>
      </c>
      <c r="F35" s="0" t="n">
        <v>6.55</v>
      </c>
      <c r="G35" s="0" t="n">
        <v>8.8425</v>
      </c>
      <c r="H35" s="0" t="s">
        <v>3481</v>
      </c>
      <c r="I35" s="0" t="str">
        <f aca="false">A35&amp;"|"&amp;TRIM(D35)</f>
        <v>12|+5 DOC</v>
      </c>
    </row>
    <row r="36" customFormat="false" ht="15" hidden="false" customHeight="false" outlineLevel="0" collapsed="false">
      <c r="A36" s="0" t="n">
        <v>12</v>
      </c>
      <c r="B36" s="0" t="s">
        <v>51</v>
      </c>
      <c r="C36" s="0" t="s">
        <v>198</v>
      </c>
      <c r="D36" s="0" t="s">
        <v>9</v>
      </c>
      <c r="E36" s="0" t="n">
        <v>1.65</v>
      </c>
      <c r="F36" s="0" t="n">
        <v>6.55</v>
      </c>
      <c r="G36" s="0" t="n">
        <v>10.8075</v>
      </c>
      <c r="H36" s="0" t="s">
        <v>3482</v>
      </c>
      <c r="I36" s="0" t="str">
        <f aca="false">A36&amp;"|"&amp;TRIM(D36)</f>
        <v>12|1 A 5 DOC</v>
      </c>
    </row>
    <row r="37" customFormat="false" ht="15" hidden="false" customHeight="false" outlineLevel="0" collapsed="false">
      <c r="A37" s="0" t="n">
        <v>12</v>
      </c>
      <c r="B37" s="0" t="s">
        <v>51</v>
      </c>
      <c r="C37" s="0" t="s">
        <v>198</v>
      </c>
      <c r="D37" s="0" t="s">
        <v>3449</v>
      </c>
      <c r="E37" s="0" t="n">
        <v>1.9</v>
      </c>
      <c r="F37" s="0" t="n">
        <v>6.55</v>
      </c>
      <c r="G37" s="0" t="n">
        <v>12.445</v>
      </c>
      <c r="H37" s="0" t="s">
        <v>3483</v>
      </c>
      <c r="I37" s="0" t="str">
        <f aca="false">A37&amp;"|"&amp;TRIM(D37)</f>
        <v>12|DETAL</v>
      </c>
    </row>
    <row r="38" customFormat="false" ht="15" hidden="false" customHeight="false" outlineLevel="0" collapsed="false">
      <c r="A38" s="0" t="n">
        <v>13</v>
      </c>
      <c r="B38" s="0" t="s">
        <v>51</v>
      </c>
      <c r="C38" s="0" t="s">
        <v>213</v>
      </c>
      <c r="D38" s="0" t="s">
        <v>3446</v>
      </c>
      <c r="E38" s="0" t="n">
        <v>1.45</v>
      </c>
      <c r="F38" s="0" t="n">
        <v>2.89147435897436</v>
      </c>
      <c r="G38" s="0" t="n">
        <v>4.19263782051282</v>
      </c>
      <c r="H38" s="0" t="s">
        <v>3484</v>
      </c>
      <c r="I38" s="0" t="str">
        <f aca="false">A38&amp;"|"&amp;TRIM(D38)</f>
        <v>13|+5 DOC</v>
      </c>
    </row>
    <row r="39" customFormat="false" ht="15" hidden="false" customHeight="false" outlineLevel="0" collapsed="false">
      <c r="A39" s="0" t="n">
        <v>13</v>
      </c>
      <c r="B39" s="0" t="s">
        <v>51</v>
      </c>
      <c r="C39" s="0" t="s">
        <v>213</v>
      </c>
      <c r="D39" s="0" t="s">
        <v>9</v>
      </c>
      <c r="E39" s="0" t="n">
        <v>1.75</v>
      </c>
      <c r="F39" s="0" t="n">
        <v>2.89147435897436</v>
      </c>
      <c r="G39" s="0" t="n">
        <v>5.06008012820513</v>
      </c>
      <c r="H39" s="0" t="s">
        <v>3485</v>
      </c>
      <c r="I39" s="0" t="str">
        <f aca="false">A39&amp;"|"&amp;TRIM(D39)</f>
        <v>13|1 A 5 DOC</v>
      </c>
    </row>
    <row r="40" customFormat="false" ht="15" hidden="false" customHeight="false" outlineLevel="0" collapsed="false">
      <c r="A40" s="0" t="n">
        <v>13</v>
      </c>
      <c r="B40" s="0" t="s">
        <v>51</v>
      </c>
      <c r="C40" s="0" t="s">
        <v>213</v>
      </c>
      <c r="D40" s="0" t="s">
        <v>3449</v>
      </c>
      <c r="E40" s="0" t="n">
        <v>1.99</v>
      </c>
      <c r="F40" s="0" t="n">
        <v>2.89147435897436</v>
      </c>
      <c r="G40" s="0" t="n">
        <v>5.75403397435897</v>
      </c>
      <c r="H40" s="0" t="s">
        <v>3486</v>
      </c>
      <c r="I40" s="0" t="str">
        <f aca="false">A40&amp;"|"&amp;TRIM(D40)</f>
        <v>13|DETAL</v>
      </c>
    </row>
    <row r="41" customFormat="false" ht="15" hidden="false" customHeight="false" outlineLevel="0" collapsed="false">
      <c r="A41" s="0" t="n">
        <v>14</v>
      </c>
      <c r="B41" s="0" t="s">
        <v>51</v>
      </c>
      <c r="C41" s="0" t="s">
        <v>228</v>
      </c>
      <c r="D41" s="0" t="s">
        <v>3446</v>
      </c>
      <c r="E41" s="0" t="n">
        <v>1.45</v>
      </c>
      <c r="F41" s="0" t="n">
        <v>2.57147435897436</v>
      </c>
      <c r="G41" s="0" t="n">
        <v>3.72863782051282</v>
      </c>
      <c r="H41" s="0" t="s">
        <v>3487</v>
      </c>
      <c r="I41" s="0" t="str">
        <f aca="false">A41&amp;"|"&amp;TRIM(D41)</f>
        <v>14|+5 DOC</v>
      </c>
    </row>
    <row r="42" customFormat="false" ht="15" hidden="false" customHeight="false" outlineLevel="0" collapsed="false">
      <c r="A42" s="0" t="n">
        <v>14</v>
      </c>
      <c r="B42" s="0" t="s">
        <v>51</v>
      </c>
      <c r="C42" s="0" t="s">
        <v>228</v>
      </c>
      <c r="D42" s="0" t="s">
        <v>9</v>
      </c>
      <c r="E42" s="0" t="n">
        <v>1.75</v>
      </c>
      <c r="F42" s="0" t="n">
        <v>2.57147435897436</v>
      </c>
      <c r="G42" s="0" t="n">
        <v>4.50008012820513</v>
      </c>
      <c r="H42" s="0" t="s">
        <v>3488</v>
      </c>
      <c r="I42" s="0" t="str">
        <f aca="false">A42&amp;"|"&amp;TRIM(D42)</f>
        <v>14|1 A 5 DOC</v>
      </c>
    </row>
    <row r="43" customFormat="false" ht="15" hidden="false" customHeight="false" outlineLevel="0" collapsed="false">
      <c r="A43" s="0" t="n">
        <v>14</v>
      </c>
      <c r="B43" s="0" t="s">
        <v>51</v>
      </c>
      <c r="C43" s="0" t="s">
        <v>228</v>
      </c>
      <c r="D43" s="0" t="s">
        <v>3449</v>
      </c>
      <c r="E43" s="0" t="n">
        <v>1.99</v>
      </c>
      <c r="F43" s="0" t="n">
        <v>2.57147435897436</v>
      </c>
      <c r="G43" s="0" t="n">
        <v>5.11723397435898</v>
      </c>
      <c r="H43" s="0" t="s">
        <v>3489</v>
      </c>
      <c r="I43" s="0" t="str">
        <f aca="false">A43&amp;"|"&amp;TRIM(D43)</f>
        <v>14|DETAL</v>
      </c>
    </row>
    <row r="44" customFormat="false" ht="15" hidden="false" customHeight="false" outlineLevel="0" collapsed="false">
      <c r="A44" s="0" t="n">
        <v>15</v>
      </c>
      <c r="B44" s="0" t="s">
        <v>51</v>
      </c>
      <c r="C44" s="0" t="s">
        <v>243</v>
      </c>
      <c r="D44" s="0" t="s">
        <v>3446</v>
      </c>
      <c r="E44" s="0" t="n">
        <v>1.45</v>
      </c>
      <c r="F44" s="0" t="n">
        <v>4.58480769230769</v>
      </c>
      <c r="G44" s="0" t="n">
        <v>6.64797115384615</v>
      </c>
      <c r="H44" s="0" t="s">
        <v>3490</v>
      </c>
      <c r="I44" s="0" t="str">
        <f aca="false">A44&amp;"|"&amp;TRIM(D44)</f>
        <v>15|+5 DOC</v>
      </c>
    </row>
    <row r="45" customFormat="false" ht="15" hidden="false" customHeight="false" outlineLevel="0" collapsed="false">
      <c r="A45" s="0" t="n">
        <v>15</v>
      </c>
      <c r="B45" s="0" t="s">
        <v>51</v>
      </c>
      <c r="C45" s="0" t="s">
        <v>243</v>
      </c>
      <c r="D45" s="0" t="s">
        <v>9</v>
      </c>
      <c r="E45" s="0" t="n">
        <v>1.75</v>
      </c>
      <c r="F45" s="0" t="n">
        <v>4.58480769230769</v>
      </c>
      <c r="G45" s="0" t="n">
        <v>8.02341346153846</v>
      </c>
      <c r="H45" s="0" t="s">
        <v>3491</v>
      </c>
      <c r="I45" s="0" t="str">
        <f aca="false">A45&amp;"|"&amp;TRIM(D45)</f>
        <v>15|1 A 5 DOC</v>
      </c>
    </row>
    <row r="46" customFormat="false" ht="15" hidden="false" customHeight="false" outlineLevel="0" collapsed="false">
      <c r="A46" s="0" t="n">
        <v>15</v>
      </c>
      <c r="B46" s="0" t="s">
        <v>51</v>
      </c>
      <c r="C46" s="0" t="s">
        <v>243</v>
      </c>
      <c r="D46" s="0" t="s">
        <v>3449</v>
      </c>
      <c r="E46" s="0" t="n">
        <v>1.99</v>
      </c>
      <c r="F46" s="0" t="n">
        <v>4.58480769230769</v>
      </c>
      <c r="G46" s="0" t="n">
        <v>9.12376730769231</v>
      </c>
      <c r="H46" s="0" t="s">
        <v>3492</v>
      </c>
      <c r="I46" s="0" t="str">
        <f aca="false">A46&amp;"|"&amp;TRIM(D46)</f>
        <v>15|DETAL</v>
      </c>
    </row>
    <row r="47" customFormat="false" ht="15" hidden="false" customHeight="false" outlineLevel="0" collapsed="false">
      <c r="A47" s="0" t="n">
        <v>16</v>
      </c>
      <c r="B47" s="0" t="s">
        <v>51</v>
      </c>
      <c r="C47" s="0" t="s">
        <v>257</v>
      </c>
      <c r="D47" s="0" t="s">
        <v>3446</v>
      </c>
      <c r="E47" s="0" t="n">
        <v>1.45</v>
      </c>
      <c r="F47" s="0" t="n">
        <v>3.62647435897436</v>
      </c>
      <c r="G47" s="0" t="n">
        <v>5.25838782051282</v>
      </c>
      <c r="H47" s="0" t="s">
        <v>3493</v>
      </c>
      <c r="I47" s="0" t="str">
        <f aca="false">A47&amp;"|"&amp;TRIM(D47)</f>
        <v>16|+5 DOC</v>
      </c>
    </row>
    <row r="48" customFormat="false" ht="15" hidden="false" customHeight="false" outlineLevel="0" collapsed="false">
      <c r="A48" s="0" t="n">
        <v>16</v>
      </c>
      <c r="B48" s="0" t="s">
        <v>51</v>
      </c>
      <c r="C48" s="0" t="s">
        <v>257</v>
      </c>
      <c r="D48" s="0" t="s">
        <v>9</v>
      </c>
      <c r="E48" s="0" t="n">
        <v>1.75</v>
      </c>
      <c r="F48" s="0" t="n">
        <v>3.62647435897436</v>
      </c>
      <c r="G48" s="0" t="n">
        <v>6.34633012820513</v>
      </c>
      <c r="H48" s="0" t="s">
        <v>3494</v>
      </c>
      <c r="I48" s="0" t="str">
        <f aca="false">A48&amp;"|"&amp;TRIM(D48)</f>
        <v>16|1 A 5 DOC</v>
      </c>
    </row>
    <row r="49" customFormat="false" ht="15" hidden="false" customHeight="false" outlineLevel="0" collapsed="false">
      <c r="A49" s="0" t="n">
        <v>16</v>
      </c>
      <c r="B49" s="0" t="s">
        <v>51</v>
      </c>
      <c r="C49" s="0" t="s">
        <v>257</v>
      </c>
      <c r="D49" s="0" t="s">
        <v>3449</v>
      </c>
      <c r="E49" s="0" t="n">
        <v>1.99</v>
      </c>
      <c r="F49" s="0" t="n">
        <v>3.62647435897436</v>
      </c>
      <c r="G49" s="0" t="n">
        <v>7.21668397435898</v>
      </c>
      <c r="H49" s="0" t="s">
        <v>3495</v>
      </c>
      <c r="I49" s="0" t="str">
        <f aca="false">A49&amp;"|"&amp;TRIM(D49)</f>
        <v>16|DETAL</v>
      </c>
    </row>
    <row r="50" customFormat="false" ht="15" hidden="false" customHeight="false" outlineLevel="0" collapsed="false">
      <c r="A50" s="0" t="n">
        <v>17</v>
      </c>
      <c r="B50" s="0" t="s">
        <v>51</v>
      </c>
      <c r="C50" s="0" t="s">
        <v>270</v>
      </c>
      <c r="D50" s="0" t="s">
        <v>3446</v>
      </c>
      <c r="E50" s="0" t="n">
        <v>1.35</v>
      </c>
      <c r="F50" s="0" t="n">
        <v>3.775</v>
      </c>
      <c r="G50" s="0" t="n">
        <v>5.09625</v>
      </c>
      <c r="H50" s="0" t="s">
        <v>3496</v>
      </c>
      <c r="I50" s="0" t="str">
        <f aca="false">A50&amp;"|"&amp;TRIM(D50)</f>
        <v>17|+5 DOC</v>
      </c>
    </row>
    <row r="51" customFormat="false" ht="15" hidden="false" customHeight="false" outlineLevel="0" collapsed="false">
      <c r="A51" s="0" t="n">
        <v>17</v>
      </c>
      <c r="B51" s="0" t="s">
        <v>51</v>
      </c>
      <c r="C51" s="0" t="s">
        <v>270</v>
      </c>
      <c r="D51" s="0" t="s">
        <v>9</v>
      </c>
      <c r="E51" s="0" t="n">
        <v>1.7</v>
      </c>
      <c r="F51" s="0" t="n">
        <v>3.775</v>
      </c>
      <c r="G51" s="0" t="n">
        <v>6.4175</v>
      </c>
      <c r="H51" s="0" t="s">
        <v>3497</v>
      </c>
      <c r="I51" s="0" t="str">
        <f aca="false">A51&amp;"|"&amp;TRIM(D51)</f>
        <v>17|1 A 5 DOC</v>
      </c>
    </row>
    <row r="52" customFormat="false" ht="15" hidden="false" customHeight="false" outlineLevel="0" collapsed="false">
      <c r="A52" s="0" t="n">
        <v>17</v>
      </c>
      <c r="B52" s="0" t="s">
        <v>51</v>
      </c>
      <c r="C52" s="0" t="s">
        <v>270</v>
      </c>
      <c r="D52" s="0" t="s">
        <v>3449</v>
      </c>
      <c r="E52" s="0" t="n">
        <v>1.9</v>
      </c>
      <c r="F52" s="0" t="n">
        <v>3.775</v>
      </c>
      <c r="G52" s="0" t="n">
        <v>7.1725</v>
      </c>
      <c r="H52" s="0" t="s">
        <v>3498</v>
      </c>
      <c r="I52" s="0" t="str">
        <f aca="false">A52&amp;"|"&amp;TRIM(D52)</f>
        <v>17|DETAL</v>
      </c>
    </row>
    <row r="53" customFormat="false" ht="15" hidden="false" customHeight="false" outlineLevel="0" collapsed="false">
      <c r="A53" s="0" t="n">
        <v>18</v>
      </c>
      <c r="B53" s="0" t="s">
        <v>51</v>
      </c>
      <c r="C53" s="0" t="s">
        <v>283</v>
      </c>
      <c r="D53" s="0" t="s">
        <v>3446</v>
      </c>
      <c r="E53" s="0" t="n">
        <v>1.35</v>
      </c>
      <c r="F53" s="0" t="n">
        <v>5.2875</v>
      </c>
      <c r="G53" s="0" t="n">
        <v>7.138125</v>
      </c>
      <c r="H53" s="0" t="s">
        <v>3499</v>
      </c>
      <c r="I53" s="0" t="str">
        <f aca="false">A53&amp;"|"&amp;TRIM(D53)</f>
        <v>18|+5 DOC</v>
      </c>
    </row>
    <row r="54" customFormat="false" ht="15" hidden="false" customHeight="false" outlineLevel="0" collapsed="false">
      <c r="A54" s="0" t="n">
        <v>18</v>
      </c>
      <c r="B54" s="0" t="s">
        <v>51</v>
      </c>
      <c r="C54" s="0" t="s">
        <v>283</v>
      </c>
      <c r="D54" s="0" t="s">
        <v>9</v>
      </c>
      <c r="E54" s="0" t="n">
        <v>1.7</v>
      </c>
      <c r="F54" s="0" t="n">
        <v>5.2875</v>
      </c>
      <c r="G54" s="0" t="n">
        <v>8.98875</v>
      </c>
      <c r="H54" s="0" t="s">
        <v>3500</v>
      </c>
      <c r="I54" s="0" t="str">
        <f aca="false">A54&amp;"|"&amp;TRIM(D54)</f>
        <v>18|1 A 5 DOC</v>
      </c>
    </row>
    <row r="55" customFormat="false" ht="15" hidden="false" customHeight="false" outlineLevel="0" collapsed="false">
      <c r="A55" s="0" t="n">
        <v>18</v>
      </c>
      <c r="B55" s="0" t="s">
        <v>51</v>
      </c>
      <c r="C55" s="0" t="s">
        <v>283</v>
      </c>
      <c r="D55" s="0" t="s">
        <v>3449</v>
      </c>
      <c r="E55" s="0" t="n">
        <v>1.9</v>
      </c>
      <c r="F55" s="0" t="n">
        <v>5.2875</v>
      </c>
      <c r="G55" s="0" t="n">
        <v>10.04625</v>
      </c>
      <c r="H55" s="0" t="s">
        <v>3501</v>
      </c>
      <c r="I55" s="0" t="str">
        <f aca="false">A55&amp;"|"&amp;TRIM(D55)</f>
        <v>18|DETAL</v>
      </c>
    </row>
    <row r="56" customFormat="false" ht="15" hidden="false" customHeight="false" outlineLevel="0" collapsed="false">
      <c r="A56" s="0" t="n">
        <v>19</v>
      </c>
      <c r="B56" s="0" t="s">
        <v>51</v>
      </c>
      <c r="C56" s="0" t="s">
        <v>296</v>
      </c>
      <c r="D56" s="0" t="s">
        <v>3446</v>
      </c>
      <c r="E56" s="0" t="n">
        <v>1.45</v>
      </c>
      <c r="F56" s="0" t="n">
        <v>4.54</v>
      </c>
      <c r="G56" s="0" t="n">
        <v>6.583</v>
      </c>
      <c r="H56" s="0" t="s">
        <v>3502</v>
      </c>
      <c r="I56" s="0" t="str">
        <f aca="false">A56&amp;"|"&amp;TRIM(D56)</f>
        <v>19|+5 DOC</v>
      </c>
    </row>
    <row r="57" customFormat="false" ht="15" hidden="false" customHeight="false" outlineLevel="0" collapsed="false">
      <c r="A57" s="0" t="n">
        <v>19</v>
      </c>
      <c r="B57" s="0" t="s">
        <v>51</v>
      </c>
      <c r="C57" s="0" t="s">
        <v>296</v>
      </c>
      <c r="D57" s="0" t="s">
        <v>9</v>
      </c>
      <c r="E57" s="0" t="n">
        <v>1.75</v>
      </c>
      <c r="F57" s="0" t="n">
        <v>4.54</v>
      </c>
      <c r="G57" s="0" t="n">
        <v>7.945</v>
      </c>
      <c r="H57" s="0" t="s">
        <v>3503</v>
      </c>
      <c r="I57" s="0" t="str">
        <f aca="false">A57&amp;"|"&amp;TRIM(D57)</f>
        <v>19|1 A 5 DOC</v>
      </c>
    </row>
    <row r="58" customFormat="false" ht="15" hidden="false" customHeight="false" outlineLevel="0" collapsed="false">
      <c r="A58" s="0" t="n">
        <v>19</v>
      </c>
      <c r="B58" s="0" t="s">
        <v>51</v>
      </c>
      <c r="C58" s="0" t="s">
        <v>296</v>
      </c>
      <c r="D58" s="0" t="s">
        <v>3449</v>
      </c>
      <c r="E58" s="0" t="n">
        <v>1.99</v>
      </c>
      <c r="F58" s="0" t="n">
        <v>4.54</v>
      </c>
      <c r="G58" s="0" t="n">
        <v>9.0346</v>
      </c>
      <c r="H58" s="0" t="s">
        <v>3504</v>
      </c>
      <c r="I58" s="0" t="str">
        <f aca="false">A58&amp;"|"&amp;TRIM(D58)</f>
        <v>19|DETAL</v>
      </c>
    </row>
    <row r="59" customFormat="false" ht="15" hidden="false" customHeight="false" outlineLevel="0" collapsed="false">
      <c r="A59" s="0" t="n">
        <v>20</v>
      </c>
      <c r="B59" s="0" t="s">
        <v>51</v>
      </c>
      <c r="C59" s="0" t="s">
        <v>311</v>
      </c>
      <c r="D59" s="0" t="s">
        <v>3446</v>
      </c>
      <c r="E59" s="0" t="n">
        <v>1.45</v>
      </c>
      <c r="F59" s="0" t="n">
        <v>4.08625</v>
      </c>
      <c r="G59" s="0" t="n">
        <v>5.9250625</v>
      </c>
      <c r="H59" s="0" t="s">
        <v>3505</v>
      </c>
      <c r="I59" s="0" t="str">
        <f aca="false">A59&amp;"|"&amp;TRIM(D59)</f>
        <v>20|+5 DOC</v>
      </c>
    </row>
    <row r="60" customFormat="false" ht="15" hidden="false" customHeight="false" outlineLevel="0" collapsed="false">
      <c r="A60" s="0" t="n">
        <v>20</v>
      </c>
      <c r="B60" s="0" t="s">
        <v>51</v>
      </c>
      <c r="C60" s="0" t="s">
        <v>311</v>
      </c>
      <c r="D60" s="0" t="s">
        <v>9</v>
      </c>
      <c r="E60" s="0" t="n">
        <v>1.75</v>
      </c>
      <c r="F60" s="0" t="n">
        <v>4.08625</v>
      </c>
      <c r="G60" s="0" t="n">
        <v>7.1509375</v>
      </c>
      <c r="H60" s="0" t="s">
        <v>3506</v>
      </c>
      <c r="I60" s="0" t="str">
        <f aca="false">A60&amp;"|"&amp;TRIM(D60)</f>
        <v>20|1 A 5 DOC</v>
      </c>
    </row>
    <row r="61" customFormat="false" ht="15" hidden="false" customHeight="false" outlineLevel="0" collapsed="false">
      <c r="A61" s="0" t="n">
        <v>20</v>
      </c>
      <c r="B61" s="0" t="s">
        <v>51</v>
      </c>
      <c r="C61" s="0" t="s">
        <v>311</v>
      </c>
      <c r="D61" s="0" t="s">
        <v>3449</v>
      </c>
      <c r="E61" s="0" t="n">
        <v>1.99</v>
      </c>
      <c r="F61" s="0" t="n">
        <v>4.08625</v>
      </c>
      <c r="G61" s="0" t="n">
        <v>8.1316375</v>
      </c>
      <c r="H61" s="0" t="s">
        <v>3507</v>
      </c>
      <c r="I61" s="0" t="str">
        <f aca="false">A61&amp;"|"&amp;TRIM(D61)</f>
        <v>20|DETAL</v>
      </c>
    </row>
    <row r="62" customFormat="false" ht="15" hidden="false" customHeight="false" outlineLevel="0" collapsed="false">
      <c r="A62" s="0" t="n">
        <v>21</v>
      </c>
      <c r="B62" s="0" t="s">
        <v>51</v>
      </c>
      <c r="C62" s="0" t="s">
        <v>296</v>
      </c>
      <c r="D62" s="0" t="s">
        <v>3446</v>
      </c>
      <c r="E62" s="0" t="n">
        <v>1.45</v>
      </c>
      <c r="F62" s="0" t="n">
        <v>6.845</v>
      </c>
      <c r="G62" s="0" t="n">
        <v>9.92525</v>
      </c>
      <c r="H62" s="0" t="s">
        <v>3508</v>
      </c>
      <c r="I62" s="0" t="str">
        <f aca="false">A62&amp;"|"&amp;TRIM(D62)</f>
        <v>21|+5 DOC</v>
      </c>
    </row>
    <row r="63" customFormat="false" ht="15" hidden="false" customHeight="false" outlineLevel="0" collapsed="false">
      <c r="A63" s="0" t="n">
        <v>21</v>
      </c>
      <c r="B63" s="0" t="s">
        <v>51</v>
      </c>
      <c r="C63" s="0" t="s">
        <v>296</v>
      </c>
      <c r="D63" s="0" t="s">
        <v>9</v>
      </c>
      <c r="E63" s="0" t="n">
        <v>1.75</v>
      </c>
      <c r="F63" s="0" t="n">
        <v>6.845</v>
      </c>
      <c r="G63" s="0" t="n">
        <v>11.97875</v>
      </c>
      <c r="H63" s="0" t="s">
        <v>3509</v>
      </c>
      <c r="I63" s="0" t="str">
        <f aca="false">A63&amp;"|"&amp;TRIM(D63)</f>
        <v>21|1 A 5 DOC</v>
      </c>
    </row>
    <row r="64" customFormat="false" ht="15" hidden="false" customHeight="false" outlineLevel="0" collapsed="false">
      <c r="A64" s="0" t="n">
        <v>21</v>
      </c>
      <c r="B64" s="0" t="s">
        <v>51</v>
      </c>
      <c r="C64" s="0" t="s">
        <v>296</v>
      </c>
      <c r="D64" s="0" t="s">
        <v>3449</v>
      </c>
      <c r="E64" s="0" t="n">
        <v>1.99</v>
      </c>
      <c r="F64" s="0" t="n">
        <v>6.845</v>
      </c>
      <c r="G64" s="0" t="n">
        <v>13.62155</v>
      </c>
      <c r="H64" s="0" t="s">
        <v>3510</v>
      </c>
      <c r="I64" s="0" t="str">
        <f aca="false">A64&amp;"|"&amp;TRIM(D64)</f>
        <v>21|DETAL</v>
      </c>
    </row>
    <row r="65" customFormat="false" ht="15" hidden="false" customHeight="false" outlineLevel="0" collapsed="false">
      <c r="A65" s="0" t="n">
        <v>22</v>
      </c>
      <c r="B65" s="0" t="s">
        <v>51</v>
      </c>
      <c r="C65" s="0" t="s">
        <v>311</v>
      </c>
      <c r="D65" s="0" t="s">
        <v>3446</v>
      </c>
      <c r="E65" s="0" t="n">
        <v>1.45</v>
      </c>
      <c r="F65" s="0" t="n">
        <v>5.6275</v>
      </c>
      <c r="G65" s="0" t="n">
        <v>8.159875</v>
      </c>
      <c r="H65" s="0" t="s">
        <v>3511</v>
      </c>
      <c r="I65" s="0" t="str">
        <f aca="false">A65&amp;"|"&amp;TRIM(D65)</f>
        <v>22|+5 DOC</v>
      </c>
    </row>
    <row r="66" customFormat="false" ht="15" hidden="false" customHeight="false" outlineLevel="0" collapsed="false">
      <c r="A66" s="0" t="n">
        <v>22</v>
      </c>
      <c r="B66" s="0" t="s">
        <v>51</v>
      </c>
      <c r="C66" s="0" t="s">
        <v>311</v>
      </c>
      <c r="D66" s="0" t="s">
        <v>9</v>
      </c>
      <c r="E66" s="0" t="n">
        <v>1.75</v>
      </c>
      <c r="F66" s="0" t="n">
        <v>5.6275</v>
      </c>
      <c r="G66" s="0" t="n">
        <v>9.848125</v>
      </c>
      <c r="H66" s="0" t="s">
        <v>3512</v>
      </c>
      <c r="I66" s="0" t="str">
        <f aca="false">A66&amp;"|"&amp;TRIM(D66)</f>
        <v>22|1 A 5 DOC</v>
      </c>
    </row>
    <row r="67" customFormat="false" ht="15" hidden="false" customHeight="false" outlineLevel="0" collapsed="false">
      <c r="A67" s="0" t="n">
        <v>22</v>
      </c>
      <c r="B67" s="0" t="s">
        <v>51</v>
      </c>
      <c r="C67" s="0" t="s">
        <v>311</v>
      </c>
      <c r="D67" s="0" t="s">
        <v>3449</v>
      </c>
      <c r="E67" s="0" t="n">
        <v>1.99</v>
      </c>
      <c r="F67" s="0" t="n">
        <v>5.6275</v>
      </c>
      <c r="G67" s="0" t="n">
        <v>11.198725</v>
      </c>
      <c r="H67" s="0" t="s">
        <v>3513</v>
      </c>
      <c r="I67" s="0" t="str">
        <f aca="false">A67&amp;"|"&amp;TRIM(D67)</f>
        <v>22|DETAL</v>
      </c>
    </row>
    <row r="68" customFormat="false" ht="15" hidden="false" customHeight="false" outlineLevel="0" collapsed="false">
      <c r="A68" s="0" t="n">
        <v>23</v>
      </c>
      <c r="B68" s="0" t="s">
        <v>51</v>
      </c>
      <c r="C68" s="0" t="s">
        <v>349</v>
      </c>
      <c r="D68" s="0" t="s">
        <v>3446</v>
      </c>
      <c r="E68" s="0" t="n">
        <v>1.2</v>
      </c>
      <c r="F68" s="0" t="n">
        <v>7.5375</v>
      </c>
      <c r="G68" s="0" t="n">
        <v>9.045</v>
      </c>
      <c r="H68" s="0" t="s">
        <v>3514</v>
      </c>
      <c r="I68" s="0" t="str">
        <f aca="false">A68&amp;"|"&amp;TRIM(D68)</f>
        <v>23|+5 DOC</v>
      </c>
    </row>
    <row r="69" customFormat="false" ht="15" hidden="false" customHeight="false" outlineLevel="0" collapsed="false">
      <c r="A69" s="0" t="n">
        <v>23</v>
      </c>
      <c r="B69" s="0" t="s">
        <v>51</v>
      </c>
      <c r="C69" s="0" t="s">
        <v>349</v>
      </c>
      <c r="D69" s="0" t="s">
        <v>9</v>
      </c>
      <c r="E69" s="0" t="n">
        <v>1.5</v>
      </c>
      <c r="F69" s="0" t="n">
        <v>7.5375</v>
      </c>
      <c r="G69" s="0" t="n">
        <v>11.30625</v>
      </c>
      <c r="H69" s="0" t="s">
        <v>3515</v>
      </c>
      <c r="I69" s="0" t="str">
        <f aca="false">A69&amp;"|"&amp;TRIM(D69)</f>
        <v>23|1 A 5 DOC</v>
      </c>
    </row>
    <row r="70" customFormat="false" ht="15" hidden="false" customHeight="false" outlineLevel="0" collapsed="false">
      <c r="A70" s="0" t="n">
        <v>23</v>
      </c>
      <c r="B70" s="0" t="s">
        <v>51</v>
      </c>
      <c r="C70" s="0" t="s">
        <v>349</v>
      </c>
      <c r="D70" s="0" t="s">
        <v>3449</v>
      </c>
      <c r="E70" s="0" t="n">
        <v>1.99</v>
      </c>
      <c r="F70" s="0" t="n">
        <v>7.5375</v>
      </c>
      <c r="G70" s="0" t="n">
        <v>14.999625</v>
      </c>
      <c r="H70" s="0" t="s">
        <v>3516</v>
      </c>
      <c r="I70" s="0" t="str">
        <f aca="false">A70&amp;"|"&amp;TRIM(D70)</f>
        <v>23|DETAL</v>
      </c>
    </row>
    <row r="71" customFormat="false" ht="15" hidden="false" customHeight="false" outlineLevel="0" collapsed="false">
      <c r="A71" s="0" t="n">
        <v>24</v>
      </c>
      <c r="B71" s="0" t="s">
        <v>51</v>
      </c>
      <c r="C71" s="0" t="s">
        <v>349</v>
      </c>
      <c r="D71" s="0" t="s">
        <v>3446</v>
      </c>
      <c r="E71" s="0" t="n">
        <v>1.5</v>
      </c>
      <c r="F71" s="0" t="n">
        <v>5.075</v>
      </c>
      <c r="G71" s="0" t="n">
        <v>7.6125</v>
      </c>
      <c r="H71" s="0" t="s">
        <v>3517</v>
      </c>
      <c r="I71" s="0" t="str">
        <f aca="false">A71&amp;"|"&amp;TRIM(D71)</f>
        <v>24|+5 DOC</v>
      </c>
    </row>
    <row r="72" customFormat="false" ht="15" hidden="false" customHeight="false" outlineLevel="0" collapsed="false">
      <c r="A72" s="0" t="n">
        <v>24</v>
      </c>
      <c r="B72" s="0" t="s">
        <v>51</v>
      </c>
      <c r="C72" s="0" t="s">
        <v>349</v>
      </c>
      <c r="D72" s="0" t="s">
        <v>9</v>
      </c>
      <c r="E72" s="0" t="n">
        <v>1.5</v>
      </c>
      <c r="F72" s="0" t="n">
        <v>5.075</v>
      </c>
      <c r="G72" s="0" t="n">
        <v>7.6125</v>
      </c>
      <c r="H72" s="0" t="s">
        <v>3518</v>
      </c>
      <c r="I72" s="0" t="str">
        <f aca="false">A72&amp;"|"&amp;TRIM(D72)</f>
        <v>24|1 A 5 DOC</v>
      </c>
    </row>
    <row r="73" customFormat="false" ht="15" hidden="false" customHeight="false" outlineLevel="0" collapsed="false">
      <c r="A73" s="0" t="n">
        <v>24</v>
      </c>
      <c r="B73" s="0" t="s">
        <v>51</v>
      </c>
      <c r="C73" s="0" t="s">
        <v>349</v>
      </c>
      <c r="D73" s="0" t="s">
        <v>3449</v>
      </c>
      <c r="E73" s="0" t="n">
        <v>1.99</v>
      </c>
      <c r="F73" s="0" t="n">
        <v>5.075</v>
      </c>
      <c r="G73" s="0" t="n">
        <v>10.09925</v>
      </c>
      <c r="H73" s="0" t="s">
        <v>3519</v>
      </c>
      <c r="I73" s="0" t="str">
        <f aca="false">A73&amp;"|"&amp;TRIM(D73)</f>
        <v>24|DETAL</v>
      </c>
    </row>
    <row r="74" customFormat="false" ht="15" hidden="false" customHeight="false" outlineLevel="0" collapsed="false">
      <c r="A74" s="0" t="n">
        <v>25</v>
      </c>
      <c r="B74" s="0" t="s">
        <v>51</v>
      </c>
      <c r="C74" s="0" t="s">
        <v>296</v>
      </c>
      <c r="D74" s="0" t="s">
        <v>3446</v>
      </c>
      <c r="E74" s="0" t="n">
        <v>1.45</v>
      </c>
      <c r="F74" s="0" t="n">
        <v>4.555</v>
      </c>
      <c r="G74" s="0" t="n">
        <v>6.60475</v>
      </c>
      <c r="H74" s="0" t="s">
        <v>3520</v>
      </c>
      <c r="I74" s="0" t="str">
        <f aca="false">A74&amp;"|"&amp;TRIM(D74)</f>
        <v>25|+5 DOC</v>
      </c>
    </row>
    <row r="75" customFormat="false" ht="15" hidden="false" customHeight="false" outlineLevel="0" collapsed="false">
      <c r="A75" s="0" t="n">
        <v>25</v>
      </c>
      <c r="B75" s="0" t="s">
        <v>51</v>
      </c>
      <c r="C75" s="0" t="s">
        <v>296</v>
      </c>
      <c r="D75" s="0" t="s">
        <v>9</v>
      </c>
      <c r="E75" s="0" t="n">
        <v>1.75</v>
      </c>
      <c r="F75" s="0" t="n">
        <v>4.555</v>
      </c>
      <c r="G75" s="0" t="n">
        <v>7.97125</v>
      </c>
      <c r="H75" s="0" t="s">
        <v>3521</v>
      </c>
      <c r="I75" s="0" t="str">
        <f aca="false">A75&amp;"|"&amp;TRIM(D75)</f>
        <v>25|1 A 5 DOC</v>
      </c>
    </row>
    <row r="76" customFormat="false" ht="15" hidden="false" customHeight="false" outlineLevel="0" collapsed="false">
      <c r="A76" s="0" t="n">
        <v>25</v>
      </c>
      <c r="B76" s="0" t="s">
        <v>51</v>
      </c>
      <c r="C76" s="0" t="s">
        <v>296</v>
      </c>
      <c r="D76" s="0" t="s">
        <v>3449</v>
      </c>
      <c r="E76" s="0" t="n">
        <v>1.99</v>
      </c>
      <c r="F76" s="0" t="n">
        <v>4.555</v>
      </c>
      <c r="G76" s="0" t="n">
        <v>9.06445</v>
      </c>
      <c r="H76" s="0" t="s">
        <v>3522</v>
      </c>
      <c r="I76" s="0" t="str">
        <f aca="false">A76&amp;"|"&amp;TRIM(D76)</f>
        <v>25|DETAL</v>
      </c>
    </row>
    <row r="77" customFormat="false" ht="15" hidden="false" customHeight="false" outlineLevel="0" collapsed="false">
      <c r="A77" s="0" t="n">
        <v>26</v>
      </c>
      <c r="B77" s="0" t="s">
        <v>51</v>
      </c>
      <c r="C77" s="0" t="s">
        <v>311</v>
      </c>
      <c r="D77" s="0" t="s">
        <v>3446</v>
      </c>
      <c r="E77" s="0" t="n">
        <v>1.43</v>
      </c>
      <c r="F77" s="0" t="n">
        <v>4.535</v>
      </c>
      <c r="G77" s="0" t="n">
        <v>6.48505</v>
      </c>
      <c r="H77" s="0" t="s">
        <v>3523</v>
      </c>
      <c r="I77" s="0" t="str">
        <f aca="false">A77&amp;"|"&amp;TRIM(D77)</f>
        <v>26|+5 DOC</v>
      </c>
    </row>
    <row r="78" customFormat="false" ht="15" hidden="false" customHeight="false" outlineLevel="0" collapsed="false">
      <c r="A78" s="0" t="n">
        <v>26</v>
      </c>
      <c r="B78" s="0" t="s">
        <v>51</v>
      </c>
      <c r="C78" s="0" t="s">
        <v>311</v>
      </c>
      <c r="D78" s="0" t="s">
        <v>9</v>
      </c>
      <c r="E78" s="0" t="n">
        <v>1.7</v>
      </c>
      <c r="F78" s="0" t="n">
        <v>4.535</v>
      </c>
      <c r="G78" s="0" t="n">
        <v>7.7095</v>
      </c>
      <c r="H78" s="0" t="s">
        <v>3524</v>
      </c>
      <c r="I78" s="0" t="str">
        <f aca="false">A78&amp;"|"&amp;TRIM(D78)</f>
        <v>26|1 A 5 DOC</v>
      </c>
    </row>
    <row r="79" customFormat="false" ht="15" hidden="false" customHeight="false" outlineLevel="0" collapsed="false">
      <c r="A79" s="0" t="n">
        <v>26</v>
      </c>
      <c r="B79" s="0" t="s">
        <v>51</v>
      </c>
      <c r="C79" s="0" t="s">
        <v>311</v>
      </c>
      <c r="D79" s="0" t="s">
        <v>3449</v>
      </c>
      <c r="E79" s="0" t="n">
        <v>1.8</v>
      </c>
      <c r="F79" s="0" t="n">
        <v>4.535</v>
      </c>
      <c r="G79" s="0" t="n">
        <v>8.163</v>
      </c>
      <c r="H79" s="0" t="s">
        <v>3525</v>
      </c>
      <c r="I79" s="0" t="str">
        <f aca="false">A79&amp;"|"&amp;TRIM(D79)</f>
        <v>26|DETAL</v>
      </c>
    </row>
    <row r="80" customFormat="false" ht="15" hidden="false" customHeight="false" outlineLevel="0" collapsed="false">
      <c r="A80" s="0" t="n">
        <v>27</v>
      </c>
      <c r="B80" s="0" t="s">
        <v>51</v>
      </c>
      <c r="C80" s="0" t="s">
        <v>296</v>
      </c>
      <c r="D80" s="0" t="s">
        <v>3446</v>
      </c>
      <c r="E80" s="0" t="n">
        <v>1.4</v>
      </c>
      <c r="F80" s="0" t="n">
        <v>6.205</v>
      </c>
      <c r="G80" s="0" t="n">
        <v>8.687</v>
      </c>
      <c r="H80" s="0" t="s">
        <v>3526</v>
      </c>
      <c r="I80" s="0" t="str">
        <f aca="false">A80&amp;"|"&amp;TRIM(D80)</f>
        <v>27|+5 DOC</v>
      </c>
    </row>
    <row r="81" customFormat="false" ht="15" hidden="false" customHeight="false" outlineLevel="0" collapsed="false">
      <c r="A81" s="0" t="n">
        <v>27</v>
      </c>
      <c r="B81" s="0" t="s">
        <v>51</v>
      </c>
      <c r="C81" s="0" t="s">
        <v>296</v>
      </c>
      <c r="D81" s="0" t="s">
        <v>9</v>
      </c>
      <c r="E81" s="0" t="n">
        <v>1.55</v>
      </c>
      <c r="F81" s="0" t="n">
        <v>6.205</v>
      </c>
      <c r="G81" s="0" t="n">
        <v>9.61775</v>
      </c>
      <c r="H81" s="0" t="s">
        <v>3527</v>
      </c>
      <c r="I81" s="0" t="str">
        <f aca="false">A81&amp;"|"&amp;TRIM(D81)</f>
        <v>27|1 A 5 DOC</v>
      </c>
    </row>
    <row r="82" customFormat="false" ht="15" hidden="false" customHeight="false" outlineLevel="0" collapsed="false">
      <c r="A82" s="0" t="n">
        <v>27</v>
      </c>
      <c r="B82" s="0" t="s">
        <v>51</v>
      </c>
      <c r="C82" s="0" t="s">
        <v>296</v>
      </c>
      <c r="D82" s="0" t="s">
        <v>3449</v>
      </c>
      <c r="E82" s="0" t="n">
        <v>1.9</v>
      </c>
      <c r="F82" s="0" t="n">
        <v>6.205</v>
      </c>
      <c r="G82" s="0" t="n">
        <v>11.7895</v>
      </c>
      <c r="H82" s="0" t="s">
        <v>3528</v>
      </c>
      <c r="I82" s="0" t="str">
        <f aca="false">A82&amp;"|"&amp;TRIM(D82)</f>
        <v>27|DETAL</v>
      </c>
    </row>
    <row r="83" customFormat="false" ht="15" hidden="false" customHeight="false" outlineLevel="0" collapsed="false">
      <c r="A83" s="0" t="n">
        <v>28</v>
      </c>
      <c r="B83" s="0" t="s">
        <v>51</v>
      </c>
      <c r="C83" s="0" t="s">
        <v>311</v>
      </c>
      <c r="D83" s="0" t="s">
        <v>3446</v>
      </c>
      <c r="E83" s="0" t="n">
        <v>1.3</v>
      </c>
      <c r="F83" s="0" t="n">
        <v>4.9675</v>
      </c>
      <c r="G83" s="0" t="n">
        <v>6.45775</v>
      </c>
      <c r="H83" s="0" t="s">
        <v>3529</v>
      </c>
      <c r="I83" s="0" t="str">
        <f aca="false">A83&amp;"|"&amp;TRIM(D83)</f>
        <v>28|+5 DOC</v>
      </c>
    </row>
    <row r="84" customFormat="false" ht="15" hidden="false" customHeight="false" outlineLevel="0" collapsed="false">
      <c r="A84" s="0" t="n">
        <v>28</v>
      </c>
      <c r="B84" s="0" t="s">
        <v>51</v>
      </c>
      <c r="C84" s="0" t="s">
        <v>311</v>
      </c>
      <c r="D84" s="0" t="s">
        <v>9</v>
      </c>
      <c r="E84" s="0" t="n">
        <v>1.75</v>
      </c>
      <c r="F84" s="0" t="n">
        <v>4.9675</v>
      </c>
      <c r="G84" s="0" t="n">
        <v>8.693125</v>
      </c>
      <c r="H84" s="0" t="s">
        <v>3530</v>
      </c>
      <c r="I84" s="0" t="str">
        <f aca="false">A84&amp;"|"&amp;TRIM(D84)</f>
        <v>28|1 A 5 DOC</v>
      </c>
    </row>
    <row r="85" customFormat="false" ht="15" hidden="false" customHeight="false" outlineLevel="0" collapsed="false">
      <c r="A85" s="0" t="n">
        <v>28</v>
      </c>
      <c r="B85" s="0" t="s">
        <v>51</v>
      </c>
      <c r="C85" s="0" t="s">
        <v>311</v>
      </c>
      <c r="D85" s="0" t="s">
        <v>3449</v>
      </c>
      <c r="E85" s="0" t="n">
        <v>1.99</v>
      </c>
      <c r="F85" s="0" t="n">
        <v>4.9675</v>
      </c>
      <c r="G85" s="0" t="n">
        <v>9.885325</v>
      </c>
      <c r="H85" s="0" t="s">
        <v>3531</v>
      </c>
      <c r="I85" s="0" t="str">
        <f aca="false">A85&amp;"|"&amp;TRIM(D85)</f>
        <v>28|DETAL</v>
      </c>
    </row>
    <row r="86" customFormat="false" ht="15" hidden="false" customHeight="false" outlineLevel="0" collapsed="false">
      <c r="A86" s="0" t="n">
        <v>29</v>
      </c>
      <c r="B86" s="0" t="s">
        <v>51</v>
      </c>
      <c r="C86" s="0" t="s">
        <v>349</v>
      </c>
      <c r="D86" s="0" t="s">
        <v>3446</v>
      </c>
      <c r="E86" s="0" t="n">
        <v>1.4</v>
      </c>
      <c r="F86" s="0" t="n">
        <v>8.87</v>
      </c>
      <c r="G86" s="0" t="n">
        <v>12.418</v>
      </c>
      <c r="H86" s="0" t="s">
        <v>3532</v>
      </c>
      <c r="I86" s="0" t="str">
        <f aca="false">A86&amp;"|"&amp;TRIM(D86)</f>
        <v>29|+5 DOC</v>
      </c>
    </row>
    <row r="87" customFormat="false" ht="15" hidden="false" customHeight="false" outlineLevel="0" collapsed="false">
      <c r="A87" s="0" t="n">
        <v>29</v>
      </c>
      <c r="B87" s="0" t="s">
        <v>51</v>
      </c>
      <c r="C87" s="0" t="s">
        <v>349</v>
      </c>
      <c r="D87" s="0" t="s">
        <v>9</v>
      </c>
      <c r="E87" s="0" t="n">
        <v>1.7</v>
      </c>
      <c r="F87" s="0" t="n">
        <v>8.87</v>
      </c>
      <c r="G87" s="0" t="n">
        <v>15.079</v>
      </c>
      <c r="H87" s="0" t="s">
        <v>3533</v>
      </c>
      <c r="I87" s="0" t="str">
        <f aca="false">A87&amp;"|"&amp;TRIM(D87)</f>
        <v>29|1 A 5 DOC</v>
      </c>
    </row>
    <row r="88" customFormat="false" ht="15" hidden="false" customHeight="false" outlineLevel="0" collapsed="false">
      <c r="A88" s="0" t="n">
        <v>29</v>
      </c>
      <c r="B88" s="0" t="s">
        <v>51</v>
      </c>
      <c r="C88" s="0" t="s">
        <v>349</v>
      </c>
      <c r="D88" s="0" t="s">
        <v>3449</v>
      </c>
      <c r="E88" s="0" t="n">
        <v>1.99</v>
      </c>
      <c r="F88" s="0" t="n">
        <v>8.87</v>
      </c>
      <c r="G88" s="0" t="n">
        <v>17.6513</v>
      </c>
      <c r="H88" s="0" t="s">
        <v>3534</v>
      </c>
      <c r="I88" s="0" t="str">
        <f aca="false">A88&amp;"|"&amp;TRIM(D88)</f>
        <v>29|DETAL</v>
      </c>
    </row>
    <row r="89" customFormat="false" ht="15" hidden="false" customHeight="false" outlineLevel="0" collapsed="false">
      <c r="A89" s="0" t="n">
        <v>30</v>
      </c>
      <c r="B89" s="0" t="s">
        <v>51</v>
      </c>
      <c r="C89" s="0" t="s">
        <v>349</v>
      </c>
      <c r="D89" s="0" t="s">
        <v>3446</v>
      </c>
      <c r="E89" s="0" t="n">
        <v>1.35</v>
      </c>
      <c r="F89" s="0" t="n">
        <v>9.5875</v>
      </c>
      <c r="G89" s="0" t="n">
        <v>12.943125</v>
      </c>
      <c r="H89" s="0" t="s">
        <v>3535</v>
      </c>
      <c r="I89" s="0" t="str">
        <f aca="false">A89&amp;"|"&amp;TRIM(D89)</f>
        <v>30|+5 DOC</v>
      </c>
    </row>
    <row r="90" customFormat="false" ht="15" hidden="false" customHeight="false" outlineLevel="0" collapsed="false">
      <c r="A90" s="0" t="n">
        <v>30</v>
      </c>
      <c r="B90" s="0" t="s">
        <v>51</v>
      </c>
      <c r="C90" s="0" t="s">
        <v>349</v>
      </c>
      <c r="D90" s="0" t="s">
        <v>9</v>
      </c>
      <c r="E90" s="0" t="n">
        <v>1.65</v>
      </c>
      <c r="F90" s="0" t="n">
        <v>9.5875</v>
      </c>
      <c r="G90" s="0" t="n">
        <v>15.819375</v>
      </c>
      <c r="H90" s="0" t="s">
        <v>3536</v>
      </c>
      <c r="I90" s="0" t="str">
        <f aca="false">A90&amp;"|"&amp;TRIM(D90)</f>
        <v>30|1 A 5 DOC</v>
      </c>
    </row>
    <row r="91" customFormat="false" ht="15" hidden="false" customHeight="false" outlineLevel="0" collapsed="false">
      <c r="A91" s="0" t="n">
        <v>30</v>
      </c>
      <c r="B91" s="0" t="s">
        <v>51</v>
      </c>
      <c r="C91" s="0" t="s">
        <v>349</v>
      </c>
      <c r="D91" s="0" t="s">
        <v>3449</v>
      </c>
      <c r="E91" s="0" t="n">
        <v>1.99</v>
      </c>
      <c r="F91" s="0" t="n">
        <v>9.5875</v>
      </c>
      <c r="G91" s="0" t="n">
        <v>19.079125</v>
      </c>
      <c r="H91" s="0" t="s">
        <v>3537</v>
      </c>
      <c r="I91" s="0" t="str">
        <f aca="false">A91&amp;"|"&amp;TRIM(D91)</f>
        <v>30|DETAL</v>
      </c>
    </row>
    <row r="92" customFormat="false" ht="15" hidden="false" customHeight="false" outlineLevel="0" collapsed="false">
      <c r="A92" s="0" t="n">
        <v>31</v>
      </c>
      <c r="B92" s="0" t="s">
        <v>51</v>
      </c>
      <c r="C92" s="0" t="s">
        <v>311</v>
      </c>
      <c r="D92" s="0" t="s">
        <v>3446</v>
      </c>
      <c r="E92" s="0" t="n">
        <v>1.4</v>
      </c>
      <c r="F92" s="0" t="n">
        <v>6.36</v>
      </c>
      <c r="G92" s="0" t="n">
        <v>8.904</v>
      </c>
      <c r="H92" s="0" t="s">
        <v>3538</v>
      </c>
      <c r="I92" s="0" t="str">
        <f aca="false">A92&amp;"|"&amp;TRIM(D92)</f>
        <v>31|+5 DOC</v>
      </c>
    </row>
    <row r="93" customFormat="false" ht="15" hidden="false" customHeight="false" outlineLevel="0" collapsed="false">
      <c r="A93" s="0" t="n">
        <v>31</v>
      </c>
      <c r="B93" s="0" t="s">
        <v>51</v>
      </c>
      <c r="C93" s="0" t="s">
        <v>311</v>
      </c>
      <c r="D93" s="0" t="s">
        <v>9</v>
      </c>
      <c r="E93" s="0" t="n">
        <v>1.75</v>
      </c>
      <c r="F93" s="0" t="n">
        <v>6.36</v>
      </c>
      <c r="G93" s="0" t="n">
        <v>11.13</v>
      </c>
      <c r="H93" s="0" t="s">
        <v>3539</v>
      </c>
      <c r="I93" s="0" t="str">
        <f aca="false">A93&amp;"|"&amp;TRIM(D93)</f>
        <v>31|1 A 5 DOC</v>
      </c>
    </row>
    <row r="94" customFormat="false" ht="15" hidden="false" customHeight="false" outlineLevel="0" collapsed="false">
      <c r="A94" s="0" t="n">
        <v>31</v>
      </c>
      <c r="B94" s="0" t="s">
        <v>51</v>
      </c>
      <c r="C94" s="0" t="s">
        <v>311</v>
      </c>
      <c r="D94" s="0" t="s">
        <v>3449</v>
      </c>
      <c r="E94" s="0" t="n">
        <v>1.99</v>
      </c>
      <c r="F94" s="0" t="n">
        <v>6.36</v>
      </c>
      <c r="G94" s="0" t="n">
        <v>12.6564</v>
      </c>
      <c r="H94" s="0" t="s">
        <v>3540</v>
      </c>
      <c r="I94" s="0" t="str">
        <f aca="false">A94&amp;"|"&amp;TRIM(D94)</f>
        <v>31|DETAL</v>
      </c>
    </row>
    <row r="95" customFormat="false" ht="15" hidden="false" customHeight="false" outlineLevel="0" collapsed="false">
      <c r="A95" s="0" t="n">
        <v>32</v>
      </c>
      <c r="B95" s="0" t="s">
        <v>51</v>
      </c>
      <c r="C95" s="0" t="s">
        <v>311</v>
      </c>
      <c r="D95" s="0" t="s">
        <v>3446</v>
      </c>
      <c r="E95" s="0" t="n">
        <v>1.3</v>
      </c>
      <c r="F95" s="0" t="n">
        <v>4.25</v>
      </c>
      <c r="G95" s="0" t="n">
        <v>5.525</v>
      </c>
      <c r="H95" s="0" t="s">
        <v>3541</v>
      </c>
      <c r="I95" s="0" t="str">
        <f aca="false">A95&amp;"|"&amp;TRIM(D95)</f>
        <v>32|+5 DOC</v>
      </c>
    </row>
    <row r="96" customFormat="false" ht="15" hidden="false" customHeight="false" outlineLevel="0" collapsed="false">
      <c r="A96" s="0" t="n">
        <v>32</v>
      </c>
      <c r="B96" s="0" t="s">
        <v>51</v>
      </c>
      <c r="C96" s="0" t="s">
        <v>311</v>
      </c>
      <c r="D96" s="0" t="s">
        <v>9</v>
      </c>
      <c r="E96" s="0" t="n">
        <v>1.75</v>
      </c>
      <c r="F96" s="0" t="n">
        <v>4.25</v>
      </c>
      <c r="G96" s="0" t="n">
        <v>7.4375</v>
      </c>
      <c r="H96" s="0" t="s">
        <v>3542</v>
      </c>
      <c r="I96" s="0" t="str">
        <f aca="false">A96&amp;"|"&amp;TRIM(D96)</f>
        <v>32|1 A 5 DOC</v>
      </c>
    </row>
    <row r="97" customFormat="false" ht="15" hidden="false" customHeight="false" outlineLevel="0" collapsed="false">
      <c r="A97" s="0" t="n">
        <v>32</v>
      </c>
      <c r="B97" s="0" t="s">
        <v>51</v>
      </c>
      <c r="C97" s="0" t="s">
        <v>311</v>
      </c>
      <c r="D97" s="0" t="s">
        <v>3449</v>
      </c>
      <c r="E97" s="0" t="n">
        <v>1.99</v>
      </c>
      <c r="F97" s="0" t="n">
        <v>4.25</v>
      </c>
      <c r="G97" s="0" t="n">
        <v>8.4575</v>
      </c>
      <c r="H97" s="0" t="s">
        <v>3543</v>
      </c>
      <c r="I97" s="0" t="str">
        <f aca="false">A97&amp;"|"&amp;TRIM(D97)</f>
        <v>32|DETAL</v>
      </c>
    </row>
    <row r="98" customFormat="false" ht="15" hidden="false" customHeight="false" outlineLevel="0" collapsed="false">
      <c r="A98" s="0" t="n">
        <v>33</v>
      </c>
      <c r="B98" s="0" t="s">
        <v>51</v>
      </c>
      <c r="C98" s="0" t="s">
        <v>296</v>
      </c>
      <c r="D98" s="0" t="s">
        <v>3446</v>
      </c>
      <c r="E98" s="0" t="n">
        <v>1.45</v>
      </c>
      <c r="F98" s="0" t="n">
        <v>8.555</v>
      </c>
      <c r="G98" s="0" t="n">
        <v>12.40475</v>
      </c>
      <c r="H98" s="0" t="s">
        <v>3544</v>
      </c>
      <c r="I98" s="0" t="str">
        <f aca="false">A98&amp;"|"&amp;TRIM(D98)</f>
        <v>33|+5 DOC</v>
      </c>
    </row>
    <row r="99" customFormat="false" ht="15" hidden="false" customHeight="false" outlineLevel="0" collapsed="false">
      <c r="A99" s="0" t="n">
        <v>33</v>
      </c>
      <c r="B99" s="0" t="s">
        <v>51</v>
      </c>
      <c r="C99" s="0" t="s">
        <v>296</v>
      </c>
      <c r="D99" s="0" t="s">
        <v>9</v>
      </c>
      <c r="E99" s="0" t="n">
        <v>1.75</v>
      </c>
      <c r="F99" s="0" t="n">
        <v>8.555</v>
      </c>
      <c r="G99" s="0" t="n">
        <v>14.97125</v>
      </c>
      <c r="H99" s="0" t="s">
        <v>3545</v>
      </c>
      <c r="I99" s="0" t="str">
        <f aca="false">A99&amp;"|"&amp;TRIM(D99)</f>
        <v>33|1 A 5 DOC</v>
      </c>
    </row>
    <row r="100" customFormat="false" ht="15" hidden="false" customHeight="false" outlineLevel="0" collapsed="false">
      <c r="A100" s="0" t="n">
        <v>33</v>
      </c>
      <c r="B100" s="0" t="s">
        <v>51</v>
      </c>
      <c r="C100" s="0" t="s">
        <v>296</v>
      </c>
      <c r="D100" s="0" t="s">
        <v>3449</v>
      </c>
      <c r="E100" s="0" t="n">
        <v>1.99</v>
      </c>
      <c r="F100" s="0" t="n">
        <v>8.555</v>
      </c>
      <c r="G100" s="0" t="n">
        <v>17.02445</v>
      </c>
      <c r="H100" s="0" t="s">
        <v>3546</v>
      </c>
      <c r="I100" s="0" t="str">
        <f aca="false">A100&amp;"|"&amp;TRIM(D100)</f>
        <v>33|DETAL</v>
      </c>
    </row>
    <row r="101" customFormat="false" ht="15" hidden="false" customHeight="false" outlineLevel="0" collapsed="false">
      <c r="A101" s="0" t="n">
        <v>34</v>
      </c>
      <c r="B101" s="0" t="s">
        <v>51</v>
      </c>
      <c r="C101" s="0" t="s">
        <v>296</v>
      </c>
      <c r="D101" s="0" t="s">
        <v>3446</v>
      </c>
      <c r="E101" s="0" t="n">
        <v>1.5</v>
      </c>
      <c r="F101" s="0" t="n">
        <v>3.584</v>
      </c>
      <c r="G101" s="0" t="n">
        <v>5.376</v>
      </c>
      <c r="H101" s="0" t="s">
        <v>3547</v>
      </c>
      <c r="I101" s="0" t="str">
        <f aca="false">A101&amp;"|"&amp;TRIM(D101)</f>
        <v>34|+5 DOC</v>
      </c>
    </row>
    <row r="102" customFormat="false" ht="15" hidden="false" customHeight="false" outlineLevel="0" collapsed="false">
      <c r="A102" s="0" t="n">
        <v>34</v>
      </c>
      <c r="B102" s="0" t="s">
        <v>51</v>
      </c>
      <c r="C102" s="0" t="s">
        <v>296</v>
      </c>
      <c r="D102" s="0" t="s">
        <v>9</v>
      </c>
      <c r="E102" s="0" t="n">
        <v>1.7</v>
      </c>
      <c r="F102" s="0" t="n">
        <v>3.584</v>
      </c>
      <c r="G102" s="0" t="n">
        <v>6.0928</v>
      </c>
      <c r="H102" s="0" t="s">
        <v>3548</v>
      </c>
      <c r="I102" s="0" t="str">
        <f aca="false">A102&amp;"|"&amp;TRIM(D102)</f>
        <v>34|1 A 5 DOC</v>
      </c>
    </row>
    <row r="103" customFormat="false" ht="15" hidden="false" customHeight="false" outlineLevel="0" collapsed="false">
      <c r="A103" s="0" t="n">
        <v>34</v>
      </c>
      <c r="B103" s="0" t="s">
        <v>51</v>
      </c>
      <c r="C103" s="0" t="s">
        <v>296</v>
      </c>
      <c r="D103" s="0" t="s">
        <v>3449</v>
      </c>
      <c r="E103" s="0" t="n">
        <v>1.99</v>
      </c>
      <c r="F103" s="0" t="n">
        <v>3.584</v>
      </c>
      <c r="G103" s="0" t="n">
        <v>7.13216</v>
      </c>
      <c r="H103" s="0" t="s">
        <v>3549</v>
      </c>
      <c r="I103" s="0" t="str">
        <f aca="false">A103&amp;"|"&amp;TRIM(D103)</f>
        <v>34|DETAL</v>
      </c>
    </row>
    <row r="104" customFormat="false" ht="15" hidden="false" customHeight="false" outlineLevel="0" collapsed="false">
      <c r="A104" s="0" t="n">
        <v>35</v>
      </c>
      <c r="B104" s="0" t="s">
        <v>51</v>
      </c>
      <c r="C104" s="0" t="s">
        <v>349</v>
      </c>
      <c r="D104" s="0" t="s">
        <v>3446</v>
      </c>
      <c r="E104" s="0" t="n">
        <v>1.3</v>
      </c>
      <c r="F104" s="0" t="n">
        <v>5.79125</v>
      </c>
      <c r="G104" s="0" t="n">
        <v>7.528625</v>
      </c>
      <c r="H104" s="0" t="s">
        <v>3550</v>
      </c>
      <c r="I104" s="0" t="str">
        <f aca="false">A104&amp;"|"&amp;TRIM(D104)</f>
        <v>35|+5 DOC</v>
      </c>
    </row>
    <row r="105" customFormat="false" ht="15" hidden="false" customHeight="false" outlineLevel="0" collapsed="false">
      <c r="A105" s="0" t="n">
        <v>35</v>
      </c>
      <c r="B105" s="0" t="s">
        <v>51</v>
      </c>
      <c r="C105" s="0" t="s">
        <v>349</v>
      </c>
      <c r="D105" s="0" t="s">
        <v>9</v>
      </c>
      <c r="E105" s="0" t="n">
        <v>1.6</v>
      </c>
      <c r="F105" s="0" t="n">
        <v>5.79125</v>
      </c>
      <c r="G105" s="0" t="n">
        <v>9.266</v>
      </c>
      <c r="H105" s="0" t="s">
        <v>3551</v>
      </c>
      <c r="I105" s="0" t="str">
        <f aca="false">A105&amp;"|"&amp;TRIM(D105)</f>
        <v>35|1 A 5 DOC</v>
      </c>
    </row>
    <row r="106" customFormat="false" ht="15" hidden="false" customHeight="false" outlineLevel="0" collapsed="false">
      <c r="A106" s="0" t="n">
        <v>35</v>
      </c>
      <c r="B106" s="0" t="s">
        <v>51</v>
      </c>
      <c r="C106" s="0" t="s">
        <v>349</v>
      </c>
      <c r="D106" s="0" t="s">
        <v>3449</v>
      </c>
      <c r="E106" s="0" t="n">
        <v>1.9</v>
      </c>
      <c r="F106" s="0" t="n">
        <v>5.79125</v>
      </c>
      <c r="G106" s="0" t="n">
        <v>11.003375</v>
      </c>
      <c r="H106" s="0" t="s">
        <v>3552</v>
      </c>
      <c r="I106" s="0" t="str">
        <f aca="false">A106&amp;"|"&amp;TRIM(D106)</f>
        <v>35|DETAL</v>
      </c>
    </row>
    <row r="107" customFormat="false" ht="15" hidden="false" customHeight="false" outlineLevel="0" collapsed="false">
      <c r="A107" s="0" t="n">
        <v>36</v>
      </c>
      <c r="B107" s="0" t="s">
        <v>51</v>
      </c>
      <c r="C107" s="0" t="s">
        <v>349</v>
      </c>
      <c r="D107" s="0" t="s">
        <v>3446</v>
      </c>
      <c r="E107" s="0" t="n">
        <v>1.4</v>
      </c>
      <c r="F107" s="0" t="n">
        <v>6.6775</v>
      </c>
      <c r="G107" s="0" t="n">
        <v>9.3485</v>
      </c>
      <c r="H107" s="0" t="s">
        <v>3553</v>
      </c>
      <c r="I107" s="0" t="str">
        <f aca="false">A107&amp;"|"&amp;TRIM(D107)</f>
        <v>36|+5 DOC</v>
      </c>
    </row>
    <row r="108" customFormat="false" ht="15" hidden="false" customHeight="false" outlineLevel="0" collapsed="false">
      <c r="A108" s="0" t="n">
        <v>36</v>
      </c>
      <c r="B108" s="0" t="s">
        <v>51</v>
      </c>
      <c r="C108" s="0" t="s">
        <v>349</v>
      </c>
      <c r="D108" s="0" t="s">
        <v>9</v>
      </c>
      <c r="E108" s="0" t="n">
        <v>1.65</v>
      </c>
      <c r="F108" s="0" t="n">
        <v>6.6775</v>
      </c>
      <c r="G108" s="0" t="n">
        <v>11.017875</v>
      </c>
      <c r="H108" s="0" t="s">
        <v>3554</v>
      </c>
      <c r="I108" s="0" t="str">
        <f aca="false">A108&amp;"|"&amp;TRIM(D108)</f>
        <v>36|1 A 5 DOC</v>
      </c>
    </row>
    <row r="109" customFormat="false" ht="15" hidden="false" customHeight="false" outlineLevel="0" collapsed="false">
      <c r="A109" s="0" t="n">
        <v>36</v>
      </c>
      <c r="B109" s="0" t="s">
        <v>51</v>
      </c>
      <c r="C109" s="0" t="s">
        <v>349</v>
      </c>
      <c r="D109" s="0" t="s">
        <v>3449</v>
      </c>
      <c r="E109" s="0" t="n">
        <v>1.85</v>
      </c>
      <c r="F109" s="0" t="n">
        <v>6.6775</v>
      </c>
      <c r="G109" s="0" t="n">
        <v>12.353375</v>
      </c>
      <c r="H109" s="0" t="s">
        <v>3555</v>
      </c>
      <c r="I109" s="0" t="str">
        <f aca="false">A109&amp;"|"&amp;TRIM(D109)</f>
        <v>36|DETAL</v>
      </c>
    </row>
    <row r="110" customFormat="false" ht="15" hidden="false" customHeight="false" outlineLevel="0" collapsed="false">
      <c r="A110" s="0" t="n">
        <v>37</v>
      </c>
      <c r="B110" s="0" t="s">
        <v>51</v>
      </c>
      <c r="C110" s="0" t="s">
        <v>296</v>
      </c>
      <c r="D110" s="0" t="s">
        <v>3446</v>
      </c>
      <c r="E110" s="0" t="n">
        <v>1.45</v>
      </c>
      <c r="F110" s="0" t="n">
        <v>5.67</v>
      </c>
      <c r="G110" s="0" t="n">
        <v>8.2215</v>
      </c>
      <c r="H110" s="0" t="s">
        <v>3556</v>
      </c>
      <c r="I110" s="0" t="str">
        <f aca="false">A110&amp;"|"&amp;TRIM(D110)</f>
        <v>37|+5 DOC</v>
      </c>
    </row>
    <row r="111" customFormat="false" ht="15" hidden="false" customHeight="false" outlineLevel="0" collapsed="false">
      <c r="A111" s="0" t="n">
        <v>37</v>
      </c>
      <c r="B111" s="0" t="s">
        <v>51</v>
      </c>
      <c r="C111" s="0" t="s">
        <v>296</v>
      </c>
      <c r="D111" s="0" t="s">
        <v>9</v>
      </c>
      <c r="E111" s="0" t="n">
        <v>1.75</v>
      </c>
      <c r="F111" s="0" t="n">
        <v>5.67</v>
      </c>
      <c r="G111" s="0" t="n">
        <v>9.9225</v>
      </c>
      <c r="H111" s="0" t="s">
        <v>3557</v>
      </c>
      <c r="I111" s="0" t="str">
        <f aca="false">A111&amp;"|"&amp;TRIM(D111)</f>
        <v>37|1 A 5 DOC</v>
      </c>
    </row>
    <row r="112" customFormat="false" ht="15" hidden="false" customHeight="false" outlineLevel="0" collapsed="false">
      <c r="A112" s="0" t="n">
        <v>37</v>
      </c>
      <c r="B112" s="0" t="s">
        <v>51</v>
      </c>
      <c r="C112" s="0" t="s">
        <v>296</v>
      </c>
      <c r="D112" s="0" t="s">
        <v>3449</v>
      </c>
      <c r="E112" s="0" t="n">
        <v>1.99</v>
      </c>
      <c r="F112" s="0" t="n">
        <v>5.67</v>
      </c>
      <c r="G112" s="0" t="n">
        <v>11.2833</v>
      </c>
      <c r="H112" s="0" t="s">
        <v>3558</v>
      </c>
      <c r="I112" s="0" t="str">
        <f aca="false">A112&amp;"|"&amp;TRIM(D112)</f>
        <v>37|DETAL</v>
      </c>
    </row>
    <row r="113" customFormat="false" ht="15" hidden="false" customHeight="false" outlineLevel="0" collapsed="false">
      <c r="A113" s="0" t="n">
        <v>38</v>
      </c>
      <c r="B113" s="0" t="s">
        <v>51</v>
      </c>
      <c r="C113" s="0" t="s">
        <v>311</v>
      </c>
      <c r="D113" s="0" t="s">
        <v>3446</v>
      </c>
      <c r="E113" s="0" t="n">
        <v>1.45</v>
      </c>
      <c r="F113" s="0" t="n">
        <v>5.13</v>
      </c>
      <c r="G113" s="0" t="n">
        <v>7.4385</v>
      </c>
      <c r="H113" s="0" t="s">
        <v>3559</v>
      </c>
      <c r="I113" s="0" t="str">
        <f aca="false">A113&amp;"|"&amp;TRIM(D113)</f>
        <v>38|+5 DOC</v>
      </c>
    </row>
    <row r="114" customFormat="false" ht="15" hidden="false" customHeight="false" outlineLevel="0" collapsed="false">
      <c r="A114" s="0" t="n">
        <v>38</v>
      </c>
      <c r="B114" s="0" t="s">
        <v>51</v>
      </c>
      <c r="C114" s="0" t="s">
        <v>311</v>
      </c>
      <c r="D114" s="0" t="s">
        <v>9</v>
      </c>
      <c r="E114" s="0" t="n">
        <v>1.75</v>
      </c>
      <c r="F114" s="0" t="n">
        <v>5.13</v>
      </c>
      <c r="G114" s="0" t="n">
        <v>8.9775</v>
      </c>
      <c r="H114" s="0" t="s">
        <v>3560</v>
      </c>
      <c r="I114" s="0" t="str">
        <f aca="false">A114&amp;"|"&amp;TRIM(D114)</f>
        <v>38|1 A 5 DOC</v>
      </c>
    </row>
    <row r="115" customFormat="false" ht="15" hidden="false" customHeight="false" outlineLevel="0" collapsed="false">
      <c r="A115" s="0" t="n">
        <v>38</v>
      </c>
      <c r="B115" s="0" t="s">
        <v>51</v>
      </c>
      <c r="C115" s="0" t="s">
        <v>311</v>
      </c>
      <c r="D115" s="0" t="s">
        <v>3449</v>
      </c>
      <c r="E115" s="0" t="n">
        <v>1.99</v>
      </c>
      <c r="F115" s="0" t="n">
        <v>5.13</v>
      </c>
      <c r="G115" s="0" t="n">
        <v>10.2087</v>
      </c>
      <c r="H115" s="0" t="s">
        <v>3561</v>
      </c>
      <c r="I115" s="0" t="str">
        <f aca="false">A115&amp;"|"&amp;TRIM(D115)</f>
        <v>38|DETAL</v>
      </c>
    </row>
    <row r="116" customFormat="false" ht="15" hidden="false" customHeight="false" outlineLevel="0" collapsed="false">
      <c r="A116" s="0" t="n">
        <v>39</v>
      </c>
      <c r="B116" s="0" t="s">
        <v>51</v>
      </c>
      <c r="C116" s="0" t="s">
        <v>70</v>
      </c>
      <c r="D116" s="0" t="s">
        <v>3446</v>
      </c>
      <c r="E116" s="0" t="n">
        <v>1.45</v>
      </c>
      <c r="F116" s="0" t="n">
        <v>5.945</v>
      </c>
      <c r="G116" s="0" t="n">
        <v>8.62025</v>
      </c>
      <c r="H116" s="0" t="s">
        <v>3562</v>
      </c>
      <c r="I116" s="0" t="str">
        <f aca="false">A116&amp;"|"&amp;TRIM(D116)</f>
        <v>39|+5 DOC</v>
      </c>
    </row>
    <row r="117" customFormat="false" ht="15" hidden="false" customHeight="false" outlineLevel="0" collapsed="false">
      <c r="A117" s="0" t="n">
        <v>39</v>
      </c>
      <c r="B117" s="0" t="s">
        <v>51</v>
      </c>
      <c r="C117" s="0" t="s">
        <v>70</v>
      </c>
      <c r="D117" s="0" t="s">
        <v>9</v>
      </c>
      <c r="E117" s="0" t="n">
        <v>1.6</v>
      </c>
      <c r="F117" s="0" t="n">
        <v>5.945</v>
      </c>
      <c r="G117" s="0" t="n">
        <v>9.512</v>
      </c>
      <c r="H117" s="0" t="s">
        <v>3563</v>
      </c>
      <c r="I117" s="0" t="str">
        <f aca="false">A117&amp;"|"&amp;TRIM(D117)</f>
        <v>39|1 A 5 DOC</v>
      </c>
    </row>
    <row r="118" customFormat="false" ht="15" hidden="false" customHeight="false" outlineLevel="0" collapsed="false">
      <c r="A118" s="0" t="n">
        <v>39</v>
      </c>
      <c r="B118" s="0" t="s">
        <v>51</v>
      </c>
      <c r="C118" s="0" t="s">
        <v>70</v>
      </c>
      <c r="D118" s="0" t="s">
        <v>3449</v>
      </c>
      <c r="E118" s="0" t="n">
        <v>1.99</v>
      </c>
      <c r="F118" s="0" t="n">
        <v>5.945</v>
      </c>
      <c r="G118" s="0" t="n">
        <v>11.83055</v>
      </c>
      <c r="H118" s="0" t="s">
        <v>3564</v>
      </c>
      <c r="I118" s="0" t="str">
        <f aca="false">A118&amp;"|"&amp;TRIM(D118)</f>
        <v>39|DETAL</v>
      </c>
    </row>
    <row r="119" customFormat="false" ht="15" hidden="false" customHeight="false" outlineLevel="0" collapsed="false">
      <c r="A119" s="0" t="n">
        <v>40</v>
      </c>
      <c r="B119" s="0" t="s">
        <v>51</v>
      </c>
      <c r="C119" s="0" t="s">
        <v>90</v>
      </c>
      <c r="D119" s="0" t="s">
        <v>3446</v>
      </c>
      <c r="E119" s="0" t="n">
        <v>1.45</v>
      </c>
      <c r="F119" s="0" t="n">
        <v>5.85</v>
      </c>
      <c r="G119" s="0" t="n">
        <v>8.4825</v>
      </c>
      <c r="H119" s="0" t="s">
        <v>3565</v>
      </c>
      <c r="I119" s="0" t="str">
        <f aca="false">A119&amp;"|"&amp;TRIM(D119)</f>
        <v>40|+5 DOC</v>
      </c>
    </row>
    <row r="120" customFormat="false" ht="15" hidden="false" customHeight="false" outlineLevel="0" collapsed="false">
      <c r="A120" s="0" t="n">
        <v>40</v>
      </c>
      <c r="B120" s="0" t="s">
        <v>51</v>
      </c>
      <c r="C120" s="0" t="s">
        <v>90</v>
      </c>
      <c r="D120" s="0" t="s">
        <v>9</v>
      </c>
      <c r="E120" s="0" t="n">
        <v>1.75</v>
      </c>
      <c r="F120" s="0" t="n">
        <v>5.85</v>
      </c>
      <c r="G120" s="0" t="n">
        <v>10.2375</v>
      </c>
      <c r="H120" s="0" t="s">
        <v>3566</v>
      </c>
      <c r="I120" s="0" t="str">
        <f aca="false">A120&amp;"|"&amp;TRIM(D120)</f>
        <v>40|1 A 5 DOC</v>
      </c>
    </row>
    <row r="121" customFormat="false" ht="15" hidden="false" customHeight="false" outlineLevel="0" collapsed="false">
      <c r="A121" s="0" t="n">
        <v>40</v>
      </c>
      <c r="B121" s="0" t="s">
        <v>51</v>
      </c>
      <c r="C121" s="0" t="s">
        <v>90</v>
      </c>
      <c r="D121" s="0" t="s">
        <v>3449</v>
      </c>
      <c r="E121" s="0" t="n">
        <v>1.99</v>
      </c>
      <c r="F121" s="0" t="n">
        <v>5.85</v>
      </c>
      <c r="G121" s="0" t="n">
        <v>11.6415</v>
      </c>
      <c r="H121" s="0" t="s">
        <v>3567</v>
      </c>
      <c r="I121" s="0" t="str">
        <f aca="false">A121&amp;"|"&amp;TRIM(D121)</f>
        <v>40|DETAL</v>
      </c>
    </row>
    <row r="122" customFormat="false" ht="15" hidden="false" customHeight="false" outlineLevel="0" collapsed="false">
      <c r="A122" s="0" t="n">
        <v>41</v>
      </c>
      <c r="B122" s="0" t="s">
        <v>51</v>
      </c>
      <c r="C122" s="0" t="s">
        <v>349</v>
      </c>
      <c r="D122" s="0" t="s">
        <v>3446</v>
      </c>
      <c r="E122" s="0" t="n">
        <v>1.45</v>
      </c>
      <c r="F122" s="0" t="n">
        <v>5.75</v>
      </c>
      <c r="G122" s="0" t="n">
        <v>8.3375</v>
      </c>
      <c r="H122" s="0" t="s">
        <v>3568</v>
      </c>
      <c r="I122" s="0" t="str">
        <f aca="false">A122&amp;"|"&amp;TRIM(D122)</f>
        <v>41|+5 DOC</v>
      </c>
    </row>
    <row r="123" customFormat="false" ht="15" hidden="false" customHeight="false" outlineLevel="0" collapsed="false">
      <c r="A123" s="0" t="n">
        <v>41</v>
      </c>
      <c r="B123" s="0" t="s">
        <v>51</v>
      </c>
      <c r="C123" s="0" t="s">
        <v>349</v>
      </c>
      <c r="D123" s="0" t="s">
        <v>9</v>
      </c>
      <c r="E123" s="0" t="n">
        <v>1.75</v>
      </c>
      <c r="F123" s="0" t="n">
        <v>5.75</v>
      </c>
      <c r="G123" s="0" t="n">
        <v>10.0625</v>
      </c>
      <c r="H123" s="0" t="s">
        <v>3569</v>
      </c>
      <c r="I123" s="0" t="str">
        <f aca="false">A123&amp;"|"&amp;TRIM(D123)</f>
        <v>41|1 A 5 DOC</v>
      </c>
    </row>
    <row r="124" customFormat="false" ht="15" hidden="false" customHeight="false" outlineLevel="0" collapsed="false">
      <c r="A124" s="0" t="n">
        <v>41</v>
      </c>
      <c r="B124" s="0" t="s">
        <v>51</v>
      </c>
      <c r="C124" s="0" t="s">
        <v>349</v>
      </c>
      <c r="D124" s="0" t="s">
        <v>3449</v>
      </c>
      <c r="E124" s="0" t="n">
        <v>1.85</v>
      </c>
      <c r="F124" s="0" t="n">
        <v>5.75</v>
      </c>
      <c r="G124" s="0" t="n">
        <v>10.6375</v>
      </c>
      <c r="H124" s="0" t="s">
        <v>3570</v>
      </c>
      <c r="I124" s="0" t="str">
        <f aca="false">A124&amp;"|"&amp;TRIM(D124)</f>
        <v>41|DETAL</v>
      </c>
    </row>
    <row r="125" customFormat="false" ht="15" hidden="false" customHeight="false" outlineLevel="0" collapsed="false">
      <c r="A125" s="0" t="n">
        <v>42</v>
      </c>
      <c r="B125" s="0" t="s">
        <v>51</v>
      </c>
      <c r="C125" s="0" t="s">
        <v>349</v>
      </c>
      <c r="D125" s="0" t="s">
        <v>3446</v>
      </c>
      <c r="E125" s="0" t="n">
        <v>1.45</v>
      </c>
      <c r="F125" s="0" t="n">
        <v>6.575</v>
      </c>
      <c r="G125" s="0" t="n">
        <v>9.53375</v>
      </c>
      <c r="H125" s="0" t="s">
        <v>3571</v>
      </c>
      <c r="I125" s="0" t="str">
        <f aca="false">A125&amp;"|"&amp;TRIM(D125)</f>
        <v>42|+5 DOC</v>
      </c>
    </row>
    <row r="126" customFormat="false" ht="15" hidden="false" customHeight="false" outlineLevel="0" collapsed="false">
      <c r="A126" s="0" t="n">
        <v>42</v>
      </c>
      <c r="B126" s="0" t="s">
        <v>51</v>
      </c>
      <c r="C126" s="0" t="s">
        <v>349</v>
      </c>
      <c r="D126" s="0" t="s">
        <v>9</v>
      </c>
      <c r="E126" s="0" t="n">
        <v>1.6</v>
      </c>
      <c r="F126" s="0" t="n">
        <v>6.575</v>
      </c>
      <c r="G126" s="0" t="n">
        <v>10.52</v>
      </c>
      <c r="H126" s="0" t="s">
        <v>3572</v>
      </c>
      <c r="I126" s="0" t="str">
        <f aca="false">A126&amp;"|"&amp;TRIM(D126)</f>
        <v>42|1 A 5 DOC</v>
      </c>
    </row>
    <row r="127" customFormat="false" ht="15" hidden="false" customHeight="false" outlineLevel="0" collapsed="false">
      <c r="A127" s="0" t="n">
        <v>42</v>
      </c>
      <c r="B127" s="0" t="s">
        <v>51</v>
      </c>
      <c r="C127" s="0" t="s">
        <v>349</v>
      </c>
      <c r="D127" s="0" t="s">
        <v>3449</v>
      </c>
      <c r="E127" s="0" t="n">
        <v>1.99</v>
      </c>
      <c r="F127" s="0" t="n">
        <v>6.575</v>
      </c>
      <c r="G127" s="0" t="n">
        <v>13.08425</v>
      </c>
      <c r="H127" s="0" t="s">
        <v>3573</v>
      </c>
      <c r="I127" s="0" t="str">
        <f aca="false">A127&amp;"|"&amp;TRIM(D127)</f>
        <v>42|DETAL</v>
      </c>
    </row>
    <row r="128" customFormat="false" ht="15" hidden="false" customHeight="false" outlineLevel="0" collapsed="false">
      <c r="A128" s="0" t="n">
        <v>43</v>
      </c>
      <c r="B128" s="0" t="s">
        <v>625</v>
      </c>
      <c r="C128" s="0" t="s">
        <v>626</v>
      </c>
      <c r="D128" s="0" t="s">
        <v>3446</v>
      </c>
      <c r="E128" s="0" t="n">
        <v>1.4</v>
      </c>
      <c r="F128" s="0" t="n">
        <v>5.49157894736842</v>
      </c>
      <c r="G128" s="0" t="n">
        <v>7.68821052631579</v>
      </c>
      <c r="H128" s="0" t="s">
        <v>3574</v>
      </c>
      <c r="I128" s="0" t="str">
        <f aca="false">A128&amp;"|"&amp;TRIM(D128)</f>
        <v>43|+5 DOC</v>
      </c>
    </row>
    <row r="129" customFormat="false" ht="15" hidden="false" customHeight="false" outlineLevel="0" collapsed="false">
      <c r="A129" s="0" t="n">
        <v>43</v>
      </c>
      <c r="B129" s="0" t="s">
        <v>625</v>
      </c>
      <c r="C129" s="0" t="s">
        <v>626</v>
      </c>
      <c r="D129" s="0" t="s">
        <v>9</v>
      </c>
      <c r="E129" s="0" t="n">
        <v>1.6</v>
      </c>
      <c r="F129" s="0" t="n">
        <v>5.49157894736842</v>
      </c>
      <c r="G129" s="0" t="n">
        <v>8.78652631578947</v>
      </c>
      <c r="H129" s="0" t="s">
        <v>3575</v>
      </c>
      <c r="I129" s="0" t="str">
        <f aca="false">A129&amp;"|"&amp;TRIM(D129)</f>
        <v>43|1 A 5 DOC</v>
      </c>
    </row>
    <row r="130" customFormat="false" ht="15" hidden="false" customHeight="false" outlineLevel="0" collapsed="false">
      <c r="A130" s="0" t="n">
        <v>43</v>
      </c>
      <c r="B130" s="0" t="s">
        <v>625</v>
      </c>
      <c r="C130" s="0" t="s">
        <v>626</v>
      </c>
      <c r="D130" s="0" t="s">
        <v>3449</v>
      </c>
      <c r="E130" s="0" t="n">
        <v>1.99</v>
      </c>
      <c r="F130" s="0" t="n">
        <v>5.49157894736842</v>
      </c>
      <c r="G130" s="0" t="n">
        <v>10.9282421052632</v>
      </c>
      <c r="H130" s="0" t="s">
        <v>3576</v>
      </c>
      <c r="I130" s="0" t="str">
        <f aca="false">A130&amp;"|"&amp;TRIM(D130)</f>
        <v>43|DETAL</v>
      </c>
    </row>
    <row r="131" customFormat="false" ht="15" hidden="false" customHeight="false" outlineLevel="0" collapsed="false">
      <c r="A131" s="0" t="n">
        <v>44</v>
      </c>
      <c r="B131" s="0" t="s">
        <v>625</v>
      </c>
      <c r="C131" s="0" t="s">
        <v>636</v>
      </c>
      <c r="D131" s="0" t="s">
        <v>3446</v>
      </c>
      <c r="E131" s="0" t="n">
        <v>1.4</v>
      </c>
      <c r="F131" s="0" t="n">
        <v>6.33157894736842</v>
      </c>
      <c r="G131" s="0" t="n">
        <v>8.86421052631579</v>
      </c>
      <c r="H131" s="0" t="s">
        <v>3577</v>
      </c>
      <c r="I131" s="0" t="str">
        <f aca="false">A131&amp;"|"&amp;TRIM(D131)</f>
        <v>44|+5 DOC</v>
      </c>
    </row>
    <row r="132" customFormat="false" ht="15" hidden="false" customHeight="false" outlineLevel="0" collapsed="false">
      <c r="A132" s="0" t="n">
        <v>44</v>
      </c>
      <c r="B132" s="0" t="s">
        <v>625</v>
      </c>
      <c r="C132" s="0" t="s">
        <v>636</v>
      </c>
      <c r="D132" s="0" t="s">
        <v>9</v>
      </c>
      <c r="E132" s="0" t="n">
        <v>1.6</v>
      </c>
      <c r="F132" s="0" t="n">
        <v>6.33157894736842</v>
      </c>
      <c r="G132" s="0" t="n">
        <v>10.1305263157895</v>
      </c>
      <c r="H132" s="0" t="s">
        <v>3578</v>
      </c>
      <c r="I132" s="0" t="str">
        <f aca="false">A132&amp;"|"&amp;TRIM(D132)</f>
        <v>44|1 A 5 DOC</v>
      </c>
    </row>
    <row r="133" customFormat="false" ht="15" hidden="false" customHeight="false" outlineLevel="0" collapsed="false">
      <c r="A133" s="0" t="n">
        <v>44</v>
      </c>
      <c r="B133" s="0" t="s">
        <v>625</v>
      </c>
      <c r="C133" s="0" t="s">
        <v>636</v>
      </c>
      <c r="D133" s="0" t="s">
        <v>3449</v>
      </c>
      <c r="E133" s="0" t="n">
        <v>1.99</v>
      </c>
      <c r="F133" s="0" t="n">
        <v>6.33157894736842</v>
      </c>
      <c r="G133" s="0" t="n">
        <v>12.5998421052632</v>
      </c>
      <c r="H133" s="0" t="s">
        <v>3579</v>
      </c>
      <c r="I133" s="0" t="str">
        <f aca="false">A133&amp;"|"&amp;TRIM(D133)</f>
        <v>44|DETAL</v>
      </c>
    </row>
    <row r="134" customFormat="false" ht="15" hidden="false" customHeight="false" outlineLevel="0" collapsed="false">
      <c r="A134" s="0" t="n">
        <v>45</v>
      </c>
      <c r="B134" s="0" t="s">
        <v>625</v>
      </c>
      <c r="C134" s="0" t="s">
        <v>648</v>
      </c>
      <c r="D134" s="0" t="s">
        <v>3446</v>
      </c>
      <c r="E134" s="0" t="n">
        <v>1.4</v>
      </c>
      <c r="F134" s="0" t="n">
        <v>4.37157894736842</v>
      </c>
      <c r="G134" s="0" t="n">
        <v>6.12021052631579</v>
      </c>
      <c r="H134" s="0" t="s">
        <v>3580</v>
      </c>
      <c r="I134" s="0" t="str">
        <f aca="false">A134&amp;"|"&amp;TRIM(D134)</f>
        <v>45|+5 DOC</v>
      </c>
    </row>
    <row r="135" customFormat="false" ht="15" hidden="false" customHeight="false" outlineLevel="0" collapsed="false">
      <c r="A135" s="0" t="n">
        <v>45</v>
      </c>
      <c r="B135" s="0" t="s">
        <v>625</v>
      </c>
      <c r="C135" s="0" t="s">
        <v>648</v>
      </c>
      <c r="D135" s="0" t="s">
        <v>9</v>
      </c>
      <c r="E135" s="0" t="n">
        <v>1.6</v>
      </c>
      <c r="F135" s="0" t="n">
        <v>4.37157894736842</v>
      </c>
      <c r="G135" s="0" t="n">
        <v>6.99452631578948</v>
      </c>
      <c r="H135" s="0" t="s">
        <v>3581</v>
      </c>
      <c r="I135" s="0" t="str">
        <f aca="false">A135&amp;"|"&amp;TRIM(D135)</f>
        <v>45|1 A 5 DOC</v>
      </c>
    </row>
    <row r="136" customFormat="false" ht="15" hidden="false" customHeight="false" outlineLevel="0" collapsed="false">
      <c r="A136" s="0" t="n">
        <v>45</v>
      </c>
      <c r="B136" s="0" t="s">
        <v>625</v>
      </c>
      <c r="C136" s="0" t="s">
        <v>648</v>
      </c>
      <c r="D136" s="0" t="s">
        <v>3449</v>
      </c>
      <c r="E136" s="0" t="n">
        <v>1.99</v>
      </c>
      <c r="F136" s="0" t="n">
        <v>4.37157894736842</v>
      </c>
      <c r="G136" s="0" t="n">
        <v>8.69944210526316</v>
      </c>
      <c r="H136" s="0" t="s">
        <v>3582</v>
      </c>
      <c r="I136" s="0" t="str">
        <f aca="false">A136&amp;"|"&amp;TRIM(D136)</f>
        <v>45|DETAL</v>
      </c>
    </row>
    <row r="137" customFormat="false" ht="15" hidden="false" customHeight="false" outlineLevel="0" collapsed="false">
      <c r="A137" s="0" t="n">
        <v>46</v>
      </c>
      <c r="B137" s="0" t="s">
        <v>625</v>
      </c>
      <c r="C137" s="0" t="s">
        <v>660</v>
      </c>
      <c r="D137" s="0" t="s">
        <v>3446</v>
      </c>
      <c r="E137" s="0" t="n">
        <v>1.4</v>
      </c>
      <c r="F137" s="0" t="n">
        <v>4.93157894736842</v>
      </c>
      <c r="G137" s="0" t="n">
        <v>6.90421052631579</v>
      </c>
      <c r="H137" s="0" t="s">
        <v>3583</v>
      </c>
      <c r="I137" s="0" t="str">
        <f aca="false">A137&amp;"|"&amp;TRIM(D137)</f>
        <v>46|+5 DOC</v>
      </c>
    </row>
    <row r="138" customFormat="false" ht="15" hidden="false" customHeight="false" outlineLevel="0" collapsed="false">
      <c r="A138" s="0" t="n">
        <v>46</v>
      </c>
      <c r="B138" s="0" t="s">
        <v>625</v>
      </c>
      <c r="C138" s="0" t="s">
        <v>660</v>
      </c>
      <c r="D138" s="0" t="s">
        <v>9</v>
      </c>
      <c r="E138" s="0" t="n">
        <v>1.6</v>
      </c>
      <c r="F138" s="0" t="n">
        <v>4.93157894736842</v>
      </c>
      <c r="G138" s="0" t="n">
        <v>7.89052631578947</v>
      </c>
      <c r="H138" s="0" t="s">
        <v>3584</v>
      </c>
      <c r="I138" s="0" t="str">
        <f aca="false">A138&amp;"|"&amp;TRIM(D138)</f>
        <v>46|1 A 5 DOC</v>
      </c>
    </row>
    <row r="139" customFormat="false" ht="15" hidden="false" customHeight="false" outlineLevel="0" collapsed="false">
      <c r="A139" s="0" t="n">
        <v>46</v>
      </c>
      <c r="B139" s="0" t="s">
        <v>625</v>
      </c>
      <c r="C139" s="0" t="s">
        <v>660</v>
      </c>
      <c r="D139" s="0" t="s">
        <v>3449</v>
      </c>
      <c r="E139" s="0" t="n">
        <v>1.99</v>
      </c>
      <c r="F139" s="0" t="n">
        <v>4.93157894736842</v>
      </c>
      <c r="G139" s="0" t="n">
        <v>9.81384210526316</v>
      </c>
      <c r="H139" s="0" t="s">
        <v>3585</v>
      </c>
      <c r="I139" s="0" t="str">
        <f aca="false">A139&amp;"|"&amp;TRIM(D139)</f>
        <v>46|DETAL</v>
      </c>
    </row>
    <row r="140" customFormat="false" ht="15" hidden="false" customHeight="false" outlineLevel="0" collapsed="false">
      <c r="A140" s="0" t="n">
        <v>47</v>
      </c>
      <c r="B140" s="0" t="s">
        <v>625</v>
      </c>
      <c r="C140" s="0" t="s">
        <v>670</v>
      </c>
      <c r="D140" s="0" t="s">
        <v>3446</v>
      </c>
      <c r="E140" s="0" t="n">
        <v>1.4</v>
      </c>
      <c r="F140" s="0" t="n">
        <v>5.17157894736842</v>
      </c>
      <c r="G140" s="0" t="n">
        <v>7.24021052631579</v>
      </c>
      <c r="H140" s="0" t="s">
        <v>3586</v>
      </c>
      <c r="I140" s="0" t="str">
        <f aca="false">A140&amp;"|"&amp;TRIM(D140)</f>
        <v>47|+5 DOC</v>
      </c>
    </row>
    <row r="141" customFormat="false" ht="15" hidden="false" customHeight="false" outlineLevel="0" collapsed="false">
      <c r="A141" s="0" t="n">
        <v>47</v>
      </c>
      <c r="B141" s="0" t="s">
        <v>625</v>
      </c>
      <c r="C141" s="0" t="s">
        <v>670</v>
      </c>
      <c r="D141" s="0" t="s">
        <v>9</v>
      </c>
      <c r="E141" s="0" t="n">
        <v>1.6</v>
      </c>
      <c r="F141" s="0" t="n">
        <v>5.17157894736842</v>
      </c>
      <c r="G141" s="0" t="n">
        <v>8.27452631578947</v>
      </c>
      <c r="H141" s="0" t="s">
        <v>3587</v>
      </c>
      <c r="I141" s="0" t="str">
        <f aca="false">A141&amp;"|"&amp;TRIM(D141)</f>
        <v>47|1 A 5 DOC</v>
      </c>
    </row>
    <row r="142" customFormat="false" ht="15" hidden="false" customHeight="false" outlineLevel="0" collapsed="false">
      <c r="A142" s="0" t="n">
        <v>47</v>
      </c>
      <c r="B142" s="0" t="s">
        <v>625</v>
      </c>
      <c r="C142" s="0" t="s">
        <v>670</v>
      </c>
      <c r="D142" s="0" t="s">
        <v>3449</v>
      </c>
      <c r="E142" s="0" t="n">
        <v>1.99</v>
      </c>
      <c r="F142" s="0" t="n">
        <v>5.17157894736842</v>
      </c>
      <c r="G142" s="0" t="n">
        <v>10.2914421052632</v>
      </c>
      <c r="H142" s="0" t="s">
        <v>3588</v>
      </c>
      <c r="I142" s="0" t="str">
        <f aca="false">A142&amp;"|"&amp;TRIM(D142)</f>
        <v>47|DETAL</v>
      </c>
    </row>
    <row r="143" customFormat="false" ht="15" hidden="false" customHeight="false" outlineLevel="0" collapsed="false">
      <c r="A143" s="0" t="n">
        <v>48</v>
      </c>
      <c r="B143" s="0" t="s">
        <v>625</v>
      </c>
      <c r="C143" s="0" t="s">
        <v>682</v>
      </c>
      <c r="D143" s="0" t="s">
        <v>3446</v>
      </c>
      <c r="E143" s="0" t="n">
        <v>1.35</v>
      </c>
      <c r="F143" s="0" t="n">
        <v>6.53947368421053</v>
      </c>
      <c r="G143" s="0" t="n">
        <v>8.82828947368421</v>
      </c>
      <c r="H143" s="0" t="s">
        <v>3589</v>
      </c>
      <c r="I143" s="0" t="str">
        <f aca="false">A143&amp;"|"&amp;TRIM(D143)</f>
        <v>48|+5 DOC</v>
      </c>
    </row>
    <row r="144" customFormat="false" ht="15" hidden="false" customHeight="false" outlineLevel="0" collapsed="false">
      <c r="A144" s="0" t="n">
        <v>48</v>
      </c>
      <c r="B144" s="0" t="s">
        <v>625</v>
      </c>
      <c r="C144" s="0" t="s">
        <v>682</v>
      </c>
      <c r="D144" s="0" t="s">
        <v>9</v>
      </c>
      <c r="E144" s="0" t="n">
        <v>1.6</v>
      </c>
      <c r="F144" s="0" t="n">
        <v>6.53947368421053</v>
      </c>
      <c r="G144" s="0" t="n">
        <v>10.4631578947368</v>
      </c>
      <c r="H144" s="0" t="s">
        <v>3590</v>
      </c>
      <c r="I144" s="0" t="str">
        <f aca="false">A144&amp;"|"&amp;TRIM(D144)</f>
        <v>48|1 A 5 DOC</v>
      </c>
    </row>
    <row r="145" customFormat="false" ht="15" hidden="false" customHeight="false" outlineLevel="0" collapsed="false">
      <c r="A145" s="0" t="n">
        <v>48</v>
      </c>
      <c r="B145" s="0" t="s">
        <v>625</v>
      </c>
      <c r="C145" s="0" t="s">
        <v>682</v>
      </c>
      <c r="D145" s="0" t="s">
        <v>3449</v>
      </c>
      <c r="E145" s="0" t="n">
        <v>1.99</v>
      </c>
      <c r="F145" s="0" t="n">
        <v>6.53947368421053</v>
      </c>
      <c r="G145" s="0" t="n">
        <v>13.013552631579</v>
      </c>
      <c r="H145" s="0" t="s">
        <v>3591</v>
      </c>
      <c r="I145" s="0" t="str">
        <f aca="false">A145&amp;"|"&amp;TRIM(D145)</f>
        <v>48|DETAL</v>
      </c>
    </row>
    <row r="146" customFormat="false" ht="15" hidden="false" customHeight="false" outlineLevel="0" collapsed="false">
      <c r="A146" s="0" t="n">
        <v>49</v>
      </c>
      <c r="B146" s="0" t="s">
        <v>625</v>
      </c>
      <c r="C146" s="0" t="s">
        <v>693</v>
      </c>
      <c r="D146" s="0" t="s">
        <v>3446</v>
      </c>
      <c r="E146" s="0" t="n">
        <v>1.4</v>
      </c>
      <c r="F146" s="0" t="n">
        <v>5.65157894736842</v>
      </c>
      <c r="G146" s="0" t="n">
        <v>7.91221052631579</v>
      </c>
      <c r="H146" s="0" t="s">
        <v>3592</v>
      </c>
      <c r="I146" s="0" t="str">
        <f aca="false">A146&amp;"|"&amp;TRIM(D146)</f>
        <v>49|+5 DOC</v>
      </c>
    </row>
    <row r="147" customFormat="false" ht="15" hidden="false" customHeight="false" outlineLevel="0" collapsed="false">
      <c r="A147" s="0" t="n">
        <v>49</v>
      </c>
      <c r="B147" s="0" t="s">
        <v>625</v>
      </c>
      <c r="C147" s="0" t="s">
        <v>693</v>
      </c>
      <c r="D147" s="0" t="s">
        <v>3593</v>
      </c>
      <c r="E147" s="0" t="n">
        <v>1.6</v>
      </c>
      <c r="F147" s="0" t="n">
        <v>5.65157894736842</v>
      </c>
      <c r="G147" s="0" t="n">
        <v>9.04252631578947</v>
      </c>
      <c r="H147" s="0" t="s">
        <v>3594</v>
      </c>
      <c r="I147" s="0" t="str">
        <f aca="false">A147&amp;"|"&amp;TRIM(D147)</f>
        <v>49|2 A 5 DOC</v>
      </c>
    </row>
    <row r="148" customFormat="false" ht="15" hidden="false" customHeight="false" outlineLevel="0" collapsed="false">
      <c r="A148" s="0" t="n">
        <v>49</v>
      </c>
      <c r="B148" s="0" t="s">
        <v>625</v>
      </c>
      <c r="C148" s="0" t="s">
        <v>693</v>
      </c>
      <c r="D148" s="0" t="s">
        <v>3449</v>
      </c>
      <c r="E148" s="0" t="n">
        <v>1.99</v>
      </c>
      <c r="F148" s="0" t="n">
        <v>5.65157894736842</v>
      </c>
      <c r="G148" s="0" t="n">
        <v>11.2466421052632</v>
      </c>
      <c r="H148" s="0" t="s">
        <v>3595</v>
      </c>
      <c r="I148" s="0" t="str">
        <f aca="false">A148&amp;"|"&amp;TRIM(D148)</f>
        <v>49|DETAL</v>
      </c>
    </row>
    <row r="149" customFormat="false" ht="15" hidden="false" customHeight="false" outlineLevel="0" collapsed="false">
      <c r="A149" s="0" t="n">
        <v>50</v>
      </c>
      <c r="B149" s="0" t="s">
        <v>625</v>
      </c>
      <c r="C149" s="0" t="s">
        <v>703</v>
      </c>
      <c r="D149" s="0" t="s">
        <v>3446</v>
      </c>
      <c r="E149" s="0" t="n">
        <v>1.4</v>
      </c>
      <c r="F149" s="0" t="n">
        <v>6.53157894736842</v>
      </c>
      <c r="G149" s="0" t="n">
        <v>9.14421052631579</v>
      </c>
      <c r="H149" s="0" t="s">
        <v>3596</v>
      </c>
      <c r="I149" s="0" t="str">
        <f aca="false">A149&amp;"|"&amp;TRIM(D149)</f>
        <v>50|+5 DOC</v>
      </c>
    </row>
    <row r="150" customFormat="false" ht="15" hidden="false" customHeight="false" outlineLevel="0" collapsed="false">
      <c r="A150" s="0" t="n">
        <v>50</v>
      </c>
      <c r="B150" s="0" t="s">
        <v>625</v>
      </c>
      <c r="C150" s="0" t="s">
        <v>703</v>
      </c>
      <c r="D150" s="0" t="s">
        <v>3593</v>
      </c>
      <c r="E150" s="0" t="n">
        <v>1.6</v>
      </c>
      <c r="F150" s="0" t="n">
        <v>6.53157894736842</v>
      </c>
      <c r="G150" s="0" t="n">
        <v>10.4505263157895</v>
      </c>
      <c r="H150" s="0" t="s">
        <v>3597</v>
      </c>
      <c r="I150" s="0" t="str">
        <f aca="false">A150&amp;"|"&amp;TRIM(D150)</f>
        <v>50|2 A 5 DOC</v>
      </c>
    </row>
    <row r="151" customFormat="false" ht="15" hidden="false" customHeight="false" outlineLevel="0" collapsed="false">
      <c r="A151" s="0" t="n">
        <v>50</v>
      </c>
      <c r="B151" s="0" t="s">
        <v>625</v>
      </c>
      <c r="C151" s="0" t="s">
        <v>703</v>
      </c>
      <c r="D151" s="0" t="s">
        <v>3449</v>
      </c>
      <c r="E151" s="0" t="n">
        <v>1.99</v>
      </c>
      <c r="F151" s="0" t="n">
        <v>6.53157894736842</v>
      </c>
      <c r="G151" s="0" t="n">
        <v>12.9978421052632</v>
      </c>
      <c r="H151" s="0" t="s">
        <v>3598</v>
      </c>
      <c r="I151" s="0" t="str">
        <f aca="false">A151&amp;"|"&amp;TRIM(D151)</f>
        <v>50|DETAL</v>
      </c>
    </row>
    <row r="152" customFormat="false" ht="15" hidden="false" customHeight="false" outlineLevel="0" collapsed="false">
      <c r="A152" s="0" t="n">
        <v>51</v>
      </c>
      <c r="B152" s="0" t="s">
        <v>625</v>
      </c>
      <c r="C152" s="0" t="s">
        <v>713</v>
      </c>
      <c r="D152" s="0" t="s">
        <v>3446</v>
      </c>
      <c r="E152" s="0" t="n">
        <v>1.4</v>
      </c>
      <c r="F152" s="0" t="n">
        <v>5.25157894736842</v>
      </c>
      <c r="G152" s="0" t="n">
        <v>7.35221052631579</v>
      </c>
      <c r="H152" s="0" t="s">
        <v>3599</v>
      </c>
      <c r="I152" s="0" t="str">
        <f aca="false">A152&amp;"|"&amp;TRIM(D152)</f>
        <v>51|+5 DOC</v>
      </c>
    </row>
    <row r="153" customFormat="false" ht="15" hidden="false" customHeight="false" outlineLevel="0" collapsed="false">
      <c r="A153" s="0" t="n">
        <v>51</v>
      </c>
      <c r="B153" s="0" t="s">
        <v>625</v>
      </c>
      <c r="C153" s="0" t="s">
        <v>713</v>
      </c>
      <c r="D153" s="0" t="s">
        <v>3600</v>
      </c>
      <c r="E153" s="0" t="n">
        <v>1.6</v>
      </c>
      <c r="F153" s="0" t="n">
        <v>5.25157894736842</v>
      </c>
      <c r="G153" s="0" t="n">
        <v>8.40252631578948</v>
      </c>
      <c r="H153" s="0" t="s">
        <v>3601</v>
      </c>
      <c r="I153" s="0" t="str">
        <f aca="false">A153&amp;"|"&amp;TRIM(D153)</f>
        <v>51|3 A 5 DOC</v>
      </c>
    </row>
    <row r="154" customFormat="false" ht="15" hidden="false" customHeight="false" outlineLevel="0" collapsed="false">
      <c r="A154" s="0" t="n">
        <v>51</v>
      </c>
      <c r="B154" s="0" t="s">
        <v>625</v>
      </c>
      <c r="C154" s="0" t="s">
        <v>713</v>
      </c>
      <c r="D154" s="0" t="s">
        <v>3449</v>
      </c>
      <c r="E154" s="0" t="n">
        <v>1.99</v>
      </c>
      <c r="F154" s="0" t="n">
        <v>5.25157894736842</v>
      </c>
      <c r="G154" s="0" t="n">
        <v>10.4506421052632</v>
      </c>
      <c r="H154" s="0" t="s">
        <v>3602</v>
      </c>
      <c r="I154" s="0" t="str">
        <f aca="false">A154&amp;"|"&amp;TRIM(D154)</f>
        <v>51|DETAL</v>
      </c>
    </row>
    <row r="155" customFormat="false" ht="15" hidden="false" customHeight="false" outlineLevel="0" collapsed="false">
      <c r="A155" s="0" t="n">
        <v>52</v>
      </c>
      <c r="B155" s="0" t="s">
        <v>625</v>
      </c>
      <c r="C155" s="0" t="s">
        <v>723</v>
      </c>
      <c r="D155" s="0" t="s">
        <v>3446</v>
      </c>
      <c r="E155" s="0" t="n">
        <v>1.4</v>
      </c>
      <c r="F155" s="0" t="n">
        <v>6.03157894736842</v>
      </c>
      <c r="G155" s="0" t="n">
        <v>8.44421052631579</v>
      </c>
      <c r="H155" s="0" t="s">
        <v>3603</v>
      </c>
      <c r="I155" s="0" t="str">
        <f aca="false">A155&amp;"|"&amp;TRIM(D155)</f>
        <v>52|+5 DOC</v>
      </c>
    </row>
    <row r="156" customFormat="false" ht="15" hidden="false" customHeight="false" outlineLevel="0" collapsed="false">
      <c r="A156" s="0" t="n">
        <v>52</v>
      </c>
      <c r="B156" s="0" t="s">
        <v>625</v>
      </c>
      <c r="C156" s="0" t="s">
        <v>723</v>
      </c>
      <c r="D156" s="0" t="s">
        <v>3600</v>
      </c>
      <c r="E156" s="0" t="n">
        <v>1.6</v>
      </c>
      <c r="F156" s="0" t="n">
        <v>6.03157894736842</v>
      </c>
      <c r="G156" s="0" t="n">
        <v>9.65052631578947</v>
      </c>
      <c r="H156" s="0" t="s">
        <v>3604</v>
      </c>
      <c r="I156" s="0" t="str">
        <f aca="false">A156&amp;"|"&amp;TRIM(D156)</f>
        <v>52|3 A 5 DOC</v>
      </c>
    </row>
    <row r="157" customFormat="false" ht="15" hidden="false" customHeight="false" outlineLevel="0" collapsed="false">
      <c r="A157" s="0" t="n">
        <v>52</v>
      </c>
      <c r="B157" s="0" t="s">
        <v>625</v>
      </c>
      <c r="C157" s="0" t="s">
        <v>723</v>
      </c>
      <c r="D157" s="0" t="s">
        <v>3449</v>
      </c>
      <c r="E157" s="0" t="n">
        <v>1.99</v>
      </c>
      <c r="F157" s="0" t="n">
        <v>6.03157894736842</v>
      </c>
      <c r="G157" s="0" t="n">
        <v>12.0028421052632</v>
      </c>
      <c r="H157" s="0" t="s">
        <v>3605</v>
      </c>
      <c r="I157" s="0" t="str">
        <f aca="false">A157&amp;"|"&amp;TRIM(D157)</f>
        <v>52|DETAL</v>
      </c>
    </row>
    <row r="158" customFormat="false" ht="15" hidden="false" customHeight="false" outlineLevel="0" collapsed="false">
      <c r="A158" s="0" t="n">
        <v>53</v>
      </c>
      <c r="B158" s="0" t="s">
        <v>733</v>
      </c>
      <c r="C158" s="0" t="s">
        <v>734</v>
      </c>
      <c r="D158" s="0" t="s">
        <v>3446</v>
      </c>
      <c r="E158" s="0" t="n">
        <v>1.55</v>
      </c>
      <c r="F158" s="0" t="n">
        <v>9.33157894736842</v>
      </c>
      <c r="G158" s="0" t="n">
        <v>14.4639473684211</v>
      </c>
      <c r="H158" s="0" t="s">
        <v>3606</v>
      </c>
      <c r="I158" s="0" t="str">
        <f aca="false">A158&amp;"|"&amp;TRIM(D158)</f>
        <v>53|+5 DOC</v>
      </c>
    </row>
    <row r="159" customFormat="false" ht="15" hidden="false" customHeight="false" outlineLevel="0" collapsed="false">
      <c r="A159" s="0" t="n">
        <v>53</v>
      </c>
      <c r="B159" s="0" t="s">
        <v>733</v>
      </c>
      <c r="C159" s="0" t="s">
        <v>734</v>
      </c>
      <c r="D159" s="0" t="s">
        <v>9</v>
      </c>
      <c r="E159" s="0" t="n">
        <v>1.75</v>
      </c>
      <c r="F159" s="0" t="n">
        <v>9.33157894736842</v>
      </c>
      <c r="G159" s="0" t="n">
        <v>16.3302631578947</v>
      </c>
      <c r="H159" s="0" t="s">
        <v>3607</v>
      </c>
      <c r="I159" s="0" t="str">
        <f aca="false">A159&amp;"|"&amp;TRIM(D159)</f>
        <v>53|1 A 5 DOC</v>
      </c>
    </row>
    <row r="160" customFormat="false" ht="15" hidden="false" customHeight="false" outlineLevel="0" collapsed="false">
      <c r="A160" s="0" t="n">
        <v>53</v>
      </c>
      <c r="B160" s="0" t="s">
        <v>733</v>
      </c>
      <c r="C160" s="0" t="s">
        <v>734</v>
      </c>
      <c r="D160" s="0" t="s">
        <v>3449</v>
      </c>
      <c r="E160" s="0" t="n">
        <v>1.99</v>
      </c>
      <c r="F160" s="0" t="n">
        <v>9.33157894736842</v>
      </c>
      <c r="G160" s="0" t="n">
        <v>18.5698421052632</v>
      </c>
      <c r="H160" s="0" t="s">
        <v>3608</v>
      </c>
      <c r="I160" s="0" t="str">
        <f aca="false">A160&amp;"|"&amp;TRIM(D160)</f>
        <v>53|DETAL</v>
      </c>
    </row>
    <row r="161" customFormat="false" ht="15" hidden="false" customHeight="false" outlineLevel="0" collapsed="false">
      <c r="A161" s="0" t="n">
        <v>54</v>
      </c>
      <c r="B161" s="0" t="s">
        <v>733</v>
      </c>
      <c r="C161" s="0" t="s">
        <v>753</v>
      </c>
      <c r="D161" s="0" t="s">
        <v>3446</v>
      </c>
      <c r="E161" s="0" t="n">
        <v>1.55</v>
      </c>
      <c r="F161" s="0" t="n">
        <v>9.24210526315789</v>
      </c>
      <c r="G161" s="0" t="n">
        <v>14.3252631578947</v>
      </c>
      <c r="H161" s="0" t="s">
        <v>3609</v>
      </c>
      <c r="I161" s="0" t="str">
        <f aca="false">A161&amp;"|"&amp;TRIM(D161)</f>
        <v>54|+5 DOC</v>
      </c>
    </row>
    <row r="162" customFormat="false" ht="15" hidden="false" customHeight="false" outlineLevel="0" collapsed="false">
      <c r="A162" s="0" t="n">
        <v>54</v>
      </c>
      <c r="B162" s="0" t="s">
        <v>733</v>
      </c>
      <c r="C162" s="0" t="s">
        <v>753</v>
      </c>
      <c r="D162" s="0" t="s">
        <v>9</v>
      </c>
      <c r="E162" s="0" t="n">
        <v>1.6</v>
      </c>
      <c r="F162" s="0" t="n">
        <v>9.24210526315789</v>
      </c>
      <c r="G162" s="0" t="n">
        <v>14.7873684210526</v>
      </c>
      <c r="H162" s="0" t="s">
        <v>3610</v>
      </c>
      <c r="I162" s="0" t="str">
        <f aca="false">A162&amp;"|"&amp;TRIM(D162)</f>
        <v>54|1 A 5 DOC</v>
      </c>
    </row>
    <row r="163" customFormat="false" ht="15" hidden="false" customHeight="false" outlineLevel="0" collapsed="false">
      <c r="A163" s="0" t="n">
        <v>54</v>
      </c>
      <c r="B163" s="0" t="s">
        <v>733</v>
      </c>
      <c r="C163" s="0" t="s">
        <v>753</v>
      </c>
      <c r="D163" s="0" t="s">
        <v>3449</v>
      </c>
      <c r="E163" s="0" t="n">
        <v>1.9</v>
      </c>
      <c r="F163" s="0" t="n">
        <v>9.24210526315789</v>
      </c>
      <c r="G163" s="0" t="n">
        <v>17.56</v>
      </c>
      <c r="H163" s="0" t="s">
        <v>3611</v>
      </c>
      <c r="I163" s="0" t="str">
        <f aca="false">A163&amp;"|"&amp;TRIM(D163)</f>
        <v>54|DETAL</v>
      </c>
    </row>
    <row r="164" customFormat="false" ht="15" hidden="false" customHeight="false" outlineLevel="0" collapsed="false">
      <c r="A164" s="0" t="n">
        <v>55</v>
      </c>
      <c r="B164" s="0" t="s">
        <v>769</v>
      </c>
      <c r="C164" s="0" t="s">
        <v>296</v>
      </c>
      <c r="D164" s="0" t="s">
        <v>3446</v>
      </c>
      <c r="E164" s="0" t="n">
        <v>1.45</v>
      </c>
      <c r="F164" s="0" t="n">
        <v>6.85326315789474</v>
      </c>
      <c r="G164" s="0" t="n">
        <v>9.93723157894737</v>
      </c>
      <c r="H164" s="0" t="s">
        <v>3612</v>
      </c>
      <c r="I164" s="0" t="str">
        <f aca="false">A164&amp;"|"&amp;TRIM(D164)</f>
        <v>55|+5 DOC</v>
      </c>
    </row>
    <row r="165" customFormat="false" ht="15" hidden="false" customHeight="false" outlineLevel="0" collapsed="false">
      <c r="A165" s="0" t="n">
        <v>55</v>
      </c>
      <c r="B165" s="0" t="s">
        <v>769</v>
      </c>
      <c r="C165" s="0" t="s">
        <v>296</v>
      </c>
      <c r="D165" s="0" t="s">
        <v>9</v>
      </c>
      <c r="E165" s="0" t="n">
        <v>1.75</v>
      </c>
      <c r="F165" s="0" t="n">
        <v>6.85326315789474</v>
      </c>
      <c r="G165" s="0" t="n">
        <v>11.9932105263158</v>
      </c>
      <c r="H165" s="0" t="s">
        <v>3613</v>
      </c>
      <c r="I165" s="0" t="str">
        <f aca="false">A165&amp;"|"&amp;TRIM(D165)</f>
        <v>55|1 A 5 DOC</v>
      </c>
    </row>
    <row r="166" customFormat="false" ht="15" hidden="false" customHeight="false" outlineLevel="0" collapsed="false">
      <c r="A166" s="0" t="n">
        <v>55</v>
      </c>
      <c r="B166" s="0" t="s">
        <v>769</v>
      </c>
      <c r="C166" s="0" t="s">
        <v>296</v>
      </c>
      <c r="D166" s="0" t="s">
        <v>3449</v>
      </c>
      <c r="E166" s="0" t="n">
        <v>1.99</v>
      </c>
      <c r="F166" s="0" t="n">
        <v>6.85326315789474</v>
      </c>
      <c r="G166" s="0" t="n">
        <v>13.6379936842105</v>
      </c>
      <c r="H166" s="0" t="s">
        <v>3614</v>
      </c>
      <c r="I166" s="0" t="str">
        <f aca="false">A166&amp;"|"&amp;TRIM(D166)</f>
        <v>55|DETAL</v>
      </c>
    </row>
    <row r="167" customFormat="false" ht="15" hidden="false" customHeight="false" outlineLevel="0" collapsed="false">
      <c r="A167" s="0" t="n">
        <v>56</v>
      </c>
      <c r="B167" s="0" t="s">
        <v>769</v>
      </c>
      <c r="C167" s="0" t="s">
        <v>349</v>
      </c>
      <c r="D167" s="0" t="s">
        <v>3446</v>
      </c>
      <c r="E167" s="0" t="n">
        <v>1.45</v>
      </c>
      <c r="F167" s="0" t="n">
        <v>5.53736842105263</v>
      </c>
      <c r="G167" s="0" t="n">
        <v>8.02918421052632</v>
      </c>
      <c r="H167" s="0" t="s">
        <v>3615</v>
      </c>
      <c r="I167" s="0" t="str">
        <f aca="false">A167&amp;"|"&amp;TRIM(D167)</f>
        <v>56|+5 DOC</v>
      </c>
    </row>
    <row r="168" customFormat="false" ht="15" hidden="false" customHeight="false" outlineLevel="0" collapsed="false">
      <c r="A168" s="0" t="n">
        <v>56</v>
      </c>
      <c r="B168" s="0" t="s">
        <v>769</v>
      </c>
      <c r="C168" s="0" t="s">
        <v>349</v>
      </c>
      <c r="D168" s="0" t="s">
        <v>9</v>
      </c>
      <c r="E168" s="0" t="n">
        <v>1.5</v>
      </c>
      <c r="F168" s="0" t="n">
        <v>5.53736842105263</v>
      </c>
      <c r="G168" s="0" t="n">
        <v>8.30605263157895</v>
      </c>
      <c r="H168" s="0" t="s">
        <v>3616</v>
      </c>
      <c r="I168" s="0" t="str">
        <f aca="false">A168&amp;"|"&amp;TRIM(D168)</f>
        <v>56|1 A 5 DOC</v>
      </c>
    </row>
    <row r="169" customFormat="false" ht="15" hidden="false" customHeight="false" outlineLevel="0" collapsed="false">
      <c r="A169" s="0" t="n">
        <v>56</v>
      </c>
      <c r="B169" s="0" t="s">
        <v>769</v>
      </c>
      <c r="C169" s="0" t="s">
        <v>349</v>
      </c>
      <c r="D169" s="0" t="s">
        <v>3449</v>
      </c>
      <c r="E169" s="0" t="n">
        <v>1.99</v>
      </c>
      <c r="F169" s="0" t="n">
        <v>5.53736842105263</v>
      </c>
      <c r="G169" s="0" t="n">
        <v>11.0193631578947</v>
      </c>
      <c r="H169" s="0" t="s">
        <v>3617</v>
      </c>
      <c r="I169" s="0" t="str">
        <f aca="false">A169&amp;"|"&amp;TRIM(D169)</f>
        <v>56|DETAL</v>
      </c>
    </row>
    <row r="170" customFormat="false" ht="15" hidden="false" customHeight="false" outlineLevel="0" collapsed="false">
      <c r="A170" s="0" t="n">
        <v>57</v>
      </c>
      <c r="B170" s="0" t="s">
        <v>769</v>
      </c>
      <c r="C170" s="0" t="s">
        <v>296</v>
      </c>
      <c r="D170" s="0" t="s">
        <v>3446</v>
      </c>
      <c r="E170" s="0" t="n">
        <v>1.45</v>
      </c>
      <c r="F170" s="0" t="n">
        <v>7.48484210526316</v>
      </c>
      <c r="G170" s="0" t="n">
        <v>10.8530210526316</v>
      </c>
      <c r="H170" s="0" t="s">
        <v>3618</v>
      </c>
      <c r="I170" s="0" t="str">
        <f aca="false">A170&amp;"|"&amp;TRIM(D170)</f>
        <v>57|+5 DOC</v>
      </c>
    </row>
    <row r="171" customFormat="false" ht="15" hidden="false" customHeight="false" outlineLevel="0" collapsed="false">
      <c r="A171" s="0" t="n">
        <v>57</v>
      </c>
      <c r="B171" s="0" t="s">
        <v>769</v>
      </c>
      <c r="C171" s="0" t="s">
        <v>296</v>
      </c>
      <c r="D171" s="0" t="s">
        <v>9</v>
      </c>
      <c r="E171" s="0" t="n">
        <v>1.75</v>
      </c>
      <c r="F171" s="0" t="n">
        <v>7.48484210526316</v>
      </c>
      <c r="G171" s="0" t="n">
        <v>13.0984736842105</v>
      </c>
      <c r="H171" s="0" t="s">
        <v>3619</v>
      </c>
      <c r="I171" s="0" t="str">
        <f aca="false">A171&amp;"|"&amp;TRIM(D171)</f>
        <v>57|1 A 5 DOC</v>
      </c>
    </row>
    <row r="172" customFormat="false" ht="15" hidden="false" customHeight="false" outlineLevel="0" collapsed="false">
      <c r="A172" s="0" t="n">
        <v>57</v>
      </c>
      <c r="B172" s="0" t="s">
        <v>769</v>
      </c>
      <c r="C172" s="0" t="s">
        <v>296</v>
      </c>
      <c r="D172" s="0" t="s">
        <v>3449</v>
      </c>
      <c r="E172" s="0" t="n">
        <v>1.99</v>
      </c>
      <c r="F172" s="0" t="n">
        <v>7.48484210526316</v>
      </c>
      <c r="G172" s="0" t="n">
        <v>14.8948357894737</v>
      </c>
      <c r="H172" s="0" t="s">
        <v>3620</v>
      </c>
      <c r="I172" s="0" t="str">
        <f aca="false">A172&amp;"|"&amp;TRIM(D172)</f>
        <v>57|DETAL</v>
      </c>
    </row>
    <row r="173" customFormat="false" ht="15" hidden="false" customHeight="false" outlineLevel="0" collapsed="false">
      <c r="A173" s="0" t="n">
        <v>58</v>
      </c>
      <c r="B173" s="0" t="s">
        <v>769</v>
      </c>
      <c r="C173" s="0" t="s">
        <v>349</v>
      </c>
      <c r="D173" s="0" t="s">
        <v>3446</v>
      </c>
      <c r="E173" s="0" t="n">
        <v>1.45</v>
      </c>
      <c r="F173" s="0" t="n">
        <v>13.8568421052632</v>
      </c>
      <c r="G173" s="0" t="n">
        <v>20.0924210526316</v>
      </c>
      <c r="H173" s="0" t="s">
        <v>3621</v>
      </c>
      <c r="I173" s="0" t="str">
        <f aca="false">A173&amp;"|"&amp;TRIM(D173)</f>
        <v>58|+5 DOC</v>
      </c>
    </row>
    <row r="174" customFormat="false" ht="15" hidden="false" customHeight="false" outlineLevel="0" collapsed="false">
      <c r="A174" s="0" t="n">
        <v>58</v>
      </c>
      <c r="B174" s="0" t="s">
        <v>769</v>
      </c>
      <c r="C174" s="0" t="s">
        <v>349</v>
      </c>
      <c r="D174" s="0" t="s">
        <v>9</v>
      </c>
      <c r="E174" s="0" t="n">
        <v>1.5</v>
      </c>
      <c r="F174" s="0" t="n">
        <v>13.8568421052632</v>
      </c>
      <c r="G174" s="0" t="n">
        <v>20.7852631578947</v>
      </c>
      <c r="H174" s="0" t="s">
        <v>3622</v>
      </c>
      <c r="I174" s="0" t="str">
        <f aca="false">A174&amp;"|"&amp;TRIM(D174)</f>
        <v>58|1 A 5 DOC</v>
      </c>
    </row>
    <row r="175" customFormat="false" ht="15" hidden="false" customHeight="false" outlineLevel="0" collapsed="false">
      <c r="A175" s="0" t="n">
        <v>58</v>
      </c>
      <c r="B175" s="0" t="s">
        <v>769</v>
      </c>
      <c r="C175" s="0" t="s">
        <v>349</v>
      </c>
      <c r="D175" s="0" t="s">
        <v>3449</v>
      </c>
      <c r="E175" s="0" t="n">
        <v>1.99</v>
      </c>
      <c r="F175" s="0" t="n">
        <v>13.8568421052632</v>
      </c>
      <c r="G175" s="0" t="n">
        <v>27.5751157894737</v>
      </c>
      <c r="H175" s="0" t="s">
        <v>3623</v>
      </c>
      <c r="I175" s="0" t="str">
        <f aca="false">A175&amp;"|"&amp;TRIM(D175)</f>
        <v>58|DETAL</v>
      </c>
    </row>
    <row r="176" customFormat="false" ht="15" hidden="false" customHeight="false" outlineLevel="0" collapsed="false">
      <c r="A176" s="0" t="n">
        <v>59</v>
      </c>
      <c r="B176" s="0" t="s">
        <v>826</v>
      </c>
      <c r="C176" s="0" t="s">
        <v>296</v>
      </c>
      <c r="D176" s="0" t="s">
        <v>3446</v>
      </c>
      <c r="E176" s="0" t="n">
        <v>1.45</v>
      </c>
      <c r="F176" s="0" t="n">
        <v>9.65526315789474</v>
      </c>
      <c r="G176" s="0" t="n">
        <v>14.0001315789474</v>
      </c>
      <c r="H176" s="0" t="s">
        <v>3612</v>
      </c>
      <c r="I176" s="0" t="str">
        <f aca="false">A176&amp;"|"&amp;TRIM(D176)</f>
        <v>59|+5 DOC</v>
      </c>
    </row>
    <row r="177" customFormat="false" ht="15" hidden="false" customHeight="false" outlineLevel="0" collapsed="false">
      <c r="A177" s="0" t="n">
        <v>59</v>
      </c>
      <c r="B177" s="0" t="s">
        <v>826</v>
      </c>
      <c r="C177" s="0" t="s">
        <v>296</v>
      </c>
      <c r="D177" s="0" t="s">
        <v>9</v>
      </c>
      <c r="E177" s="0" t="n">
        <v>1.75</v>
      </c>
      <c r="F177" s="0" t="n">
        <v>9.65526315789474</v>
      </c>
      <c r="G177" s="0" t="n">
        <v>16.8967105263158</v>
      </c>
      <c r="H177" s="0" t="s">
        <v>3613</v>
      </c>
      <c r="I177" s="0" t="str">
        <f aca="false">A177&amp;"|"&amp;TRIM(D177)</f>
        <v>59|1 A 5 DOC</v>
      </c>
    </row>
    <row r="178" customFormat="false" ht="15" hidden="false" customHeight="false" outlineLevel="0" collapsed="false">
      <c r="A178" s="0" t="n">
        <v>59</v>
      </c>
      <c r="B178" s="0" t="s">
        <v>826</v>
      </c>
      <c r="C178" s="0" t="s">
        <v>296</v>
      </c>
      <c r="D178" s="0" t="s">
        <v>3449</v>
      </c>
      <c r="E178" s="0" t="n">
        <v>1.99</v>
      </c>
      <c r="F178" s="0" t="n">
        <v>9.65526315789474</v>
      </c>
      <c r="G178" s="0" t="n">
        <v>19.2139736842105</v>
      </c>
      <c r="H178" s="0" t="s">
        <v>3614</v>
      </c>
      <c r="I178" s="0" t="str">
        <f aca="false">A178&amp;"|"&amp;TRIM(D178)</f>
        <v>59|DETAL</v>
      </c>
    </row>
    <row r="179" customFormat="false" ht="15" hidden="false" customHeight="false" outlineLevel="0" collapsed="false">
      <c r="A179" s="0" t="n">
        <v>60</v>
      </c>
      <c r="B179" s="0" t="s">
        <v>826</v>
      </c>
      <c r="C179" s="0" t="s">
        <v>296</v>
      </c>
      <c r="D179" s="0" t="s">
        <v>3446</v>
      </c>
      <c r="E179" s="0" t="n">
        <v>1.35</v>
      </c>
      <c r="F179" s="0" t="n">
        <v>15.3384210526316</v>
      </c>
      <c r="G179" s="0" t="n">
        <v>20.7068684210526</v>
      </c>
      <c r="H179" s="0" t="s">
        <v>3624</v>
      </c>
      <c r="I179" s="0" t="str">
        <f aca="false">A179&amp;"|"&amp;TRIM(D179)</f>
        <v>60|+5 DOC</v>
      </c>
    </row>
    <row r="180" customFormat="false" ht="15" hidden="false" customHeight="false" outlineLevel="0" collapsed="false">
      <c r="A180" s="0" t="n">
        <v>60</v>
      </c>
      <c r="B180" s="0" t="s">
        <v>826</v>
      </c>
      <c r="C180" s="0" t="s">
        <v>296</v>
      </c>
      <c r="D180" s="0" t="s">
        <v>9</v>
      </c>
      <c r="E180" s="0" t="n">
        <v>1.75</v>
      </c>
      <c r="F180" s="0" t="n">
        <v>15.3384210526316</v>
      </c>
      <c r="G180" s="0" t="n">
        <v>26.8422368421053</v>
      </c>
      <c r="H180" s="0" t="s">
        <v>3625</v>
      </c>
      <c r="I180" s="0" t="str">
        <f aca="false">A180&amp;"|"&amp;TRIM(D180)</f>
        <v>60|1 A 5 DOC</v>
      </c>
    </row>
    <row r="181" customFormat="false" ht="15" hidden="false" customHeight="false" outlineLevel="0" collapsed="false">
      <c r="A181" s="0" t="n">
        <v>60</v>
      </c>
      <c r="B181" s="0" t="s">
        <v>826</v>
      </c>
      <c r="C181" s="0" t="s">
        <v>296</v>
      </c>
      <c r="D181" s="0" t="s">
        <v>3449</v>
      </c>
      <c r="E181" s="0" t="n">
        <v>1.99</v>
      </c>
      <c r="F181" s="0" t="n">
        <v>15.3384210526316</v>
      </c>
      <c r="G181" s="0" t="n">
        <v>30.5234578947368</v>
      </c>
      <c r="H181" s="0" t="s">
        <v>3626</v>
      </c>
      <c r="I181" s="0" t="str">
        <f aca="false">A181&amp;"|"&amp;TRIM(D181)</f>
        <v>60|DETAL</v>
      </c>
    </row>
    <row r="182" customFormat="false" ht="15" hidden="false" customHeight="false" outlineLevel="0" collapsed="false">
      <c r="A182" s="0" t="n">
        <v>61</v>
      </c>
      <c r="B182" s="0" t="s">
        <v>826</v>
      </c>
      <c r="C182" s="0" t="s">
        <v>311</v>
      </c>
      <c r="D182" s="0" t="s">
        <v>3446</v>
      </c>
      <c r="E182" s="0" t="n">
        <v>1.45</v>
      </c>
      <c r="F182" s="0" t="n">
        <v>8.72368421052632</v>
      </c>
      <c r="G182" s="0" t="n">
        <v>12.6493421052632</v>
      </c>
      <c r="H182" s="0" t="s">
        <v>3461</v>
      </c>
      <c r="I182" s="0" t="str">
        <f aca="false">A182&amp;"|"&amp;TRIM(D182)</f>
        <v>61|+5 DOC</v>
      </c>
    </row>
    <row r="183" customFormat="false" ht="15" hidden="false" customHeight="false" outlineLevel="0" collapsed="false">
      <c r="A183" s="0" t="n">
        <v>61</v>
      </c>
      <c r="B183" s="0" t="s">
        <v>826</v>
      </c>
      <c r="C183" s="0" t="s">
        <v>311</v>
      </c>
      <c r="D183" s="0" t="s">
        <v>9</v>
      </c>
      <c r="E183" s="0" t="n">
        <v>1.75</v>
      </c>
      <c r="F183" s="0" t="n">
        <v>8.72368421052632</v>
      </c>
      <c r="G183" s="0" t="n">
        <v>15.2664473684211</v>
      </c>
      <c r="H183" s="0" t="s">
        <v>3462</v>
      </c>
      <c r="I183" s="0" t="str">
        <f aca="false">A183&amp;"|"&amp;TRIM(D183)</f>
        <v>61|1 A 5 DOC</v>
      </c>
    </row>
    <row r="184" customFormat="false" ht="15" hidden="false" customHeight="false" outlineLevel="0" collapsed="false">
      <c r="A184" s="0" t="n">
        <v>61</v>
      </c>
      <c r="B184" s="0" t="s">
        <v>826</v>
      </c>
      <c r="C184" s="0" t="s">
        <v>311</v>
      </c>
      <c r="D184" s="0" t="s">
        <v>3449</v>
      </c>
      <c r="E184" s="0" t="n">
        <v>1.99</v>
      </c>
      <c r="F184" s="0" t="n">
        <v>8.72368421052632</v>
      </c>
      <c r="G184" s="0" t="n">
        <v>17.3601315789474</v>
      </c>
      <c r="H184" s="0" t="s">
        <v>3627</v>
      </c>
      <c r="I184" s="0" t="str">
        <f aca="false">A184&amp;"|"&amp;TRIM(D184)</f>
        <v>61|DETAL</v>
      </c>
    </row>
    <row r="185" customFormat="false" ht="15" hidden="false" customHeight="false" outlineLevel="0" collapsed="false">
      <c r="A185" s="0" t="n">
        <v>62</v>
      </c>
      <c r="B185" s="0" t="s">
        <v>826</v>
      </c>
      <c r="C185" s="0" t="s">
        <v>311</v>
      </c>
      <c r="D185" s="0" t="s">
        <v>3446</v>
      </c>
      <c r="E185" s="0" t="n">
        <v>1.35</v>
      </c>
      <c r="F185" s="0" t="n">
        <v>12.9157894736842</v>
      </c>
      <c r="G185" s="0" t="n">
        <v>17.4363157894737</v>
      </c>
      <c r="H185" s="0" t="s">
        <v>3628</v>
      </c>
      <c r="I185" s="0" t="str">
        <f aca="false">A185&amp;"|"&amp;TRIM(D185)</f>
        <v>62|+5 DOC</v>
      </c>
    </row>
    <row r="186" customFormat="false" ht="15" hidden="false" customHeight="false" outlineLevel="0" collapsed="false">
      <c r="A186" s="0" t="n">
        <v>62</v>
      </c>
      <c r="B186" s="0" t="s">
        <v>826</v>
      </c>
      <c r="C186" s="0" t="s">
        <v>311</v>
      </c>
      <c r="D186" s="0" t="s">
        <v>9</v>
      </c>
      <c r="E186" s="0" t="n">
        <v>1.7</v>
      </c>
      <c r="F186" s="0" t="n">
        <v>12.9157894736842</v>
      </c>
      <c r="G186" s="0" t="n">
        <v>21.9568421052632</v>
      </c>
      <c r="H186" s="0" t="s">
        <v>3629</v>
      </c>
      <c r="I186" s="0" t="str">
        <f aca="false">A186&amp;"|"&amp;TRIM(D186)</f>
        <v>62|1 A 5 DOC</v>
      </c>
    </row>
    <row r="187" customFormat="false" ht="15" hidden="false" customHeight="false" outlineLevel="0" collapsed="false">
      <c r="A187" s="0" t="n">
        <v>62</v>
      </c>
      <c r="B187" s="0" t="s">
        <v>826</v>
      </c>
      <c r="C187" s="0" t="s">
        <v>311</v>
      </c>
      <c r="D187" s="0" t="s">
        <v>3449</v>
      </c>
      <c r="E187" s="0" t="n">
        <v>1.99</v>
      </c>
      <c r="F187" s="0" t="n">
        <v>12.9157894736842</v>
      </c>
      <c r="G187" s="0" t="n">
        <v>25.7024210526316</v>
      </c>
      <c r="H187" s="0" t="s">
        <v>3630</v>
      </c>
      <c r="I187" s="0" t="str">
        <f aca="false">A187&amp;"|"&amp;TRIM(D187)</f>
        <v>62|DETAL</v>
      </c>
    </row>
    <row r="188" customFormat="false" ht="15" hidden="false" customHeight="false" outlineLevel="0" collapsed="false">
      <c r="A188" s="0" t="n">
        <v>63</v>
      </c>
      <c r="B188" s="0" t="s">
        <v>826</v>
      </c>
      <c r="C188" s="0" t="s">
        <v>349</v>
      </c>
      <c r="D188" s="0" t="s">
        <v>3446</v>
      </c>
      <c r="E188" s="0" t="n">
        <v>1.45</v>
      </c>
      <c r="F188" s="0" t="n">
        <v>11.0789473684211</v>
      </c>
      <c r="G188" s="0" t="n">
        <v>16.0644736842105</v>
      </c>
      <c r="H188" s="0" t="s">
        <v>3631</v>
      </c>
      <c r="I188" s="0" t="str">
        <f aca="false">A188&amp;"|"&amp;TRIM(D188)</f>
        <v>63|+5 DOC</v>
      </c>
    </row>
    <row r="189" customFormat="false" ht="15" hidden="false" customHeight="false" outlineLevel="0" collapsed="false">
      <c r="A189" s="0" t="n">
        <v>63</v>
      </c>
      <c r="B189" s="0" t="s">
        <v>826</v>
      </c>
      <c r="C189" s="0" t="s">
        <v>349</v>
      </c>
      <c r="D189" s="0" t="s">
        <v>9</v>
      </c>
      <c r="E189" s="0" t="n">
        <v>1.75</v>
      </c>
      <c r="F189" s="0" t="n">
        <v>11.0789473684211</v>
      </c>
      <c r="G189" s="0" t="n">
        <v>19.3881578947368</v>
      </c>
      <c r="H189" s="0" t="s">
        <v>3632</v>
      </c>
      <c r="I189" s="0" t="str">
        <f aca="false">A189&amp;"|"&amp;TRIM(D189)</f>
        <v>63|1 A 5 DOC</v>
      </c>
    </row>
    <row r="190" customFormat="false" ht="15" hidden="false" customHeight="false" outlineLevel="0" collapsed="false">
      <c r="A190" s="0" t="n">
        <v>63</v>
      </c>
      <c r="B190" s="0" t="s">
        <v>826</v>
      </c>
      <c r="C190" s="0" t="s">
        <v>349</v>
      </c>
      <c r="D190" s="0" t="s">
        <v>3449</v>
      </c>
      <c r="E190" s="0" t="n">
        <v>1.99</v>
      </c>
      <c r="F190" s="0" t="n">
        <v>11.0789473684211</v>
      </c>
      <c r="G190" s="0" t="n">
        <v>22.0471052631579</v>
      </c>
      <c r="H190" s="0" t="s">
        <v>3633</v>
      </c>
      <c r="I190" s="0" t="str">
        <f aca="false">A190&amp;"|"&amp;TRIM(D190)</f>
        <v>63|DETAL</v>
      </c>
    </row>
    <row r="191" customFormat="false" ht="15" hidden="false" customHeight="false" outlineLevel="0" collapsed="false">
      <c r="A191" s="0" t="n">
        <v>64</v>
      </c>
      <c r="B191" s="0" t="s">
        <v>826</v>
      </c>
      <c r="C191" s="0" t="s">
        <v>349</v>
      </c>
      <c r="D191" s="0" t="s">
        <v>3446</v>
      </c>
      <c r="E191" s="0" t="n">
        <v>1.4</v>
      </c>
      <c r="F191" s="0" t="n">
        <v>8.30263157894737</v>
      </c>
      <c r="G191" s="0" t="n">
        <v>11.6236842105263</v>
      </c>
      <c r="H191" s="0" t="s">
        <v>3634</v>
      </c>
      <c r="I191" s="0" t="str">
        <f aca="false">A191&amp;"|"&amp;TRIM(D191)</f>
        <v>64|+5 DOC</v>
      </c>
    </row>
    <row r="192" customFormat="false" ht="15" hidden="false" customHeight="false" outlineLevel="0" collapsed="false">
      <c r="A192" s="0" t="n">
        <v>64</v>
      </c>
      <c r="B192" s="0" t="s">
        <v>826</v>
      </c>
      <c r="C192" s="0" t="s">
        <v>349</v>
      </c>
      <c r="D192" s="0" t="s">
        <v>9</v>
      </c>
      <c r="E192" s="0" t="n">
        <v>1.65</v>
      </c>
      <c r="F192" s="0" t="n">
        <v>8.30263157894737</v>
      </c>
      <c r="G192" s="0" t="n">
        <v>13.6993421052632</v>
      </c>
      <c r="H192" s="0" t="s">
        <v>3635</v>
      </c>
      <c r="I192" s="0" t="str">
        <f aca="false">A192&amp;"|"&amp;TRIM(D192)</f>
        <v>64|1 A 5 DOC</v>
      </c>
    </row>
    <row r="193" customFormat="false" ht="15" hidden="false" customHeight="false" outlineLevel="0" collapsed="false">
      <c r="A193" s="0" t="n">
        <v>64</v>
      </c>
      <c r="B193" s="0" t="s">
        <v>826</v>
      </c>
      <c r="C193" s="0" t="s">
        <v>349</v>
      </c>
      <c r="D193" s="0" t="s">
        <v>3449</v>
      </c>
      <c r="E193" s="0" t="n">
        <v>1.8</v>
      </c>
      <c r="F193" s="0" t="n">
        <v>8.30263157894737</v>
      </c>
      <c r="G193" s="0" t="n">
        <v>14.9447368421053</v>
      </c>
      <c r="H193" s="0" t="s">
        <v>3636</v>
      </c>
      <c r="I193" s="0" t="str">
        <f aca="false">A193&amp;"|"&amp;TRIM(D193)</f>
        <v>64|DETAL</v>
      </c>
    </row>
    <row r="194" customFormat="false" ht="15" hidden="false" customHeight="false" outlineLevel="0" collapsed="false">
      <c r="A194" s="0" t="n">
        <v>65</v>
      </c>
      <c r="B194" s="0" t="s">
        <v>826</v>
      </c>
      <c r="C194" s="0" t="s">
        <v>296</v>
      </c>
      <c r="D194" s="0" t="s">
        <v>3446</v>
      </c>
      <c r="E194" s="0" t="n">
        <v>1.45</v>
      </c>
      <c r="F194" s="0" t="n">
        <v>11.1342105263158</v>
      </c>
      <c r="G194" s="0" t="n">
        <v>16.1446052631579</v>
      </c>
      <c r="H194" s="0" t="s">
        <v>3637</v>
      </c>
      <c r="I194" s="0" t="str">
        <f aca="false">A194&amp;"|"&amp;TRIM(D194)</f>
        <v>65|+5 DOC</v>
      </c>
    </row>
    <row r="195" customFormat="false" ht="15" hidden="false" customHeight="false" outlineLevel="0" collapsed="false">
      <c r="A195" s="0" t="n">
        <v>65</v>
      </c>
      <c r="B195" s="0" t="s">
        <v>826</v>
      </c>
      <c r="C195" s="0" t="s">
        <v>296</v>
      </c>
      <c r="D195" s="0" t="s">
        <v>9</v>
      </c>
      <c r="E195" s="0" t="n">
        <v>1.75</v>
      </c>
      <c r="F195" s="0" t="n">
        <v>11.1342105263158</v>
      </c>
      <c r="G195" s="0" t="n">
        <v>19.4848684210526</v>
      </c>
      <c r="H195" s="0" t="s">
        <v>3638</v>
      </c>
      <c r="I195" s="0" t="str">
        <f aca="false">A195&amp;"|"&amp;TRIM(D195)</f>
        <v>65|1 A 5 DOC</v>
      </c>
    </row>
    <row r="196" customFormat="false" ht="15" hidden="false" customHeight="false" outlineLevel="0" collapsed="false">
      <c r="A196" s="0" t="n">
        <v>65</v>
      </c>
      <c r="B196" s="0" t="s">
        <v>826</v>
      </c>
      <c r="C196" s="0" t="s">
        <v>296</v>
      </c>
      <c r="D196" s="0" t="s">
        <v>3449</v>
      </c>
      <c r="E196" s="0" t="n">
        <v>1.99</v>
      </c>
      <c r="F196" s="0" t="n">
        <v>11.1342105263158</v>
      </c>
      <c r="G196" s="0" t="n">
        <v>22.1570789473684</v>
      </c>
      <c r="H196" s="0" t="s">
        <v>3639</v>
      </c>
      <c r="I196" s="0" t="str">
        <f aca="false">A196&amp;"|"&amp;TRIM(D196)</f>
        <v>65|DETAL</v>
      </c>
    </row>
    <row r="197" customFormat="false" ht="15" hidden="false" customHeight="false" outlineLevel="0" collapsed="false">
      <c r="A197" s="0" t="n">
        <v>66</v>
      </c>
      <c r="B197" s="0" t="s">
        <v>826</v>
      </c>
      <c r="C197" s="0" t="s">
        <v>311</v>
      </c>
      <c r="D197" s="0" t="s">
        <v>3446</v>
      </c>
      <c r="E197" s="0" t="n">
        <v>1.45</v>
      </c>
      <c r="F197" s="0" t="n">
        <v>10.1973684210526</v>
      </c>
      <c r="G197" s="0" t="n">
        <v>14.7861842105263</v>
      </c>
      <c r="H197" s="0" t="s">
        <v>3640</v>
      </c>
      <c r="I197" s="0" t="str">
        <f aca="false">A197&amp;"|"&amp;TRIM(D197)</f>
        <v>66|+5 DOC</v>
      </c>
    </row>
    <row r="198" customFormat="false" ht="15" hidden="false" customHeight="false" outlineLevel="0" collapsed="false">
      <c r="A198" s="0" t="n">
        <v>66</v>
      </c>
      <c r="B198" s="0" t="s">
        <v>826</v>
      </c>
      <c r="C198" s="0" t="s">
        <v>311</v>
      </c>
      <c r="D198" s="0" t="s">
        <v>9</v>
      </c>
      <c r="E198" s="0" t="n">
        <v>1.7</v>
      </c>
      <c r="F198" s="0" t="n">
        <v>10.1973684210526</v>
      </c>
      <c r="G198" s="0" t="n">
        <v>17.3355263157895</v>
      </c>
      <c r="H198" s="0" t="s">
        <v>3641</v>
      </c>
      <c r="I198" s="0" t="str">
        <f aca="false">A198&amp;"|"&amp;TRIM(D198)</f>
        <v>66|1 A 5 DOC</v>
      </c>
    </row>
    <row r="199" customFormat="false" ht="15" hidden="false" customHeight="false" outlineLevel="0" collapsed="false">
      <c r="A199" s="0" t="n">
        <v>66</v>
      </c>
      <c r="B199" s="0" t="s">
        <v>826</v>
      </c>
      <c r="C199" s="0" t="s">
        <v>311</v>
      </c>
      <c r="D199" s="0" t="s">
        <v>3449</v>
      </c>
      <c r="E199" s="0" t="n">
        <v>1.99</v>
      </c>
      <c r="F199" s="0" t="n">
        <v>10.1973684210526</v>
      </c>
      <c r="G199" s="0" t="n">
        <v>20.2927631578947</v>
      </c>
      <c r="H199" s="0" t="s">
        <v>3642</v>
      </c>
      <c r="I199" s="0" t="str">
        <f aca="false">A199&amp;"|"&amp;TRIM(D199)</f>
        <v>66|DETAL</v>
      </c>
    </row>
    <row r="200" customFormat="false" ht="15" hidden="false" customHeight="false" outlineLevel="0" collapsed="false">
      <c r="A200" s="0" t="n">
        <v>67</v>
      </c>
      <c r="B200" s="0" t="s">
        <v>826</v>
      </c>
      <c r="C200" s="0" t="s">
        <v>349</v>
      </c>
      <c r="D200" s="0" t="s">
        <v>3446</v>
      </c>
      <c r="E200" s="0" t="n">
        <v>1.45</v>
      </c>
      <c r="F200" s="0" t="n">
        <v>12.0657894736842</v>
      </c>
      <c r="G200" s="0" t="n">
        <v>17.4953947368421</v>
      </c>
      <c r="H200" s="0" t="s">
        <v>3643</v>
      </c>
      <c r="I200" s="0" t="str">
        <f aca="false">A200&amp;"|"&amp;TRIM(D200)</f>
        <v>67|+5 DOC</v>
      </c>
    </row>
    <row r="201" customFormat="false" ht="15" hidden="false" customHeight="false" outlineLevel="0" collapsed="false">
      <c r="A201" s="0" t="n">
        <v>67</v>
      </c>
      <c r="B201" s="0" t="s">
        <v>826</v>
      </c>
      <c r="C201" s="0" t="s">
        <v>349</v>
      </c>
      <c r="D201" s="0" t="s">
        <v>9</v>
      </c>
      <c r="E201" s="0" t="n">
        <v>1.75</v>
      </c>
      <c r="F201" s="0" t="n">
        <v>12.0657894736842</v>
      </c>
      <c r="G201" s="0" t="n">
        <v>21.1151315789474</v>
      </c>
      <c r="H201" s="0" t="s">
        <v>3644</v>
      </c>
      <c r="I201" s="0" t="str">
        <f aca="false">A201&amp;"|"&amp;TRIM(D201)</f>
        <v>67|1 A 5 DOC</v>
      </c>
    </row>
    <row r="202" customFormat="false" ht="15" hidden="false" customHeight="false" outlineLevel="0" collapsed="false">
      <c r="A202" s="0" t="n">
        <v>67</v>
      </c>
      <c r="B202" s="0" t="s">
        <v>826</v>
      </c>
      <c r="C202" s="0" t="s">
        <v>349</v>
      </c>
      <c r="D202" s="0" t="s">
        <v>3449</v>
      </c>
      <c r="E202" s="0" t="n">
        <v>1.99</v>
      </c>
      <c r="F202" s="0" t="n">
        <v>12.0657894736842</v>
      </c>
      <c r="G202" s="0" t="n">
        <v>24.0109210526316</v>
      </c>
      <c r="H202" s="0" t="s">
        <v>3645</v>
      </c>
      <c r="I202" s="0" t="str">
        <f aca="false">A202&amp;"|"&amp;TRIM(D202)</f>
        <v>67|DETAL</v>
      </c>
    </row>
    <row r="203" customFormat="false" ht="15" hidden="false" customHeight="false" outlineLevel="0" collapsed="false">
      <c r="A203" s="0" t="n">
        <v>68</v>
      </c>
      <c r="B203" s="0" t="s">
        <v>970</v>
      </c>
      <c r="C203" s="0" t="s">
        <v>972</v>
      </c>
      <c r="D203" s="0" t="s">
        <v>3446</v>
      </c>
      <c r="E203" s="0" t="n">
        <v>1.45</v>
      </c>
      <c r="F203" s="0" t="n">
        <v>16.8552631578947</v>
      </c>
      <c r="G203" s="0" t="n">
        <v>24.4401315789474</v>
      </c>
      <c r="H203" s="0" t="s">
        <v>3646</v>
      </c>
      <c r="I203" s="0" t="str">
        <f aca="false">A203&amp;"|"&amp;TRIM(D203)</f>
        <v>68|+5 DOC</v>
      </c>
    </row>
    <row r="204" customFormat="false" ht="15" hidden="false" customHeight="false" outlineLevel="0" collapsed="false">
      <c r="A204" s="0" t="n">
        <v>68</v>
      </c>
      <c r="B204" s="0" t="s">
        <v>970</v>
      </c>
      <c r="C204" s="0" t="s">
        <v>972</v>
      </c>
      <c r="D204" s="0" t="s">
        <v>9</v>
      </c>
      <c r="E204" s="0" t="n">
        <v>1.75</v>
      </c>
      <c r="F204" s="0" t="n">
        <v>16.8552631578947</v>
      </c>
      <c r="G204" s="0" t="n">
        <v>29.4967105263158</v>
      </c>
      <c r="H204" s="0" t="s">
        <v>3647</v>
      </c>
      <c r="I204" s="0" t="str">
        <f aca="false">A204&amp;"|"&amp;TRIM(D204)</f>
        <v>68|1 A 5 DOC</v>
      </c>
    </row>
    <row r="205" customFormat="false" ht="15" hidden="false" customHeight="false" outlineLevel="0" collapsed="false">
      <c r="A205" s="0" t="n">
        <v>68</v>
      </c>
      <c r="B205" s="0" t="s">
        <v>970</v>
      </c>
      <c r="C205" s="0" t="s">
        <v>972</v>
      </c>
      <c r="D205" s="0" t="s">
        <v>3449</v>
      </c>
      <c r="E205" s="0" t="n">
        <v>1.9</v>
      </c>
      <c r="F205" s="0" t="n">
        <v>16.8552631578947</v>
      </c>
      <c r="G205" s="0" t="n">
        <v>32.025</v>
      </c>
      <c r="H205" s="0" t="s">
        <v>3648</v>
      </c>
      <c r="I205" s="0" t="str">
        <f aca="false">A205&amp;"|"&amp;TRIM(D205)</f>
        <v>68|DETAL</v>
      </c>
    </row>
    <row r="206" customFormat="false" ht="15" hidden="false" customHeight="false" outlineLevel="0" collapsed="false">
      <c r="A206" s="0" t="n">
        <v>69</v>
      </c>
      <c r="B206" s="0" t="s">
        <v>990</v>
      </c>
      <c r="C206" s="0" t="s">
        <v>296</v>
      </c>
      <c r="D206" s="0" t="s">
        <v>3446</v>
      </c>
      <c r="E206" s="0" t="n">
        <v>1.45</v>
      </c>
      <c r="F206" s="0" t="n">
        <v>7.9875</v>
      </c>
      <c r="G206" s="0" t="n">
        <v>11.581875</v>
      </c>
      <c r="H206" s="0" t="s">
        <v>3649</v>
      </c>
      <c r="I206" s="0" t="str">
        <f aca="false">A206&amp;"|"&amp;TRIM(D206)</f>
        <v>69|+5 DOC</v>
      </c>
    </row>
    <row r="207" customFormat="false" ht="15" hidden="false" customHeight="false" outlineLevel="0" collapsed="false">
      <c r="A207" s="0" t="n">
        <v>69</v>
      </c>
      <c r="B207" s="0" t="s">
        <v>990</v>
      </c>
      <c r="C207" s="0" t="s">
        <v>296</v>
      </c>
      <c r="D207" s="0" t="s">
        <v>9</v>
      </c>
      <c r="E207" s="0" t="n">
        <v>1.75</v>
      </c>
      <c r="F207" s="0" t="n">
        <v>7.9875</v>
      </c>
      <c r="G207" s="0" t="n">
        <v>13.978125</v>
      </c>
      <c r="H207" s="0" t="s">
        <v>3650</v>
      </c>
      <c r="I207" s="0" t="str">
        <f aca="false">A207&amp;"|"&amp;TRIM(D207)</f>
        <v>69|1 A 5 DOC</v>
      </c>
    </row>
    <row r="208" customFormat="false" ht="15" hidden="false" customHeight="false" outlineLevel="0" collapsed="false">
      <c r="A208" s="0" t="n">
        <v>69</v>
      </c>
      <c r="B208" s="0" t="s">
        <v>990</v>
      </c>
      <c r="C208" s="0" t="s">
        <v>296</v>
      </c>
      <c r="D208" s="0" t="s">
        <v>3449</v>
      </c>
      <c r="E208" s="0" t="n">
        <v>1.99</v>
      </c>
      <c r="F208" s="0" t="n">
        <v>7.9875</v>
      </c>
      <c r="G208" s="0" t="n">
        <v>15.895125</v>
      </c>
      <c r="H208" s="0" t="s">
        <v>3651</v>
      </c>
      <c r="I208" s="0" t="str">
        <f aca="false">A208&amp;"|"&amp;TRIM(D208)</f>
        <v>69|DETAL</v>
      </c>
    </row>
    <row r="209" customFormat="false" ht="15" hidden="false" customHeight="false" outlineLevel="0" collapsed="false">
      <c r="A209" s="0" t="n">
        <v>70</v>
      </c>
      <c r="B209" s="0" t="s">
        <v>990</v>
      </c>
      <c r="C209" s="0" t="s">
        <v>1005</v>
      </c>
      <c r="D209" s="0" t="s">
        <v>3446</v>
      </c>
      <c r="E209" s="0" t="n">
        <v>1.35</v>
      </c>
      <c r="F209" s="0" t="n">
        <v>4.525</v>
      </c>
      <c r="G209" s="0" t="n">
        <v>6.10875</v>
      </c>
      <c r="H209" s="0" t="s">
        <v>3652</v>
      </c>
      <c r="I209" s="0" t="str">
        <f aca="false">A209&amp;"|"&amp;TRIM(D209)</f>
        <v>70|+5 DOC</v>
      </c>
    </row>
    <row r="210" customFormat="false" ht="15" hidden="false" customHeight="false" outlineLevel="0" collapsed="false">
      <c r="A210" s="0" t="n">
        <v>70</v>
      </c>
      <c r="B210" s="0" t="s">
        <v>990</v>
      </c>
      <c r="C210" s="0" t="s">
        <v>1005</v>
      </c>
      <c r="D210" s="0" t="s">
        <v>9</v>
      </c>
      <c r="E210" s="0" t="n">
        <v>1.75</v>
      </c>
      <c r="F210" s="0" t="n">
        <v>4.525</v>
      </c>
      <c r="G210" s="0" t="n">
        <v>7.91875</v>
      </c>
      <c r="H210" s="0" t="s">
        <v>3653</v>
      </c>
      <c r="I210" s="0" t="str">
        <f aca="false">A210&amp;"|"&amp;TRIM(D210)</f>
        <v>70|1 A 5 DOC</v>
      </c>
    </row>
    <row r="211" customFormat="false" ht="15" hidden="false" customHeight="false" outlineLevel="0" collapsed="false">
      <c r="A211" s="0" t="n">
        <v>70</v>
      </c>
      <c r="B211" s="0" t="s">
        <v>990</v>
      </c>
      <c r="C211" s="0" t="s">
        <v>1005</v>
      </c>
      <c r="D211" s="0" t="s">
        <v>3449</v>
      </c>
      <c r="E211" s="0" t="n">
        <v>1.99</v>
      </c>
      <c r="F211" s="0" t="n">
        <v>4.525</v>
      </c>
      <c r="G211" s="0" t="n">
        <v>9.00475</v>
      </c>
      <c r="H211" s="0" t="s">
        <v>3654</v>
      </c>
      <c r="I211" s="0" t="str">
        <f aca="false">A211&amp;"|"&amp;TRIM(D211)</f>
        <v>70|DETAL</v>
      </c>
    </row>
    <row r="212" customFormat="false" ht="15" hidden="false" customHeight="false" outlineLevel="0" collapsed="false">
      <c r="A212" s="0" t="n">
        <v>71</v>
      </c>
      <c r="B212" s="0" t="s">
        <v>990</v>
      </c>
      <c r="C212" s="0" t="s">
        <v>1019</v>
      </c>
      <c r="D212" s="0" t="s">
        <v>3446</v>
      </c>
      <c r="E212" s="0" t="n">
        <v>1.45</v>
      </c>
      <c r="F212" s="0" t="n">
        <v>7.3125</v>
      </c>
      <c r="G212" s="0" t="n">
        <v>10.603125</v>
      </c>
      <c r="H212" s="0" t="s">
        <v>3655</v>
      </c>
      <c r="I212" s="0" t="str">
        <f aca="false">A212&amp;"|"&amp;TRIM(D212)</f>
        <v>71|+5 DOC</v>
      </c>
    </row>
    <row r="213" customFormat="false" ht="15" hidden="false" customHeight="false" outlineLevel="0" collapsed="false">
      <c r="A213" s="0" t="n">
        <v>71</v>
      </c>
      <c r="B213" s="0" t="s">
        <v>990</v>
      </c>
      <c r="C213" s="0" t="s">
        <v>1019</v>
      </c>
      <c r="D213" s="0" t="s">
        <v>9</v>
      </c>
      <c r="E213" s="0" t="n">
        <v>1.75</v>
      </c>
      <c r="F213" s="0" t="n">
        <v>7.3125</v>
      </c>
      <c r="G213" s="0" t="n">
        <v>12.796875</v>
      </c>
      <c r="H213" s="0" t="s">
        <v>3656</v>
      </c>
      <c r="I213" s="0" t="str">
        <f aca="false">A213&amp;"|"&amp;TRIM(D213)</f>
        <v>71|1 A 5 DOC</v>
      </c>
    </row>
    <row r="214" customFormat="false" ht="15" hidden="false" customHeight="false" outlineLevel="0" collapsed="false">
      <c r="A214" s="0" t="n">
        <v>71</v>
      </c>
      <c r="B214" s="0" t="s">
        <v>990</v>
      </c>
      <c r="C214" s="0" t="s">
        <v>1019</v>
      </c>
      <c r="D214" s="0" t="s">
        <v>3449</v>
      </c>
      <c r="E214" s="0" t="n">
        <v>1.99</v>
      </c>
      <c r="F214" s="0" t="n">
        <v>7.3125</v>
      </c>
      <c r="G214" s="0" t="n">
        <v>14.551875</v>
      </c>
      <c r="H214" s="0" t="s">
        <v>3657</v>
      </c>
      <c r="I214" s="0" t="str">
        <f aca="false">A214&amp;"|"&amp;TRIM(D214)</f>
        <v>71|DETAL</v>
      </c>
    </row>
    <row r="215" customFormat="false" ht="15" hidden="false" customHeight="false" outlineLevel="0" collapsed="false">
      <c r="A215" s="0" t="n">
        <v>72</v>
      </c>
      <c r="B215" s="0" t="s">
        <v>1033</v>
      </c>
      <c r="C215" s="0" t="s">
        <v>1034</v>
      </c>
      <c r="D215" s="0" t="s">
        <v>3446</v>
      </c>
      <c r="E215" s="0" t="n">
        <v>1.45</v>
      </c>
      <c r="F215" s="0" t="n">
        <v>8.01842105263158</v>
      </c>
      <c r="G215" s="0" t="n">
        <v>11.6267105263158</v>
      </c>
      <c r="H215" s="0" t="s">
        <v>3658</v>
      </c>
      <c r="I215" s="0" t="str">
        <f aca="false">A215&amp;"|"&amp;TRIM(D215)</f>
        <v>72|+5 DOC</v>
      </c>
    </row>
    <row r="216" customFormat="false" ht="15" hidden="false" customHeight="false" outlineLevel="0" collapsed="false">
      <c r="A216" s="0" t="n">
        <v>72</v>
      </c>
      <c r="B216" s="0" t="s">
        <v>1033</v>
      </c>
      <c r="C216" s="0" t="s">
        <v>1034</v>
      </c>
      <c r="D216" s="0" t="s">
        <v>9</v>
      </c>
      <c r="E216" s="0" t="n">
        <v>1.75</v>
      </c>
      <c r="F216" s="0" t="n">
        <v>8.01842105263158</v>
      </c>
      <c r="G216" s="0" t="n">
        <v>14.0322368421053</v>
      </c>
      <c r="H216" s="0" t="s">
        <v>3659</v>
      </c>
      <c r="I216" s="0" t="str">
        <f aca="false">A216&amp;"|"&amp;TRIM(D216)</f>
        <v>72|1 A 5 DOC</v>
      </c>
    </row>
    <row r="217" customFormat="false" ht="15" hidden="false" customHeight="false" outlineLevel="0" collapsed="false">
      <c r="A217" s="0" t="n">
        <v>72</v>
      </c>
      <c r="B217" s="0" t="s">
        <v>1033</v>
      </c>
      <c r="C217" s="0" t="s">
        <v>1034</v>
      </c>
      <c r="D217" s="0" t="s">
        <v>3449</v>
      </c>
      <c r="E217" s="0" t="n">
        <v>1.99</v>
      </c>
      <c r="F217" s="0" t="n">
        <v>8.01842105263158</v>
      </c>
      <c r="G217" s="0" t="n">
        <v>15.9566578947368</v>
      </c>
      <c r="H217" s="0" t="s">
        <v>3660</v>
      </c>
      <c r="I217" s="0" t="str">
        <f aca="false">A217&amp;"|"&amp;TRIM(D217)</f>
        <v>72|DETAL</v>
      </c>
    </row>
    <row r="218" customFormat="false" ht="15" hidden="false" customHeight="false" outlineLevel="0" collapsed="false">
      <c r="A218" s="0" t="n">
        <v>73</v>
      </c>
      <c r="B218" s="0" t="s">
        <v>1033</v>
      </c>
      <c r="C218" s="0" t="s">
        <v>1033</v>
      </c>
      <c r="D218" s="0" t="s">
        <v>3446</v>
      </c>
      <c r="E218" s="0" t="n">
        <v>1.45</v>
      </c>
      <c r="F218" s="0" t="n">
        <v>7.21842105263158</v>
      </c>
      <c r="G218" s="0" t="n">
        <v>10.4667105263158</v>
      </c>
      <c r="H218" s="0" t="s">
        <v>3661</v>
      </c>
      <c r="I218" s="0" t="str">
        <f aca="false">A218&amp;"|"&amp;TRIM(D218)</f>
        <v>73|+5 DOC</v>
      </c>
    </row>
    <row r="219" customFormat="false" ht="15" hidden="false" customHeight="false" outlineLevel="0" collapsed="false">
      <c r="A219" s="0" t="n">
        <v>73</v>
      </c>
      <c r="B219" s="0" t="s">
        <v>1033</v>
      </c>
      <c r="C219" s="0" t="s">
        <v>1033</v>
      </c>
      <c r="D219" s="0" t="s">
        <v>9</v>
      </c>
      <c r="E219" s="0" t="n">
        <v>1.75</v>
      </c>
      <c r="F219" s="0" t="n">
        <v>7.21842105263158</v>
      </c>
      <c r="G219" s="0" t="n">
        <v>12.6322368421053</v>
      </c>
      <c r="H219" s="0" t="s">
        <v>3662</v>
      </c>
      <c r="I219" s="0" t="str">
        <f aca="false">A219&amp;"|"&amp;TRIM(D219)</f>
        <v>73|1 A 5 DOC</v>
      </c>
    </row>
    <row r="220" customFormat="false" ht="15" hidden="false" customHeight="false" outlineLevel="0" collapsed="false">
      <c r="A220" s="0" t="n">
        <v>73</v>
      </c>
      <c r="B220" s="0" t="s">
        <v>1033</v>
      </c>
      <c r="C220" s="0" t="s">
        <v>1033</v>
      </c>
      <c r="D220" s="0" t="s">
        <v>3449</v>
      </c>
      <c r="E220" s="0" t="n">
        <v>1.99</v>
      </c>
      <c r="F220" s="0" t="n">
        <v>7.21842105263158</v>
      </c>
      <c r="G220" s="0" t="n">
        <v>14.3646578947368</v>
      </c>
      <c r="H220" s="0" t="s">
        <v>3663</v>
      </c>
      <c r="I220" s="0" t="str">
        <f aca="false">A220&amp;"|"&amp;TRIM(D220)</f>
        <v>73|DETAL</v>
      </c>
    </row>
    <row r="221" customFormat="false" ht="15" hidden="false" customHeight="false" outlineLevel="0" collapsed="false">
      <c r="A221" s="0" t="n">
        <v>74</v>
      </c>
      <c r="B221" s="0" t="s">
        <v>1033</v>
      </c>
      <c r="C221" s="0" t="s">
        <v>1066</v>
      </c>
      <c r="D221" s="0" t="s">
        <v>3446</v>
      </c>
      <c r="E221" s="0" t="n">
        <v>1.45</v>
      </c>
      <c r="F221" s="0" t="n">
        <v>8.69473684210526</v>
      </c>
      <c r="G221" s="0" t="n">
        <v>12.6073684210526</v>
      </c>
      <c r="H221" s="0" t="s">
        <v>3621</v>
      </c>
      <c r="I221" s="0" t="str">
        <f aca="false">A221&amp;"|"&amp;TRIM(D221)</f>
        <v>74|+5 DOC</v>
      </c>
    </row>
    <row r="222" customFormat="false" ht="15" hidden="false" customHeight="false" outlineLevel="0" collapsed="false">
      <c r="A222" s="0" t="n">
        <v>74</v>
      </c>
      <c r="B222" s="0" t="s">
        <v>1033</v>
      </c>
      <c r="C222" s="0" t="s">
        <v>1066</v>
      </c>
      <c r="D222" s="0" t="s">
        <v>9</v>
      </c>
      <c r="E222" s="0" t="n">
        <v>1.75</v>
      </c>
      <c r="F222" s="0" t="n">
        <v>8.69473684210526</v>
      </c>
      <c r="G222" s="0" t="n">
        <v>15.2157894736842</v>
      </c>
      <c r="H222" s="0" t="s">
        <v>3622</v>
      </c>
      <c r="I222" s="0" t="str">
        <f aca="false">A222&amp;"|"&amp;TRIM(D222)</f>
        <v>74|1 A 5 DOC</v>
      </c>
    </row>
    <row r="223" customFormat="false" ht="15" hidden="false" customHeight="false" outlineLevel="0" collapsed="false">
      <c r="A223" s="0" t="n">
        <v>74</v>
      </c>
      <c r="B223" s="0" t="s">
        <v>1033</v>
      </c>
      <c r="C223" s="0" t="s">
        <v>1066</v>
      </c>
      <c r="D223" s="0" t="s">
        <v>3449</v>
      </c>
      <c r="E223" s="0" t="n">
        <v>1.99</v>
      </c>
      <c r="F223" s="0" t="n">
        <v>8.69473684210526</v>
      </c>
      <c r="G223" s="0" t="n">
        <v>17.3025263157895</v>
      </c>
      <c r="H223" s="0" t="s">
        <v>3623</v>
      </c>
      <c r="I223" s="0" t="str">
        <f aca="false">A223&amp;"|"&amp;TRIM(D223)</f>
        <v>74|DETAL</v>
      </c>
    </row>
    <row r="224" customFormat="false" ht="15" hidden="false" customHeight="false" outlineLevel="0" collapsed="false">
      <c r="A224" s="0" t="n">
        <v>75</v>
      </c>
      <c r="B224" s="0" t="s">
        <v>1081</v>
      </c>
      <c r="C224" s="0" t="s">
        <v>1082</v>
      </c>
      <c r="D224" s="0" t="s">
        <v>3446</v>
      </c>
      <c r="E224" s="0" t="n">
        <v>1.45</v>
      </c>
      <c r="F224" s="0" t="n">
        <v>3.32</v>
      </c>
      <c r="G224" s="0" t="n">
        <v>4.814</v>
      </c>
      <c r="H224" s="0" t="s">
        <v>3664</v>
      </c>
      <c r="I224" s="0" t="str">
        <f aca="false">A224&amp;"|"&amp;TRIM(D224)</f>
        <v>75|+5 DOC</v>
      </c>
    </row>
    <row r="225" customFormat="false" ht="15" hidden="false" customHeight="false" outlineLevel="0" collapsed="false">
      <c r="A225" s="0" t="n">
        <v>75</v>
      </c>
      <c r="B225" s="0" t="s">
        <v>1081</v>
      </c>
      <c r="C225" s="0" t="s">
        <v>1082</v>
      </c>
      <c r="D225" s="0" t="s">
        <v>9</v>
      </c>
      <c r="E225" s="0" t="n">
        <v>1.75</v>
      </c>
      <c r="F225" s="0" t="n">
        <v>3.32</v>
      </c>
      <c r="G225" s="0" t="n">
        <v>5.81</v>
      </c>
      <c r="H225" s="0" t="s">
        <v>3665</v>
      </c>
      <c r="I225" s="0" t="str">
        <f aca="false">A225&amp;"|"&amp;TRIM(D225)</f>
        <v>75|1 A 5 DOC</v>
      </c>
    </row>
    <row r="226" customFormat="false" ht="15" hidden="false" customHeight="false" outlineLevel="0" collapsed="false">
      <c r="A226" s="0" t="n">
        <v>75</v>
      </c>
      <c r="B226" s="0" t="s">
        <v>1081</v>
      </c>
      <c r="C226" s="0" t="s">
        <v>1082</v>
      </c>
      <c r="D226" s="0" t="s">
        <v>3449</v>
      </c>
      <c r="E226" s="0" t="n">
        <v>1.99</v>
      </c>
      <c r="F226" s="0" t="n">
        <v>3.32</v>
      </c>
      <c r="G226" s="0" t="n">
        <v>6.6068</v>
      </c>
      <c r="H226" s="0" t="s">
        <v>3666</v>
      </c>
      <c r="I226" s="0" t="str">
        <f aca="false">A226&amp;"|"&amp;TRIM(D226)</f>
        <v>75|DETAL</v>
      </c>
    </row>
    <row r="227" customFormat="false" ht="15" hidden="false" customHeight="false" outlineLevel="0" collapsed="false">
      <c r="A227" s="0" t="n">
        <v>76</v>
      </c>
      <c r="B227" s="0" t="s">
        <v>1081</v>
      </c>
      <c r="C227" s="0" t="s">
        <v>1082</v>
      </c>
      <c r="D227" s="0" t="s">
        <v>3446</v>
      </c>
      <c r="E227" s="0" t="n">
        <v>1.4</v>
      </c>
      <c r="F227" s="0" t="n">
        <v>8.36</v>
      </c>
      <c r="G227" s="0" t="n">
        <v>11.704</v>
      </c>
      <c r="H227" s="0" t="s">
        <v>3667</v>
      </c>
      <c r="I227" s="0" t="str">
        <f aca="false">A227&amp;"|"&amp;TRIM(D227)</f>
        <v>76|+5 DOC</v>
      </c>
    </row>
    <row r="228" customFormat="false" ht="15" hidden="false" customHeight="false" outlineLevel="0" collapsed="false">
      <c r="A228" s="0" t="n">
        <v>76</v>
      </c>
      <c r="B228" s="0" t="s">
        <v>1081</v>
      </c>
      <c r="C228" s="0" t="s">
        <v>1082</v>
      </c>
      <c r="D228" s="0" t="s">
        <v>9</v>
      </c>
      <c r="E228" s="0" t="n">
        <v>1.75</v>
      </c>
      <c r="F228" s="0" t="n">
        <v>8.36</v>
      </c>
      <c r="G228" s="0" t="n">
        <v>14.63</v>
      </c>
      <c r="H228" s="0" t="s">
        <v>3668</v>
      </c>
      <c r="I228" s="0" t="str">
        <f aca="false">A228&amp;"|"&amp;TRIM(D228)</f>
        <v>76|1 A 5 DOC</v>
      </c>
    </row>
    <row r="229" customFormat="false" ht="15" hidden="false" customHeight="false" outlineLevel="0" collapsed="false">
      <c r="A229" s="0" t="n">
        <v>76</v>
      </c>
      <c r="B229" s="0" t="s">
        <v>1081</v>
      </c>
      <c r="C229" s="0" t="s">
        <v>1082</v>
      </c>
      <c r="D229" s="0" t="s">
        <v>3449</v>
      </c>
      <c r="E229" s="0" t="n">
        <v>1.99</v>
      </c>
      <c r="F229" s="0" t="n">
        <v>8.36</v>
      </c>
      <c r="G229" s="0" t="n">
        <v>16.6364</v>
      </c>
      <c r="H229" s="0" t="s">
        <v>3669</v>
      </c>
      <c r="I229" s="0" t="str">
        <f aca="false">A229&amp;"|"&amp;TRIM(D229)</f>
        <v>76|DETAL</v>
      </c>
    </row>
    <row r="230" customFormat="false" ht="15" hidden="false" customHeight="false" outlineLevel="0" collapsed="false">
      <c r="A230" s="0" t="n">
        <v>77</v>
      </c>
      <c r="B230" s="0" t="s">
        <v>1081</v>
      </c>
      <c r="C230" s="0" t="s">
        <v>1111</v>
      </c>
      <c r="D230" s="0" t="s">
        <v>3446</v>
      </c>
      <c r="E230" s="0" t="n">
        <v>1.45</v>
      </c>
      <c r="F230" s="0" t="n">
        <v>7.1625</v>
      </c>
      <c r="G230" s="0" t="n">
        <v>10.385625</v>
      </c>
      <c r="H230" s="0" t="s">
        <v>3670</v>
      </c>
      <c r="I230" s="0" t="str">
        <f aca="false">A230&amp;"|"&amp;TRIM(D230)</f>
        <v>77|+5 DOC</v>
      </c>
    </row>
    <row r="231" customFormat="false" ht="15" hidden="false" customHeight="false" outlineLevel="0" collapsed="false">
      <c r="A231" s="0" t="n">
        <v>77</v>
      </c>
      <c r="B231" s="0" t="s">
        <v>1081</v>
      </c>
      <c r="C231" s="0" t="s">
        <v>1111</v>
      </c>
      <c r="D231" s="0" t="s">
        <v>9</v>
      </c>
      <c r="E231" s="0" t="n">
        <v>1.65</v>
      </c>
      <c r="F231" s="0" t="n">
        <v>7.1625</v>
      </c>
      <c r="G231" s="0" t="n">
        <v>11.818125</v>
      </c>
      <c r="H231" s="0" t="s">
        <v>3671</v>
      </c>
      <c r="I231" s="0" t="str">
        <f aca="false">A231&amp;"|"&amp;TRIM(D231)</f>
        <v>77|1 A 5 DOC</v>
      </c>
    </row>
    <row r="232" customFormat="false" ht="15" hidden="false" customHeight="false" outlineLevel="0" collapsed="false">
      <c r="A232" s="0" t="n">
        <v>77</v>
      </c>
      <c r="B232" s="0" t="s">
        <v>1081</v>
      </c>
      <c r="C232" s="0" t="s">
        <v>1111</v>
      </c>
      <c r="D232" s="0" t="s">
        <v>3449</v>
      </c>
      <c r="E232" s="0" t="n">
        <v>2.1</v>
      </c>
      <c r="F232" s="0" t="n">
        <v>7.1625</v>
      </c>
      <c r="G232" s="0" t="n">
        <v>15.04125</v>
      </c>
      <c r="H232" s="0" t="s">
        <v>3672</v>
      </c>
      <c r="I232" s="0" t="str">
        <f aca="false">A232&amp;"|"&amp;TRIM(D232)</f>
        <v>77|DETAL</v>
      </c>
    </row>
    <row r="233" customFormat="false" ht="15" hidden="false" customHeight="false" outlineLevel="0" collapsed="false">
      <c r="A233" s="0" t="n">
        <v>78</v>
      </c>
      <c r="B233" s="0" t="s">
        <v>1081</v>
      </c>
      <c r="C233" s="0" t="s">
        <v>1082</v>
      </c>
      <c r="D233" s="0" t="s">
        <v>3446</v>
      </c>
      <c r="E233" s="0" t="n">
        <v>1.45</v>
      </c>
      <c r="F233" s="0" t="n">
        <v>11.6090909090909</v>
      </c>
      <c r="G233" s="0" t="n">
        <v>16.8331818181818</v>
      </c>
      <c r="H233" s="0" t="s">
        <v>3673</v>
      </c>
      <c r="I233" s="0" t="str">
        <f aca="false">A233&amp;"|"&amp;TRIM(D233)</f>
        <v>78|+5 DOC</v>
      </c>
    </row>
    <row r="234" customFormat="false" ht="15" hidden="false" customHeight="false" outlineLevel="0" collapsed="false">
      <c r="A234" s="0" t="n">
        <v>78</v>
      </c>
      <c r="B234" s="0" t="s">
        <v>1081</v>
      </c>
      <c r="C234" s="0" t="s">
        <v>1082</v>
      </c>
      <c r="D234" s="0" t="s">
        <v>9</v>
      </c>
      <c r="E234" s="0" t="n">
        <v>1.75</v>
      </c>
      <c r="F234" s="0" t="n">
        <v>11.6090909090909</v>
      </c>
      <c r="G234" s="0" t="n">
        <v>20.3159090909091</v>
      </c>
      <c r="H234" s="0" t="s">
        <v>3674</v>
      </c>
      <c r="I234" s="0" t="str">
        <f aca="false">A234&amp;"|"&amp;TRIM(D234)</f>
        <v>78|1 A 5 DOC</v>
      </c>
    </row>
    <row r="235" customFormat="false" ht="15" hidden="false" customHeight="false" outlineLevel="0" collapsed="false">
      <c r="A235" s="0" t="n">
        <v>78</v>
      </c>
      <c r="B235" s="0" t="s">
        <v>1081</v>
      </c>
      <c r="C235" s="0" t="s">
        <v>1082</v>
      </c>
      <c r="D235" s="0" t="s">
        <v>3449</v>
      </c>
      <c r="E235" s="0" t="n">
        <v>1.99</v>
      </c>
      <c r="F235" s="0" t="n">
        <v>11.6090909090909</v>
      </c>
      <c r="G235" s="0" t="n">
        <v>23.1020909090909</v>
      </c>
      <c r="H235" s="0" t="s">
        <v>3675</v>
      </c>
      <c r="I235" s="0" t="str">
        <f aca="false">A235&amp;"|"&amp;TRIM(D235)</f>
        <v>78|DETAL</v>
      </c>
    </row>
    <row r="236" customFormat="false" ht="15" hidden="false" customHeight="false" outlineLevel="0" collapsed="false">
      <c r="A236" s="0" t="n">
        <v>79</v>
      </c>
      <c r="B236" s="0" t="s">
        <v>1081</v>
      </c>
      <c r="C236" s="0" t="s">
        <v>1082</v>
      </c>
      <c r="D236" s="0" t="s">
        <v>3446</v>
      </c>
      <c r="E236" s="0" t="n">
        <v>1.45</v>
      </c>
      <c r="F236" s="0" t="n">
        <v>4</v>
      </c>
      <c r="G236" s="0" t="n">
        <v>5.8</v>
      </c>
      <c r="H236" s="0" t="s">
        <v>3676</v>
      </c>
      <c r="I236" s="0" t="str">
        <f aca="false">A236&amp;"|"&amp;TRIM(D236)</f>
        <v>79|+5 DOC</v>
      </c>
    </row>
    <row r="237" customFormat="false" ht="15" hidden="false" customHeight="false" outlineLevel="0" collapsed="false">
      <c r="A237" s="0" t="n">
        <v>79</v>
      </c>
      <c r="B237" s="0" t="s">
        <v>1081</v>
      </c>
      <c r="C237" s="0" t="s">
        <v>1082</v>
      </c>
      <c r="D237" s="0" t="s">
        <v>9</v>
      </c>
      <c r="E237" s="0" t="n">
        <v>1.65</v>
      </c>
      <c r="F237" s="0" t="n">
        <v>4</v>
      </c>
      <c r="G237" s="0" t="n">
        <v>6.6</v>
      </c>
      <c r="H237" s="0" t="s">
        <v>3677</v>
      </c>
      <c r="I237" s="0" t="str">
        <f aca="false">A237&amp;"|"&amp;TRIM(D237)</f>
        <v>79|1 A 5 DOC</v>
      </c>
    </row>
    <row r="238" customFormat="false" ht="15" hidden="false" customHeight="false" outlineLevel="0" collapsed="false">
      <c r="A238" s="0" t="n">
        <v>79</v>
      </c>
      <c r="B238" s="0" t="s">
        <v>1081</v>
      </c>
      <c r="C238" s="0" t="s">
        <v>1082</v>
      </c>
      <c r="D238" s="0" t="s">
        <v>3449</v>
      </c>
      <c r="E238" s="0" t="n">
        <v>1.99</v>
      </c>
      <c r="F238" s="0" t="n">
        <v>4</v>
      </c>
      <c r="G238" s="0" t="n">
        <v>7.96</v>
      </c>
      <c r="H238" s="0" t="s">
        <v>3678</v>
      </c>
      <c r="I238" s="0" t="str">
        <f aca="false">A238&amp;"|"&amp;TRIM(D238)</f>
        <v>79|DETAL</v>
      </c>
    </row>
    <row r="239" customFormat="false" ht="15" hidden="false" customHeight="false" outlineLevel="0" collapsed="false">
      <c r="A239" s="0" t="n">
        <v>80</v>
      </c>
      <c r="B239" s="0" t="s">
        <v>1081</v>
      </c>
      <c r="C239" s="0" t="s">
        <v>1082</v>
      </c>
      <c r="D239" s="0" t="s">
        <v>3446</v>
      </c>
      <c r="E239" s="0" t="n">
        <v>1.45</v>
      </c>
      <c r="F239" s="0" t="n">
        <v>8.585</v>
      </c>
      <c r="G239" s="0" t="n">
        <v>12.44825</v>
      </c>
      <c r="H239" s="0" t="s">
        <v>3679</v>
      </c>
      <c r="I239" s="0" t="str">
        <f aca="false">A239&amp;"|"&amp;TRIM(D239)</f>
        <v>80|+5 DOC</v>
      </c>
    </row>
    <row r="240" customFormat="false" ht="15" hidden="false" customHeight="false" outlineLevel="0" collapsed="false">
      <c r="A240" s="0" t="n">
        <v>80</v>
      </c>
      <c r="B240" s="0" t="s">
        <v>1081</v>
      </c>
      <c r="C240" s="0" t="s">
        <v>1082</v>
      </c>
      <c r="D240" s="0" t="s">
        <v>9</v>
      </c>
      <c r="E240" s="0" t="n">
        <v>1.75</v>
      </c>
      <c r="F240" s="0" t="n">
        <v>8.585</v>
      </c>
      <c r="G240" s="0" t="n">
        <v>15.02375</v>
      </c>
      <c r="H240" s="0" t="s">
        <v>3680</v>
      </c>
      <c r="I240" s="0" t="str">
        <f aca="false">A240&amp;"|"&amp;TRIM(D240)</f>
        <v>80|1 A 5 DOC</v>
      </c>
    </row>
    <row r="241" customFormat="false" ht="15" hidden="false" customHeight="false" outlineLevel="0" collapsed="false">
      <c r="A241" s="0" t="n">
        <v>80</v>
      </c>
      <c r="B241" s="0" t="s">
        <v>1081</v>
      </c>
      <c r="C241" s="0" t="s">
        <v>1082</v>
      </c>
      <c r="D241" s="0" t="s">
        <v>3449</v>
      </c>
      <c r="E241" s="0" t="n">
        <v>1.99</v>
      </c>
      <c r="F241" s="0" t="n">
        <v>8.585</v>
      </c>
      <c r="G241" s="0" t="n">
        <v>17.08415</v>
      </c>
      <c r="H241" s="0" t="s">
        <v>3681</v>
      </c>
      <c r="I241" s="0" t="str">
        <f aca="false">A241&amp;"|"&amp;TRIM(D241)</f>
        <v>80|DETAL</v>
      </c>
    </row>
    <row r="242" customFormat="false" ht="15" hidden="false" customHeight="false" outlineLevel="0" collapsed="false">
      <c r="A242" s="0" t="n">
        <v>81</v>
      </c>
      <c r="B242" s="0" t="s">
        <v>1081</v>
      </c>
      <c r="C242" s="0" t="s">
        <v>1082</v>
      </c>
      <c r="D242" s="0" t="s">
        <v>3446</v>
      </c>
      <c r="E242" s="0" t="n">
        <v>1.45</v>
      </c>
      <c r="F242" s="0" t="n">
        <v>9.28461538461539</v>
      </c>
      <c r="G242" s="0" t="n">
        <v>13.4626923076923</v>
      </c>
      <c r="H242" s="0" t="s">
        <v>3682</v>
      </c>
      <c r="I242" s="0" t="str">
        <f aca="false">A242&amp;"|"&amp;TRIM(D242)</f>
        <v>81|+5 DOC</v>
      </c>
    </row>
    <row r="243" customFormat="false" ht="15" hidden="false" customHeight="false" outlineLevel="0" collapsed="false">
      <c r="A243" s="0" t="n">
        <v>81</v>
      </c>
      <c r="B243" s="0" t="s">
        <v>1081</v>
      </c>
      <c r="C243" s="0" t="s">
        <v>1082</v>
      </c>
      <c r="D243" s="0" t="s">
        <v>9</v>
      </c>
      <c r="E243" s="0" t="n">
        <v>1.75</v>
      </c>
      <c r="F243" s="0" t="n">
        <v>9.28461538461539</v>
      </c>
      <c r="G243" s="0" t="n">
        <v>16.2480769230769</v>
      </c>
      <c r="H243" s="0" t="s">
        <v>3683</v>
      </c>
      <c r="I243" s="0" t="str">
        <f aca="false">A243&amp;"|"&amp;TRIM(D243)</f>
        <v>81|1 A 5 DOC</v>
      </c>
    </row>
    <row r="244" customFormat="false" ht="15" hidden="false" customHeight="false" outlineLevel="0" collapsed="false">
      <c r="A244" s="0" t="n">
        <v>81</v>
      </c>
      <c r="B244" s="0" t="s">
        <v>1081</v>
      </c>
      <c r="C244" s="0" t="s">
        <v>1082</v>
      </c>
      <c r="D244" s="0" t="s">
        <v>3449</v>
      </c>
      <c r="E244" s="0" t="n">
        <v>1.99</v>
      </c>
      <c r="F244" s="0" t="n">
        <v>9.28461538461539</v>
      </c>
      <c r="G244" s="0" t="n">
        <v>18.4763846153846</v>
      </c>
      <c r="H244" s="0" t="s">
        <v>3684</v>
      </c>
      <c r="I244" s="0" t="str">
        <f aca="false">A244&amp;"|"&amp;TRIM(D244)</f>
        <v>81|DETAL</v>
      </c>
    </row>
    <row r="245" customFormat="false" ht="15" hidden="false" customHeight="false" outlineLevel="0" collapsed="false">
      <c r="A245" s="0" t="n">
        <v>82</v>
      </c>
      <c r="B245" s="0" t="s">
        <v>1081</v>
      </c>
      <c r="C245" s="0" t="s">
        <v>1197</v>
      </c>
      <c r="D245" s="0" t="s">
        <v>3446</v>
      </c>
      <c r="E245" s="0" t="n">
        <v>1.45</v>
      </c>
      <c r="F245" s="0" t="n">
        <v>2.764</v>
      </c>
      <c r="G245" s="0" t="n">
        <v>4.0078</v>
      </c>
      <c r="H245" s="0" t="s">
        <v>3615</v>
      </c>
      <c r="I245" s="0" t="str">
        <f aca="false">A245&amp;"|"&amp;TRIM(D245)</f>
        <v>82|+5 DOC</v>
      </c>
    </row>
    <row r="246" customFormat="false" ht="15" hidden="false" customHeight="false" outlineLevel="0" collapsed="false">
      <c r="A246" s="0" t="n">
        <v>82</v>
      </c>
      <c r="B246" s="0" t="s">
        <v>1081</v>
      </c>
      <c r="C246" s="0" t="s">
        <v>1197</v>
      </c>
      <c r="D246" s="0" t="s">
        <v>9</v>
      </c>
      <c r="E246" s="0" t="n">
        <v>1.75</v>
      </c>
      <c r="F246" s="0" t="n">
        <v>2.764</v>
      </c>
      <c r="G246" s="0" t="n">
        <v>4.837</v>
      </c>
      <c r="H246" s="0" t="s">
        <v>3616</v>
      </c>
      <c r="I246" s="0" t="str">
        <f aca="false">A246&amp;"|"&amp;TRIM(D246)</f>
        <v>82|1 A 5 DOC</v>
      </c>
    </row>
    <row r="247" customFormat="false" ht="15" hidden="false" customHeight="false" outlineLevel="0" collapsed="false">
      <c r="A247" s="0" t="n">
        <v>82</v>
      </c>
      <c r="B247" s="0" t="s">
        <v>1081</v>
      </c>
      <c r="C247" s="0" t="s">
        <v>1197</v>
      </c>
      <c r="D247" s="0" t="s">
        <v>3449</v>
      </c>
      <c r="E247" s="0" t="n">
        <v>1.99</v>
      </c>
      <c r="F247" s="0" t="n">
        <v>2.764</v>
      </c>
      <c r="G247" s="0" t="n">
        <v>5.50036</v>
      </c>
      <c r="H247" s="0" t="s">
        <v>3617</v>
      </c>
      <c r="I247" s="0" t="str">
        <f aca="false">A247&amp;"|"&amp;TRIM(D247)</f>
        <v>82|DETAL</v>
      </c>
    </row>
    <row r="248" customFormat="false" ht="15" hidden="false" customHeight="false" outlineLevel="0" collapsed="false">
      <c r="A248" s="0" t="n">
        <v>83</v>
      </c>
      <c r="B248" s="0" t="s">
        <v>1081</v>
      </c>
      <c r="C248" s="0" t="s">
        <v>1197</v>
      </c>
      <c r="D248" s="0" t="s">
        <v>3446</v>
      </c>
      <c r="E248" s="0" t="n">
        <v>1.45</v>
      </c>
      <c r="F248" s="0" t="n">
        <v>6.8475</v>
      </c>
      <c r="G248" s="0" t="n">
        <v>9.928875</v>
      </c>
      <c r="H248" s="0" t="s">
        <v>3589</v>
      </c>
      <c r="I248" s="0" t="str">
        <f aca="false">A248&amp;"|"&amp;TRIM(D248)</f>
        <v>83|+5 DOC</v>
      </c>
    </row>
    <row r="249" customFormat="false" ht="15" hidden="false" customHeight="false" outlineLevel="0" collapsed="false">
      <c r="A249" s="0" t="n">
        <v>83</v>
      </c>
      <c r="B249" s="0" t="s">
        <v>1081</v>
      </c>
      <c r="C249" s="0" t="s">
        <v>1197</v>
      </c>
      <c r="D249" s="0" t="s">
        <v>9</v>
      </c>
      <c r="E249" s="0" t="n">
        <v>1.75</v>
      </c>
      <c r="F249" s="0" t="n">
        <v>6.8475</v>
      </c>
      <c r="G249" s="0" t="n">
        <v>11.983125</v>
      </c>
      <c r="H249" s="0" t="s">
        <v>3590</v>
      </c>
      <c r="I249" s="0" t="str">
        <f aca="false">A249&amp;"|"&amp;TRIM(D249)</f>
        <v>83|1 A 5 DOC</v>
      </c>
    </row>
    <row r="250" customFormat="false" ht="15" hidden="false" customHeight="false" outlineLevel="0" collapsed="false">
      <c r="A250" s="0" t="n">
        <v>83</v>
      </c>
      <c r="B250" s="0" t="s">
        <v>1081</v>
      </c>
      <c r="C250" s="0" t="s">
        <v>1197</v>
      </c>
      <c r="D250" s="0" t="s">
        <v>3449</v>
      </c>
      <c r="E250" s="0" t="n">
        <v>1.99</v>
      </c>
      <c r="F250" s="0" t="n">
        <v>6.8475</v>
      </c>
      <c r="G250" s="0" t="n">
        <v>13.626525</v>
      </c>
      <c r="H250" s="0" t="s">
        <v>3591</v>
      </c>
      <c r="I250" s="0" t="str">
        <f aca="false">A250&amp;"|"&amp;TRIM(D250)</f>
        <v>83|DETAL</v>
      </c>
    </row>
    <row r="251" customFormat="false" ht="15" hidden="false" customHeight="false" outlineLevel="0" collapsed="false">
      <c r="A251" s="0" t="n">
        <v>84</v>
      </c>
      <c r="B251" s="0" t="s">
        <v>1081</v>
      </c>
      <c r="C251" s="0" t="s">
        <v>1227</v>
      </c>
      <c r="D251" s="0" t="s">
        <v>3446</v>
      </c>
      <c r="E251" s="0" t="n">
        <v>1.45</v>
      </c>
      <c r="F251" s="0" t="n">
        <v>6.475</v>
      </c>
      <c r="G251" s="0" t="n">
        <v>9.38875</v>
      </c>
      <c r="H251" s="0" t="s">
        <v>3685</v>
      </c>
      <c r="I251" s="0" t="str">
        <f aca="false">A251&amp;"|"&amp;TRIM(D251)</f>
        <v>84|+5 DOC</v>
      </c>
    </row>
    <row r="252" customFormat="false" ht="15" hidden="false" customHeight="false" outlineLevel="0" collapsed="false">
      <c r="A252" s="0" t="n">
        <v>84</v>
      </c>
      <c r="B252" s="0" t="s">
        <v>1081</v>
      </c>
      <c r="C252" s="0" t="s">
        <v>1227</v>
      </c>
      <c r="D252" s="0" t="s">
        <v>9</v>
      </c>
      <c r="E252" s="0" t="n">
        <v>1.7</v>
      </c>
      <c r="F252" s="0" t="n">
        <v>6.475</v>
      </c>
      <c r="G252" s="0" t="n">
        <v>11.0075</v>
      </c>
      <c r="H252" s="0" t="s">
        <v>3686</v>
      </c>
      <c r="I252" s="0" t="str">
        <f aca="false">A252&amp;"|"&amp;TRIM(D252)</f>
        <v>84|1 A 5 DOC</v>
      </c>
    </row>
    <row r="253" customFormat="false" ht="15" hidden="false" customHeight="false" outlineLevel="0" collapsed="false">
      <c r="A253" s="0" t="n">
        <v>84</v>
      </c>
      <c r="B253" s="0" t="s">
        <v>1081</v>
      </c>
      <c r="C253" s="0" t="s">
        <v>1227</v>
      </c>
      <c r="D253" s="0" t="s">
        <v>3449</v>
      </c>
      <c r="E253" s="0" t="n">
        <v>2.1</v>
      </c>
      <c r="F253" s="0" t="n">
        <v>6.475</v>
      </c>
      <c r="G253" s="0" t="n">
        <v>13.5975</v>
      </c>
      <c r="H253" s="0" t="s">
        <v>3687</v>
      </c>
      <c r="I253" s="0" t="str">
        <f aca="false">A253&amp;"|"&amp;TRIM(D253)</f>
        <v>84|DETAL</v>
      </c>
    </row>
    <row r="254" customFormat="false" ht="15" hidden="false" customHeight="false" outlineLevel="0" collapsed="false">
      <c r="A254" s="0" t="n">
        <v>85</v>
      </c>
      <c r="B254" s="0" t="s">
        <v>1081</v>
      </c>
      <c r="C254" s="0" t="s">
        <v>1197</v>
      </c>
      <c r="D254" s="0" t="s">
        <v>3446</v>
      </c>
      <c r="E254" s="0" t="n">
        <v>1.45</v>
      </c>
      <c r="F254" s="0" t="n">
        <v>4.4225</v>
      </c>
      <c r="G254" s="0" t="n">
        <v>6.412625</v>
      </c>
      <c r="H254" s="0" t="s">
        <v>3688</v>
      </c>
      <c r="I254" s="0" t="str">
        <f aca="false">A254&amp;"|"&amp;TRIM(D254)</f>
        <v>85|+5 DOC</v>
      </c>
    </row>
    <row r="255" customFormat="false" ht="15" hidden="false" customHeight="false" outlineLevel="0" collapsed="false">
      <c r="A255" s="0" t="n">
        <v>85</v>
      </c>
      <c r="B255" s="0" t="s">
        <v>1081</v>
      </c>
      <c r="C255" s="0" t="s">
        <v>1197</v>
      </c>
      <c r="D255" s="0" t="s">
        <v>9</v>
      </c>
      <c r="E255" s="0" t="n">
        <v>1.75</v>
      </c>
      <c r="F255" s="0" t="n">
        <v>4.4225</v>
      </c>
      <c r="G255" s="0" t="n">
        <v>7.739375</v>
      </c>
      <c r="H255" s="0" t="s">
        <v>3689</v>
      </c>
      <c r="I255" s="0" t="str">
        <f aca="false">A255&amp;"|"&amp;TRIM(D255)</f>
        <v>85|1 A 5 DOC</v>
      </c>
    </row>
    <row r="256" customFormat="false" ht="15" hidden="false" customHeight="false" outlineLevel="0" collapsed="false">
      <c r="A256" s="0" t="n">
        <v>85</v>
      </c>
      <c r="B256" s="0" t="s">
        <v>1081</v>
      </c>
      <c r="C256" s="0" t="s">
        <v>1197</v>
      </c>
      <c r="D256" s="0" t="s">
        <v>3449</v>
      </c>
      <c r="E256" s="0" t="n">
        <v>1.99</v>
      </c>
      <c r="F256" s="0" t="n">
        <v>4.4225</v>
      </c>
      <c r="G256" s="0" t="n">
        <v>8.800775</v>
      </c>
      <c r="H256" s="0" t="s">
        <v>3690</v>
      </c>
      <c r="I256" s="0" t="str">
        <f aca="false">A256&amp;"|"&amp;TRIM(D256)</f>
        <v>85|DETAL</v>
      </c>
    </row>
    <row r="257" customFormat="false" ht="15" hidden="false" customHeight="false" outlineLevel="0" collapsed="false">
      <c r="A257" s="0" t="n">
        <v>86</v>
      </c>
      <c r="B257" s="0" t="s">
        <v>1081</v>
      </c>
      <c r="C257" s="0" t="s">
        <v>1197</v>
      </c>
      <c r="D257" s="0" t="s">
        <v>3446</v>
      </c>
      <c r="E257" s="0" t="n">
        <v>1.45</v>
      </c>
      <c r="F257" s="0" t="n">
        <v>5.63</v>
      </c>
      <c r="G257" s="0" t="n">
        <v>8.1635</v>
      </c>
      <c r="H257" s="0" t="s">
        <v>3691</v>
      </c>
      <c r="I257" s="0" t="str">
        <f aca="false">A257&amp;"|"&amp;TRIM(D257)</f>
        <v>86|+5 DOC</v>
      </c>
    </row>
    <row r="258" customFormat="false" ht="15" hidden="false" customHeight="false" outlineLevel="0" collapsed="false">
      <c r="A258" s="0" t="n">
        <v>86</v>
      </c>
      <c r="B258" s="0" t="s">
        <v>1081</v>
      </c>
      <c r="C258" s="0" t="s">
        <v>1197</v>
      </c>
      <c r="D258" s="0" t="s">
        <v>9</v>
      </c>
      <c r="E258" s="0" t="n">
        <v>1.6</v>
      </c>
      <c r="F258" s="0" t="n">
        <v>5.63</v>
      </c>
      <c r="G258" s="0" t="n">
        <v>9.008</v>
      </c>
      <c r="H258" s="0" t="s">
        <v>3692</v>
      </c>
      <c r="I258" s="0" t="str">
        <f aca="false">A258&amp;"|"&amp;TRIM(D258)</f>
        <v>86|1 A 5 DOC</v>
      </c>
    </row>
    <row r="259" customFormat="false" ht="15" hidden="false" customHeight="false" outlineLevel="0" collapsed="false">
      <c r="A259" s="0" t="n">
        <v>86</v>
      </c>
      <c r="B259" s="0" t="s">
        <v>1081</v>
      </c>
      <c r="C259" s="0" t="s">
        <v>1197</v>
      </c>
      <c r="D259" s="0" t="s">
        <v>3449</v>
      </c>
      <c r="E259" s="0" t="n">
        <v>1.99</v>
      </c>
      <c r="F259" s="0" t="n">
        <v>5.63</v>
      </c>
      <c r="G259" s="0" t="n">
        <v>11.2037</v>
      </c>
      <c r="H259" s="0" t="s">
        <v>3693</v>
      </c>
      <c r="I259" s="0" t="str">
        <f aca="false">A259&amp;"|"&amp;TRIM(D259)</f>
        <v>86|DETAL</v>
      </c>
    </row>
    <row r="260" customFormat="false" ht="15" hidden="false" customHeight="false" outlineLevel="0" collapsed="false">
      <c r="A260" s="0" t="n">
        <v>87</v>
      </c>
      <c r="B260" s="0" t="s">
        <v>1081</v>
      </c>
      <c r="C260" s="0" t="s">
        <v>1197</v>
      </c>
      <c r="D260" s="0" t="s">
        <v>3446</v>
      </c>
      <c r="E260" s="0" t="n">
        <v>1.45</v>
      </c>
      <c r="F260" s="0" t="n">
        <v>5.02083333333333</v>
      </c>
      <c r="G260" s="0" t="n">
        <v>7.28020833333333</v>
      </c>
      <c r="H260" s="0" t="s">
        <v>3694</v>
      </c>
      <c r="I260" s="0" t="str">
        <f aca="false">A260&amp;"|"&amp;TRIM(D260)</f>
        <v>87|+5 DOC</v>
      </c>
    </row>
    <row r="261" customFormat="false" ht="15" hidden="false" customHeight="false" outlineLevel="0" collapsed="false">
      <c r="A261" s="0" t="n">
        <v>87</v>
      </c>
      <c r="B261" s="0" t="s">
        <v>1081</v>
      </c>
      <c r="C261" s="0" t="s">
        <v>1197</v>
      </c>
      <c r="D261" s="0" t="s">
        <v>9</v>
      </c>
      <c r="E261" s="0" t="n">
        <v>1.75</v>
      </c>
      <c r="F261" s="0" t="n">
        <v>5.02083333333333</v>
      </c>
      <c r="G261" s="0" t="n">
        <v>8.78645833333333</v>
      </c>
      <c r="H261" s="0" t="s">
        <v>3695</v>
      </c>
      <c r="I261" s="0" t="str">
        <f aca="false">A261&amp;"|"&amp;TRIM(D261)</f>
        <v>87|1 A 5 DOC</v>
      </c>
    </row>
    <row r="262" customFormat="false" ht="15" hidden="false" customHeight="false" outlineLevel="0" collapsed="false">
      <c r="A262" s="0" t="n">
        <v>87</v>
      </c>
      <c r="B262" s="0" t="s">
        <v>1081</v>
      </c>
      <c r="C262" s="0" t="s">
        <v>1197</v>
      </c>
      <c r="D262" s="0" t="s">
        <v>3449</v>
      </c>
      <c r="E262" s="0" t="n">
        <v>1.99</v>
      </c>
      <c r="F262" s="0" t="n">
        <v>5.02083333333333</v>
      </c>
      <c r="G262" s="0" t="n">
        <v>9.99145833333333</v>
      </c>
      <c r="H262" s="0" t="s">
        <v>3696</v>
      </c>
      <c r="I262" s="0" t="str">
        <f aca="false">A262&amp;"|"&amp;TRIM(D262)</f>
        <v>87|DETAL</v>
      </c>
    </row>
    <row r="263" customFormat="false" ht="15" hidden="false" customHeight="false" outlineLevel="0" collapsed="false">
      <c r="A263" s="0" t="n">
        <v>88</v>
      </c>
      <c r="B263" s="0" t="s">
        <v>1081</v>
      </c>
      <c r="C263" s="0" t="s">
        <v>1291</v>
      </c>
      <c r="D263" s="0" t="s">
        <v>3446</v>
      </c>
      <c r="E263" s="0" t="n">
        <v>1.45</v>
      </c>
      <c r="F263" s="0" t="n">
        <v>10.1025</v>
      </c>
      <c r="G263" s="0" t="n">
        <v>14.648625</v>
      </c>
      <c r="H263" s="0" t="s">
        <v>3697</v>
      </c>
      <c r="I263" s="0" t="str">
        <f aca="false">A263&amp;"|"&amp;TRIM(D263)</f>
        <v>88|+5 DOC</v>
      </c>
    </row>
    <row r="264" customFormat="false" ht="15" hidden="false" customHeight="false" outlineLevel="0" collapsed="false">
      <c r="A264" s="0" t="n">
        <v>88</v>
      </c>
      <c r="B264" s="0" t="s">
        <v>1081</v>
      </c>
      <c r="C264" s="0" t="s">
        <v>1291</v>
      </c>
      <c r="D264" s="0" t="s">
        <v>9</v>
      </c>
      <c r="E264" s="0" t="n">
        <v>1.75</v>
      </c>
      <c r="F264" s="0" t="n">
        <v>10.1025</v>
      </c>
      <c r="G264" s="0" t="n">
        <v>17.679375</v>
      </c>
      <c r="H264" s="0" t="s">
        <v>3698</v>
      </c>
      <c r="I264" s="0" t="str">
        <f aca="false">A264&amp;"|"&amp;TRIM(D264)</f>
        <v>88|1 A 5 DOC</v>
      </c>
    </row>
    <row r="265" customFormat="false" ht="15" hidden="false" customHeight="false" outlineLevel="0" collapsed="false">
      <c r="A265" s="0" t="n">
        <v>88</v>
      </c>
      <c r="B265" s="0" t="s">
        <v>1081</v>
      </c>
      <c r="C265" s="0" t="s">
        <v>1291</v>
      </c>
      <c r="D265" s="0" t="s">
        <v>3449</v>
      </c>
      <c r="E265" s="0" t="n">
        <v>1.99</v>
      </c>
      <c r="F265" s="0" t="n">
        <v>10.1025</v>
      </c>
      <c r="G265" s="0" t="n">
        <v>20.103975</v>
      </c>
      <c r="H265" s="0" t="s">
        <v>3699</v>
      </c>
      <c r="I265" s="0" t="str">
        <f aca="false">A265&amp;"|"&amp;TRIM(D265)</f>
        <v>88|DETAL</v>
      </c>
    </row>
    <row r="266" customFormat="false" ht="15" hidden="false" customHeight="false" outlineLevel="0" collapsed="false">
      <c r="A266" s="0" t="n">
        <v>89</v>
      </c>
      <c r="B266" s="0" t="s">
        <v>1081</v>
      </c>
      <c r="C266" s="0" t="s">
        <v>1291</v>
      </c>
      <c r="D266" s="0" t="s">
        <v>3446</v>
      </c>
      <c r="E266" s="0" t="n">
        <v>1.3</v>
      </c>
      <c r="F266" s="0" t="n">
        <v>5.8375</v>
      </c>
      <c r="G266" s="0" t="n">
        <v>7.58875</v>
      </c>
      <c r="H266" s="0" t="s">
        <v>3700</v>
      </c>
      <c r="I266" s="0" t="str">
        <f aca="false">A266&amp;"|"&amp;TRIM(D266)</f>
        <v>89|+5 DOC</v>
      </c>
    </row>
    <row r="267" customFormat="false" ht="15" hidden="false" customHeight="false" outlineLevel="0" collapsed="false">
      <c r="A267" s="0" t="n">
        <v>89</v>
      </c>
      <c r="B267" s="0" t="s">
        <v>1081</v>
      </c>
      <c r="C267" s="0" t="s">
        <v>1291</v>
      </c>
      <c r="D267" s="0" t="s">
        <v>9</v>
      </c>
      <c r="E267" s="0" t="n">
        <v>1.75</v>
      </c>
      <c r="F267" s="0" t="n">
        <v>5.8375</v>
      </c>
      <c r="G267" s="0" t="n">
        <v>10.215625</v>
      </c>
      <c r="H267" s="0" t="s">
        <v>3701</v>
      </c>
      <c r="I267" s="0" t="str">
        <f aca="false">A267&amp;"|"&amp;TRIM(D267)</f>
        <v>89|1 A 5 DOC</v>
      </c>
    </row>
    <row r="268" customFormat="false" ht="15" hidden="false" customHeight="false" outlineLevel="0" collapsed="false">
      <c r="A268" s="0" t="n">
        <v>89</v>
      </c>
      <c r="B268" s="0" t="s">
        <v>1081</v>
      </c>
      <c r="C268" s="0" t="s">
        <v>1291</v>
      </c>
      <c r="D268" s="0" t="s">
        <v>3449</v>
      </c>
      <c r="E268" s="0" t="n">
        <v>1.99</v>
      </c>
      <c r="F268" s="0" t="n">
        <v>5.8375</v>
      </c>
      <c r="G268" s="0" t="n">
        <v>11.616625</v>
      </c>
      <c r="H268" s="0" t="s">
        <v>3702</v>
      </c>
      <c r="I268" s="0" t="str">
        <f aca="false">A268&amp;"|"&amp;TRIM(D268)</f>
        <v>89|DETAL</v>
      </c>
    </row>
    <row r="269" customFormat="false" ht="15" hidden="false" customHeight="false" outlineLevel="0" collapsed="false">
      <c r="A269" s="0" t="n">
        <v>90</v>
      </c>
      <c r="B269" s="0" t="s">
        <v>1081</v>
      </c>
      <c r="C269" s="0" t="s">
        <v>1291</v>
      </c>
      <c r="D269" s="0" t="s">
        <v>3446</v>
      </c>
      <c r="E269" s="0" t="n">
        <v>1.5</v>
      </c>
      <c r="F269" s="0" t="n">
        <v>8.8375</v>
      </c>
      <c r="G269" s="0" t="n">
        <v>13.25625</v>
      </c>
      <c r="H269" s="0" t="s">
        <v>3703</v>
      </c>
      <c r="I269" s="0" t="str">
        <f aca="false">A269&amp;"|"&amp;TRIM(D269)</f>
        <v>90|+5 DOC</v>
      </c>
    </row>
    <row r="270" customFormat="false" ht="15" hidden="false" customHeight="false" outlineLevel="0" collapsed="false">
      <c r="A270" s="0" t="n">
        <v>90</v>
      </c>
      <c r="B270" s="0" t="s">
        <v>1081</v>
      </c>
      <c r="C270" s="0" t="s">
        <v>1291</v>
      </c>
      <c r="D270" s="0" t="s">
        <v>9</v>
      </c>
      <c r="E270" s="0" t="n">
        <v>1.7</v>
      </c>
      <c r="F270" s="0" t="n">
        <v>8.8375</v>
      </c>
      <c r="G270" s="0" t="n">
        <v>15.02375</v>
      </c>
      <c r="H270" s="0" t="s">
        <v>3704</v>
      </c>
      <c r="I270" s="0" t="str">
        <f aca="false">A270&amp;"|"&amp;TRIM(D270)</f>
        <v>90|1 A 5 DOC</v>
      </c>
    </row>
    <row r="271" customFormat="false" ht="15" hidden="false" customHeight="false" outlineLevel="0" collapsed="false">
      <c r="A271" s="0" t="n">
        <v>90</v>
      </c>
      <c r="B271" s="0" t="s">
        <v>1081</v>
      </c>
      <c r="C271" s="0" t="s">
        <v>1291</v>
      </c>
      <c r="D271" s="0" t="s">
        <v>3449</v>
      </c>
      <c r="E271" s="0" t="n">
        <v>1.99</v>
      </c>
      <c r="F271" s="0" t="n">
        <v>8.8375</v>
      </c>
      <c r="G271" s="0" t="n">
        <v>17.586625</v>
      </c>
      <c r="H271" s="0" t="s">
        <v>3705</v>
      </c>
      <c r="I271" s="0" t="str">
        <f aca="false">A271&amp;"|"&amp;TRIM(D271)</f>
        <v>90|DETAL</v>
      </c>
    </row>
    <row r="272" customFormat="false" ht="15" hidden="false" customHeight="false" outlineLevel="0" collapsed="false">
      <c r="A272" s="0" t="n">
        <v>91</v>
      </c>
      <c r="B272" s="0" t="s">
        <v>1081</v>
      </c>
      <c r="C272" s="0" t="s">
        <v>1081</v>
      </c>
      <c r="D272" s="0" t="s">
        <v>3446</v>
      </c>
      <c r="E272" s="0" t="n">
        <v>1.5</v>
      </c>
      <c r="F272" s="0" t="n">
        <v>6.1875</v>
      </c>
      <c r="G272" s="0" t="n">
        <v>9.28125</v>
      </c>
      <c r="H272" s="0" t="s">
        <v>3706</v>
      </c>
      <c r="I272" s="0" t="str">
        <f aca="false">A272&amp;"|"&amp;TRIM(D272)</f>
        <v>91|+5 DOC</v>
      </c>
    </row>
    <row r="273" customFormat="false" ht="15" hidden="false" customHeight="false" outlineLevel="0" collapsed="false">
      <c r="A273" s="0" t="n">
        <v>91</v>
      </c>
      <c r="B273" s="0" t="s">
        <v>1081</v>
      </c>
      <c r="C273" s="0" t="s">
        <v>1081</v>
      </c>
      <c r="D273" s="0" t="s">
        <v>9</v>
      </c>
      <c r="E273" s="0" t="n">
        <v>1.65</v>
      </c>
      <c r="F273" s="0" t="n">
        <v>6.1875</v>
      </c>
      <c r="G273" s="0" t="n">
        <v>10.209375</v>
      </c>
      <c r="H273" s="0" t="s">
        <v>3707</v>
      </c>
      <c r="I273" s="0" t="str">
        <f aca="false">A273&amp;"|"&amp;TRIM(D273)</f>
        <v>91|1 A 5 DOC</v>
      </c>
    </row>
    <row r="274" customFormat="false" ht="15" hidden="false" customHeight="false" outlineLevel="0" collapsed="false">
      <c r="A274" s="0" t="n">
        <v>91</v>
      </c>
      <c r="B274" s="0" t="s">
        <v>1081</v>
      </c>
      <c r="C274" s="0" t="s">
        <v>1081</v>
      </c>
      <c r="D274" s="0" t="s">
        <v>3449</v>
      </c>
      <c r="E274" s="0" t="n">
        <v>2.1</v>
      </c>
      <c r="F274" s="0" t="n">
        <v>6.1875</v>
      </c>
      <c r="G274" s="0" t="n">
        <v>12.99375</v>
      </c>
      <c r="H274" s="0" t="s">
        <v>3708</v>
      </c>
      <c r="I274" s="0" t="str">
        <f aca="false">A274&amp;"|"&amp;TRIM(D274)</f>
        <v>91|DETAL</v>
      </c>
    </row>
    <row r="275" customFormat="false" ht="15" hidden="false" customHeight="false" outlineLevel="0" collapsed="false">
      <c r="A275" s="0" t="n">
        <v>92</v>
      </c>
      <c r="B275" s="0" t="s">
        <v>1081</v>
      </c>
      <c r="C275" s="0" t="s">
        <v>1291</v>
      </c>
      <c r="D275" s="0" t="s">
        <v>3446</v>
      </c>
      <c r="E275" s="0" t="n">
        <v>1.45</v>
      </c>
      <c r="F275" s="0" t="n">
        <v>20.625</v>
      </c>
      <c r="G275" s="0" t="n">
        <v>29.90625</v>
      </c>
      <c r="H275" s="0" t="s">
        <v>3709</v>
      </c>
      <c r="I275" s="0" t="str">
        <f aca="false">A275&amp;"|"&amp;TRIM(D275)</f>
        <v>92|+5 DOC</v>
      </c>
    </row>
    <row r="276" customFormat="false" ht="15" hidden="false" customHeight="false" outlineLevel="0" collapsed="false">
      <c r="A276" s="0" t="n">
        <v>92</v>
      </c>
      <c r="B276" s="0" t="s">
        <v>1081</v>
      </c>
      <c r="C276" s="0" t="s">
        <v>1291</v>
      </c>
      <c r="D276" s="0" t="s">
        <v>9</v>
      </c>
      <c r="E276" s="0" t="n">
        <v>1.75</v>
      </c>
      <c r="F276" s="0" t="n">
        <v>20.625</v>
      </c>
      <c r="G276" s="0" t="n">
        <v>36.09375</v>
      </c>
      <c r="H276" s="0" t="s">
        <v>3710</v>
      </c>
      <c r="I276" s="0" t="str">
        <f aca="false">A276&amp;"|"&amp;TRIM(D276)</f>
        <v>92|1 A 5 DOC</v>
      </c>
    </row>
    <row r="277" customFormat="false" ht="15" hidden="false" customHeight="false" outlineLevel="0" collapsed="false">
      <c r="A277" s="0" t="n">
        <v>92</v>
      </c>
      <c r="B277" s="0" t="s">
        <v>1081</v>
      </c>
      <c r="C277" s="0" t="s">
        <v>1291</v>
      </c>
      <c r="D277" s="0" t="s">
        <v>3449</v>
      </c>
      <c r="E277" s="0" t="n">
        <v>1.99</v>
      </c>
      <c r="F277" s="0" t="n">
        <v>20.625</v>
      </c>
      <c r="G277" s="0" t="n">
        <v>41.04375</v>
      </c>
      <c r="H277" s="0" t="s">
        <v>3711</v>
      </c>
      <c r="I277" s="0" t="str">
        <f aca="false">A277&amp;"|"&amp;TRIM(D277)</f>
        <v>92|DETAL</v>
      </c>
    </row>
    <row r="278" customFormat="false" ht="15" hidden="false" customHeight="false" outlineLevel="0" collapsed="false">
      <c r="A278" s="0" t="n">
        <v>93</v>
      </c>
      <c r="B278" s="0" t="s">
        <v>1081</v>
      </c>
      <c r="C278" s="0" t="s">
        <v>1291</v>
      </c>
      <c r="D278" s="0" t="s">
        <v>3446</v>
      </c>
      <c r="E278" s="0" t="n">
        <v>1.4</v>
      </c>
      <c r="F278" s="0" t="n">
        <v>6.4</v>
      </c>
      <c r="G278" s="0" t="n">
        <v>8.96</v>
      </c>
      <c r="H278" s="0" t="s">
        <v>3712</v>
      </c>
      <c r="I278" s="0" t="str">
        <f aca="false">A278&amp;"|"&amp;TRIM(D278)</f>
        <v>93|+5 DOC</v>
      </c>
    </row>
    <row r="279" customFormat="false" ht="15" hidden="false" customHeight="false" outlineLevel="0" collapsed="false">
      <c r="A279" s="0" t="n">
        <v>93</v>
      </c>
      <c r="B279" s="0" t="s">
        <v>1081</v>
      </c>
      <c r="C279" s="0" t="s">
        <v>1291</v>
      </c>
      <c r="D279" s="0" t="s">
        <v>9</v>
      </c>
      <c r="E279" s="0" t="n">
        <v>1.75</v>
      </c>
      <c r="F279" s="0" t="n">
        <v>6.4</v>
      </c>
      <c r="G279" s="0" t="n">
        <v>11.2</v>
      </c>
      <c r="H279" s="0" t="s">
        <v>3713</v>
      </c>
      <c r="I279" s="0" t="str">
        <f aca="false">A279&amp;"|"&amp;TRIM(D279)</f>
        <v>93|1 A 5 DOC</v>
      </c>
    </row>
    <row r="280" customFormat="false" ht="15" hidden="false" customHeight="false" outlineLevel="0" collapsed="false">
      <c r="A280" s="0" t="n">
        <v>93</v>
      </c>
      <c r="B280" s="0" t="s">
        <v>1081</v>
      </c>
      <c r="C280" s="0" t="s">
        <v>1291</v>
      </c>
      <c r="D280" s="0" t="s">
        <v>3449</v>
      </c>
      <c r="E280" s="0" t="n">
        <v>1.99</v>
      </c>
      <c r="F280" s="0" t="n">
        <v>6.4</v>
      </c>
      <c r="G280" s="0" t="n">
        <v>12.736</v>
      </c>
      <c r="H280" s="0" t="s">
        <v>3714</v>
      </c>
      <c r="I280" s="0" t="str">
        <f aca="false">A280&amp;"|"&amp;TRIM(D280)</f>
        <v>93|DETAL</v>
      </c>
    </row>
    <row r="281" customFormat="false" ht="15" hidden="false" customHeight="false" outlineLevel="0" collapsed="false">
      <c r="A281" s="0" t="n">
        <v>94</v>
      </c>
      <c r="B281" s="0" t="s">
        <v>1081</v>
      </c>
      <c r="C281" s="0" t="s">
        <v>1291</v>
      </c>
      <c r="D281" s="0" t="s">
        <v>3446</v>
      </c>
      <c r="E281" s="0" t="n">
        <v>1.45</v>
      </c>
      <c r="F281" s="0" t="n">
        <v>11.09</v>
      </c>
      <c r="G281" s="0" t="n">
        <v>16.0805</v>
      </c>
      <c r="H281" s="0" t="s">
        <v>3715</v>
      </c>
      <c r="I281" s="0" t="str">
        <f aca="false">A281&amp;"|"&amp;TRIM(D281)</f>
        <v>94|+5 DOC</v>
      </c>
    </row>
    <row r="282" customFormat="false" ht="15" hidden="false" customHeight="false" outlineLevel="0" collapsed="false">
      <c r="A282" s="0" t="n">
        <v>94</v>
      </c>
      <c r="B282" s="0" t="s">
        <v>1081</v>
      </c>
      <c r="C282" s="0" t="s">
        <v>1291</v>
      </c>
      <c r="D282" s="0" t="s">
        <v>9</v>
      </c>
      <c r="E282" s="0" t="n">
        <v>1.75</v>
      </c>
      <c r="F282" s="0" t="n">
        <v>11.09</v>
      </c>
      <c r="G282" s="0" t="n">
        <v>19.4075</v>
      </c>
      <c r="H282" s="0" t="s">
        <v>3716</v>
      </c>
      <c r="I282" s="0" t="str">
        <f aca="false">A282&amp;"|"&amp;TRIM(D282)</f>
        <v>94|1 A 5 DOC</v>
      </c>
    </row>
    <row r="283" customFormat="false" ht="15" hidden="false" customHeight="false" outlineLevel="0" collapsed="false">
      <c r="A283" s="0" t="n">
        <v>94</v>
      </c>
      <c r="B283" s="0" t="s">
        <v>1081</v>
      </c>
      <c r="C283" s="0" t="s">
        <v>1291</v>
      </c>
      <c r="D283" s="0" t="s">
        <v>3449</v>
      </c>
      <c r="E283" s="0" t="n">
        <v>1.99</v>
      </c>
      <c r="F283" s="0" t="n">
        <v>11.09</v>
      </c>
      <c r="G283" s="0" t="n">
        <v>22.0691</v>
      </c>
      <c r="H283" s="0" t="s">
        <v>3717</v>
      </c>
      <c r="I283" s="0" t="str">
        <f aca="false">A283&amp;"|"&amp;TRIM(D283)</f>
        <v>94|DETAL</v>
      </c>
    </row>
    <row r="284" customFormat="false" ht="15" hidden="false" customHeight="false" outlineLevel="0" collapsed="false">
      <c r="A284" s="0" t="n">
        <v>95</v>
      </c>
      <c r="B284" s="0" t="s">
        <v>1081</v>
      </c>
      <c r="C284" s="0" t="s">
        <v>1291</v>
      </c>
      <c r="D284" s="0" t="s">
        <v>3446</v>
      </c>
      <c r="E284" s="0" t="n">
        <v>1.45</v>
      </c>
      <c r="F284" s="0" t="n">
        <v>10.25</v>
      </c>
      <c r="G284" s="0" t="n">
        <v>14.8625</v>
      </c>
      <c r="H284" s="0" t="s">
        <v>3718</v>
      </c>
      <c r="I284" s="0" t="str">
        <f aca="false">A284&amp;"|"&amp;TRIM(D284)</f>
        <v>95|+5 DOC</v>
      </c>
    </row>
    <row r="285" customFormat="false" ht="15" hidden="false" customHeight="false" outlineLevel="0" collapsed="false">
      <c r="A285" s="0" t="n">
        <v>95</v>
      </c>
      <c r="B285" s="0" t="s">
        <v>1081</v>
      </c>
      <c r="C285" s="0" t="s">
        <v>1291</v>
      </c>
      <c r="D285" s="0" t="s">
        <v>9</v>
      </c>
      <c r="E285" s="0" t="n">
        <v>1.65</v>
      </c>
      <c r="F285" s="0" t="n">
        <v>10.25</v>
      </c>
      <c r="G285" s="0" t="n">
        <v>16.9125</v>
      </c>
      <c r="H285" s="0" t="s">
        <v>3719</v>
      </c>
      <c r="I285" s="0" t="str">
        <f aca="false">A285&amp;"|"&amp;TRIM(D285)</f>
        <v>95|1 A 5 DOC</v>
      </c>
    </row>
    <row r="286" customFormat="false" ht="15" hidden="false" customHeight="false" outlineLevel="0" collapsed="false">
      <c r="A286" s="0" t="n">
        <v>95</v>
      </c>
      <c r="B286" s="0" t="s">
        <v>1081</v>
      </c>
      <c r="C286" s="0" t="s">
        <v>1291</v>
      </c>
      <c r="D286" s="0" t="s">
        <v>3449</v>
      </c>
      <c r="E286" s="0" t="n">
        <v>1.9</v>
      </c>
      <c r="F286" s="0" t="n">
        <v>10.25</v>
      </c>
      <c r="G286" s="0" t="n">
        <v>19.475</v>
      </c>
      <c r="H286" s="0" t="s">
        <v>3720</v>
      </c>
      <c r="I286" s="0" t="str">
        <f aca="false">A286&amp;"|"&amp;TRIM(D286)</f>
        <v>95|DETAL</v>
      </c>
    </row>
    <row r="287" customFormat="false" ht="15" hidden="false" customHeight="false" outlineLevel="0" collapsed="false">
      <c r="A287" s="0" t="n">
        <v>96</v>
      </c>
      <c r="B287" s="0" t="s">
        <v>1406</v>
      </c>
      <c r="C287" s="0" t="s">
        <v>1407</v>
      </c>
      <c r="D287" s="0" t="s">
        <v>3721</v>
      </c>
      <c r="E287" s="0" t="n">
        <v>1.75</v>
      </c>
      <c r="F287" s="0" t="n">
        <v>12.7605263157895</v>
      </c>
      <c r="G287" s="0" t="n">
        <v>22.3309210526316</v>
      </c>
      <c r="H287" s="0" t="s">
        <v>3448</v>
      </c>
      <c r="I287" s="0" t="str">
        <f aca="false">A287&amp;"|"&amp;TRIM(D287)</f>
        <v>96|?</v>
      </c>
    </row>
    <row r="288" customFormat="false" ht="15" hidden="false" customHeight="false" outlineLevel="0" collapsed="false">
      <c r="A288" s="0" t="n">
        <v>97</v>
      </c>
      <c r="B288" s="0" t="s">
        <v>1421</v>
      </c>
      <c r="C288" s="0" t="s">
        <v>1407</v>
      </c>
      <c r="D288" s="0" t="s">
        <v>3446</v>
      </c>
      <c r="E288" s="0" t="n">
        <v>1.4</v>
      </c>
      <c r="F288" s="0" t="n">
        <v>2.97684210526316</v>
      </c>
      <c r="G288" s="0" t="n">
        <v>4.16757894736842</v>
      </c>
      <c r="H288" s="0" t="s">
        <v>3612</v>
      </c>
      <c r="I288" s="0" t="str">
        <f aca="false">A288&amp;"|"&amp;TRIM(D288)</f>
        <v>97|+5 DOC</v>
      </c>
    </row>
    <row r="289" customFormat="false" ht="15" hidden="false" customHeight="false" outlineLevel="0" collapsed="false">
      <c r="A289" s="0" t="n">
        <v>97</v>
      </c>
      <c r="B289" s="0" t="s">
        <v>1421</v>
      </c>
      <c r="C289" s="0" t="s">
        <v>1407</v>
      </c>
      <c r="D289" s="0" t="s">
        <v>9</v>
      </c>
      <c r="E289" s="0" t="n">
        <v>1.6</v>
      </c>
      <c r="F289" s="0" t="n">
        <v>2.97684210526316</v>
      </c>
      <c r="G289" s="0" t="n">
        <v>4.76294736842105</v>
      </c>
      <c r="H289" s="0" t="s">
        <v>3613</v>
      </c>
      <c r="I289" s="0" t="str">
        <f aca="false">A289&amp;"|"&amp;TRIM(D289)</f>
        <v>97|1 A 5 DOC</v>
      </c>
    </row>
    <row r="290" customFormat="false" ht="15" hidden="false" customHeight="false" outlineLevel="0" collapsed="false">
      <c r="A290" s="0" t="n">
        <v>97</v>
      </c>
      <c r="B290" s="0" t="s">
        <v>1421</v>
      </c>
      <c r="C290" s="0" t="s">
        <v>1407</v>
      </c>
      <c r="D290" s="0" t="s">
        <v>3449</v>
      </c>
      <c r="E290" s="0" t="n">
        <v>1.9</v>
      </c>
      <c r="F290" s="0" t="n">
        <v>2.97684210526316</v>
      </c>
      <c r="G290" s="0" t="n">
        <v>5.656</v>
      </c>
      <c r="H290" s="0" t="s">
        <v>3614</v>
      </c>
      <c r="I290" s="0" t="str">
        <f aca="false">A290&amp;"|"&amp;TRIM(D290)</f>
        <v>97|DETAL</v>
      </c>
    </row>
    <row r="291" customFormat="false" ht="15" hidden="false" customHeight="false" outlineLevel="0" collapsed="false">
      <c r="A291" s="0" t="n">
        <v>98</v>
      </c>
      <c r="B291" s="0" t="s">
        <v>1421</v>
      </c>
      <c r="C291" s="0" t="s">
        <v>1439</v>
      </c>
      <c r="D291" s="0" t="s">
        <v>3446</v>
      </c>
      <c r="E291" s="0" t="n">
        <v>1.4</v>
      </c>
      <c r="F291" s="0" t="n">
        <v>5.94473684210526</v>
      </c>
      <c r="G291" s="0" t="n">
        <v>8.32263157894737</v>
      </c>
      <c r="H291" s="0" t="s">
        <v>3722</v>
      </c>
      <c r="I291" s="0" t="str">
        <f aca="false">A291&amp;"|"&amp;TRIM(D291)</f>
        <v>98|+5 DOC</v>
      </c>
    </row>
    <row r="292" customFormat="false" ht="15" hidden="false" customHeight="false" outlineLevel="0" collapsed="false">
      <c r="A292" s="0" t="n">
        <v>98</v>
      </c>
      <c r="B292" s="0" t="s">
        <v>1421</v>
      </c>
      <c r="C292" s="0" t="s">
        <v>1439</v>
      </c>
      <c r="D292" s="0" t="s">
        <v>9</v>
      </c>
      <c r="E292" s="0" t="n">
        <v>1.7</v>
      </c>
      <c r="F292" s="0" t="n">
        <v>5.94473684210526</v>
      </c>
      <c r="G292" s="0" t="n">
        <v>10.106052631579</v>
      </c>
      <c r="H292" s="0" t="s">
        <v>3723</v>
      </c>
      <c r="I292" s="0" t="str">
        <f aca="false">A292&amp;"|"&amp;TRIM(D292)</f>
        <v>98|1 A 5 DOC</v>
      </c>
    </row>
    <row r="293" customFormat="false" ht="15" hidden="false" customHeight="false" outlineLevel="0" collapsed="false">
      <c r="A293" s="0" t="n">
        <v>98</v>
      </c>
      <c r="B293" s="0" t="s">
        <v>1421</v>
      </c>
      <c r="C293" s="0" t="s">
        <v>1439</v>
      </c>
      <c r="D293" s="0" t="s">
        <v>3449</v>
      </c>
      <c r="E293" s="0" t="n">
        <v>1.9</v>
      </c>
      <c r="F293" s="0" t="n">
        <v>5.94473684210526</v>
      </c>
      <c r="G293" s="0" t="n">
        <v>11.295</v>
      </c>
      <c r="H293" s="0" t="s">
        <v>3724</v>
      </c>
      <c r="I293" s="0" t="str">
        <f aca="false">A293&amp;"|"&amp;TRIM(D293)</f>
        <v>98|DETAL</v>
      </c>
    </row>
    <row r="294" customFormat="false" ht="15" hidden="false" customHeight="false" outlineLevel="0" collapsed="false">
      <c r="A294" s="0" t="n">
        <v>99</v>
      </c>
      <c r="B294" s="0" t="s">
        <v>1421</v>
      </c>
      <c r="C294" s="0" t="s">
        <v>1455</v>
      </c>
      <c r="D294" s="0" t="s">
        <v>3446</v>
      </c>
      <c r="E294" s="0" t="n">
        <v>1.45</v>
      </c>
      <c r="F294" s="0" t="n">
        <v>3.79526315789474</v>
      </c>
      <c r="G294" s="0" t="n">
        <v>5.50313157894737</v>
      </c>
      <c r="H294" s="0" t="s">
        <v>3725</v>
      </c>
      <c r="I294" s="0" t="str">
        <f aca="false">A294&amp;"|"&amp;TRIM(D294)</f>
        <v>99|+5 DOC</v>
      </c>
    </row>
    <row r="295" customFormat="false" ht="15" hidden="false" customHeight="false" outlineLevel="0" collapsed="false">
      <c r="A295" s="0" t="n">
        <v>99</v>
      </c>
      <c r="B295" s="0" t="s">
        <v>1421</v>
      </c>
      <c r="C295" s="0" t="s">
        <v>1455</v>
      </c>
      <c r="D295" s="0" t="s">
        <v>9</v>
      </c>
      <c r="E295" s="0" t="n">
        <v>1.75</v>
      </c>
      <c r="F295" s="0" t="n">
        <v>3.79526315789474</v>
      </c>
      <c r="G295" s="0" t="n">
        <v>6.64171052631579</v>
      </c>
      <c r="H295" s="0" t="s">
        <v>3726</v>
      </c>
      <c r="I295" s="0" t="str">
        <f aca="false">A295&amp;"|"&amp;TRIM(D295)</f>
        <v>99|1 A 5 DOC</v>
      </c>
    </row>
    <row r="296" customFormat="false" ht="15" hidden="false" customHeight="false" outlineLevel="0" collapsed="false">
      <c r="A296" s="0" t="n">
        <v>99</v>
      </c>
      <c r="B296" s="0" t="s">
        <v>1421</v>
      </c>
      <c r="C296" s="0" t="s">
        <v>1455</v>
      </c>
      <c r="D296" s="0" t="s">
        <v>3449</v>
      </c>
      <c r="E296" s="0" t="n">
        <v>1.99</v>
      </c>
      <c r="F296" s="0" t="n">
        <v>3.79526315789474</v>
      </c>
      <c r="G296" s="0" t="n">
        <v>7.55257368421053</v>
      </c>
      <c r="H296" s="0" t="s">
        <v>3727</v>
      </c>
      <c r="I296" s="0" t="str">
        <f aca="false">A296&amp;"|"&amp;TRIM(D296)</f>
        <v>99|DETAL</v>
      </c>
    </row>
    <row r="297" customFormat="false" ht="15" hidden="false" customHeight="false" outlineLevel="0" collapsed="false">
      <c r="A297" s="0" t="n">
        <v>100</v>
      </c>
      <c r="B297" s="0" t="s">
        <v>1421</v>
      </c>
      <c r="C297" s="0" t="s">
        <v>1407</v>
      </c>
      <c r="D297" s="0" t="s">
        <v>3446</v>
      </c>
      <c r="E297" s="0" t="n">
        <v>1.4</v>
      </c>
      <c r="F297" s="0" t="n">
        <v>5.26631578947368</v>
      </c>
      <c r="G297" s="0" t="n">
        <v>7.37284210526316</v>
      </c>
      <c r="H297" s="0" t="s">
        <v>3728</v>
      </c>
      <c r="I297" s="0" t="str">
        <f aca="false">A297&amp;"|"&amp;TRIM(D297)</f>
        <v>100|+5 DOC</v>
      </c>
    </row>
    <row r="298" customFormat="false" ht="15" hidden="false" customHeight="false" outlineLevel="0" collapsed="false">
      <c r="A298" s="0" t="n">
        <v>100</v>
      </c>
      <c r="B298" s="0" t="s">
        <v>1421</v>
      </c>
      <c r="C298" s="0" t="s">
        <v>1407</v>
      </c>
      <c r="D298" s="0" t="s">
        <v>9</v>
      </c>
      <c r="E298" s="0" t="n">
        <v>1.6</v>
      </c>
      <c r="F298" s="0" t="n">
        <v>5.26631578947368</v>
      </c>
      <c r="G298" s="0" t="n">
        <v>8.4261052631579</v>
      </c>
      <c r="H298" s="0" t="s">
        <v>3729</v>
      </c>
      <c r="I298" s="0" t="str">
        <f aca="false">A298&amp;"|"&amp;TRIM(D298)</f>
        <v>100|1 A 5 DOC</v>
      </c>
    </row>
    <row r="299" customFormat="false" ht="15" hidden="false" customHeight="false" outlineLevel="0" collapsed="false">
      <c r="A299" s="0" t="n">
        <v>100</v>
      </c>
      <c r="B299" s="0" t="s">
        <v>1421</v>
      </c>
      <c r="C299" s="0" t="s">
        <v>1407</v>
      </c>
      <c r="D299" s="0" t="s">
        <v>3449</v>
      </c>
      <c r="E299" s="0" t="n">
        <v>1.9</v>
      </c>
      <c r="F299" s="0" t="n">
        <v>5.26631578947368</v>
      </c>
      <c r="G299" s="0" t="n">
        <v>10.006</v>
      </c>
      <c r="H299" s="0" t="s">
        <v>3730</v>
      </c>
      <c r="I299" s="0" t="str">
        <f aca="false">A299&amp;"|"&amp;TRIM(D299)</f>
        <v>100|DETAL</v>
      </c>
    </row>
    <row r="300" customFormat="false" ht="15" hidden="false" customHeight="false" outlineLevel="0" collapsed="false">
      <c r="A300" s="0" t="n">
        <v>101</v>
      </c>
      <c r="B300" s="0" t="s">
        <v>1421</v>
      </c>
      <c r="C300" s="0" t="s">
        <v>1439</v>
      </c>
      <c r="D300" s="0" t="s">
        <v>3446</v>
      </c>
      <c r="E300" s="0" t="n">
        <v>1.4</v>
      </c>
      <c r="F300" s="0" t="n">
        <v>5.33</v>
      </c>
      <c r="G300" s="0" t="n">
        <v>7.462</v>
      </c>
      <c r="H300" s="0" t="s">
        <v>3731</v>
      </c>
      <c r="I300" s="0" t="str">
        <f aca="false">A300&amp;"|"&amp;TRIM(D300)</f>
        <v>101|+5 DOC</v>
      </c>
    </row>
    <row r="301" customFormat="false" ht="15" hidden="false" customHeight="false" outlineLevel="0" collapsed="false">
      <c r="A301" s="0" t="n">
        <v>101</v>
      </c>
      <c r="B301" s="0" t="s">
        <v>1421</v>
      </c>
      <c r="C301" s="0" t="s">
        <v>1439</v>
      </c>
      <c r="D301" s="0" t="s">
        <v>9</v>
      </c>
      <c r="E301" s="0" t="n">
        <v>1.6</v>
      </c>
      <c r="F301" s="0" t="n">
        <v>5.33</v>
      </c>
      <c r="G301" s="0" t="n">
        <v>8.528</v>
      </c>
      <c r="H301" s="0" t="s">
        <v>3732</v>
      </c>
      <c r="I301" s="0" t="str">
        <f aca="false">A301&amp;"|"&amp;TRIM(D301)</f>
        <v>101|1 A 5 DOC</v>
      </c>
    </row>
    <row r="302" customFormat="false" ht="15" hidden="false" customHeight="false" outlineLevel="0" collapsed="false">
      <c r="A302" s="0" t="n">
        <v>101</v>
      </c>
      <c r="B302" s="0" t="s">
        <v>1421</v>
      </c>
      <c r="C302" s="0" t="s">
        <v>1439</v>
      </c>
      <c r="D302" s="0" t="s">
        <v>3449</v>
      </c>
      <c r="E302" s="0" t="n">
        <v>1.9</v>
      </c>
      <c r="F302" s="0" t="n">
        <v>5.33</v>
      </c>
      <c r="G302" s="0" t="n">
        <v>10.127</v>
      </c>
      <c r="H302" s="0" t="s">
        <v>3733</v>
      </c>
      <c r="I302" s="0" t="str">
        <f aca="false">A302&amp;"|"&amp;TRIM(D302)</f>
        <v>101|DETAL</v>
      </c>
    </row>
    <row r="303" customFormat="false" ht="15" hidden="false" customHeight="false" outlineLevel="0" collapsed="false">
      <c r="A303" s="0" t="n">
        <v>102</v>
      </c>
      <c r="B303" s="0" t="s">
        <v>1421</v>
      </c>
      <c r="C303" s="0" t="s">
        <v>1455</v>
      </c>
      <c r="D303" s="0" t="s">
        <v>3446</v>
      </c>
      <c r="E303" s="0" t="n">
        <v>1.45</v>
      </c>
      <c r="F303" s="0" t="n">
        <v>4.11105263157895</v>
      </c>
      <c r="G303" s="0" t="n">
        <v>5.96102631578947</v>
      </c>
      <c r="H303" s="0" t="s">
        <v>3734</v>
      </c>
      <c r="I303" s="0" t="str">
        <f aca="false">A303&amp;"|"&amp;TRIM(D303)</f>
        <v>102|+5 DOC</v>
      </c>
    </row>
    <row r="304" customFormat="false" ht="15" hidden="false" customHeight="false" outlineLevel="0" collapsed="false">
      <c r="A304" s="0" t="n">
        <v>102</v>
      </c>
      <c r="B304" s="0" t="s">
        <v>1421</v>
      </c>
      <c r="C304" s="0" t="s">
        <v>1455</v>
      </c>
      <c r="D304" s="0" t="s">
        <v>9</v>
      </c>
      <c r="E304" s="0" t="n">
        <v>1.7</v>
      </c>
      <c r="F304" s="0" t="n">
        <v>4.11105263157895</v>
      </c>
      <c r="G304" s="0" t="n">
        <v>6.98878947368421</v>
      </c>
      <c r="H304" s="0" t="s">
        <v>3735</v>
      </c>
      <c r="I304" s="0" t="str">
        <f aca="false">A304&amp;"|"&amp;TRIM(D304)</f>
        <v>102|1 A 5 DOC</v>
      </c>
    </row>
    <row r="305" customFormat="false" ht="15" hidden="false" customHeight="false" outlineLevel="0" collapsed="false">
      <c r="A305" s="0" t="n">
        <v>102</v>
      </c>
      <c r="B305" s="0" t="s">
        <v>1421</v>
      </c>
      <c r="C305" s="0" t="s">
        <v>1455</v>
      </c>
      <c r="D305" s="0" t="s">
        <v>3449</v>
      </c>
      <c r="E305" s="0" t="n">
        <v>1.99</v>
      </c>
      <c r="F305" s="0" t="n">
        <v>4.11105263157895</v>
      </c>
      <c r="G305" s="0" t="n">
        <v>8.18099473684211</v>
      </c>
      <c r="H305" s="0" t="s">
        <v>3736</v>
      </c>
      <c r="I305" s="0" t="str">
        <f aca="false">A305&amp;"|"&amp;TRIM(D305)</f>
        <v>102|DETAL</v>
      </c>
    </row>
    <row r="306" customFormat="false" ht="15" hidden="false" customHeight="false" outlineLevel="0" collapsed="false">
      <c r="A306" s="0" t="n">
        <v>103</v>
      </c>
      <c r="B306" s="0" t="s">
        <v>1421</v>
      </c>
      <c r="C306" s="0" t="s">
        <v>1407</v>
      </c>
      <c r="D306" s="0" t="s">
        <v>3446</v>
      </c>
      <c r="E306" s="0" t="n">
        <v>1.4</v>
      </c>
      <c r="F306" s="0" t="n">
        <v>4.85736842105263</v>
      </c>
      <c r="G306" s="0" t="n">
        <v>6.80031578947368</v>
      </c>
      <c r="H306" s="0" t="s">
        <v>3737</v>
      </c>
      <c r="I306" s="0" t="str">
        <f aca="false">A306&amp;"|"&amp;TRIM(D306)</f>
        <v>103|+5 DOC</v>
      </c>
    </row>
    <row r="307" customFormat="false" ht="15" hidden="false" customHeight="false" outlineLevel="0" collapsed="false">
      <c r="A307" s="0" t="n">
        <v>103</v>
      </c>
      <c r="B307" s="0" t="s">
        <v>1421</v>
      </c>
      <c r="C307" s="0" t="s">
        <v>1407</v>
      </c>
      <c r="D307" s="0" t="s">
        <v>9</v>
      </c>
      <c r="E307" s="0" t="n">
        <v>1.6</v>
      </c>
      <c r="F307" s="0" t="n">
        <v>4.85736842105263</v>
      </c>
      <c r="G307" s="0" t="n">
        <v>7.77178947368421</v>
      </c>
      <c r="H307" s="0" t="s">
        <v>3738</v>
      </c>
      <c r="I307" s="0" t="str">
        <f aca="false">A307&amp;"|"&amp;TRIM(D307)</f>
        <v>103|1 A 5 DOC</v>
      </c>
    </row>
    <row r="308" customFormat="false" ht="15" hidden="false" customHeight="false" outlineLevel="0" collapsed="false">
      <c r="A308" s="0" t="n">
        <v>103</v>
      </c>
      <c r="B308" s="0" t="s">
        <v>1421</v>
      </c>
      <c r="C308" s="0" t="s">
        <v>1407</v>
      </c>
      <c r="D308" s="0" t="s">
        <v>3449</v>
      </c>
      <c r="E308" s="0" t="n">
        <v>1.9</v>
      </c>
      <c r="F308" s="0" t="n">
        <v>4.85736842105263</v>
      </c>
      <c r="G308" s="0" t="n">
        <v>9.229</v>
      </c>
      <c r="H308" s="0" t="s">
        <v>3739</v>
      </c>
      <c r="I308" s="0" t="str">
        <f aca="false">A308&amp;"|"&amp;TRIM(D308)</f>
        <v>103|DETAL</v>
      </c>
    </row>
    <row r="309" customFormat="false" ht="15" hidden="false" customHeight="false" outlineLevel="0" collapsed="false">
      <c r="A309" s="0" t="n">
        <v>104</v>
      </c>
      <c r="B309" s="0" t="s">
        <v>1421</v>
      </c>
      <c r="C309" s="0" t="s">
        <v>1439</v>
      </c>
      <c r="D309" s="0" t="s">
        <v>3446</v>
      </c>
      <c r="E309" s="0" t="n">
        <v>1.4</v>
      </c>
      <c r="F309" s="0" t="n">
        <v>7.30368421052632</v>
      </c>
      <c r="G309" s="0" t="n">
        <v>10.2251578947368</v>
      </c>
      <c r="H309" s="0" t="s">
        <v>3740</v>
      </c>
      <c r="I309" s="0" t="str">
        <f aca="false">A309&amp;"|"&amp;TRIM(D309)</f>
        <v>104|+5 DOC</v>
      </c>
    </row>
    <row r="310" customFormat="false" ht="15" hidden="false" customHeight="false" outlineLevel="0" collapsed="false">
      <c r="A310" s="0" t="n">
        <v>104</v>
      </c>
      <c r="B310" s="0" t="s">
        <v>1421</v>
      </c>
      <c r="C310" s="0" t="s">
        <v>1439</v>
      </c>
      <c r="D310" s="0" t="s">
        <v>9</v>
      </c>
      <c r="E310" s="0" t="n">
        <v>1.6</v>
      </c>
      <c r="F310" s="0" t="n">
        <v>7.30368421052632</v>
      </c>
      <c r="G310" s="0" t="n">
        <v>11.6858947368421</v>
      </c>
      <c r="H310" s="0" t="s">
        <v>3741</v>
      </c>
      <c r="I310" s="0" t="str">
        <f aca="false">A310&amp;"|"&amp;TRIM(D310)</f>
        <v>104|1 A 5 DOC</v>
      </c>
    </row>
    <row r="311" customFormat="false" ht="15" hidden="false" customHeight="false" outlineLevel="0" collapsed="false">
      <c r="A311" s="0" t="n">
        <v>104</v>
      </c>
      <c r="B311" s="0" t="s">
        <v>1421</v>
      </c>
      <c r="C311" s="0" t="s">
        <v>1439</v>
      </c>
      <c r="D311" s="0" t="s">
        <v>3449</v>
      </c>
      <c r="E311" s="0" t="n">
        <v>1.9</v>
      </c>
      <c r="F311" s="0" t="n">
        <v>7.30368421052632</v>
      </c>
      <c r="G311" s="0" t="n">
        <v>13.877</v>
      </c>
      <c r="H311" s="0" t="s">
        <v>3742</v>
      </c>
      <c r="I311" s="0" t="str">
        <f aca="false">A311&amp;"|"&amp;TRIM(D311)</f>
        <v>104|DETAL</v>
      </c>
    </row>
    <row r="312" customFormat="false" ht="15" hidden="false" customHeight="false" outlineLevel="0" collapsed="false">
      <c r="A312" s="0" t="n">
        <v>105</v>
      </c>
      <c r="B312" s="0" t="s">
        <v>1421</v>
      </c>
      <c r="C312" s="0" t="s">
        <v>1455</v>
      </c>
      <c r="D312" s="0" t="s">
        <v>3446</v>
      </c>
      <c r="E312" s="0" t="n">
        <v>1.4</v>
      </c>
      <c r="F312" s="0" t="n">
        <v>8.0321052631579</v>
      </c>
      <c r="G312" s="0" t="n">
        <v>11.2449473684211</v>
      </c>
      <c r="H312" s="0" t="s">
        <v>3521</v>
      </c>
      <c r="I312" s="0" t="str">
        <f aca="false">A312&amp;"|"&amp;TRIM(D312)</f>
        <v>105|+5 DOC</v>
      </c>
    </row>
    <row r="313" customFormat="false" ht="15" hidden="false" customHeight="false" outlineLevel="0" collapsed="false">
      <c r="A313" s="0" t="n">
        <v>105</v>
      </c>
      <c r="B313" s="0" t="s">
        <v>1421</v>
      </c>
      <c r="C313" s="0" t="s">
        <v>1455</v>
      </c>
      <c r="D313" s="0" t="s">
        <v>9</v>
      </c>
      <c r="E313" s="0" t="n">
        <v>1.6</v>
      </c>
      <c r="F313" s="0" t="n">
        <v>8.0321052631579</v>
      </c>
      <c r="G313" s="0" t="n">
        <v>12.8513684210526</v>
      </c>
      <c r="H313" s="0" t="s">
        <v>3522</v>
      </c>
      <c r="I313" s="0" t="str">
        <f aca="false">A313&amp;"|"&amp;TRIM(D313)</f>
        <v>105|1 A 5 DOC</v>
      </c>
    </row>
    <row r="314" customFormat="false" ht="15" hidden="false" customHeight="false" outlineLevel="0" collapsed="false">
      <c r="A314" s="0" t="n">
        <v>105</v>
      </c>
      <c r="B314" s="0" t="s">
        <v>1421</v>
      </c>
      <c r="C314" s="0" t="s">
        <v>1455</v>
      </c>
      <c r="D314" s="0" t="s">
        <v>3449</v>
      </c>
      <c r="E314" s="0" t="n">
        <v>1.9</v>
      </c>
      <c r="F314" s="0" t="n">
        <v>8.0321052631579</v>
      </c>
      <c r="G314" s="0" t="n">
        <v>15.261</v>
      </c>
      <c r="H314" s="0" t="s">
        <v>3743</v>
      </c>
      <c r="I314" s="0" t="str">
        <f aca="false">A314&amp;"|"&amp;TRIM(D314)</f>
        <v>105|DETAL</v>
      </c>
    </row>
    <row r="315" customFormat="false" ht="15" hidden="false" customHeight="false" outlineLevel="0" collapsed="false">
      <c r="A315" s="0" t="n">
        <v>106</v>
      </c>
      <c r="B315" s="0" t="s">
        <v>1566</v>
      </c>
      <c r="C315" s="0" t="s">
        <v>734</v>
      </c>
      <c r="D315" s="0" t="s">
        <v>3446</v>
      </c>
      <c r="E315" s="0" t="n">
        <v>1.45</v>
      </c>
      <c r="F315" s="0" t="n">
        <v>12.3333333333333</v>
      </c>
      <c r="G315" s="0" t="n">
        <v>17.8833333333333</v>
      </c>
      <c r="H315" s="0" t="s">
        <v>3744</v>
      </c>
      <c r="I315" s="0" t="str">
        <f aca="false">A315&amp;"|"&amp;TRIM(D315)</f>
        <v>106|+5 DOC</v>
      </c>
    </row>
    <row r="316" customFormat="false" ht="15" hidden="false" customHeight="false" outlineLevel="0" collapsed="false">
      <c r="A316" s="0" t="n">
        <v>106</v>
      </c>
      <c r="B316" s="0" t="s">
        <v>1566</v>
      </c>
      <c r="C316" s="0" t="s">
        <v>734</v>
      </c>
      <c r="D316" s="0" t="s">
        <v>9</v>
      </c>
      <c r="E316" s="0" t="n">
        <v>1.75</v>
      </c>
      <c r="F316" s="0" t="n">
        <v>12.3333333333333</v>
      </c>
      <c r="G316" s="0" t="n">
        <v>21.5833333333333</v>
      </c>
      <c r="H316" s="0" t="s">
        <v>3745</v>
      </c>
      <c r="I316" s="0" t="str">
        <f aca="false">A316&amp;"|"&amp;TRIM(D316)</f>
        <v>106|1 A 5 DOC</v>
      </c>
    </row>
    <row r="317" customFormat="false" ht="15" hidden="false" customHeight="false" outlineLevel="0" collapsed="false">
      <c r="A317" s="0" t="n">
        <v>106</v>
      </c>
      <c r="B317" s="0" t="s">
        <v>1566</v>
      </c>
      <c r="C317" s="0" t="s">
        <v>734</v>
      </c>
      <c r="D317" s="0" t="s">
        <v>3449</v>
      </c>
      <c r="E317" s="0" t="n">
        <v>1.99</v>
      </c>
      <c r="F317" s="0" t="n">
        <v>12.3333333333333</v>
      </c>
      <c r="G317" s="0" t="n">
        <v>24.5433333333333</v>
      </c>
      <c r="H317" s="0" t="s">
        <v>3746</v>
      </c>
      <c r="I317" s="0" t="str">
        <f aca="false">A317&amp;"|"&amp;TRIM(D317)</f>
        <v>106|DETAL</v>
      </c>
    </row>
    <row r="318" customFormat="false" ht="15" hidden="false" customHeight="false" outlineLevel="0" collapsed="false">
      <c r="A318" s="0" t="n">
        <v>107</v>
      </c>
      <c r="B318" s="0" t="s">
        <v>1566</v>
      </c>
      <c r="C318" s="0" t="s">
        <v>734</v>
      </c>
      <c r="D318" s="0" t="s">
        <v>3446</v>
      </c>
      <c r="E318" s="0" t="n">
        <v>1.45</v>
      </c>
      <c r="F318" s="0" t="n">
        <v>14.4868421052632</v>
      </c>
      <c r="G318" s="0" t="n">
        <v>21.0059210526316</v>
      </c>
      <c r="H318" s="0" t="s">
        <v>3606</v>
      </c>
      <c r="I318" s="0" t="str">
        <f aca="false">A318&amp;"|"&amp;TRIM(D318)</f>
        <v>107|+5 DOC</v>
      </c>
    </row>
    <row r="319" customFormat="false" ht="15" hidden="false" customHeight="false" outlineLevel="0" collapsed="false">
      <c r="A319" s="0" t="n">
        <v>107</v>
      </c>
      <c r="B319" s="0" t="s">
        <v>1566</v>
      </c>
      <c r="C319" s="0" t="s">
        <v>734</v>
      </c>
      <c r="D319" s="0" t="s">
        <v>9</v>
      </c>
      <c r="E319" s="0" t="n">
        <v>1.75</v>
      </c>
      <c r="F319" s="0" t="n">
        <v>14.4868421052632</v>
      </c>
      <c r="G319" s="0" t="n">
        <v>25.3519736842105</v>
      </c>
      <c r="H319" s="0" t="s">
        <v>3607</v>
      </c>
      <c r="I319" s="0" t="str">
        <f aca="false">A319&amp;"|"&amp;TRIM(D319)</f>
        <v>107|1 A 5 DOC</v>
      </c>
    </row>
    <row r="320" customFormat="false" ht="15" hidden="false" customHeight="false" outlineLevel="0" collapsed="false">
      <c r="A320" s="0" t="n">
        <v>107</v>
      </c>
      <c r="B320" s="0" t="s">
        <v>1566</v>
      </c>
      <c r="C320" s="0" t="s">
        <v>734</v>
      </c>
      <c r="D320" s="0" t="s">
        <v>3449</v>
      </c>
      <c r="E320" s="0" t="n">
        <v>1.99</v>
      </c>
      <c r="F320" s="0" t="n">
        <v>14.4868421052632</v>
      </c>
      <c r="G320" s="0" t="n">
        <v>28.8288157894737</v>
      </c>
      <c r="H320" s="0" t="s">
        <v>3608</v>
      </c>
      <c r="I320" s="0" t="str">
        <f aca="false">A320&amp;"|"&amp;TRIM(D320)</f>
        <v>107|DETAL</v>
      </c>
    </row>
    <row r="321" customFormat="false" ht="15" hidden="false" customHeight="false" outlineLevel="0" collapsed="false">
      <c r="A321" s="0" t="n">
        <v>108</v>
      </c>
      <c r="B321" s="0" t="s">
        <v>1566</v>
      </c>
      <c r="C321" s="0" t="s">
        <v>1596</v>
      </c>
      <c r="D321" s="0" t="s">
        <v>3446</v>
      </c>
      <c r="E321" s="0" t="n">
        <v>1.45</v>
      </c>
      <c r="F321" s="0" t="n">
        <v>26.5192307692308</v>
      </c>
      <c r="G321" s="0" t="n">
        <v>38.4528846153846</v>
      </c>
      <c r="H321" s="0" t="s">
        <v>3747</v>
      </c>
      <c r="I321" s="0" t="str">
        <f aca="false">A321&amp;"|"&amp;TRIM(D321)</f>
        <v>108|+5 DOC</v>
      </c>
    </row>
    <row r="322" customFormat="false" ht="15" hidden="false" customHeight="false" outlineLevel="0" collapsed="false">
      <c r="A322" s="0" t="n">
        <v>108</v>
      </c>
      <c r="B322" s="0" t="s">
        <v>1566</v>
      </c>
      <c r="C322" s="0" t="s">
        <v>1596</v>
      </c>
      <c r="D322" s="0" t="s">
        <v>9</v>
      </c>
      <c r="E322" s="0" t="n">
        <v>1.75</v>
      </c>
      <c r="F322" s="0" t="n">
        <v>26.5192307692308</v>
      </c>
      <c r="G322" s="0" t="n">
        <v>46.4086538461539</v>
      </c>
      <c r="H322" s="0" t="s">
        <v>3748</v>
      </c>
      <c r="I322" s="0" t="str">
        <f aca="false">A322&amp;"|"&amp;TRIM(D322)</f>
        <v>108|1 A 5 DOC</v>
      </c>
    </row>
    <row r="323" customFormat="false" ht="15" hidden="false" customHeight="false" outlineLevel="0" collapsed="false">
      <c r="A323" s="0" t="n">
        <v>108</v>
      </c>
      <c r="B323" s="0" t="s">
        <v>1566</v>
      </c>
      <c r="C323" s="0" t="s">
        <v>1596</v>
      </c>
      <c r="D323" s="0" t="s">
        <v>3449</v>
      </c>
      <c r="E323" s="0" t="n">
        <v>1.99</v>
      </c>
      <c r="F323" s="0" t="n">
        <v>26.5192307692308</v>
      </c>
      <c r="G323" s="0" t="n">
        <v>52.7732692307692</v>
      </c>
      <c r="H323" s="0" t="s">
        <v>3749</v>
      </c>
      <c r="I323" s="0" t="str">
        <f aca="false">A323&amp;"|"&amp;TRIM(D323)</f>
        <v>108|DETAL</v>
      </c>
    </row>
    <row r="324" customFormat="false" ht="15" hidden="false" customHeight="false" outlineLevel="0" collapsed="false">
      <c r="A324" s="0" t="n">
        <v>109</v>
      </c>
      <c r="B324" s="0" t="s">
        <v>1566</v>
      </c>
      <c r="C324" s="0" t="s">
        <v>1596</v>
      </c>
      <c r="D324" s="0" t="s">
        <v>3446</v>
      </c>
      <c r="E324" s="0" t="n">
        <v>1.4</v>
      </c>
      <c r="F324" s="0" t="n">
        <v>10.9736842105263</v>
      </c>
      <c r="G324" s="0" t="n">
        <v>15.3631578947368</v>
      </c>
      <c r="H324" s="0" t="s">
        <v>3750</v>
      </c>
      <c r="I324" s="0" t="str">
        <f aca="false">A324&amp;"|"&amp;TRIM(D324)</f>
        <v>109|+5 DOC</v>
      </c>
    </row>
    <row r="325" customFormat="false" ht="15" hidden="false" customHeight="false" outlineLevel="0" collapsed="false">
      <c r="A325" s="0" t="n">
        <v>109</v>
      </c>
      <c r="B325" s="0" t="s">
        <v>1566</v>
      </c>
      <c r="C325" s="0" t="s">
        <v>1596</v>
      </c>
      <c r="D325" s="0" t="s">
        <v>9</v>
      </c>
      <c r="E325" s="0" t="n">
        <v>1.65</v>
      </c>
      <c r="F325" s="0" t="n">
        <v>10.9736842105263</v>
      </c>
      <c r="G325" s="0" t="n">
        <v>18.1065789473684</v>
      </c>
      <c r="H325" s="0" t="s">
        <v>3751</v>
      </c>
      <c r="I325" s="0" t="str">
        <f aca="false">A325&amp;"|"&amp;TRIM(D325)</f>
        <v>109|1 A 5 DOC</v>
      </c>
    </row>
    <row r="326" customFormat="false" ht="15" hidden="false" customHeight="false" outlineLevel="0" collapsed="false">
      <c r="A326" s="0" t="n">
        <v>109</v>
      </c>
      <c r="B326" s="0" t="s">
        <v>1566</v>
      </c>
      <c r="C326" s="0" t="s">
        <v>1596</v>
      </c>
      <c r="D326" s="0" t="s">
        <v>3449</v>
      </c>
      <c r="E326" s="0" t="n">
        <v>1.99</v>
      </c>
      <c r="F326" s="0" t="n">
        <v>10.9736842105263</v>
      </c>
      <c r="G326" s="0" t="n">
        <v>21.8376315789474</v>
      </c>
      <c r="H326" s="0" t="s">
        <v>3752</v>
      </c>
      <c r="I326" s="0" t="str">
        <f aca="false">A326&amp;"|"&amp;TRIM(D326)</f>
        <v>109|DETAL</v>
      </c>
    </row>
    <row r="327" customFormat="false" ht="15" hidden="false" customHeight="false" outlineLevel="0" collapsed="false">
      <c r="A327" s="0" t="n">
        <v>110</v>
      </c>
      <c r="B327" s="0" t="s">
        <v>1566</v>
      </c>
      <c r="C327" s="0" t="s">
        <v>1596</v>
      </c>
      <c r="D327" s="0" t="s">
        <v>3446</v>
      </c>
      <c r="E327" s="0" t="n">
        <v>1.3</v>
      </c>
      <c r="F327" s="0" t="n">
        <v>9.61052631578947</v>
      </c>
      <c r="G327" s="0" t="n">
        <v>12.4936842105263</v>
      </c>
      <c r="H327" s="0" t="s">
        <v>3753</v>
      </c>
      <c r="I327" s="0" t="str">
        <f aca="false">A327&amp;"|"&amp;TRIM(D327)</f>
        <v>110|+5 DOC</v>
      </c>
    </row>
    <row r="328" customFormat="false" ht="15" hidden="false" customHeight="false" outlineLevel="0" collapsed="false">
      <c r="A328" s="0" t="n">
        <v>110</v>
      </c>
      <c r="B328" s="0" t="s">
        <v>1566</v>
      </c>
      <c r="C328" s="0" t="s">
        <v>1596</v>
      </c>
      <c r="D328" s="0" t="s">
        <v>9</v>
      </c>
      <c r="E328" s="0" t="n">
        <v>1.75</v>
      </c>
      <c r="F328" s="0" t="n">
        <v>9.61052631578947</v>
      </c>
      <c r="G328" s="0" t="n">
        <v>16.8184210526316</v>
      </c>
      <c r="H328" s="0" t="s">
        <v>3754</v>
      </c>
      <c r="I328" s="0" t="str">
        <f aca="false">A328&amp;"|"&amp;TRIM(D328)</f>
        <v>110|1 A 5 DOC</v>
      </c>
    </row>
    <row r="329" customFormat="false" ht="15" hidden="false" customHeight="false" outlineLevel="0" collapsed="false">
      <c r="A329" s="0" t="n">
        <v>110</v>
      </c>
      <c r="B329" s="0" t="s">
        <v>1566</v>
      </c>
      <c r="C329" s="0" t="s">
        <v>1596</v>
      </c>
      <c r="D329" s="0" t="s">
        <v>3449</v>
      </c>
      <c r="E329" s="0" t="n">
        <v>1.99</v>
      </c>
      <c r="F329" s="0" t="n">
        <v>9.61052631578947</v>
      </c>
      <c r="G329" s="0" t="n">
        <v>19.1249473684211</v>
      </c>
      <c r="H329" s="0" t="s">
        <v>3755</v>
      </c>
      <c r="I329" s="0" t="str">
        <f aca="false">A329&amp;"|"&amp;TRIM(D329)</f>
        <v>110|DETAL</v>
      </c>
    </row>
    <row r="330" customFormat="false" ht="15" hidden="false" customHeight="false" outlineLevel="0" collapsed="false">
      <c r="A330" s="0" t="n">
        <v>111</v>
      </c>
      <c r="B330" s="0" t="s">
        <v>1566</v>
      </c>
      <c r="C330" s="0" t="s">
        <v>991</v>
      </c>
      <c r="D330" s="0" t="s">
        <v>3446</v>
      </c>
      <c r="E330" s="0" t="n">
        <v>1.3</v>
      </c>
      <c r="F330" s="0" t="n">
        <v>4.95789473684211</v>
      </c>
      <c r="G330" s="0" t="n">
        <v>6.44526315789474</v>
      </c>
      <c r="H330" s="0" t="s">
        <v>3756</v>
      </c>
      <c r="I330" s="0" t="str">
        <f aca="false">A330&amp;"|"&amp;TRIM(D330)</f>
        <v>111|+5 DOC</v>
      </c>
    </row>
    <row r="331" customFormat="false" ht="15" hidden="false" customHeight="false" outlineLevel="0" collapsed="false">
      <c r="A331" s="0" t="n">
        <v>111</v>
      </c>
      <c r="B331" s="0" t="s">
        <v>1566</v>
      </c>
      <c r="C331" s="0" t="s">
        <v>991</v>
      </c>
      <c r="D331" s="0" t="s">
        <v>9</v>
      </c>
      <c r="E331" s="0" t="n">
        <v>1.75</v>
      </c>
      <c r="F331" s="0" t="n">
        <v>4.95789473684211</v>
      </c>
      <c r="G331" s="0" t="n">
        <v>8.67631578947368</v>
      </c>
      <c r="H331" s="0" t="s">
        <v>3757</v>
      </c>
      <c r="I331" s="0" t="str">
        <f aca="false">A331&amp;"|"&amp;TRIM(D331)</f>
        <v>111|1 A 5 DOC</v>
      </c>
    </row>
    <row r="332" customFormat="false" ht="15" hidden="false" customHeight="false" outlineLevel="0" collapsed="false">
      <c r="A332" s="0" t="n">
        <v>111</v>
      </c>
      <c r="B332" s="0" t="s">
        <v>1566</v>
      </c>
      <c r="C332" s="0" t="s">
        <v>991</v>
      </c>
      <c r="D332" s="0" t="s">
        <v>3449</v>
      </c>
      <c r="E332" s="0" t="n">
        <v>1.99</v>
      </c>
      <c r="F332" s="0" t="n">
        <v>4.95789473684211</v>
      </c>
      <c r="G332" s="0" t="n">
        <v>9.86621052631579</v>
      </c>
      <c r="H332" s="0" t="s">
        <v>3758</v>
      </c>
      <c r="I332" s="0" t="str">
        <f aca="false">A332&amp;"|"&amp;TRIM(D332)</f>
        <v>111|DETAL</v>
      </c>
    </row>
    <row r="333" customFormat="false" ht="15" hidden="false" customHeight="false" outlineLevel="0" collapsed="false">
      <c r="A333" s="0" t="n">
        <v>112</v>
      </c>
      <c r="B333" s="0" t="s">
        <v>1662</v>
      </c>
      <c r="C333" s="0" t="s">
        <v>1662</v>
      </c>
      <c r="D333" s="0" t="s">
        <v>3721</v>
      </c>
      <c r="E333" s="0" t="n">
        <v>1.45</v>
      </c>
      <c r="F333" s="0" t="n">
        <v>4.13157894736842</v>
      </c>
      <c r="G333" s="0" t="n">
        <v>5.99078947368421</v>
      </c>
      <c r="H333" s="0" t="s">
        <v>3759</v>
      </c>
      <c r="I333" s="0" t="str">
        <f aca="false">A333&amp;"|"&amp;TRIM(D333)</f>
        <v>112|?</v>
      </c>
    </row>
    <row r="334" customFormat="false" ht="15" hidden="false" customHeight="false" outlineLevel="0" collapsed="false">
      <c r="A334" s="0" t="n">
        <v>112</v>
      </c>
      <c r="B334" s="0" t="s">
        <v>1662</v>
      </c>
      <c r="C334" s="0" t="s">
        <v>1662</v>
      </c>
      <c r="D334" s="0" t="s">
        <v>3721</v>
      </c>
      <c r="E334" s="0" t="n">
        <v>1.7</v>
      </c>
      <c r="F334" s="0" t="n">
        <v>4.13157894736842</v>
      </c>
      <c r="G334" s="0" t="n">
        <v>7.02368421052632</v>
      </c>
      <c r="H334" s="0" t="s">
        <v>3760</v>
      </c>
      <c r="I334" s="0" t="str">
        <f aca="false">A334&amp;"|"&amp;TRIM(D334)</f>
        <v>112|?</v>
      </c>
    </row>
    <row r="335" customFormat="false" ht="15" hidden="false" customHeight="false" outlineLevel="0" collapsed="false">
      <c r="A335" s="0" t="n">
        <v>112</v>
      </c>
      <c r="B335" s="0" t="s">
        <v>1662</v>
      </c>
      <c r="C335" s="0" t="s">
        <v>1662</v>
      </c>
      <c r="D335" s="0" t="s">
        <v>3721</v>
      </c>
      <c r="E335" s="0" t="n">
        <v>1.99</v>
      </c>
      <c r="F335" s="0" t="n">
        <v>4.13157894736842</v>
      </c>
      <c r="G335" s="0" t="n">
        <v>8.22184210526316</v>
      </c>
      <c r="H335" s="0" t="s">
        <v>3761</v>
      </c>
      <c r="I335" s="0" t="str">
        <f aca="false">A335&amp;"|"&amp;TRIM(D335)</f>
        <v>112|?</v>
      </c>
    </row>
    <row r="336" customFormat="false" ht="28.35" hidden="false" customHeight="false" outlineLevel="0" collapsed="false">
      <c r="A336" s="0" t="n">
        <v>113</v>
      </c>
      <c r="B336" s="0" t="s">
        <v>1669</v>
      </c>
      <c r="C336" s="22" t="s">
        <v>1670</v>
      </c>
      <c r="D336" s="0" t="s">
        <v>3446</v>
      </c>
      <c r="E336" s="0" t="n">
        <v>1.45</v>
      </c>
      <c r="F336" s="0" t="n">
        <v>7.49473684210526</v>
      </c>
      <c r="G336" s="0" t="n">
        <v>10.8673684210526</v>
      </c>
      <c r="H336" s="0" t="s">
        <v>3762</v>
      </c>
      <c r="I336" s="0" t="str">
        <f aca="false">A336&amp;"|"&amp;TRIM(D336)</f>
        <v>113|+5 DOC</v>
      </c>
    </row>
    <row r="337" customFormat="false" ht="28.35" hidden="false" customHeight="false" outlineLevel="0" collapsed="false">
      <c r="A337" s="0" t="n">
        <v>113</v>
      </c>
      <c r="B337" s="0" t="s">
        <v>1669</v>
      </c>
      <c r="C337" s="22" t="s">
        <v>1670</v>
      </c>
      <c r="D337" s="0" t="s">
        <v>9</v>
      </c>
      <c r="E337" s="0" t="n">
        <v>1.75</v>
      </c>
      <c r="F337" s="0" t="n">
        <v>7.49473684210526</v>
      </c>
      <c r="G337" s="0" t="n">
        <v>13.1157894736842</v>
      </c>
      <c r="H337" s="0" t="s">
        <v>3763</v>
      </c>
      <c r="I337" s="0" t="str">
        <f aca="false">A337&amp;"|"&amp;TRIM(D337)</f>
        <v>113|1 A 5 DOC</v>
      </c>
    </row>
    <row r="338" customFormat="false" ht="28.35" hidden="false" customHeight="false" outlineLevel="0" collapsed="false">
      <c r="A338" s="0" t="n">
        <v>113</v>
      </c>
      <c r="B338" s="0" t="s">
        <v>1669</v>
      </c>
      <c r="C338" s="22" t="s">
        <v>1670</v>
      </c>
      <c r="D338" s="0" t="s">
        <v>3449</v>
      </c>
      <c r="E338" s="0" t="n">
        <v>1.99</v>
      </c>
      <c r="F338" s="0" t="n">
        <v>7.49473684210526</v>
      </c>
      <c r="G338" s="0" t="n">
        <v>14.9145263157895</v>
      </c>
      <c r="H338" s="0" t="s">
        <v>3764</v>
      </c>
      <c r="I338" s="0" t="str">
        <f aca="false">A338&amp;"|"&amp;TRIM(D338)</f>
        <v>113|DETAL</v>
      </c>
    </row>
    <row r="339" customFormat="false" ht="15" hidden="false" customHeight="false" outlineLevel="0" collapsed="false">
      <c r="A339" s="0" t="n">
        <v>114</v>
      </c>
      <c r="B339" s="0" t="s">
        <v>1669</v>
      </c>
      <c r="C339" s="0" t="s">
        <v>296</v>
      </c>
      <c r="D339" s="0" t="s">
        <v>3446</v>
      </c>
      <c r="E339" s="0" t="n">
        <v>1.45</v>
      </c>
      <c r="F339" s="0" t="n">
        <v>11.2631578947368</v>
      </c>
      <c r="G339" s="0" t="n">
        <v>16.3315789473684</v>
      </c>
      <c r="H339" s="0" t="s">
        <v>3765</v>
      </c>
      <c r="I339" s="0" t="str">
        <f aca="false">A339&amp;"|"&amp;TRIM(D339)</f>
        <v>114|+5 DOC</v>
      </c>
    </row>
    <row r="340" customFormat="false" ht="15" hidden="false" customHeight="false" outlineLevel="0" collapsed="false">
      <c r="A340" s="0" t="n">
        <v>114</v>
      </c>
      <c r="B340" s="0" t="s">
        <v>1669</v>
      </c>
      <c r="C340" s="0" t="s">
        <v>296</v>
      </c>
      <c r="D340" s="0" t="s">
        <v>9</v>
      </c>
      <c r="E340" s="0" t="n">
        <v>1.75</v>
      </c>
      <c r="F340" s="0" t="n">
        <v>11.2631578947368</v>
      </c>
      <c r="G340" s="0" t="n">
        <v>19.7105263157895</v>
      </c>
      <c r="H340" s="0" t="s">
        <v>3766</v>
      </c>
      <c r="I340" s="0" t="str">
        <f aca="false">A340&amp;"|"&amp;TRIM(D340)</f>
        <v>114|1 A 5 DOC</v>
      </c>
    </row>
    <row r="341" customFormat="false" ht="15" hidden="false" customHeight="false" outlineLevel="0" collapsed="false">
      <c r="A341" s="0" t="n">
        <v>114</v>
      </c>
      <c r="B341" s="0" t="s">
        <v>1669</v>
      </c>
      <c r="C341" s="0" t="s">
        <v>296</v>
      </c>
      <c r="D341" s="0" t="s">
        <v>3449</v>
      </c>
      <c r="E341" s="0" t="n">
        <v>1.99</v>
      </c>
      <c r="F341" s="0" t="n">
        <v>11.2631578947368</v>
      </c>
      <c r="G341" s="0" t="n">
        <v>22.4136842105263</v>
      </c>
      <c r="H341" s="0" t="s">
        <v>3767</v>
      </c>
      <c r="I341" s="0" t="str">
        <f aca="false">A341&amp;"|"&amp;TRIM(D341)</f>
        <v>114|DETAL</v>
      </c>
    </row>
    <row r="342" customFormat="false" ht="28.35" hidden="false" customHeight="false" outlineLevel="0" collapsed="false">
      <c r="A342" s="0" t="n">
        <v>115</v>
      </c>
      <c r="B342" s="0" t="s">
        <v>1669</v>
      </c>
      <c r="C342" s="22" t="s">
        <v>1702</v>
      </c>
      <c r="D342" s="0" t="s">
        <v>3446</v>
      </c>
      <c r="E342" s="0" t="n">
        <v>1.45</v>
      </c>
      <c r="F342" s="0" t="n">
        <v>8.6725</v>
      </c>
      <c r="G342" s="0" t="n">
        <v>12.575125</v>
      </c>
      <c r="H342" s="0" t="s">
        <v>3586</v>
      </c>
      <c r="I342" s="0" t="str">
        <f aca="false">A342&amp;"|"&amp;TRIM(D342)</f>
        <v>115|+5 DOC</v>
      </c>
    </row>
    <row r="343" customFormat="false" ht="28.35" hidden="false" customHeight="false" outlineLevel="0" collapsed="false">
      <c r="A343" s="0" t="n">
        <v>115</v>
      </c>
      <c r="B343" s="0" t="s">
        <v>1669</v>
      </c>
      <c r="C343" s="22" t="s">
        <v>1702</v>
      </c>
      <c r="D343" s="0" t="s">
        <v>9</v>
      </c>
      <c r="E343" s="0" t="n">
        <v>1.75</v>
      </c>
      <c r="F343" s="0" t="n">
        <v>8.6725</v>
      </c>
      <c r="G343" s="0" t="n">
        <v>15.176875</v>
      </c>
      <c r="H343" s="0" t="s">
        <v>3587</v>
      </c>
      <c r="I343" s="0" t="str">
        <f aca="false">A343&amp;"|"&amp;TRIM(D343)</f>
        <v>115|1 A 5 DOC</v>
      </c>
    </row>
    <row r="344" customFormat="false" ht="28.35" hidden="false" customHeight="false" outlineLevel="0" collapsed="false">
      <c r="A344" s="0" t="n">
        <v>115</v>
      </c>
      <c r="B344" s="0" t="s">
        <v>1669</v>
      </c>
      <c r="C344" s="22" t="s">
        <v>1702</v>
      </c>
      <c r="D344" s="0" t="s">
        <v>3449</v>
      </c>
      <c r="E344" s="0" t="n">
        <v>1.99</v>
      </c>
      <c r="F344" s="0" t="n">
        <v>8.6725</v>
      </c>
      <c r="G344" s="0" t="n">
        <v>17.258275</v>
      </c>
      <c r="H344" s="0" t="s">
        <v>3588</v>
      </c>
      <c r="I344" s="0" t="str">
        <f aca="false">A344&amp;"|"&amp;TRIM(D344)</f>
        <v>115|DETAL</v>
      </c>
    </row>
    <row r="345" customFormat="false" ht="28.35" hidden="false" customHeight="false" outlineLevel="0" collapsed="false">
      <c r="A345" s="0" t="n">
        <v>116</v>
      </c>
      <c r="B345" s="0" t="s">
        <v>1669</v>
      </c>
      <c r="C345" s="22" t="s">
        <v>1702</v>
      </c>
      <c r="D345" s="0" t="s">
        <v>3446</v>
      </c>
      <c r="E345" s="0" t="n">
        <v>1.4</v>
      </c>
      <c r="F345" s="0" t="n">
        <v>11.2236842105263</v>
      </c>
      <c r="G345" s="0" t="n">
        <v>15.7131578947368</v>
      </c>
      <c r="H345" s="0" t="s">
        <v>3768</v>
      </c>
      <c r="I345" s="0" t="str">
        <f aca="false">A345&amp;"|"&amp;TRIM(D345)</f>
        <v>116|+5 DOC</v>
      </c>
    </row>
    <row r="346" customFormat="false" ht="28.35" hidden="false" customHeight="false" outlineLevel="0" collapsed="false">
      <c r="A346" s="0" t="n">
        <v>116</v>
      </c>
      <c r="B346" s="0" t="s">
        <v>1669</v>
      </c>
      <c r="C346" s="22" t="s">
        <v>1702</v>
      </c>
      <c r="D346" s="0" t="s">
        <v>9</v>
      </c>
      <c r="E346" s="0" t="n">
        <v>1.75</v>
      </c>
      <c r="F346" s="0" t="n">
        <v>11.2236842105263</v>
      </c>
      <c r="G346" s="0" t="n">
        <v>19.6414473684211</v>
      </c>
      <c r="H346" s="0" t="s">
        <v>3769</v>
      </c>
      <c r="I346" s="0" t="str">
        <f aca="false">A346&amp;"|"&amp;TRIM(D346)</f>
        <v>116|1 A 5 DOC</v>
      </c>
    </row>
    <row r="347" customFormat="false" ht="28.35" hidden="false" customHeight="false" outlineLevel="0" collapsed="false">
      <c r="A347" s="0" t="n">
        <v>116</v>
      </c>
      <c r="B347" s="0" t="s">
        <v>1669</v>
      </c>
      <c r="C347" s="22" t="s">
        <v>1702</v>
      </c>
      <c r="D347" s="0" t="s">
        <v>3449</v>
      </c>
      <c r="E347" s="0" t="n">
        <v>1.99</v>
      </c>
      <c r="F347" s="0" t="n">
        <v>11.2236842105263</v>
      </c>
      <c r="G347" s="0" t="n">
        <v>22.3351315789474</v>
      </c>
      <c r="H347" s="0" t="s">
        <v>3770</v>
      </c>
      <c r="I347" s="0" t="str">
        <f aca="false">A347&amp;"|"&amp;TRIM(D347)</f>
        <v>116|DETAL</v>
      </c>
    </row>
    <row r="348" customFormat="false" ht="28.35" hidden="false" customHeight="false" outlineLevel="0" collapsed="false">
      <c r="A348" s="0" t="n">
        <v>117</v>
      </c>
      <c r="B348" s="0" t="s">
        <v>1669</v>
      </c>
      <c r="C348" s="22" t="s">
        <v>1735</v>
      </c>
      <c r="D348" s="0" t="s">
        <v>3446</v>
      </c>
      <c r="E348" s="0" t="n">
        <v>1.4</v>
      </c>
      <c r="F348" s="0" t="n">
        <v>12.6947368421053</v>
      </c>
      <c r="G348" s="0" t="n">
        <v>17.7726315789474</v>
      </c>
      <c r="H348" s="0" t="s">
        <v>3618</v>
      </c>
      <c r="I348" s="0" t="str">
        <f aca="false">A348&amp;"|"&amp;TRIM(D348)</f>
        <v>117|+5 DOC</v>
      </c>
    </row>
    <row r="349" customFormat="false" ht="28.35" hidden="false" customHeight="false" outlineLevel="0" collapsed="false">
      <c r="A349" s="0" t="n">
        <v>117</v>
      </c>
      <c r="B349" s="0" t="s">
        <v>1669</v>
      </c>
      <c r="C349" s="22" t="s">
        <v>1735</v>
      </c>
      <c r="D349" s="0" t="s">
        <v>9</v>
      </c>
      <c r="E349" s="0" t="n">
        <v>1.6</v>
      </c>
      <c r="F349" s="0" t="n">
        <v>12.6947368421053</v>
      </c>
      <c r="G349" s="0" t="n">
        <v>20.3115789473684</v>
      </c>
      <c r="H349" s="0" t="s">
        <v>3619</v>
      </c>
      <c r="I349" s="0" t="str">
        <f aca="false">A349&amp;"|"&amp;TRIM(D349)</f>
        <v>117|1 A 5 DOC</v>
      </c>
    </row>
    <row r="350" customFormat="false" ht="28.35" hidden="false" customHeight="false" outlineLevel="0" collapsed="false">
      <c r="A350" s="0" t="n">
        <v>117</v>
      </c>
      <c r="B350" s="0" t="s">
        <v>1669</v>
      </c>
      <c r="C350" s="22" t="s">
        <v>1735</v>
      </c>
      <c r="D350" s="0" t="s">
        <v>3449</v>
      </c>
      <c r="E350" s="0" t="n">
        <v>1.8</v>
      </c>
      <c r="F350" s="0" t="n">
        <v>12.6947368421053</v>
      </c>
      <c r="G350" s="0" t="n">
        <v>22.8505263157895</v>
      </c>
      <c r="H350" s="0" t="s">
        <v>3620</v>
      </c>
      <c r="I350" s="0" t="str">
        <f aca="false">A350&amp;"|"&amp;TRIM(D350)</f>
        <v>117|DETAL</v>
      </c>
    </row>
    <row r="351" customFormat="false" ht="28.35" hidden="false" customHeight="false" outlineLevel="0" collapsed="false">
      <c r="A351" s="0" t="n">
        <v>118</v>
      </c>
      <c r="B351" s="0" t="s">
        <v>1669</v>
      </c>
      <c r="C351" s="22" t="s">
        <v>1757</v>
      </c>
      <c r="D351" s="0" t="s">
        <v>3446</v>
      </c>
      <c r="E351" s="0" t="n">
        <v>1.45</v>
      </c>
      <c r="F351" s="0" t="n">
        <v>8.02631578947369</v>
      </c>
      <c r="G351" s="0" t="n">
        <v>11.6381578947368</v>
      </c>
      <c r="H351" s="0" t="s">
        <v>3635</v>
      </c>
      <c r="I351" s="0" t="str">
        <f aca="false">A351&amp;"|"&amp;TRIM(D351)</f>
        <v>118|+5 DOC</v>
      </c>
    </row>
    <row r="352" customFormat="false" ht="28.35" hidden="false" customHeight="false" outlineLevel="0" collapsed="false">
      <c r="A352" s="0" t="n">
        <v>118</v>
      </c>
      <c r="B352" s="0" t="s">
        <v>1669</v>
      </c>
      <c r="C352" s="22" t="s">
        <v>1757</v>
      </c>
      <c r="D352" s="0" t="s">
        <v>9</v>
      </c>
      <c r="E352" s="0" t="n">
        <v>1.65</v>
      </c>
      <c r="F352" s="0" t="n">
        <v>8.02631578947369</v>
      </c>
      <c r="G352" s="0" t="n">
        <v>13.2434210526316</v>
      </c>
      <c r="H352" s="0" t="s">
        <v>3636</v>
      </c>
      <c r="I352" s="0" t="str">
        <f aca="false">A352&amp;"|"&amp;TRIM(D352)</f>
        <v>118|1 A 5 DOC</v>
      </c>
    </row>
    <row r="353" customFormat="false" ht="28.35" hidden="false" customHeight="false" outlineLevel="0" collapsed="false">
      <c r="A353" s="0" t="n">
        <v>118</v>
      </c>
      <c r="B353" s="0" t="s">
        <v>1669</v>
      </c>
      <c r="C353" s="22" t="s">
        <v>1757</v>
      </c>
      <c r="D353" s="0" t="s">
        <v>3449</v>
      </c>
      <c r="E353" s="0" t="n">
        <v>1.99</v>
      </c>
      <c r="F353" s="0" t="n">
        <v>8.02631578947369</v>
      </c>
      <c r="G353" s="0" t="n">
        <v>15.9723684210526</v>
      </c>
      <c r="H353" s="0" t="s">
        <v>3771</v>
      </c>
      <c r="I353" s="0" t="str">
        <f aca="false">A353&amp;"|"&amp;TRIM(D353)</f>
        <v>118|DETAL</v>
      </c>
    </row>
    <row r="354" customFormat="false" ht="28.35" hidden="false" customHeight="false" outlineLevel="0" collapsed="false">
      <c r="A354" s="0" t="n">
        <v>119</v>
      </c>
      <c r="B354" s="0" t="s">
        <v>1669</v>
      </c>
      <c r="C354" s="22" t="s">
        <v>1757</v>
      </c>
      <c r="D354" s="0" t="s">
        <v>3446</v>
      </c>
      <c r="E354" s="0" t="n">
        <v>1.45</v>
      </c>
      <c r="F354" s="0" t="n">
        <v>7.25</v>
      </c>
      <c r="G354" s="0" t="n">
        <v>10.5125</v>
      </c>
      <c r="H354" s="0" t="s">
        <v>3772</v>
      </c>
      <c r="I354" s="0" t="str">
        <f aca="false">A354&amp;"|"&amp;TRIM(D354)</f>
        <v>119|+5 DOC</v>
      </c>
    </row>
    <row r="355" customFormat="false" ht="28.35" hidden="false" customHeight="false" outlineLevel="0" collapsed="false">
      <c r="A355" s="0" t="n">
        <v>119</v>
      </c>
      <c r="B355" s="0" t="s">
        <v>1669</v>
      </c>
      <c r="C355" s="22" t="s">
        <v>1757</v>
      </c>
      <c r="D355" s="0" t="s">
        <v>9</v>
      </c>
      <c r="E355" s="0" t="n">
        <v>1.75</v>
      </c>
      <c r="F355" s="0" t="n">
        <v>7.25</v>
      </c>
      <c r="G355" s="0" t="n">
        <v>12.6875</v>
      </c>
      <c r="H355" s="0" t="s">
        <v>3773</v>
      </c>
      <c r="I355" s="0" t="str">
        <f aca="false">A355&amp;"|"&amp;TRIM(D355)</f>
        <v>119|1 A 5 DOC</v>
      </c>
    </row>
    <row r="356" customFormat="false" ht="28.35" hidden="false" customHeight="false" outlineLevel="0" collapsed="false">
      <c r="A356" s="0" t="n">
        <v>119</v>
      </c>
      <c r="B356" s="0" t="s">
        <v>1669</v>
      </c>
      <c r="C356" s="22" t="s">
        <v>1757</v>
      </c>
      <c r="D356" s="0" t="s">
        <v>3449</v>
      </c>
      <c r="E356" s="0" t="n">
        <v>1.99</v>
      </c>
      <c r="F356" s="0" t="n">
        <v>7.25</v>
      </c>
      <c r="G356" s="0" t="n">
        <v>14.4275</v>
      </c>
      <c r="H356" s="0" t="s">
        <v>3774</v>
      </c>
      <c r="I356" s="0" t="str">
        <f aca="false">A356&amp;"|"&amp;TRIM(D356)</f>
        <v>119|DETAL</v>
      </c>
    </row>
    <row r="357" customFormat="false" ht="28.35" hidden="false" customHeight="false" outlineLevel="0" collapsed="false">
      <c r="A357" s="0" t="n">
        <v>120</v>
      </c>
      <c r="B357" s="0" t="s">
        <v>1669</v>
      </c>
      <c r="C357" s="22" t="s">
        <v>1757</v>
      </c>
      <c r="D357" s="0" t="s">
        <v>3446</v>
      </c>
      <c r="E357" s="0" t="n">
        <v>1.6</v>
      </c>
      <c r="F357" s="0" t="n">
        <v>12.9131578947368</v>
      </c>
      <c r="G357" s="0" t="n">
        <v>20.661052631579</v>
      </c>
      <c r="H357" s="0" t="s">
        <v>3775</v>
      </c>
      <c r="I357" s="0" t="str">
        <f aca="false">A357&amp;"|"&amp;TRIM(D357)</f>
        <v>120|+5 DOC</v>
      </c>
    </row>
    <row r="358" customFormat="false" ht="28.35" hidden="false" customHeight="false" outlineLevel="0" collapsed="false">
      <c r="A358" s="0" t="n">
        <v>120</v>
      </c>
      <c r="B358" s="0" t="s">
        <v>1669</v>
      </c>
      <c r="C358" s="22" t="s">
        <v>1757</v>
      </c>
      <c r="D358" s="0" t="s">
        <v>9</v>
      </c>
      <c r="E358" s="0" t="n">
        <v>1.75</v>
      </c>
      <c r="F358" s="0" t="n">
        <v>12.9131578947368</v>
      </c>
      <c r="G358" s="0" t="n">
        <v>22.5980263157895</v>
      </c>
      <c r="H358" s="0" t="s">
        <v>3776</v>
      </c>
      <c r="I358" s="0" t="str">
        <f aca="false">A358&amp;"|"&amp;TRIM(D358)</f>
        <v>120|1 A 5 DOC</v>
      </c>
    </row>
    <row r="359" customFormat="false" ht="28.35" hidden="false" customHeight="false" outlineLevel="0" collapsed="false">
      <c r="A359" s="0" t="n">
        <v>120</v>
      </c>
      <c r="B359" s="0" t="s">
        <v>1669</v>
      </c>
      <c r="C359" s="22" t="s">
        <v>1757</v>
      </c>
      <c r="D359" s="0" t="s">
        <v>3449</v>
      </c>
      <c r="E359" s="0" t="n">
        <v>1.95</v>
      </c>
      <c r="F359" s="0" t="n">
        <v>12.9131578947368</v>
      </c>
      <c r="G359" s="0" t="n">
        <v>25.1806578947368</v>
      </c>
      <c r="H359" s="0" t="s">
        <v>3777</v>
      </c>
      <c r="I359" s="0" t="str">
        <f aca="false">A359&amp;"|"&amp;TRIM(D359)</f>
        <v>120|DETAL</v>
      </c>
    </row>
    <row r="360" customFormat="false" ht="15" hidden="false" customHeight="false" outlineLevel="0" collapsed="false">
      <c r="A360" s="0" t="n">
        <v>121</v>
      </c>
      <c r="B360" s="0" t="s">
        <v>1814</v>
      </c>
      <c r="C360" s="0" t="s">
        <v>1815</v>
      </c>
      <c r="D360" s="0" t="s">
        <v>3446</v>
      </c>
      <c r="E360" s="0" t="n">
        <v>1.3</v>
      </c>
      <c r="F360" s="0" t="n">
        <v>3.55</v>
      </c>
      <c r="G360" s="0" t="n">
        <v>4.615</v>
      </c>
      <c r="H360" s="0" t="s">
        <v>3762</v>
      </c>
      <c r="I360" s="0" t="str">
        <f aca="false">A360&amp;"|"&amp;TRIM(D360)</f>
        <v>121|+5 DOC</v>
      </c>
    </row>
    <row r="361" customFormat="false" ht="15" hidden="false" customHeight="false" outlineLevel="0" collapsed="false">
      <c r="A361" s="0" t="n">
        <v>121</v>
      </c>
      <c r="B361" s="0" t="s">
        <v>1814</v>
      </c>
      <c r="C361" s="0" t="s">
        <v>1815</v>
      </c>
      <c r="D361" s="0" t="s">
        <v>9</v>
      </c>
      <c r="E361" s="0" t="n">
        <v>1.6</v>
      </c>
      <c r="F361" s="0" t="n">
        <v>3.55</v>
      </c>
      <c r="G361" s="0" t="n">
        <v>5.68</v>
      </c>
      <c r="H361" s="0" t="s">
        <v>3763</v>
      </c>
      <c r="I361" s="0" t="str">
        <f aca="false">A361&amp;"|"&amp;TRIM(D361)</f>
        <v>121|1 A 5 DOC</v>
      </c>
    </row>
    <row r="362" customFormat="false" ht="15" hidden="false" customHeight="false" outlineLevel="0" collapsed="false">
      <c r="A362" s="0" t="n">
        <v>121</v>
      </c>
      <c r="B362" s="0" t="s">
        <v>1814</v>
      </c>
      <c r="C362" s="0" t="s">
        <v>1815</v>
      </c>
      <c r="D362" s="0" t="s">
        <v>3449</v>
      </c>
      <c r="E362" s="0" t="n">
        <v>1.99</v>
      </c>
      <c r="F362" s="0" t="n">
        <v>3.55</v>
      </c>
      <c r="G362" s="0" t="n">
        <v>7.0645</v>
      </c>
      <c r="H362" s="0" t="s">
        <v>3764</v>
      </c>
      <c r="I362" s="0" t="str">
        <f aca="false">A362&amp;"|"&amp;TRIM(D362)</f>
        <v>121|DETAL</v>
      </c>
    </row>
    <row r="363" customFormat="false" ht="15" hidden="false" customHeight="false" outlineLevel="0" collapsed="false">
      <c r="A363" s="0" t="n">
        <v>122</v>
      </c>
      <c r="B363" s="0" t="s">
        <v>1814</v>
      </c>
      <c r="C363" s="0" t="s">
        <v>1833</v>
      </c>
      <c r="D363" s="0" t="s">
        <v>3446</v>
      </c>
      <c r="E363" s="0" t="n">
        <v>1.3</v>
      </c>
      <c r="F363" s="0" t="n">
        <v>4.3575</v>
      </c>
      <c r="G363" s="0" t="n">
        <v>5.66475</v>
      </c>
      <c r="H363" s="0" t="s">
        <v>3586</v>
      </c>
      <c r="I363" s="0" t="str">
        <f aca="false">A363&amp;"|"&amp;TRIM(D363)</f>
        <v>122|+5 DOC</v>
      </c>
    </row>
    <row r="364" customFormat="false" ht="15" hidden="false" customHeight="false" outlineLevel="0" collapsed="false">
      <c r="A364" s="0" t="n">
        <v>122</v>
      </c>
      <c r="B364" s="0" t="s">
        <v>1814</v>
      </c>
      <c r="C364" s="0" t="s">
        <v>1833</v>
      </c>
      <c r="D364" s="0" t="s">
        <v>9</v>
      </c>
      <c r="E364" s="0" t="n">
        <v>1.6</v>
      </c>
      <c r="F364" s="0" t="n">
        <v>4.3575</v>
      </c>
      <c r="G364" s="0" t="n">
        <v>6.972</v>
      </c>
      <c r="H364" s="0" t="s">
        <v>3587</v>
      </c>
      <c r="I364" s="0" t="str">
        <f aca="false">A364&amp;"|"&amp;TRIM(D364)</f>
        <v>122|1 A 5 DOC</v>
      </c>
    </row>
    <row r="365" customFormat="false" ht="15" hidden="false" customHeight="false" outlineLevel="0" collapsed="false">
      <c r="A365" s="0" t="n">
        <v>122</v>
      </c>
      <c r="B365" s="0" t="s">
        <v>1814</v>
      </c>
      <c r="C365" s="0" t="s">
        <v>1833</v>
      </c>
      <c r="D365" s="0" t="s">
        <v>3449</v>
      </c>
      <c r="E365" s="0" t="n">
        <v>1.99</v>
      </c>
      <c r="F365" s="0" t="n">
        <v>4.3575</v>
      </c>
      <c r="G365" s="0" t="n">
        <v>8.671425</v>
      </c>
      <c r="H365" s="0" t="s">
        <v>3588</v>
      </c>
      <c r="I365" s="0" t="str">
        <f aca="false">A365&amp;"|"&amp;TRIM(D365)</f>
        <v>122|DETAL</v>
      </c>
    </row>
    <row r="366" customFormat="false" ht="15" hidden="false" customHeight="false" outlineLevel="0" collapsed="false">
      <c r="A366" s="0" t="n">
        <v>123</v>
      </c>
      <c r="B366" s="0" t="s">
        <v>1850</v>
      </c>
      <c r="C366" s="0" t="s">
        <v>349</v>
      </c>
      <c r="D366" s="0" t="s">
        <v>3446</v>
      </c>
      <c r="E366" s="0" t="n">
        <v>1.45</v>
      </c>
      <c r="F366" s="0" t="n">
        <v>7.51315789473684</v>
      </c>
      <c r="G366" s="0" t="n">
        <v>10.8940789473684</v>
      </c>
      <c r="H366" s="0" t="s">
        <v>3612</v>
      </c>
      <c r="I366" s="0" t="str">
        <f aca="false">A366&amp;"|"&amp;TRIM(D366)</f>
        <v>123|+5 DOC</v>
      </c>
    </row>
    <row r="367" customFormat="false" ht="15" hidden="false" customHeight="false" outlineLevel="0" collapsed="false">
      <c r="A367" s="0" t="n">
        <v>123</v>
      </c>
      <c r="B367" s="0" t="s">
        <v>1850</v>
      </c>
      <c r="C367" s="0" t="s">
        <v>349</v>
      </c>
      <c r="D367" s="0" t="s">
        <v>9</v>
      </c>
      <c r="E367" s="0" t="n">
        <v>1.75</v>
      </c>
      <c r="F367" s="0" t="n">
        <v>7.51315789473684</v>
      </c>
      <c r="G367" s="0" t="n">
        <v>13.1480263157895</v>
      </c>
      <c r="H367" s="0" t="s">
        <v>3613</v>
      </c>
      <c r="I367" s="0" t="str">
        <f aca="false">A367&amp;"|"&amp;TRIM(D367)</f>
        <v>123|1 A 5 DOC</v>
      </c>
    </row>
    <row r="368" customFormat="false" ht="15" hidden="false" customHeight="false" outlineLevel="0" collapsed="false">
      <c r="A368" s="0" t="n">
        <v>123</v>
      </c>
      <c r="B368" s="0" t="s">
        <v>1850</v>
      </c>
      <c r="C368" s="0" t="s">
        <v>349</v>
      </c>
      <c r="D368" s="0" t="s">
        <v>3449</v>
      </c>
      <c r="E368" s="0" t="n">
        <v>1.99</v>
      </c>
      <c r="F368" s="0" t="n">
        <v>7.51315789473684</v>
      </c>
      <c r="G368" s="0" t="n">
        <v>14.9511842105263</v>
      </c>
      <c r="H368" s="0" t="s">
        <v>3614</v>
      </c>
      <c r="I368" s="0" t="str">
        <f aca="false">A368&amp;"|"&amp;TRIM(D368)</f>
        <v>123|DETAL</v>
      </c>
    </row>
    <row r="369" customFormat="false" ht="15" hidden="false" customHeight="false" outlineLevel="0" collapsed="false">
      <c r="A369" s="0" t="n">
        <v>124</v>
      </c>
      <c r="B369" s="0" t="s">
        <v>1850</v>
      </c>
      <c r="C369" s="0" t="s">
        <v>349</v>
      </c>
      <c r="D369" s="0" t="s">
        <v>3446</v>
      </c>
      <c r="E369" s="0" t="n">
        <v>1.45</v>
      </c>
      <c r="F369" s="0" t="n">
        <v>6.61578947368421</v>
      </c>
      <c r="G369" s="0" t="n">
        <v>9.59289473684211</v>
      </c>
      <c r="H369" s="0" t="s">
        <v>3778</v>
      </c>
      <c r="I369" s="0" t="str">
        <f aca="false">A369&amp;"|"&amp;TRIM(D369)</f>
        <v>124|+5 DOC</v>
      </c>
    </row>
    <row r="370" customFormat="false" ht="15" hidden="false" customHeight="false" outlineLevel="0" collapsed="false">
      <c r="A370" s="0" t="n">
        <v>124</v>
      </c>
      <c r="B370" s="0" t="s">
        <v>1850</v>
      </c>
      <c r="C370" s="0" t="s">
        <v>349</v>
      </c>
      <c r="D370" s="0" t="s">
        <v>9</v>
      </c>
      <c r="E370" s="0" t="n">
        <v>1.75</v>
      </c>
      <c r="F370" s="0" t="n">
        <v>6.61578947368421</v>
      </c>
      <c r="G370" s="0" t="n">
        <v>11.5776315789474</v>
      </c>
      <c r="H370" s="0" t="s">
        <v>3779</v>
      </c>
      <c r="I370" s="0" t="str">
        <f aca="false">A370&amp;"|"&amp;TRIM(D370)</f>
        <v>124|1 A 5 DOC</v>
      </c>
    </row>
    <row r="371" customFormat="false" ht="15" hidden="false" customHeight="false" outlineLevel="0" collapsed="false">
      <c r="A371" s="0" t="n">
        <v>124</v>
      </c>
      <c r="B371" s="0" t="s">
        <v>1850</v>
      </c>
      <c r="C371" s="0" t="s">
        <v>349</v>
      </c>
      <c r="D371" s="0" t="s">
        <v>3449</v>
      </c>
      <c r="E371" s="0" t="n">
        <v>1.99</v>
      </c>
      <c r="F371" s="0" t="n">
        <v>6.61578947368421</v>
      </c>
      <c r="G371" s="0" t="n">
        <v>13.1654210526316</v>
      </c>
      <c r="H371" s="0" t="s">
        <v>3780</v>
      </c>
      <c r="I371" s="0" t="str">
        <f aca="false">A371&amp;"|"&amp;TRIM(D371)</f>
        <v>124|DETAL</v>
      </c>
    </row>
    <row r="372" customFormat="false" ht="15" hidden="false" customHeight="false" outlineLevel="0" collapsed="false">
      <c r="A372" s="0" t="n">
        <v>125</v>
      </c>
      <c r="B372" s="0" t="s">
        <v>1850</v>
      </c>
      <c r="C372" s="0" t="s">
        <v>296</v>
      </c>
      <c r="D372" s="0" t="s">
        <v>3446</v>
      </c>
      <c r="E372" s="0" t="n">
        <v>1.45</v>
      </c>
      <c r="F372" s="0" t="n">
        <v>6.61315789473684</v>
      </c>
      <c r="G372" s="0" t="n">
        <v>9.58907894736842</v>
      </c>
      <c r="H372" s="0" t="s">
        <v>3609</v>
      </c>
      <c r="I372" s="0" t="str">
        <f aca="false">A372&amp;"|"&amp;TRIM(D372)</f>
        <v>125|+5 DOC</v>
      </c>
    </row>
    <row r="373" customFormat="false" ht="15" hidden="false" customHeight="false" outlineLevel="0" collapsed="false">
      <c r="A373" s="0" t="n">
        <v>125</v>
      </c>
      <c r="B373" s="0" t="s">
        <v>1850</v>
      </c>
      <c r="C373" s="0" t="s">
        <v>296</v>
      </c>
      <c r="D373" s="0" t="s">
        <v>9</v>
      </c>
      <c r="E373" s="0" t="n">
        <v>1.75</v>
      </c>
      <c r="F373" s="0" t="n">
        <v>6.61315789473684</v>
      </c>
      <c r="G373" s="0" t="n">
        <v>11.5730263157895</v>
      </c>
      <c r="H373" s="0" t="s">
        <v>3610</v>
      </c>
      <c r="I373" s="0" t="str">
        <f aca="false">A373&amp;"|"&amp;TRIM(D373)</f>
        <v>125|1 A 5 DOC</v>
      </c>
    </row>
    <row r="374" customFormat="false" ht="15" hidden="false" customHeight="false" outlineLevel="0" collapsed="false">
      <c r="A374" s="0" t="n">
        <v>125</v>
      </c>
      <c r="B374" s="0" t="s">
        <v>1850</v>
      </c>
      <c r="C374" s="0" t="s">
        <v>296</v>
      </c>
      <c r="D374" s="0" t="s">
        <v>3449</v>
      </c>
      <c r="E374" s="0" t="n">
        <v>1.99</v>
      </c>
      <c r="F374" s="0" t="n">
        <v>6.61315789473684</v>
      </c>
      <c r="G374" s="0" t="n">
        <v>13.1601842105263</v>
      </c>
      <c r="H374" s="0" t="s">
        <v>3611</v>
      </c>
      <c r="I374" s="0" t="str">
        <f aca="false">A374&amp;"|"&amp;TRIM(D374)</f>
        <v>125|DETAL</v>
      </c>
    </row>
    <row r="375" customFormat="false" ht="15" hidden="false" customHeight="false" outlineLevel="0" collapsed="false">
      <c r="A375" s="0" t="n">
        <v>126</v>
      </c>
      <c r="B375" s="0" t="s">
        <v>1850</v>
      </c>
      <c r="C375" s="0" t="s">
        <v>296</v>
      </c>
      <c r="D375" s="0" t="s">
        <v>3446</v>
      </c>
      <c r="E375" s="0" t="n">
        <v>1.45</v>
      </c>
      <c r="F375" s="0" t="n">
        <v>6.07578947368421</v>
      </c>
      <c r="G375" s="0" t="n">
        <v>8.80989473684211</v>
      </c>
      <c r="H375" s="0" t="s">
        <v>3781</v>
      </c>
      <c r="I375" s="0" t="str">
        <f aca="false">A375&amp;"|"&amp;TRIM(D375)</f>
        <v>126|+5 DOC</v>
      </c>
    </row>
    <row r="376" customFormat="false" ht="15" hidden="false" customHeight="false" outlineLevel="0" collapsed="false">
      <c r="A376" s="0" t="n">
        <v>126</v>
      </c>
      <c r="B376" s="0" t="s">
        <v>1850</v>
      </c>
      <c r="C376" s="0" t="s">
        <v>296</v>
      </c>
      <c r="D376" s="0" t="s">
        <v>9</v>
      </c>
      <c r="E376" s="0" t="n">
        <v>1.75</v>
      </c>
      <c r="F376" s="0" t="n">
        <v>6.07578947368421</v>
      </c>
      <c r="G376" s="0" t="n">
        <v>10.6326315789474</v>
      </c>
      <c r="H376" s="0" t="s">
        <v>3782</v>
      </c>
      <c r="I376" s="0" t="str">
        <f aca="false">A376&amp;"|"&amp;TRIM(D376)</f>
        <v>126|1 A 5 DOC</v>
      </c>
    </row>
    <row r="377" customFormat="false" ht="15" hidden="false" customHeight="false" outlineLevel="0" collapsed="false">
      <c r="A377" s="0" t="n">
        <v>126</v>
      </c>
      <c r="B377" s="0" t="s">
        <v>1850</v>
      </c>
      <c r="C377" s="0" t="s">
        <v>296</v>
      </c>
      <c r="D377" s="0" t="s">
        <v>3449</v>
      </c>
      <c r="E377" s="0" t="n">
        <v>1.99</v>
      </c>
      <c r="F377" s="0" t="n">
        <v>6.07578947368421</v>
      </c>
      <c r="G377" s="0" t="n">
        <v>12.0908210526316</v>
      </c>
      <c r="H377" s="0" t="s">
        <v>3783</v>
      </c>
      <c r="I377" s="0" t="str">
        <f aca="false">A377&amp;"|"&amp;TRIM(D377)</f>
        <v>126|DETAL</v>
      </c>
    </row>
    <row r="378" customFormat="false" ht="15" hidden="false" customHeight="false" outlineLevel="0" collapsed="false">
      <c r="A378" s="0" t="n">
        <v>127</v>
      </c>
      <c r="B378" s="0" t="s">
        <v>1918</v>
      </c>
      <c r="C378" s="0" t="s">
        <v>1920</v>
      </c>
      <c r="D378" s="0" t="s">
        <v>3446</v>
      </c>
      <c r="E378" s="0" t="n">
        <v>1.35</v>
      </c>
      <c r="F378" s="0" t="n">
        <v>5.74</v>
      </c>
      <c r="G378" s="0" t="n">
        <v>7.749</v>
      </c>
      <c r="H378" s="0" t="s">
        <v>3607</v>
      </c>
      <c r="I378" s="0" t="str">
        <f aca="false">A378&amp;"|"&amp;TRIM(D378)</f>
        <v>127|+5 DOC</v>
      </c>
    </row>
    <row r="379" customFormat="false" ht="15" hidden="false" customHeight="false" outlineLevel="0" collapsed="false">
      <c r="A379" s="0" t="n">
        <v>127</v>
      </c>
      <c r="B379" s="0" t="s">
        <v>1918</v>
      </c>
      <c r="C379" s="0" t="s">
        <v>1920</v>
      </c>
      <c r="D379" s="0" t="s">
        <v>9</v>
      </c>
      <c r="E379" s="0" t="n">
        <v>1.65</v>
      </c>
      <c r="F379" s="0" t="n">
        <v>5.74</v>
      </c>
      <c r="G379" s="0" t="n">
        <v>9.471</v>
      </c>
      <c r="H379" s="0" t="s">
        <v>3608</v>
      </c>
      <c r="I379" s="0" t="str">
        <f aca="false">A379&amp;"|"&amp;TRIM(D379)</f>
        <v>127|1 A 5 DOC</v>
      </c>
    </row>
    <row r="380" customFormat="false" ht="15" hidden="false" customHeight="false" outlineLevel="0" collapsed="false">
      <c r="A380" s="0" t="n">
        <v>127</v>
      </c>
      <c r="B380" s="0" t="s">
        <v>1918</v>
      </c>
      <c r="C380" s="0" t="s">
        <v>1920</v>
      </c>
      <c r="D380" s="0" t="s">
        <v>3449</v>
      </c>
      <c r="E380" s="0" t="n">
        <v>1.99</v>
      </c>
      <c r="F380" s="0" t="n">
        <v>5.74</v>
      </c>
      <c r="G380" s="0" t="n">
        <v>11.4226</v>
      </c>
      <c r="H380" s="0" t="s">
        <v>3784</v>
      </c>
      <c r="I380" s="0" t="str">
        <f aca="false">A380&amp;"|"&amp;TRIM(D380)</f>
        <v>127|DETAL</v>
      </c>
    </row>
    <row r="381" customFormat="false" ht="15" hidden="false" customHeight="false" outlineLevel="0" collapsed="false">
      <c r="A381" s="0" t="n">
        <v>128</v>
      </c>
      <c r="B381" s="0" t="s">
        <v>1918</v>
      </c>
      <c r="C381" s="0" t="s">
        <v>1920</v>
      </c>
      <c r="D381" s="0" t="s">
        <v>3446</v>
      </c>
      <c r="E381" s="0" t="n">
        <v>1.3</v>
      </c>
      <c r="F381" s="0" t="n">
        <v>5.5325</v>
      </c>
      <c r="G381" s="0" t="n">
        <v>7.19225</v>
      </c>
      <c r="H381" s="0" t="s">
        <v>3785</v>
      </c>
      <c r="I381" s="0" t="str">
        <f aca="false">A381&amp;"|"&amp;TRIM(D381)</f>
        <v>128|+5 DOC</v>
      </c>
    </row>
    <row r="382" customFormat="false" ht="15" hidden="false" customHeight="false" outlineLevel="0" collapsed="false">
      <c r="A382" s="0" t="n">
        <v>128</v>
      </c>
      <c r="B382" s="0" t="s">
        <v>1918</v>
      </c>
      <c r="C382" s="0" t="s">
        <v>1920</v>
      </c>
      <c r="D382" s="0" t="s">
        <v>9</v>
      </c>
      <c r="E382" s="0" t="n">
        <v>1.6</v>
      </c>
      <c r="F382" s="0" t="n">
        <v>5.5325</v>
      </c>
      <c r="G382" s="0" t="n">
        <v>8.852</v>
      </c>
      <c r="H382" s="0" t="s">
        <v>3786</v>
      </c>
      <c r="I382" s="0" t="str">
        <f aca="false">A382&amp;"|"&amp;TRIM(D382)</f>
        <v>128|1 A 5 DOC</v>
      </c>
    </row>
    <row r="383" customFormat="false" ht="15" hidden="false" customHeight="false" outlineLevel="0" collapsed="false">
      <c r="A383" s="0" t="n">
        <v>128</v>
      </c>
      <c r="B383" s="0" t="s">
        <v>1918</v>
      </c>
      <c r="C383" s="0" t="s">
        <v>1920</v>
      </c>
      <c r="D383" s="0" t="s">
        <v>3449</v>
      </c>
      <c r="E383" s="0" t="n">
        <v>1.99</v>
      </c>
      <c r="F383" s="0" t="n">
        <v>5.5325</v>
      </c>
      <c r="G383" s="0" t="n">
        <v>11.009675</v>
      </c>
      <c r="H383" s="0" t="s">
        <v>3787</v>
      </c>
      <c r="I383" s="0" t="str">
        <f aca="false">A383&amp;"|"&amp;TRIM(D383)</f>
        <v>128|DETAL</v>
      </c>
    </row>
    <row r="384" customFormat="false" ht="15" hidden="false" customHeight="false" outlineLevel="0" collapsed="false">
      <c r="A384" s="0" t="n">
        <v>129</v>
      </c>
      <c r="B384" s="0" t="s">
        <v>1918</v>
      </c>
      <c r="C384" s="0" t="s">
        <v>1920</v>
      </c>
      <c r="D384" s="0" t="s">
        <v>3446</v>
      </c>
      <c r="E384" s="0" t="n">
        <v>1.45</v>
      </c>
      <c r="F384" s="0" t="n">
        <v>4.836</v>
      </c>
      <c r="G384" s="0" t="n">
        <v>7.0122</v>
      </c>
      <c r="H384" s="0" t="s">
        <v>3751</v>
      </c>
      <c r="I384" s="0" t="str">
        <f aca="false">A384&amp;"|"&amp;TRIM(D384)</f>
        <v>129|+5 DOC</v>
      </c>
    </row>
    <row r="385" customFormat="false" ht="15" hidden="false" customHeight="false" outlineLevel="0" collapsed="false">
      <c r="A385" s="0" t="n">
        <v>129</v>
      </c>
      <c r="B385" s="0" t="s">
        <v>1918</v>
      </c>
      <c r="C385" s="0" t="s">
        <v>1920</v>
      </c>
      <c r="D385" s="0" t="s">
        <v>9</v>
      </c>
      <c r="E385" s="0" t="n">
        <v>1.65</v>
      </c>
      <c r="F385" s="0" t="n">
        <v>4.836</v>
      </c>
      <c r="G385" s="0" t="n">
        <v>7.9794</v>
      </c>
      <c r="H385" s="0" t="s">
        <v>3752</v>
      </c>
      <c r="I385" s="0" t="str">
        <f aca="false">A385&amp;"|"&amp;TRIM(D385)</f>
        <v>129|1 A 5 DOC</v>
      </c>
    </row>
    <row r="386" customFormat="false" ht="15" hidden="false" customHeight="false" outlineLevel="0" collapsed="false">
      <c r="A386" s="0" t="n">
        <v>129</v>
      </c>
      <c r="B386" s="0" t="s">
        <v>1918</v>
      </c>
      <c r="C386" s="0" t="s">
        <v>1920</v>
      </c>
      <c r="D386" s="0" t="s">
        <v>3449</v>
      </c>
      <c r="E386" s="0" t="n">
        <v>1.99</v>
      </c>
      <c r="F386" s="0" t="n">
        <v>4.836</v>
      </c>
      <c r="G386" s="0" t="n">
        <v>9.62364</v>
      </c>
      <c r="H386" s="0" t="s">
        <v>3788</v>
      </c>
      <c r="I386" s="0" t="str">
        <f aca="false">A386&amp;"|"&amp;TRIM(D386)</f>
        <v>129|DETAL</v>
      </c>
    </row>
    <row r="387" customFormat="false" ht="15" hidden="false" customHeight="false" outlineLevel="0" collapsed="false">
      <c r="A387" s="0" t="n">
        <v>130</v>
      </c>
      <c r="B387" s="0" t="s">
        <v>1918</v>
      </c>
      <c r="C387" s="0" t="s">
        <v>1920</v>
      </c>
      <c r="D387" s="0" t="s">
        <v>3446</v>
      </c>
      <c r="E387" s="0" t="n">
        <v>1.3</v>
      </c>
      <c r="F387" s="0" t="n">
        <v>0.875</v>
      </c>
      <c r="G387" s="0" t="n">
        <v>1.1375</v>
      </c>
      <c r="H387" s="0" t="s">
        <v>3753</v>
      </c>
      <c r="I387" s="0" t="str">
        <f aca="false">A387&amp;"|"&amp;TRIM(D387)</f>
        <v>130|+5 DOC</v>
      </c>
    </row>
    <row r="388" customFormat="false" ht="15" hidden="false" customHeight="false" outlineLevel="0" collapsed="false">
      <c r="A388" s="0" t="n">
        <v>130</v>
      </c>
      <c r="B388" s="0" t="s">
        <v>1918</v>
      </c>
      <c r="C388" s="0" t="s">
        <v>1920</v>
      </c>
      <c r="D388" s="0" t="s">
        <v>9</v>
      </c>
      <c r="E388" s="0" t="n">
        <v>1.7</v>
      </c>
      <c r="F388" s="0" t="n">
        <v>0.875</v>
      </c>
      <c r="G388" s="0" t="n">
        <v>1.4875</v>
      </c>
      <c r="H388" s="0" t="s">
        <v>3754</v>
      </c>
      <c r="I388" s="0" t="str">
        <f aca="false">A388&amp;"|"&amp;TRIM(D388)</f>
        <v>130|1 A 5 DOC</v>
      </c>
    </row>
    <row r="389" customFormat="false" ht="15" hidden="false" customHeight="false" outlineLevel="0" collapsed="false">
      <c r="A389" s="0" t="n">
        <v>130</v>
      </c>
      <c r="B389" s="0" t="s">
        <v>1918</v>
      </c>
      <c r="C389" s="0" t="s">
        <v>1920</v>
      </c>
      <c r="D389" s="0" t="s">
        <v>3449</v>
      </c>
      <c r="E389" s="0" t="n">
        <v>1.99</v>
      </c>
      <c r="F389" s="0" t="n">
        <v>0.875</v>
      </c>
      <c r="G389" s="0" t="n">
        <v>1.74125</v>
      </c>
      <c r="H389" s="0" t="s">
        <v>3755</v>
      </c>
      <c r="I389" s="0" t="str">
        <f aca="false">A389&amp;"|"&amp;TRIM(D389)</f>
        <v>130|DETAL</v>
      </c>
    </row>
    <row r="390" customFormat="false" ht="15" hidden="false" customHeight="false" outlineLevel="0" collapsed="false">
      <c r="A390" s="0" t="n">
        <v>131</v>
      </c>
      <c r="B390" s="0" t="s">
        <v>1918</v>
      </c>
      <c r="C390" s="0" t="s">
        <v>1920</v>
      </c>
      <c r="D390" s="0" t="s">
        <v>3446</v>
      </c>
      <c r="E390" s="0" t="n">
        <v>1.4</v>
      </c>
      <c r="F390" s="0" t="n">
        <v>6.1865</v>
      </c>
      <c r="G390" s="0" t="n">
        <v>8.6611</v>
      </c>
      <c r="H390" s="0" t="s">
        <v>3789</v>
      </c>
      <c r="I390" s="0" t="str">
        <f aca="false">A390&amp;"|"&amp;TRIM(D390)</f>
        <v>131|+5 DOC</v>
      </c>
    </row>
    <row r="391" customFormat="false" ht="15" hidden="false" customHeight="false" outlineLevel="0" collapsed="false">
      <c r="A391" s="0" t="n">
        <v>131</v>
      </c>
      <c r="B391" s="0" t="s">
        <v>1918</v>
      </c>
      <c r="C391" s="0" t="s">
        <v>1920</v>
      </c>
      <c r="D391" s="0" t="s">
        <v>9</v>
      </c>
      <c r="E391" s="0" t="n">
        <v>1.65</v>
      </c>
      <c r="F391" s="0" t="n">
        <v>6.1865</v>
      </c>
      <c r="G391" s="0" t="n">
        <v>10.207725</v>
      </c>
      <c r="H391" s="0" t="s">
        <v>3790</v>
      </c>
      <c r="I391" s="0" t="str">
        <f aca="false">A391&amp;"|"&amp;TRIM(D391)</f>
        <v>131|1 A 5 DOC</v>
      </c>
    </row>
    <row r="392" customFormat="false" ht="15" hidden="false" customHeight="false" outlineLevel="0" collapsed="false">
      <c r="A392" s="0" t="n">
        <v>131</v>
      </c>
      <c r="B392" s="0" t="s">
        <v>1918</v>
      </c>
      <c r="C392" s="0" t="s">
        <v>1920</v>
      </c>
      <c r="D392" s="0" t="s">
        <v>3449</v>
      </c>
      <c r="E392" s="0" t="n">
        <v>1.99</v>
      </c>
      <c r="F392" s="0" t="n">
        <v>6.1865</v>
      </c>
      <c r="G392" s="0" t="n">
        <v>12.311135</v>
      </c>
      <c r="H392" s="0" t="s">
        <v>3791</v>
      </c>
      <c r="I392" s="0" t="str">
        <f aca="false">A392&amp;"|"&amp;TRIM(D392)</f>
        <v>131|DETAL</v>
      </c>
    </row>
    <row r="393" customFormat="false" ht="15" hidden="false" customHeight="false" outlineLevel="0" collapsed="false">
      <c r="A393" s="0" t="n">
        <v>132</v>
      </c>
      <c r="B393" s="0" t="s">
        <v>1918</v>
      </c>
      <c r="C393" s="0" t="s">
        <v>1920</v>
      </c>
      <c r="D393" s="0" t="s">
        <v>3446</v>
      </c>
      <c r="E393" s="0" t="n">
        <v>1.45</v>
      </c>
      <c r="F393" s="0" t="n">
        <v>5.518</v>
      </c>
      <c r="G393" s="0" t="n">
        <v>8.0011</v>
      </c>
      <c r="H393" s="0" t="s">
        <v>3792</v>
      </c>
      <c r="I393" s="0" t="str">
        <f aca="false">A393&amp;"|"&amp;TRIM(D393)</f>
        <v>132|+5 DOC</v>
      </c>
    </row>
    <row r="394" customFormat="false" ht="15" hidden="false" customHeight="false" outlineLevel="0" collapsed="false">
      <c r="A394" s="0" t="n">
        <v>132</v>
      </c>
      <c r="B394" s="0" t="s">
        <v>1918</v>
      </c>
      <c r="C394" s="0" t="s">
        <v>1920</v>
      </c>
      <c r="D394" s="0" t="s">
        <v>9</v>
      </c>
      <c r="E394" s="0" t="n">
        <v>1.65</v>
      </c>
      <c r="F394" s="0" t="n">
        <v>5.518</v>
      </c>
      <c r="G394" s="0" t="n">
        <v>9.1047</v>
      </c>
      <c r="H394" s="0" t="s">
        <v>3793</v>
      </c>
      <c r="I394" s="0" t="str">
        <f aca="false">A394&amp;"|"&amp;TRIM(D394)</f>
        <v>132|1 A 5 DOC</v>
      </c>
    </row>
    <row r="395" customFormat="false" ht="15" hidden="false" customHeight="false" outlineLevel="0" collapsed="false">
      <c r="A395" s="0" t="n">
        <v>132</v>
      </c>
      <c r="B395" s="0" t="s">
        <v>1918</v>
      </c>
      <c r="C395" s="0" t="s">
        <v>1920</v>
      </c>
      <c r="D395" s="0" t="s">
        <v>3449</v>
      </c>
      <c r="E395" s="0" t="n">
        <v>1.99</v>
      </c>
      <c r="F395" s="0" t="n">
        <v>5.518</v>
      </c>
      <c r="G395" s="0" t="n">
        <v>10.98082</v>
      </c>
      <c r="H395" s="0" t="s">
        <v>3794</v>
      </c>
      <c r="I395" s="0" t="str">
        <f aca="false">A395&amp;"|"&amp;TRIM(D395)</f>
        <v>132|DETAL</v>
      </c>
    </row>
    <row r="396" customFormat="false" ht="15" hidden="false" customHeight="false" outlineLevel="0" collapsed="false">
      <c r="A396" s="0" t="n">
        <v>133</v>
      </c>
      <c r="B396" s="0" t="s">
        <v>1918</v>
      </c>
      <c r="C396" s="0" t="s">
        <v>1407</v>
      </c>
      <c r="D396" s="0" t="s">
        <v>3446</v>
      </c>
      <c r="E396" s="0" t="n">
        <v>1.35</v>
      </c>
      <c r="F396" s="0" t="n">
        <v>3.4775</v>
      </c>
      <c r="G396" s="0" t="n">
        <v>4.694625</v>
      </c>
      <c r="H396" s="0" t="s">
        <v>3644</v>
      </c>
      <c r="I396" s="0" t="str">
        <f aca="false">A396&amp;"|"&amp;TRIM(D396)</f>
        <v>133|+5 DOC</v>
      </c>
    </row>
    <row r="397" customFormat="false" ht="15" hidden="false" customHeight="false" outlineLevel="0" collapsed="false">
      <c r="A397" s="0" t="n">
        <v>133</v>
      </c>
      <c r="B397" s="0" t="s">
        <v>1918</v>
      </c>
      <c r="C397" s="0" t="s">
        <v>1407</v>
      </c>
      <c r="D397" s="0" t="s">
        <v>9</v>
      </c>
      <c r="E397" s="0" t="n">
        <v>1.65</v>
      </c>
      <c r="F397" s="0" t="n">
        <v>3.4775</v>
      </c>
      <c r="G397" s="0" t="n">
        <v>5.737875</v>
      </c>
      <c r="H397" s="0" t="s">
        <v>3645</v>
      </c>
      <c r="I397" s="0" t="str">
        <f aca="false">A397&amp;"|"&amp;TRIM(D397)</f>
        <v>133|1 A 5 DOC</v>
      </c>
    </row>
    <row r="398" customFormat="false" ht="15" hidden="false" customHeight="false" outlineLevel="0" collapsed="false">
      <c r="A398" s="0" t="n">
        <v>133</v>
      </c>
      <c r="B398" s="0" t="s">
        <v>1918</v>
      </c>
      <c r="C398" s="0" t="s">
        <v>1407</v>
      </c>
      <c r="D398" s="0" t="s">
        <v>3449</v>
      </c>
      <c r="E398" s="0" t="n">
        <v>1.99</v>
      </c>
      <c r="F398" s="0" t="n">
        <v>3.4775</v>
      </c>
      <c r="G398" s="0" t="n">
        <v>6.920225</v>
      </c>
      <c r="H398" s="0" t="s">
        <v>3795</v>
      </c>
      <c r="I398" s="0" t="str">
        <f aca="false">A398&amp;"|"&amp;TRIM(D398)</f>
        <v>133|DETAL</v>
      </c>
    </row>
    <row r="399" customFormat="false" ht="15" hidden="false" customHeight="false" outlineLevel="0" collapsed="false">
      <c r="A399" s="0" t="n">
        <v>134</v>
      </c>
      <c r="B399" s="0" t="s">
        <v>1918</v>
      </c>
      <c r="C399" s="0" t="s">
        <v>311</v>
      </c>
      <c r="D399" s="0" t="s">
        <v>3446</v>
      </c>
      <c r="E399" s="0" t="n">
        <v>1.3</v>
      </c>
      <c r="F399" s="0" t="n">
        <v>3.03157894736842</v>
      </c>
      <c r="G399" s="0" t="n">
        <v>3.94105263157895</v>
      </c>
      <c r="H399" s="0" t="s">
        <v>3796</v>
      </c>
      <c r="I399" s="0" t="str">
        <f aca="false">A399&amp;"|"&amp;TRIM(D399)</f>
        <v>134|+5 DOC</v>
      </c>
    </row>
    <row r="400" customFormat="false" ht="15" hidden="false" customHeight="false" outlineLevel="0" collapsed="false">
      <c r="A400" s="0" t="n">
        <v>134</v>
      </c>
      <c r="B400" s="0" t="s">
        <v>1918</v>
      </c>
      <c r="C400" s="0" t="s">
        <v>311</v>
      </c>
      <c r="D400" s="0" t="s">
        <v>9</v>
      </c>
      <c r="E400" s="0" t="n">
        <v>1.7</v>
      </c>
      <c r="F400" s="0" t="n">
        <v>3.03157894736842</v>
      </c>
      <c r="G400" s="0" t="n">
        <v>5.15368421052632</v>
      </c>
      <c r="H400" s="0" t="s">
        <v>3797</v>
      </c>
      <c r="I400" s="0" t="str">
        <f aca="false">A400&amp;"|"&amp;TRIM(D400)</f>
        <v>134|1 A 5 DOC</v>
      </c>
    </row>
    <row r="401" customFormat="false" ht="15" hidden="false" customHeight="false" outlineLevel="0" collapsed="false">
      <c r="A401" s="0" t="n">
        <v>134</v>
      </c>
      <c r="B401" s="0" t="s">
        <v>1918</v>
      </c>
      <c r="C401" s="0" t="s">
        <v>311</v>
      </c>
      <c r="D401" s="0" t="s">
        <v>3449</v>
      </c>
      <c r="E401" s="0" t="n">
        <v>1.99</v>
      </c>
      <c r="F401" s="0" t="n">
        <v>3.03157894736842</v>
      </c>
      <c r="G401" s="0" t="n">
        <v>6.03284210526316</v>
      </c>
      <c r="H401" s="0" t="s">
        <v>3798</v>
      </c>
      <c r="I401" s="0" t="str">
        <f aca="false">A401&amp;"|"&amp;TRIM(D401)</f>
        <v>134|DETAL</v>
      </c>
    </row>
    <row r="402" customFormat="false" ht="15" hidden="false" customHeight="false" outlineLevel="0" collapsed="false">
      <c r="A402" s="0" t="n">
        <v>135</v>
      </c>
      <c r="B402" s="0" t="s">
        <v>1918</v>
      </c>
      <c r="C402" s="0" t="s">
        <v>2047</v>
      </c>
      <c r="D402" s="0" t="s">
        <v>3446</v>
      </c>
      <c r="E402" s="0" t="n">
        <v>1.4</v>
      </c>
      <c r="F402" s="0" t="n">
        <v>2.575</v>
      </c>
      <c r="G402" s="0" t="n">
        <v>3.605</v>
      </c>
      <c r="H402" s="0" t="s">
        <v>3799</v>
      </c>
      <c r="I402" s="0" t="str">
        <f aca="false">A402&amp;"|"&amp;TRIM(D402)</f>
        <v>135|+5 DOC</v>
      </c>
    </row>
    <row r="403" customFormat="false" ht="15" hidden="false" customHeight="false" outlineLevel="0" collapsed="false">
      <c r="A403" s="0" t="n">
        <v>135</v>
      </c>
      <c r="B403" s="0" t="s">
        <v>1918</v>
      </c>
      <c r="C403" s="0" t="s">
        <v>2047</v>
      </c>
      <c r="D403" s="0" t="s">
        <v>9</v>
      </c>
      <c r="E403" s="0" t="n">
        <v>1.7</v>
      </c>
      <c r="F403" s="0" t="n">
        <v>2.575</v>
      </c>
      <c r="G403" s="0" t="n">
        <v>4.3775</v>
      </c>
      <c r="H403" s="0" t="s">
        <v>3800</v>
      </c>
      <c r="I403" s="0" t="str">
        <f aca="false">A403&amp;"|"&amp;TRIM(D403)</f>
        <v>135|1 A 5 DOC</v>
      </c>
    </row>
    <row r="404" customFormat="false" ht="15" hidden="false" customHeight="false" outlineLevel="0" collapsed="false">
      <c r="A404" s="0" t="n">
        <v>135</v>
      </c>
      <c r="B404" s="0" t="s">
        <v>1918</v>
      </c>
      <c r="C404" s="0" t="s">
        <v>2047</v>
      </c>
      <c r="D404" s="0" t="s">
        <v>3449</v>
      </c>
      <c r="E404" s="0" t="n">
        <v>1.99</v>
      </c>
      <c r="F404" s="0" t="n">
        <v>2.575</v>
      </c>
      <c r="G404" s="0" t="n">
        <v>5.12425</v>
      </c>
      <c r="H404" s="0" t="s">
        <v>3801</v>
      </c>
      <c r="I404" s="0" t="str">
        <f aca="false">A404&amp;"|"&amp;TRIM(D404)</f>
        <v>135|DETAL</v>
      </c>
    </row>
    <row r="405" customFormat="false" ht="15" hidden="false" customHeight="false" outlineLevel="0" collapsed="false">
      <c r="A405" s="0" t="n">
        <v>136</v>
      </c>
      <c r="B405" s="0" t="s">
        <v>1918</v>
      </c>
      <c r="C405" s="0" t="s">
        <v>2063</v>
      </c>
      <c r="D405" s="0" t="s">
        <v>3446</v>
      </c>
      <c r="E405" s="0" t="n">
        <v>1.45</v>
      </c>
      <c r="F405" s="0" t="n">
        <v>4.88736842105263</v>
      </c>
      <c r="G405" s="0" t="n">
        <v>7.08668421052632</v>
      </c>
      <c r="H405" s="0" t="s">
        <v>3802</v>
      </c>
      <c r="I405" s="0" t="str">
        <f aca="false">A405&amp;"|"&amp;TRIM(D405)</f>
        <v>136|+5 DOC</v>
      </c>
    </row>
    <row r="406" customFormat="false" ht="15" hidden="false" customHeight="false" outlineLevel="0" collapsed="false">
      <c r="A406" s="0" t="n">
        <v>136</v>
      </c>
      <c r="B406" s="0" t="s">
        <v>1918</v>
      </c>
      <c r="C406" s="0" t="s">
        <v>2063</v>
      </c>
      <c r="D406" s="0" t="s">
        <v>9</v>
      </c>
      <c r="E406" s="0" t="n">
        <v>1.65</v>
      </c>
      <c r="F406" s="0" t="n">
        <v>4.88736842105263</v>
      </c>
      <c r="G406" s="0" t="n">
        <v>8.06415789473684</v>
      </c>
      <c r="H406" s="0" t="s">
        <v>3803</v>
      </c>
      <c r="I406" s="0" t="str">
        <f aca="false">A406&amp;"|"&amp;TRIM(D406)</f>
        <v>136|1 A 5 DOC</v>
      </c>
    </row>
    <row r="407" customFormat="false" ht="15" hidden="false" customHeight="false" outlineLevel="0" collapsed="false">
      <c r="A407" s="0" t="n">
        <v>136</v>
      </c>
      <c r="B407" s="0" t="s">
        <v>1918</v>
      </c>
      <c r="C407" s="0" t="s">
        <v>2063</v>
      </c>
      <c r="D407" s="0" t="s">
        <v>3449</v>
      </c>
      <c r="E407" s="0" t="n">
        <v>1.99</v>
      </c>
      <c r="F407" s="0" t="n">
        <v>4.88736842105263</v>
      </c>
      <c r="G407" s="0" t="n">
        <v>9.72586315789474</v>
      </c>
      <c r="H407" s="0" t="s">
        <v>3804</v>
      </c>
      <c r="I407" s="0" t="str">
        <f aca="false">A407&amp;"|"&amp;TRIM(D407)</f>
        <v>136|DETAL</v>
      </c>
    </row>
    <row r="408" customFormat="false" ht="15" hidden="false" customHeight="false" outlineLevel="0" collapsed="false">
      <c r="A408" s="0" t="n">
        <v>137</v>
      </c>
      <c r="B408" s="0" t="s">
        <v>1918</v>
      </c>
      <c r="C408" s="0" t="s">
        <v>349</v>
      </c>
      <c r="D408" s="0" t="s">
        <v>3446</v>
      </c>
      <c r="E408" s="0" t="n">
        <v>1.4</v>
      </c>
      <c r="F408" s="0" t="n">
        <v>3.93</v>
      </c>
      <c r="G408" s="0" t="n">
        <v>5.502</v>
      </c>
      <c r="H408" s="0" t="s">
        <v>3805</v>
      </c>
      <c r="I408" s="0" t="str">
        <f aca="false">A408&amp;"|"&amp;TRIM(D408)</f>
        <v>137|+5 DOC</v>
      </c>
    </row>
    <row r="409" customFormat="false" ht="15" hidden="false" customHeight="false" outlineLevel="0" collapsed="false">
      <c r="A409" s="0" t="n">
        <v>137</v>
      </c>
      <c r="B409" s="0" t="s">
        <v>1918</v>
      </c>
      <c r="C409" s="0" t="s">
        <v>349</v>
      </c>
      <c r="D409" s="0" t="s">
        <v>9</v>
      </c>
      <c r="E409" s="0" t="n">
        <v>1.75</v>
      </c>
      <c r="F409" s="0" t="n">
        <v>3.93</v>
      </c>
      <c r="G409" s="0" t="n">
        <v>6.8775</v>
      </c>
      <c r="H409" s="0" t="s">
        <v>3806</v>
      </c>
      <c r="I409" s="0" t="str">
        <f aca="false">A409&amp;"|"&amp;TRIM(D409)</f>
        <v>137|1 A 5 DOC</v>
      </c>
    </row>
    <row r="410" customFormat="false" ht="15" hidden="false" customHeight="false" outlineLevel="0" collapsed="false">
      <c r="A410" s="0" t="n">
        <v>137</v>
      </c>
      <c r="B410" s="0" t="s">
        <v>1918</v>
      </c>
      <c r="C410" s="0" t="s">
        <v>349</v>
      </c>
      <c r="D410" s="0" t="s">
        <v>3449</v>
      </c>
      <c r="E410" s="0" t="n">
        <v>1.99</v>
      </c>
      <c r="F410" s="0" t="n">
        <v>3.93</v>
      </c>
      <c r="G410" s="0" t="n">
        <v>7.8207</v>
      </c>
      <c r="H410" s="0" t="s">
        <v>3807</v>
      </c>
      <c r="I410" s="0" t="str">
        <f aca="false">A410&amp;"|"&amp;TRIM(D410)</f>
        <v>137|DETAL</v>
      </c>
    </row>
    <row r="411" customFormat="false" ht="15" hidden="false" customHeight="false" outlineLevel="0" collapsed="false">
      <c r="A411" s="0" t="n">
        <v>138</v>
      </c>
      <c r="B411" s="0" t="s">
        <v>1918</v>
      </c>
      <c r="C411" s="0" t="s">
        <v>1407</v>
      </c>
      <c r="D411" s="0" t="s">
        <v>3446</v>
      </c>
      <c r="E411" s="0" t="n">
        <v>1.4</v>
      </c>
      <c r="F411" s="0" t="n">
        <v>3.334</v>
      </c>
      <c r="G411" s="0" t="n">
        <v>4.6676</v>
      </c>
      <c r="H411" s="0" t="s">
        <v>3808</v>
      </c>
      <c r="I411" s="0" t="str">
        <f aca="false">A411&amp;"|"&amp;TRIM(D411)</f>
        <v>138|+5 DOC</v>
      </c>
    </row>
    <row r="412" customFormat="false" ht="15" hidden="false" customHeight="false" outlineLevel="0" collapsed="false">
      <c r="A412" s="0" t="n">
        <v>138</v>
      </c>
      <c r="B412" s="0" t="s">
        <v>1918</v>
      </c>
      <c r="C412" s="0" t="s">
        <v>1407</v>
      </c>
      <c r="D412" s="0" t="s">
        <v>9</v>
      </c>
      <c r="E412" s="0" t="n">
        <v>1.6</v>
      </c>
      <c r="F412" s="0" t="n">
        <v>3.334</v>
      </c>
      <c r="G412" s="0" t="n">
        <v>5.3344</v>
      </c>
      <c r="H412" s="0" t="s">
        <v>3809</v>
      </c>
      <c r="I412" s="0" t="str">
        <f aca="false">A412&amp;"|"&amp;TRIM(D412)</f>
        <v>138|1 A 5 DOC</v>
      </c>
    </row>
    <row r="413" customFormat="false" ht="15" hidden="false" customHeight="false" outlineLevel="0" collapsed="false">
      <c r="A413" s="0" t="n">
        <v>138</v>
      </c>
      <c r="B413" s="0" t="s">
        <v>1918</v>
      </c>
      <c r="C413" s="0" t="s">
        <v>1407</v>
      </c>
      <c r="D413" s="0" t="s">
        <v>3449</v>
      </c>
      <c r="E413" s="0" t="n">
        <v>1.99</v>
      </c>
      <c r="F413" s="0" t="n">
        <v>3.334</v>
      </c>
      <c r="G413" s="0" t="n">
        <v>6.63466</v>
      </c>
      <c r="H413" s="0" t="s">
        <v>3810</v>
      </c>
      <c r="I413" s="0" t="str">
        <f aca="false">A413&amp;"|"&amp;TRIM(D413)</f>
        <v>138|DETAL</v>
      </c>
    </row>
    <row r="414" customFormat="false" ht="15" hidden="false" customHeight="false" outlineLevel="0" collapsed="false">
      <c r="A414" s="0" t="n">
        <v>139</v>
      </c>
      <c r="B414" s="0" t="s">
        <v>1918</v>
      </c>
      <c r="C414" s="0" t="s">
        <v>2110</v>
      </c>
      <c r="D414" s="0" t="s">
        <v>3446</v>
      </c>
      <c r="E414" s="0" t="n">
        <v>1.4</v>
      </c>
      <c r="F414" s="0" t="n">
        <v>5.86</v>
      </c>
      <c r="G414" s="0" t="n">
        <v>8.204</v>
      </c>
      <c r="H414" s="0" t="s">
        <v>3811</v>
      </c>
      <c r="I414" s="0" t="str">
        <f aca="false">A414&amp;"|"&amp;TRIM(D414)</f>
        <v>139|+5 DOC</v>
      </c>
    </row>
    <row r="415" customFormat="false" ht="15" hidden="false" customHeight="false" outlineLevel="0" collapsed="false">
      <c r="A415" s="0" t="n">
        <v>139</v>
      </c>
      <c r="B415" s="0" t="s">
        <v>1918</v>
      </c>
      <c r="C415" s="0" t="s">
        <v>2110</v>
      </c>
      <c r="D415" s="0" t="s">
        <v>9</v>
      </c>
      <c r="E415" s="0" t="n">
        <v>1.65</v>
      </c>
      <c r="F415" s="0" t="n">
        <v>5.86</v>
      </c>
      <c r="G415" s="0" t="n">
        <v>9.669</v>
      </c>
      <c r="H415" s="0" t="s">
        <v>3812</v>
      </c>
      <c r="I415" s="0" t="str">
        <f aca="false">A415&amp;"|"&amp;TRIM(D415)</f>
        <v>139|1 A 5 DOC</v>
      </c>
    </row>
    <row r="416" customFormat="false" ht="15" hidden="false" customHeight="false" outlineLevel="0" collapsed="false">
      <c r="A416" s="0" t="n">
        <v>139</v>
      </c>
      <c r="B416" s="0" t="s">
        <v>1918</v>
      </c>
      <c r="C416" s="0" t="s">
        <v>2110</v>
      </c>
      <c r="D416" s="0" t="s">
        <v>3449</v>
      </c>
      <c r="E416" s="0" t="n">
        <v>1.99</v>
      </c>
      <c r="F416" s="0" t="n">
        <v>5.86</v>
      </c>
      <c r="G416" s="0" t="n">
        <v>11.6614</v>
      </c>
      <c r="H416" s="0" t="s">
        <v>3813</v>
      </c>
      <c r="I416" s="0" t="str">
        <f aca="false">A416&amp;"|"&amp;TRIM(D416)</f>
        <v>139|DETAL</v>
      </c>
    </row>
    <row r="417" customFormat="false" ht="15" hidden="false" customHeight="false" outlineLevel="0" collapsed="false">
      <c r="A417" s="0" t="n">
        <v>140</v>
      </c>
      <c r="B417" s="0" t="s">
        <v>2128</v>
      </c>
      <c r="C417" s="0" t="s">
        <v>2129</v>
      </c>
      <c r="D417" s="0" t="s">
        <v>3446</v>
      </c>
      <c r="E417" s="0" t="n">
        <v>1.45</v>
      </c>
      <c r="F417" s="0" t="n">
        <v>9.27854251012146</v>
      </c>
      <c r="G417" s="0" t="n">
        <v>13.4538866396761</v>
      </c>
      <c r="H417" s="0" t="s">
        <v>3649</v>
      </c>
      <c r="I417" s="0" t="str">
        <f aca="false">A417&amp;"|"&amp;TRIM(D417)</f>
        <v>140|+5 DOC</v>
      </c>
    </row>
    <row r="418" customFormat="false" ht="15" hidden="false" customHeight="false" outlineLevel="0" collapsed="false">
      <c r="A418" s="0" t="n">
        <v>140</v>
      </c>
      <c r="B418" s="0" t="s">
        <v>2128</v>
      </c>
      <c r="C418" s="0" t="s">
        <v>2129</v>
      </c>
      <c r="D418" s="0" t="s">
        <v>9</v>
      </c>
      <c r="E418" s="0" t="n">
        <v>1.75</v>
      </c>
      <c r="F418" s="0" t="n">
        <v>9.27854251012146</v>
      </c>
      <c r="G418" s="0" t="n">
        <v>16.2374493927126</v>
      </c>
      <c r="H418" s="0" t="s">
        <v>3650</v>
      </c>
      <c r="I418" s="0" t="str">
        <f aca="false">A418&amp;"|"&amp;TRIM(D418)</f>
        <v>140|1 A 5 DOC</v>
      </c>
    </row>
    <row r="419" customFormat="false" ht="15" hidden="false" customHeight="false" outlineLevel="0" collapsed="false">
      <c r="A419" s="0" t="n">
        <v>140</v>
      </c>
      <c r="B419" s="0" t="s">
        <v>2128</v>
      </c>
      <c r="C419" s="0" t="s">
        <v>2129</v>
      </c>
      <c r="D419" s="0" t="s">
        <v>3449</v>
      </c>
      <c r="E419" s="0" t="n">
        <v>1.99</v>
      </c>
      <c r="F419" s="0" t="n">
        <v>9.27854251012146</v>
      </c>
      <c r="G419" s="0" t="n">
        <v>18.4642995951417</v>
      </c>
      <c r="H419" s="0" t="s">
        <v>3651</v>
      </c>
      <c r="I419" s="0" t="str">
        <f aca="false">A419&amp;"|"&amp;TRIM(D419)</f>
        <v>140|DETAL</v>
      </c>
    </row>
    <row r="420" customFormat="false" ht="15" hidden="false" customHeight="false" outlineLevel="0" collapsed="false">
      <c r="A420" s="0" t="n">
        <v>141</v>
      </c>
      <c r="B420" s="0" t="s">
        <v>2128</v>
      </c>
      <c r="C420" s="0" t="s">
        <v>90</v>
      </c>
      <c r="D420" s="0" t="s">
        <v>3446</v>
      </c>
      <c r="E420" s="0" t="n">
        <v>1.45</v>
      </c>
      <c r="F420" s="0" t="n">
        <v>7.08947368421053</v>
      </c>
      <c r="G420" s="0" t="n">
        <v>10.2797368421053</v>
      </c>
      <c r="H420" s="0" t="s">
        <v>3785</v>
      </c>
      <c r="I420" s="0" t="str">
        <f aca="false">A420&amp;"|"&amp;TRIM(D420)</f>
        <v>141|+5 DOC</v>
      </c>
    </row>
    <row r="421" customFormat="false" ht="15" hidden="false" customHeight="false" outlineLevel="0" collapsed="false">
      <c r="A421" s="0" t="n">
        <v>141</v>
      </c>
      <c r="B421" s="0" t="s">
        <v>2128</v>
      </c>
      <c r="C421" s="0" t="s">
        <v>90</v>
      </c>
      <c r="D421" s="0" t="s">
        <v>9</v>
      </c>
      <c r="E421" s="0" t="n">
        <v>1.75</v>
      </c>
      <c r="F421" s="0" t="n">
        <v>7.08947368421053</v>
      </c>
      <c r="G421" s="0" t="n">
        <v>12.4065789473684</v>
      </c>
      <c r="H421" s="0" t="s">
        <v>3786</v>
      </c>
      <c r="I421" s="0" t="str">
        <f aca="false">A421&amp;"|"&amp;TRIM(D421)</f>
        <v>141|1 A 5 DOC</v>
      </c>
    </row>
    <row r="422" customFormat="false" ht="15" hidden="false" customHeight="false" outlineLevel="0" collapsed="false">
      <c r="A422" s="0" t="n">
        <v>141</v>
      </c>
      <c r="B422" s="0" t="s">
        <v>2128</v>
      </c>
      <c r="C422" s="0" t="s">
        <v>90</v>
      </c>
      <c r="D422" s="0" t="s">
        <v>3449</v>
      </c>
      <c r="E422" s="0" t="n">
        <v>1.99</v>
      </c>
      <c r="F422" s="0" t="n">
        <v>7.08947368421053</v>
      </c>
      <c r="G422" s="0" t="n">
        <v>14.108052631579</v>
      </c>
      <c r="H422" s="0" t="s">
        <v>3787</v>
      </c>
      <c r="I422" s="0" t="str">
        <f aca="false">A422&amp;"|"&amp;TRIM(D422)</f>
        <v>141|DETAL</v>
      </c>
    </row>
    <row r="423" customFormat="false" ht="15" hidden="false" customHeight="false" outlineLevel="0" collapsed="false">
      <c r="A423" s="0" t="n">
        <v>142</v>
      </c>
      <c r="B423" s="0" t="s">
        <v>2128</v>
      </c>
      <c r="C423" s="0" t="s">
        <v>2160</v>
      </c>
      <c r="D423" s="0" t="s">
        <v>3446</v>
      </c>
      <c r="E423" s="0" t="n">
        <v>1.4</v>
      </c>
      <c r="F423" s="0" t="n">
        <v>11.0894736842105</v>
      </c>
      <c r="G423" s="0" t="n">
        <v>15.5252631578947</v>
      </c>
      <c r="H423" s="0" t="s">
        <v>3814</v>
      </c>
      <c r="I423" s="0" t="str">
        <f aca="false">A423&amp;"|"&amp;TRIM(D423)</f>
        <v>142|+5 DOC</v>
      </c>
    </row>
    <row r="424" customFormat="false" ht="15" hidden="false" customHeight="false" outlineLevel="0" collapsed="false">
      <c r="A424" s="0" t="n">
        <v>142</v>
      </c>
      <c r="B424" s="0" t="s">
        <v>2128</v>
      </c>
      <c r="C424" s="0" t="s">
        <v>2160</v>
      </c>
      <c r="D424" s="0" t="s">
        <v>9</v>
      </c>
      <c r="E424" s="0" t="n">
        <v>1.6</v>
      </c>
      <c r="F424" s="0" t="n">
        <v>11.0894736842105</v>
      </c>
      <c r="G424" s="0" t="n">
        <v>17.7431578947368</v>
      </c>
      <c r="H424" s="0" t="s">
        <v>3815</v>
      </c>
      <c r="I424" s="0" t="str">
        <f aca="false">A424&amp;"|"&amp;TRIM(D424)</f>
        <v>142|1 A 5 DOC</v>
      </c>
    </row>
    <row r="425" customFormat="false" ht="15" hidden="false" customHeight="false" outlineLevel="0" collapsed="false">
      <c r="A425" s="0" t="n">
        <v>142</v>
      </c>
      <c r="B425" s="0" t="s">
        <v>2128</v>
      </c>
      <c r="C425" s="0" t="s">
        <v>2160</v>
      </c>
      <c r="D425" s="0" t="s">
        <v>3449</v>
      </c>
      <c r="E425" s="0" t="n">
        <v>1.9</v>
      </c>
      <c r="F425" s="0" t="n">
        <v>11.0894736842105</v>
      </c>
      <c r="G425" s="0" t="n">
        <v>21.07</v>
      </c>
      <c r="H425" s="0" t="s">
        <v>3816</v>
      </c>
      <c r="I425" s="0" t="str">
        <f aca="false">A425&amp;"|"&amp;TRIM(D425)</f>
        <v>142|DETAL</v>
      </c>
    </row>
    <row r="426" customFormat="false" ht="15" hidden="false" customHeight="false" outlineLevel="0" collapsed="false">
      <c r="A426" s="0" t="n">
        <v>143</v>
      </c>
      <c r="B426" s="0" t="s">
        <v>2128</v>
      </c>
      <c r="C426" s="0" t="s">
        <v>2176</v>
      </c>
      <c r="D426" s="0" t="s">
        <v>3446</v>
      </c>
      <c r="E426" s="0" t="n">
        <v>1.45</v>
      </c>
      <c r="F426" s="0" t="n">
        <v>6.30947368421053</v>
      </c>
      <c r="G426" s="0" t="n">
        <v>9.14873684210526</v>
      </c>
      <c r="H426" s="0" t="s">
        <v>3604</v>
      </c>
      <c r="I426" s="0" t="str">
        <f aca="false">A426&amp;"|"&amp;TRIM(D426)</f>
        <v>143|+5 DOC</v>
      </c>
    </row>
    <row r="427" customFormat="false" ht="15" hidden="false" customHeight="false" outlineLevel="0" collapsed="false">
      <c r="A427" s="0" t="n">
        <v>143</v>
      </c>
      <c r="B427" s="0" t="s">
        <v>2128</v>
      </c>
      <c r="C427" s="0" t="s">
        <v>2176</v>
      </c>
      <c r="D427" s="0" t="s">
        <v>9</v>
      </c>
      <c r="E427" s="0" t="n">
        <v>1.75</v>
      </c>
      <c r="F427" s="0" t="n">
        <v>6.30947368421053</v>
      </c>
      <c r="G427" s="0" t="n">
        <v>11.0415789473684</v>
      </c>
      <c r="H427" s="0" t="s">
        <v>3605</v>
      </c>
      <c r="I427" s="0" t="str">
        <f aca="false">A427&amp;"|"&amp;TRIM(D427)</f>
        <v>143|1 A 5 DOC</v>
      </c>
    </row>
    <row r="428" customFormat="false" ht="15" hidden="false" customHeight="false" outlineLevel="0" collapsed="false">
      <c r="A428" s="0" t="n">
        <v>143</v>
      </c>
      <c r="B428" s="0" t="s">
        <v>2128</v>
      </c>
      <c r="C428" s="0" t="s">
        <v>2176</v>
      </c>
      <c r="D428" s="0" t="s">
        <v>3449</v>
      </c>
      <c r="E428" s="0" t="n">
        <v>1.99</v>
      </c>
      <c r="F428" s="0" t="n">
        <v>6.30947368421053</v>
      </c>
      <c r="G428" s="0" t="n">
        <v>12.555852631579</v>
      </c>
      <c r="H428" s="0" t="s">
        <v>3817</v>
      </c>
      <c r="I428" s="0" t="str">
        <f aca="false">A428&amp;"|"&amp;TRIM(D428)</f>
        <v>143|DETAL</v>
      </c>
    </row>
    <row r="429" customFormat="false" ht="15" hidden="false" customHeight="false" outlineLevel="0" collapsed="false">
      <c r="A429" s="0" t="n">
        <v>144</v>
      </c>
      <c r="B429" s="0" t="s">
        <v>2128</v>
      </c>
      <c r="C429" s="0" t="s">
        <v>52</v>
      </c>
      <c r="D429" s="0" t="s">
        <v>3446</v>
      </c>
      <c r="E429" s="0" t="n">
        <v>1.45</v>
      </c>
      <c r="F429" s="0" t="n">
        <v>7.30736842105263</v>
      </c>
      <c r="G429" s="0" t="n">
        <v>10.5956842105263</v>
      </c>
      <c r="H429" s="0" t="s">
        <v>3658</v>
      </c>
      <c r="I429" s="0" t="str">
        <f aca="false">A429&amp;"|"&amp;TRIM(D429)</f>
        <v>144|+5 DOC</v>
      </c>
    </row>
    <row r="430" customFormat="false" ht="15" hidden="false" customHeight="false" outlineLevel="0" collapsed="false">
      <c r="A430" s="0" t="n">
        <v>144</v>
      </c>
      <c r="B430" s="0" t="s">
        <v>2128</v>
      </c>
      <c r="C430" s="0" t="s">
        <v>52</v>
      </c>
      <c r="D430" s="0" t="s">
        <v>9</v>
      </c>
      <c r="E430" s="0" t="n">
        <v>1.75</v>
      </c>
      <c r="F430" s="0" t="n">
        <v>7.30736842105263</v>
      </c>
      <c r="G430" s="0" t="n">
        <v>12.7878947368421</v>
      </c>
      <c r="H430" s="0" t="s">
        <v>3659</v>
      </c>
      <c r="I430" s="0" t="str">
        <f aca="false">A430&amp;"|"&amp;TRIM(D430)</f>
        <v>144|1 A 5 DOC</v>
      </c>
    </row>
    <row r="431" customFormat="false" ht="15" hidden="false" customHeight="false" outlineLevel="0" collapsed="false">
      <c r="A431" s="0" t="n">
        <v>144</v>
      </c>
      <c r="B431" s="0" t="s">
        <v>2128</v>
      </c>
      <c r="C431" s="0" t="s">
        <v>52</v>
      </c>
      <c r="D431" s="0" t="s">
        <v>3449</v>
      </c>
      <c r="E431" s="0" t="n">
        <v>1.99</v>
      </c>
      <c r="F431" s="0" t="n">
        <v>7.30736842105263</v>
      </c>
      <c r="G431" s="0" t="n">
        <v>14.5416631578947</v>
      </c>
      <c r="H431" s="0" t="s">
        <v>3660</v>
      </c>
      <c r="I431" s="0" t="str">
        <f aca="false">A431&amp;"|"&amp;TRIM(D431)</f>
        <v>144|DETAL</v>
      </c>
    </row>
    <row r="432" customFormat="false" ht="15" hidden="false" customHeight="false" outlineLevel="0" collapsed="false">
      <c r="A432" s="0" t="n">
        <v>145</v>
      </c>
      <c r="B432" s="0" t="s">
        <v>2128</v>
      </c>
      <c r="C432" s="0" t="s">
        <v>349</v>
      </c>
      <c r="D432" s="0" t="s">
        <v>3446</v>
      </c>
      <c r="E432" s="0" t="n">
        <v>1.45</v>
      </c>
      <c r="F432" s="0" t="n">
        <v>9.05421052631579</v>
      </c>
      <c r="G432" s="0" t="n">
        <v>13.1286052631579</v>
      </c>
      <c r="H432" s="0" t="s">
        <v>3621</v>
      </c>
      <c r="I432" s="0" t="str">
        <f aca="false">A432&amp;"|"&amp;TRIM(D432)</f>
        <v>145|+5 DOC</v>
      </c>
    </row>
    <row r="433" customFormat="false" ht="15" hidden="false" customHeight="false" outlineLevel="0" collapsed="false">
      <c r="A433" s="0" t="n">
        <v>145</v>
      </c>
      <c r="B433" s="0" t="s">
        <v>2128</v>
      </c>
      <c r="C433" s="0" t="s">
        <v>349</v>
      </c>
      <c r="D433" s="0" t="s">
        <v>9</v>
      </c>
      <c r="E433" s="0" t="n">
        <v>1.75</v>
      </c>
      <c r="F433" s="0" t="n">
        <v>9.05421052631579</v>
      </c>
      <c r="G433" s="0" t="n">
        <v>15.8448684210526</v>
      </c>
      <c r="H433" s="0" t="s">
        <v>3622</v>
      </c>
      <c r="I433" s="0" t="str">
        <f aca="false">A433&amp;"|"&amp;TRIM(D433)</f>
        <v>145|1 A 5 DOC</v>
      </c>
    </row>
    <row r="434" customFormat="false" ht="15" hidden="false" customHeight="false" outlineLevel="0" collapsed="false">
      <c r="A434" s="0" t="n">
        <v>145</v>
      </c>
      <c r="B434" s="0" t="s">
        <v>2128</v>
      </c>
      <c r="C434" s="0" t="s">
        <v>349</v>
      </c>
      <c r="D434" s="0" t="s">
        <v>3449</v>
      </c>
      <c r="E434" s="0" t="n">
        <v>1.99</v>
      </c>
      <c r="F434" s="0" t="n">
        <v>9.05421052631579</v>
      </c>
      <c r="G434" s="0" t="n">
        <v>18.0178789473684</v>
      </c>
      <c r="H434" s="0" t="s">
        <v>3623</v>
      </c>
      <c r="I434" s="0" t="str">
        <f aca="false">A434&amp;"|"&amp;TRIM(D434)</f>
        <v>145|DETAL</v>
      </c>
    </row>
    <row r="435" customFormat="false" ht="15" hidden="false" customHeight="false" outlineLevel="0" collapsed="false">
      <c r="A435" s="0" t="n">
        <v>146</v>
      </c>
      <c r="B435" s="0" t="s">
        <v>2220</v>
      </c>
      <c r="C435" s="0" t="s">
        <v>311</v>
      </c>
      <c r="D435" s="0" t="s">
        <v>3446</v>
      </c>
      <c r="E435" s="0" t="n">
        <v>1.45</v>
      </c>
      <c r="F435" s="0" t="n">
        <v>4.46052631578947</v>
      </c>
      <c r="G435" s="0" t="n">
        <v>6.46776315789474</v>
      </c>
      <c r="H435" s="0" t="s">
        <v>3818</v>
      </c>
      <c r="I435" s="0" t="str">
        <f aca="false">A435&amp;"|"&amp;TRIM(D435)</f>
        <v>146|+5 DOC</v>
      </c>
    </row>
    <row r="436" customFormat="false" ht="15" hidden="false" customHeight="false" outlineLevel="0" collapsed="false">
      <c r="A436" s="0" t="n">
        <v>146</v>
      </c>
      <c r="B436" s="0" t="s">
        <v>2220</v>
      </c>
      <c r="C436" s="0" t="s">
        <v>311</v>
      </c>
      <c r="D436" s="0" t="s">
        <v>9</v>
      </c>
      <c r="E436" s="0" t="n">
        <v>1.6</v>
      </c>
      <c r="F436" s="0" t="n">
        <v>4.46052631578947</v>
      </c>
      <c r="G436" s="0" t="n">
        <v>7.13684210526316</v>
      </c>
      <c r="H436" s="0" t="s">
        <v>3819</v>
      </c>
      <c r="I436" s="0" t="str">
        <f aca="false">A436&amp;"|"&amp;TRIM(D436)</f>
        <v>146|1 A 5 DOC</v>
      </c>
    </row>
    <row r="437" customFormat="false" ht="15" hidden="false" customHeight="false" outlineLevel="0" collapsed="false">
      <c r="A437" s="0" t="n">
        <v>146</v>
      </c>
      <c r="B437" s="0" t="s">
        <v>2220</v>
      </c>
      <c r="C437" s="0" t="s">
        <v>311</v>
      </c>
      <c r="D437" s="0" t="s">
        <v>3449</v>
      </c>
      <c r="E437" s="0" t="n">
        <v>1.99</v>
      </c>
      <c r="F437" s="0" t="n">
        <v>4.46052631578947</v>
      </c>
      <c r="G437" s="0" t="n">
        <v>8.87644736842105</v>
      </c>
      <c r="H437" s="0" t="s">
        <v>3820</v>
      </c>
      <c r="I437" s="0" t="str">
        <f aca="false">A437&amp;"|"&amp;TRIM(D437)</f>
        <v>146|DETAL</v>
      </c>
    </row>
    <row r="438" customFormat="false" ht="15" hidden="false" customHeight="false" outlineLevel="0" collapsed="false">
      <c r="A438" s="0" t="n">
        <v>147</v>
      </c>
      <c r="B438" s="0" t="s">
        <v>2220</v>
      </c>
      <c r="C438" s="0" t="s">
        <v>311</v>
      </c>
      <c r="D438" s="0" t="s">
        <v>3446</v>
      </c>
      <c r="E438" s="0" t="n">
        <v>1.45</v>
      </c>
      <c r="F438" s="0" t="n">
        <v>4.65</v>
      </c>
      <c r="G438" s="0" t="n">
        <v>6.7425</v>
      </c>
      <c r="H438" s="0" t="s">
        <v>3821</v>
      </c>
      <c r="I438" s="0" t="str">
        <f aca="false">A438&amp;"|"&amp;TRIM(D438)</f>
        <v>147|+5 DOC</v>
      </c>
    </row>
    <row r="439" customFormat="false" ht="15" hidden="false" customHeight="false" outlineLevel="0" collapsed="false">
      <c r="A439" s="0" t="n">
        <v>147</v>
      </c>
      <c r="B439" s="0" t="s">
        <v>2220</v>
      </c>
      <c r="C439" s="0" t="s">
        <v>311</v>
      </c>
      <c r="D439" s="0" t="s">
        <v>9</v>
      </c>
      <c r="E439" s="0" t="n">
        <v>1.6</v>
      </c>
      <c r="F439" s="0" t="n">
        <v>4.65</v>
      </c>
      <c r="G439" s="0" t="n">
        <v>7.44</v>
      </c>
      <c r="H439" s="0" t="s">
        <v>3822</v>
      </c>
      <c r="I439" s="0" t="str">
        <f aca="false">A439&amp;"|"&amp;TRIM(D439)</f>
        <v>147|1 A 5 DOC</v>
      </c>
    </row>
    <row r="440" customFormat="false" ht="15" hidden="false" customHeight="false" outlineLevel="0" collapsed="false">
      <c r="A440" s="0" t="n">
        <v>147</v>
      </c>
      <c r="B440" s="0" t="s">
        <v>2220</v>
      </c>
      <c r="C440" s="0" t="s">
        <v>311</v>
      </c>
      <c r="D440" s="0" t="s">
        <v>3449</v>
      </c>
      <c r="E440" s="0" t="n">
        <v>2.3</v>
      </c>
      <c r="F440" s="0" t="n">
        <v>4.65</v>
      </c>
      <c r="G440" s="0" t="n">
        <v>10.695</v>
      </c>
      <c r="H440" s="0" t="s">
        <v>3823</v>
      </c>
      <c r="I440" s="0" t="str">
        <f aca="false">A440&amp;"|"&amp;TRIM(D440)</f>
        <v>147|DETAL</v>
      </c>
    </row>
    <row r="441" customFormat="false" ht="15" hidden="false" customHeight="false" outlineLevel="0" collapsed="false">
      <c r="A441" s="0" t="n">
        <v>148</v>
      </c>
      <c r="B441" s="0" t="s">
        <v>2220</v>
      </c>
      <c r="C441" s="0" t="s">
        <v>311</v>
      </c>
      <c r="D441" s="0" t="s">
        <v>3446</v>
      </c>
      <c r="E441" s="0" t="n">
        <v>1.45</v>
      </c>
      <c r="F441" s="0" t="n">
        <v>19.8289473684211</v>
      </c>
      <c r="G441" s="0" t="n">
        <v>28.7519736842105</v>
      </c>
      <c r="H441" s="0" t="s">
        <v>3824</v>
      </c>
      <c r="I441" s="0" t="str">
        <f aca="false">A441&amp;"|"&amp;TRIM(D441)</f>
        <v>148|+5 DOC</v>
      </c>
    </row>
    <row r="442" customFormat="false" ht="15" hidden="false" customHeight="false" outlineLevel="0" collapsed="false">
      <c r="A442" s="0" t="n">
        <v>148</v>
      </c>
      <c r="B442" s="0" t="s">
        <v>2220</v>
      </c>
      <c r="C442" s="0" t="s">
        <v>311</v>
      </c>
      <c r="D442" s="0" t="s">
        <v>9</v>
      </c>
      <c r="E442" s="0" t="n">
        <v>1.6</v>
      </c>
      <c r="F442" s="0" t="n">
        <v>19.8289473684211</v>
      </c>
      <c r="G442" s="0" t="n">
        <v>31.7263157894737</v>
      </c>
      <c r="H442" s="0" t="s">
        <v>3825</v>
      </c>
      <c r="I442" s="0" t="str">
        <f aca="false">A442&amp;"|"&amp;TRIM(D442)</f>
        <v>148|1 A 5 DOC</v>
      </c>
    </row>
    <row r="443" customFormat="false" ht="15" hidden="false" customHeight="false" outlineLevel="0" collapsed="false">
      <c r="A443" s="0" t="n">
        <v>148</v>
      </c>
      <c r="B443" s="0" t="s">
        <v>2220</v>
      </c>
      <c r="C443" s="0" t="s">
        <v>311</v>
      </c>
      <c r="D443" s="0" t="s">
        <v>3449</v>
      </c>
      <c r="E443" s="0" t="n">
        <v>2.3</v>
      </c>
      <c r="F443" s="0" t="n">
        <v>19.8289473684211</v>
      </c>
      <c r="G443" s="0" t="n">
        <v>45.6065789473684</v>
      </c>
      <c r="H443" s="0" t="s">
        <v>3826</v>
      </c>
      <c r="I443" s="0" t="str">
        <f aca="false">A443&amp;"|"&amp;TRIM(D443)</f>
        <v>148|DETAL</v>
      </c>
    </row>
    <row r="444" customFormat="false" ht="15" hidden="false" customHeight="false" outlineLevel="0" collapsed="false">
      <c r="A444" s="0" t="n">
        <v>149</v>
      </c>
      <c r="B444" s="0" t="s">
        <v>2220</v>
      </c>
      <c r="C444" s="0" t="s">
        <v>2221</v>
      </c>
      <c r="D444" s="0" t="s">
        <v>3446</v>
      </c>
      <c r="E444" s="0" t="n">
        <v>1.45</v>
      </c>
      <c r="F444" s="0" t="n">
        <v>5.87631578947369</v>
      </c>
      <c r="G444" s="0" t="n">
        <v>8.52065789473684</v>
      </c>
      <c r="H444" s="0" t="s">
        <v>3827</v>
      </c>
      <c r="I444" s="0" t="str">
        <f aca="false">A444&amp;"|"&amp;TRIM(D444)</f>
        <v>149|+5 DOC</v>
      </c>
    </row>
    <row r="445" customFormat="false" ht="15" hidden="false" customHeight="false" outlineLevel="0" collapsed="false">
      <c r="A445" s="0" t="n">
        <v>149</v>
      </c>
      <c r="B445" s="0" t="s">
        <v>2220</v>
      </c>
      <c r="C445" s="0" t="s">
        <v>2221</v>
      </c>
      <c r="D445" s="0" t="s">
        <v>9</v>
      </c>
      <c r="E445" s="0" t="n">
        <v>1.6</v>
      </c>
      <c r="F445" s="0" t="n">
        <v>5.87631578947369</v>
      </c>
      <c r="G445" s="0" t="n">
        <v>9.4021052631579</v>
      </c>
      <c r="H445" s="0" t="s">
        <v>3828</v>
      </c>
      <c r="I445" s="0" t="str">
        <f aca="false">A445&amp;"|"&amp;TRIM(D445)</f>
        <v>149|1 A 5 DOC</v>
      </c>
    </row>
    <row r="446" customFormat="false" ht="15" hidden="false" customHeight="false" outlineLevel="0" collapsed="false">
      <c r="A446" s="0" t="n">
        <v>149</v>
      </c>
      <c r="B446" s="0" t="s">
        <v>2220</v>
      </c>
      <c r="C446" s="0" t="s">
        <v>2221</v>
      </c>
      <c r="D446" s="0" t="s">
        <v>3449</v>
      </c>
      <c r="E446" s="0" t="n">
        <v>2.1</v>
      </c>
      <c r="F446" s="0" t="n">
        <v>5.87631578947369</v>
      </c>
      <c r="G446" s="0" t="n">
        <v>12.3402631578947</v>
      </c>
      <c r="H446" s="0" t="s">
        <v>3829</v>
      </c>
      <c r="I446" s="0" t="str">
        <f aca="false">A446&amp;"|"&amp;TRIM(D446)</f>
        <v>149|DETAL</v>
      </c>
    </row>
    <row r="447" customFormat="false" ht="15" hidden="false" customHeight="false" outlineLevel="0" collapsed="false">
      <c r="A447" s="0" t="n">
        <v>150</v>
      </c>
      <c r="B447" s="0" t="s">
        <v>2220</v>
      </c>
      <c r="C447" s="0" t="s">
        <v>2221</v>
      </c>
      <c r="D447" s="0" t="s">
        <v>3446</v>
      </c>
      <c r="E447" s="0" t="n">
        <v>1.45</v>
      </c>
      <c r="F447" s="0" t="n">
        <v>5.33771929824561</v>
      </c>
      <c r="G447" s="0" t="n">
        <v>7.73969298245614</v>
      </c>
      <c r="H447" s="0" t="s">
        <v>3830</v>
      </c>
      <c r="I447" s="0" t="str">
        <f aca="false">A447&amp;"|"&amp;TRIM(D447)</f>
        <v>150|+5 DOC</v>
      </c>
    </row>
    <row r="448" customFormat="false" ht="15" hidden="false" customHeight="false" outlineLevel="0" collapsed="false">
      <c r="A448" s="0" t="n">
        <v>150</v>
      </c>
      <c r="B448" s="0" t="s">
        <v>2220</v>
      </c>
      <c r="C448" s="0" t="s">
        <v>2221</v>
      </c>
      <c r="D448" s="0" t="s">
        <v>9</v>
      </c>
      <c r="E448" s="0" t="n">
        <v>1.6</v>
      </c>
      <c r="F448" s="0" t="n">
        <v>5.33771929824561</v>
      </c>
      <c r="G448" s="0" t="n">
        <v>8.54035087719298</v>
      </c>
      <c r="H448" s="0" t="s">
        <v>3831</v>
      </c>
      <c r="I448" s="0" t="str">
        <f aca="false">A448&amp;"|"&amp;TRIM(D448)</f>
        <v>150|1 A 5 DOC</v>
      </c>
    </row>
    <row r="449" customFormat="false" ht="15" hidden="false" customHeight="false" outlineLevel="0" collapsed="false">
      <c r="A449" s="0" t="n">
        <v>150</v>
      </c>
      <c r="B449" s="0" t="s">
        <v>2220</v>
      </c>
      <c r="C449" s="0" t="s">
        <v>2221</v>
      </c>
      <c r="D449" s="0" t="s">
        <v>3449</v>
      </c>
      <c r="E449" s="0" t="n">
        <v>2.4</v>
      </c>
      <c r="F449" s="0" t="n">
        <v>5.33771929824561</v>
      </c>
      <c r="G449" s="0" t="n">
        <v>12.8105263157895</v>
      </c>
      <c r="H449" s="0" t="s">
        <v>3832</v>
      </c>
      <c r="I449" s="0" t="str">
        <f aca="false">A449&amp;"|"&amp;TRIM(D449)</f>
        <v>150|DETAL</v>
      </c>
    </row>
    <row r="450" customFormat="false" ht="15" hidden="false" customHeight="false" outlineLevel="0" collapsed="false">
      <c r="A450" s="0" t="n">
        <v>151</v>
      </c>
      <c r="B450" s="0" t="s">
        <v>2220</v>
      </c>
      <c r="C450" s="0" t="s">
        <v>349</v>
      </c>
      <c r="D450" s="0" t="s">
        <v>3446</v>
      </c>
      <c r="E450" s="0" t="n">
        <v>1.45</v>
      </c>
      <c r="F450" s="0" t="n">
        <v>4.46842105263158</v>
      </c>
      <c r="G450" s="0" t="n">
        <v>6.47921052631579</v>
      </c>
      <c r="H450" s="0" t="s">
        <v>3833</v>
      </c>
      <c r="I450" s="0" t="str">
        <f aca="false">A450&amp;"|"&amp;TRIM(D450)</f>
        <v>151|+5 DOC</v>
      </c>
    </row>
    <row r="451" customFormat="false" ht="15" hidden="false" customHeight="false" outlineLevel="0" collapsed="false">
      <c r="A451" s="0" t="n">
        <v>151</v>
      </c>
      <c r="B451" s="0" t="s">
        <v>2220</v>
      </c>
      <c r="C451" s="0" t="s">
        <v>349</v>
      </c>
      <c r="D451" s="0" t="s">
        <v>9</v>
      </c>
      <c r="E451" s="0" t="n">
        <v>1.6</v>
      </c>
      <c r="F451" s="0" t="n">
        <v>4.46842105263158</v>
      </c>
      <c r="G451" s="0" t="n">
        <v>7.14947368421053</v>
      </c>
      <c r="H451" s="0" t="s">
        <v>3834</v>
      </c>
      <c r="I451" s="0" t="str">
        <f aca="false">A451&amp;"|"&amp;TRIM(D451)</f>
        <v>151|1 A 5 DOC</v>
      </c>
    </row>
    <row r="452" customFormat="false" ht="15" hidden="false" customHeight="false" outlineLevel="0" collapsed="false">
      <c r="A452" s="0" t="n">
        <v>151</v>
      </c>
      <c r="B452" s="0" t="s">
        <v>2220</v>
      </c>
      <c r="C452" s="0" t="s">
        <v>349</v>
      </c>
      <c r="D452" s="0" t="s">
        <v>3449</v>
      </c>
      <c r="E452" s="0" t="n">
        <v>2.4</v>
      </c>
      <c r="F452" s="0" t="n">
        <v>4.46842105263158</v>
      </c>
      <c r="G452" s="0" t="n">
        <v>10.7242105263158</v>
      </c>
      <c r="H452" s="0" t="s">
        <v>3835</v>
      </c>
      <c r="I452" s="0" t="str">
        <f aca="false">A452&amp;"|"&amp;TRIM(D452)</f>
        <v>151|DETAL</v>
      </c>
    </row>
    <row r="453" customFormat="false" ht="15" hidden="false" customHeight="false" outlineLevel="0" collapsed="false">
      <c r="A453" s="0" t="n">
        <v>152</v>
      </c>
      <c r="B453" s="0" t="s">
        <v>2220</v>
      </c>
      <c r="C453" s="0" t="s">
        <v>311</v>
      </c>
      <c r="D453" s="0" t="s">
        <v>3446</v>
      </c>
      <c r="E453" s="0" t="n">
        <v>1.45</v>
      </c>
      <c r="F453" s="0" t="n">
        <v>4.19736842105263</v>
      </c>
      <c r="G453" s="0" t="n">
        <v>6.08618421052632</v>
      </c>
      <c r="H453" s="0" t="s">
        <v>3836</v>
      </c>
      <c r="I453" s="0" t="str">
        <f aca="false">A453&amp;"|"&amp;TRIM(D453)</f>
        <v>152|+5 DOC</v>
      </c>
    </row>
    <row r="454" customFormat="false" ht="15" hidden="false" customHeight="false" outlineLevel="0" collapsed="false">
      <c r="A454" s="0" t="n">
        <v>152</v>
      </c>
      <c r="B454" s="0" t="s">
        <v>2220</v>
      </c>
      <c r="C454" s="0" t="s">
        <v>311</v>
      </c>
      <c r="D454" s="0" t="s">
        <v>9</v>
      </c>
      <c r="E454" s="0" t="n">
        <v>1.75</v>
      </c>
      <c r="F454" s="0" t="n">
        <v>4.19736842105263</v>
      </c>
      <c r="G454" s="0" t="n">
        <v>7.34539473684211</v>
      </c>
      <c r="H454" s="0" t="s">
        <v>3837</v>
      </c>
      <c r="I454" s="0" t="str">
        <f aca="false">A454&amp;"|"&amp;TRIM(D454)</f>
        <v>152|1 A 5 DOC</v>
      </c>
    </row>
    <row r="455" customFormat="false" ht="15" hidden="false" customHeight="false" outlineLevel="0" collapsed="false">
      <c r="A455" s="0" t="n">
        <v>152</v>
      </c>
      <c r="B455" s="0" t="s">
        <v>2220</v>
      </c>
      <c r="C455" s="0" t="s">
        <v>311</v>
      </c>
      <c r="D455" s="0" t="s">
        <v>3449</v>
      </c>
      <c r="E455" s="0" t="n">
        <v>1.99</v>
      </c>
      <c r="F455" s="0" t="n">
        <v>4.19736842105263</v>
      </c>
      <c r="G455" s="0" t="n">
        <v>8.35276315789474</v>
      </c>
      <c r="H455" s="0" t="s">
        <v>3838</v>
      </c>
      <c r="I455" s="0" t="str">
        <f aca="false">A455&amp;"|"&amp;TRIM(D455)</f>
        <v>152|DETAL</v>
      </c>
    </row>
    <row r="456" customFormat="false" ht="15" hidden="false" customHeight="false" outlineLevel="0" collapsed="false">
      <c r="A456" s="0" t="n">
        <v>153</v>
      </c>
      <c r="B456" s="0" t="s">
        <v>2220</v>
      </c>
      <c r="C456" s="0" t="s">
        <v>2322</v>
      </c>
      <c r="D456" s="0" t="s">
        <v>3721</v>
      </c>
      <c r="E456" s="0" t="n">
        <v>1.45</v>
      </c>
      <c r="F456" s="0" t="n">
        <v>5.99824561403509</v>
      </c>
      <c r="G456" s="0" t="n">
        <v>8.69745614035088</v>
      </c>
      <c r="H456" s="0" t="s">
        <v>3839</v>
      </c>
      <c r="I456" s="0" t="str">
        <f aca="false">A456&amp;"|"&amp;TRIM(D456)</f>
        <v>153|?</v>
      </c>
    </row>
    <row r="457" customFormat="false" ht="15" hidden="false" customHeight="false" outlineLevel="0" collapsed="false">
      <c r="A457" s="0" t="n">
        <v>153</v>
      </c>
      <c r="B457" s="0" t="s">
        <v>2220</v>
      </c>
      <c r="C457" s="0" t="s">
        <v>2322</v>
      </c>
      <c r="D457" s="0" t="s">
        <v>3721</v>
      </c>
      <c r="E457" s="0" t="n">
        <v>1.75</v>
      </c>
      <c r="F457" s="0" t="n">
        <v>5.99824561403509</v>
      </c>
      <c r="G457" s="0" t="n">
        <v>10.4969298245614</v>
      </c>
      <c r="H457" s="0" t="s">
        <v>3840</v>
      </c>
      <c r="I457" s="0" t="str">
        <f aca="false">A457&amp;"|"&amp;TRIM(D457)</f>
        <v>153|?</v>
      </c>
    </row>
    <row r="458" customFormat="false" ht="15" hidden="false" customHeight="false" outlineLevel="0" collapsed="false">
      <c r="A458" s="0" t="n">
        <v>153</v>
      </c>
      <c r="B458" s="0" t="s">
        <v>2220</v>
      </c>
      <c r="C458" s="0" t="s">
        <v>2322</v>
      </c>
      <c r="D458" s="0" t="s">
        <v>3449</v>
      </c>
      <c r="E458" s="0" t="n">
        <v>1.99</v>
      </c>
      <c r="F458" s="0" t="n">
        <v>5.99824561403509</v>
      </c>
      <c r="G458" s="0" t="n">
        <v>11.9365087719298</v>
      </c>
      <c r="H458" s="0" t="s">
        <v>3841</v>
      </c>
      <c r="I458" s="0" t="str">
        <f aca="false">A458&amp;"|"&amp;TRIM(D458)</f>
        <v>153|DETAL</v>
      </c>
    </row>
    <row r="459" customFormat="false" ht="15" hidden="false" customHeight="false" outlineLevel="0" collapsed="false">
      <c r="A459" s="0" t="n">
        <v>154</v>
      </c>
      <c r="B459" s="0" t="s">
        <v>2220</v>
      </c>
      <c r="C459" s="0" t="s">
        <v>2340</v>
      </c>
      <c r="D459" s="0" t="s">
        <v>3721</v>
      </c>
      <c r="E459" s="0" t="n">
        <v>1.45</v>
      </c>
      <c r="F459" s="0" t="n">
        <v>6.77719298245614</v>
      </c>
      <c r="G459" s="0" t="n">
        <v>9.8269298245614</v>
      </c>
      <c r="H459" s="0" t="s">
        <v>3842</v>
      </c>
      <c r="I459" s="0" t="str">
        <f aca="false">A459&amp;"|"&amp;TRIM(D459)</f>
        <v>154|?</v>
      </c>
    </row>
    <row r="460" customFormat="false" ht="15" hidden="false" customHeight="false" outlineLevel="0" collapsed="false">
      <c r="A460" s="0" t="n">
        <v>154</v>
      </c>
      <c r="B460" s="0" t="s">
        <v>2220</v>
      </c>
      <c r="C460" s="0" t="s">
        <v>2340</v>
      </c>
      <c r="D460" s="0" t="s">
        <v>3721</v>
      </c>
      <c r="E460" s="0" t="n">
        <v>1.75</v>
      </c>
      <c r="F460" s="0" t="n">
        <v>6.77719298245614</v>
      </c>
      <c r="G460" s="0" t="n">
        <v>11.8600877192982</v>
      </c>
      <c r="H460" s="0" t="s">
        <v>3843</v>
      </c>
      <c r="I460" s="0" t="str">
        <f aca="false">A460&amp;"|"&amp;TRIM(D460)</f>
        <v>154|?</v>
      </c>
    </row>
    <row r="461" customFormat="false" ht="15" hidden="false" customHeight="false" outlineLevel="0" collapsed="false">
      <c r="A461" s="0" t="n">
        <v>154</v>
      </c>
      <c r="B461" s="0" t="s">
        <v>2220</v>
      </c>
      <c r="C461" s="0" t="s">
        <v>2340</v>
      </c>
      <c r="D461" s="0" t="s">
        <v>3449</v>
      </c>
      <c r="E461" s="0" t="n">
        <v>1.99</v>
      </c>
      <c r="F461" s="0" t="n">
        <v>6.77719298245614</v>
      </c>
      <c r="G461" s="0" t="n">
        <v>13.4866140350877</v>
      </c>
      <c r="H461" s="0" t="s">
        <v>3844</v>
      </c>
      <c r="I461" s="0" t="str">
        <f aca="false">A461&amp;"|"&amp;TRIM(D461)</f>
        <v>154|DETAL</v>
      </c>
    </row>
    <row r="462" customFormat="false" ht="15" hidden="false" customHeight="false" outlineLevel="0" collapsed="false">
      <c r="A462" s="0" t="n">
        <v>155</v>
      </c>
      <c r="B462" s="0" t="s">
        <v>2220</v>
      </c>
      <c r="C462" s="0" t="s">
        <v>2357</v>
      </c>
      <c r="D462" s="0" t="s">
        <v>3446</v>
      </c>
      <c r="E462" s="0" t="n">
        <v>1.45</v>
      </c>
      <c r="F462" s="0" t="n">
        <v>8.38421052631579</v>
      </c>
      <c r="G462" s="0" t="n">
        <v>12.1571052631579</v>
      </c>
      <c r="H462" s="0" t="s">
        <v>3845</v>
      </c>
      <c r="I462" s="0" t="str">
        <f aca="false">A462&amp;"|"&amp;TRIM(D462)</f>
        <v>155|+5 DOC</v>
      </c>
    </row>
    <row r="463" customFormat="false" ht="15" hidden="false" customHeight="false" outlineLevel="0" collapsed="false">
      <c r="A463" s="0" t="n">
        <v>155</v>
      </c>
      <c r="B463" s="0" t="s">
        <v>2220</v>
      </c>
      <c r="C463" s="0" t="s">
        <v>2357</v>
      </c>
      <c r="D463" s="0" t="s">
        <v>9</v>
      </c>
      <c r="E463" s="0" t="n">
        <v>1.75</v>
      </c>
      <c r="F463" s="0" t="n">
        <v>8.38421052631579</v>
      </c>
      <c r="G463" s="0" t="n">
        <v>14.6723684210526</v>
      </c>
      <c r="H463" s="0" t="s">
        <v>3846</v>
      </c>
      <c r="I463" s="0" t="str">
        <f aca="false">A463&amp;"|"&amp;TRIM(D463)</f>
        <v>155|1 A 5 DOC</v>
      </c>
    </row>
    <row r="464" customFormat="false" ht="15" hidden="false" customHeight="false" outlineLevel="0" collapsed="false">
      <c r="A464" s="0" t="n">
        <v>155</v>
      </c>
      <c r="B464" s="0" t="s">
        <v>2220</v>
      </c>
      <c r="C464" s="0" t="s">
        <v>2357</v>
      </c>
      <c r="D464" s="0" t="s">
        <v>3449</v>
      </c>
      <c r="E464" s="0" t="n">
        <v>1.99</v>
      </c>
      <c r="F464" s="0" t="n">
        <v>8.38421052631579</v>
      </c>
      <c r="G464" s="0" t="n">
        <v>16.6845789473684</v>
      </c>
      <c r="H464" s="0" t="s">
        <v>3847</v>
      </c>
      <c r="I464" s="0" t="str">
        <f aca="false">A464&amp;"|"&amp;TRIM(D464)</f>
        <v>155|DETAL</v>
      </c>
    </row>
    <row r="465" customFormat="false" ht="15" hidden="false" customHeight="false" outlineLevel="0" collapsed="false">
      <c r="A465" s="0" t="n">
        <v>156</v>
      </c>
      <c r="B465" s="0" t="s">
        <v>2220</v>
      </c>
      <c r="C465" s="0" t="s">
        <v>2322</v>
      </c>
      <c r="D465" s="0" t="s">
        <v>3721</v>
      </c>
      <c r="E465" s="0" t="n">
        <v>1.45</v>
      </c>
      <c r="F465" s="0" t="n">
        <v>5.61842105263158</v>
      </c>
      <c r="G465" s="0" t="n">
        <v>8.14671052631579</v>
      </c>
      <c r="H465" s="0" t="s">
        <v>3848</v>
      </c>
      <c r="I465" s="0" t="str">
        <f aca="false">A465&amp;"|"&amp;TRIM(D465)</f>
        <v>156|?</v>
      </c>
    </row>
    <row r="466" customFormat="false" ht="15" hidden="false" customHeight="false" outlineLevel="0" collapsed="false">
      <c r="A466" s="0" t="n">
        <v>156</v>
      </c>
      <c r="B466" s="0" t="s">
        <v>2220</v>
      </c>
      <c r="C466" s="0" t="s">
        <v>2322</v>
      </c>
      <c r="D466" s="0" t="s">
        <v>3721</v>
      </c>
      <c r="E466" s="0" t="n">
        <v>1.65</v>
      </c>
      <c r="F466" s="0" t="n">
        <v>5.61842105263158</v>
      </c>
      <c r="G466" s="0" t="n">
        <v>9.27039473684211</v>
      </c>
      <c r="H466" s="0" t="s">
        <v>3849</v>
      </c>
      <c r="I466" s="0" t="str">
        <f aca="false">A466&amp;"|"&amp;TRIM(D466)</f>
        <v>156|?</v>
      </c>
    </row>
    <row r="467" customFormat="false" ht="15" hidden="false" customHeight="false" outlineLevel="0" collapsed="false">
      <c r="A467" s="0" t="n">
        <v>156</v>
      </c>
      <c r="B467" s="0" t="s">
        <v>2220</v>
      </c>
      <c r="C467" s="0" t="s">
        <v>2322</v>
      </c>
      <c r="D467" s="0" t="s">
        <v>3449</v>
      </c>
      <c r="E467" s="0" t="n">
        <v>1.99</v>
      </c>
      <c r="F467" s="0" t="n">
        <v>5.61842105263158</v>
      </c>
      <c r="G467" s="0" t="n">
        <v>11.1806578947368</v>
      </c>
      <c r="H467" s="0" t="s">
        <v>3850</v>
      </c>
      <c r="I467" s="0" t="str">
        <f aca="false">A467&amp;"|"&amp;TRIM(D467)</f>
        <v>156|DETAL</v>
      </c>
    </row>
    <row r="468" customFormat="false" ht="15" hidden="false" customHeight="false" outlineLevel="0" collapsed="false">
      <c r="A468" s="0" t="n">
        <v>157</v>
      </c>
      <c r="B468" s="0" t="s">
        <v>2220</v>
      </c>
      <c r="C468" s="0" t="s">
        <v>2391</v>
      </c>
      <c r="D468" s="0" t="s">
        <v>3721</v>
      </c>
      <c r="E468" s="0" t="n">
        <v>1.45</v>
      </c>
      <c r="F468" s="0" t="n">
        <v>5.59473684210526</v>
      </c>
      <c r="G468" s="0" t="n">
        <v>8.11236842105263</v>
      </c>
      <c r="H468" s="0" t="s">
        <v>3851</v>
      </c>
      <c r="I468" s="0" t="str">
        <f aca="false">A468&amp;"|"&amp;TRIM(D468)</f>
        <v>157|?</v>
      </c>
    </row>
    <row r="469" customFormat="false" ht="15" hidden="false" customHeight="false" outlineLevel="0" collapsed="false">
      <c r="A469" s="0" t="n">
        <v>157</v>
      </c>
      <c r="B469" s="0" t="s">
        <v>2220</v>
      </c>
      <c r="C469" s="0" t="s">
        <v>2391</v>
      </c>
      <c r="D469" s="0" t="s">
        <v>3721</v>
      </c>
      <c r="E469" s="0" t="n">
        <v>1.75</v>
      </c>
      <c r="F469" s="0" t="n">
        <v>5.59473684210526</v>
      </c>
      <c r="G469" s="0" t="n">
        <v>9.79078947368421</v>
      </c>
      <c r="H469" s="0" t="s">
        <v>3852</v>
      </c>
      <c r="I469" s="0" t="str">
        <f aca="false">A469&amp;"|"&amp;TRIM(D469)</f>
        <v>157|?</v>
      </c>
    </row>
    <row r="470" customFormat="false" ht="15" hidden="false" customHeight="false" outlineLevel="0" collapsed="false">
      <c r="A470" s="0" t="n">
        <v>157</v>
      </c>
      <c r="B470" s="0" t="s">
        <v>2220</v>
      </c>
      <c r="C470" s="0" t="s">
        <v>2391</v>
      </c>
      <c r="D470" s="0" t="s">
        <v>3449</v>
      </c>
      <c r="E470" s="0" t="n">
        <v>1.99</v>
      </c>
      <c r="F470" s="0" t="n">
        <v>5.59473684210526</v>
      </c>
      <c r="G470" s="0" t="n">
        <v>11.1335263157895</v>
      </c>
      <c r="H470" s="0" t="s">
        <v>3853</v>
      </c>
      <c r="I470" s="0" t="str">
        <f aca="false">A470&amp;"|"&amp;TRIM(D470)</f>
        <v>157|DETAL</v>
      </c>
    </row>
    <row r="471" customFormat="false" ht="15" hidden="false" customHeight="false" outlineLevel="0" collapsed="false">
      <c r="A471" s="0" t="n">
        <v>158</v>
      </c>
      <c r="B471" s="0" t="s">
        <v>2220</v>
      </c>
      <c r="C471" s="0" t="s">
        <v>2322</v>
      </c>
      <c r="D471" s="0" t="s">
        <v>3721</v>
      </c>
      <c r="E471" s="0" t="n">
        <v>1.45</v>
      </c>
      <c r="F471" s="0" t="n">
        <v>3.65614035087719</v>
      </c>
      <c r="G471" s="0" t="n">
        <v>5.30140350877193</v>
      </c>
      <c r="H471" s="0" t="s">
        <v>3854</v>
      </c>
      <c r="I471" s="0" t="str">
        <f aca="false">A471&amp;"|"&amp;TRIM(D471)</f>
        <v>158|?</v>
      </c>
    </row>
    <row r="472" customFormat="false" ht="15" hidden="false" customHeight="false" outlineLevel="0" collapsed="false">
      <c r="A472" s="0" t="n">
        <v>158</v>
      </c>
      <c r="B472" s="0" t="s">
        <v>2220</v>
      </c>
      <c r="C472" s="0" t="s">
        <v>2322</v>
      </c>
      <c r="D472" s="0" t="s">
        <v>3721</v>
      </c>
      <c r="E472" s="0" t="n">
        <v>1.75</v>
      </c>
      <c r="F472" s="0" t="n">
        <v>3.65614035087719</v>
      </c>
      <c r="G472" s="0" t="n">
        <v>6.39824561403509</v>
      </c>
      <c r="H472" s="0" t="s">
        <v>3855</v>
      </c>
      <c r="I472" s="0" t="str">
        <f aca="false">A472&amp;"|"&amp;TRIM(D472)</f>
        <v>158|?</v>
      </c>
    </row>
    <row r="473" customFormat="false" ht="15" hidden="false" customHeight="false" outlineLevel="0" collapsed="false">
      <c r="A473" s="0" t="n">
        <v>158</v>
      </c>
      <c r="B473" s="0" t="s">
        <v>2220</v>
      </c>
      <c r="C473" s="0" t="s">
        <v>2322</v>
      </c>
      <c r="D473" s="0" t="s">
        <v>3449</v>
      </c>
      <c r="E473" s="0" t="n">
        <v>1.99</v>
      </c>
      <c r="F473" s="0" t="n">
        <v>3.65614035087719</v>
      </c>
      <c r="G473" s="0" t="n">
        <v>7.27571929824561</v>
      </c>
      <c r="H473" s="0" t="s">
        <v>3856</v>
      </c>
      <c r="I473" s="0" t="str">
        <f aca="false">A473&amp;"|"&amp;TRIM(D473)</f>
        <v>158|DETAL</v>
      </c>
    </row>
    <row r="474" customFormat="false" ht="15" hidden="false" customHeight="false" outlineLevel="0" collapsed="false">
      <c r="A474" s="0" t="n">
        <v>159</v>
      </c>
      <c r="B474" s="0" t="s">
        <v>2220</v>
      </c>
      <c r="C474" s="0" t="s">
        <v>2423</v>
      </c>
      <c r="D474" s="0" t="s">
        <v>3446</v>
      </c>
      <c r="E474" s="0" t="n">
        <v>1.45</v>
      </c>
      <c r="F474" s="0" t="n">
        <v>6.06184210526316</v>
      </c>
      <c r="G474" s="0" t="n">
        <v>8.78967105263158</v>
      </c>
      <c r="H474" s="0" t="s">
        <v>3857</v>
      </c>
      <c r="I474" s="0" t="str">
        <f aca="false">A474&amp;"|"&amp;TRIM(D474)</f>
        <v>159|+5 DOC</v>
      </c>
    </row>
    <row r="475" customFormat="false" ht="15" hidden="false" customHeight="false" outlineLevel="0" collapsed="false">
      <c r="A475" s="0" t="n">
        <v>159</v>
      </c>
      <c r="B475" s="0" t="s">
        <v>2220</v>
      </c>
      <c r="C475" s="0" t="s">
        <v>2423</v>
      </c>
      <c r="D475" s="0" t="s">
        <v>9</v>
      </c>
      <c r="E475" s="0" t="n">
        <v>1.75</v>
      </c>
      <c r="F475" s="0" t="n">
        <v>6.06184210526316</v>
      </c>
      <c r="G475" s="0" t="n">
        <v>10.6082236842105</v>
      </c>
      <c r="H475" s="0" t="s">
        <v>3858</v>
      </c>
      <c r="I475" s="0" t="str">
        <f aca="false">A475&amp;"|"&amp;TRIM(D475)</f>
        <v>159|1 A 5 DOC</v>
      </c>
    </row>
    <row r="476" customFormat="false" ht="15" hidden="false" customHeight="false" outlineLevel="0" collapsed="false">
      <c r="A476" s="0" t="n">
        <v>159</v>
      </c>
      <c r="B476" s="0" t="s">
        <v>2220</v>
      </c>
      <c r="C476" s="0" t="s">
        <v>2423</v>
      </c>
      <c r="D476" s="0" t="s">
        <v>3449</v>
      </c>
      <c r="E476" s="0" t="n">
        <v>1.99</v>
      </c>
      <c r="F476" s="0" t="n">
        <v>6.06184210526316</v>
      </c>
      <c r="G476" s="0" t="n">
        <v>12.0630657894737</v>
      </c>
      <c r="H476" s="0" t="s">
        <v>3859</v>
      </c>
      <c r="I476" s="0" t="str">
        <f aca="false">A476&amp;"|"&amp;TRIM(D476)</f>
        <v>159|DETAL</v>
      </c>
    </row>
    <row r="477" customFormat="false" ht="15" hidden="false" customHeight="false" outlineLevel="0" collapsed="false">
      <c r="A477" s="0" t="n">
        <v>160</v>
      </c>
      <c r="B477" s="0" t="s">
        <v>2220</v>
      </c>
      <c r="C477" s="0" t="s">
        <v>2322</v>
      </c>
      <c r="D477" s="0" t="s">
        <v>3721</v>
      </c>
      <c r="E477" s="0" t="n">
        <v>1.45</v>
      </c>
      <c r="F477" s="0" t="n">
        <v>3.88421052631579</v>
      </c>
      <c r="G477" s="0" t="n">
        <v>5.6321052631579</v>
      </c>
      <c r="H477" s="0" t="s">
        <v>3860</v>
      </c>
      <c r="I477" s="0" t="str">
        <f aca="false">A477&amp;"|"&amp;TRIM(D477)</f>
        <v>160|?</v>
      </c>
    </row>
    <row r="478" customFormat="false" ht="15" hidden="false" customHeight="false" outlineLevel="0" collapsed="false">
      <c r="A478" s="0" t="n">
        <v>160</v>
      </c>
      <c r="B478" s="0" t="s">
        <v>2220</v>
      </c>
      <c r="C478" s="0" t="s">
        <v>2322</v>
      </c>
      <c r="D478" s="0" t="s">
        <v>3721</v>
      </c>
      <c r="E478" s="0" t="n">
        <v>1.65</v>
      </c>
      <c r="F478" s="0" t="n">
        <v>3.88421052631579</v>
      </c>
      <c r="G478" s="0" t="n">
        <v>6.40894736842105</v>
      </c>
      <c r="H478" s="0" t="s">
        <v>3861</v>
      </c>
      <c r="I478" s="0" t="str">
        <f aca="false">A478&amp;"|"&amp;TRIM(D478)</f>
        <v>160|?</v>
      </c>
    </row>
    <row r="479" customFormat="false" ht="15" hidden="false" customHeight="false" outlineLevel="0" collapsed="false">
      <c r="A479" s="0" t="n">
        <v>160</v>
      </c>
      <c r="B479" s="0" t="s">
        <v>2220</v>
      </c>
      <c r="C479" s="0" t="s">
        <v>2322</v>
      </c>
      <c r="D479" s="0" t="s">
        <v>3449</v>
      </c>
      <c r="E479" s="0" t="n">
        <v>1.99</v>
      </c>
      <c r="F479" s="0" t="n">
        <v>3.88421052631579</v>
      </c>
      <c r="G479" s="0" t="n">
        <v>7.72957894736842</v>
      </c>
      <c r="H479" s="0" t="s">
        <v>3862</v>
      </c>
      <c r="I479" s="0" t="str">
        <f aca="false">A479&amp;"|"&amp;TRIM(D479)</f>
        <v>160|DETAL</v>
      </c>
    </row>
    <row r="480" customFormat="false" ht="15" hidden="false" customHeight="false" outlineLevel="0" collapsed="false">
      <c r="A480" s="0" t="n">
        <v>161</v>
      </c>
      <c r="B480" s="0" t="s">
        <v>2452</v>
      </c>
      <c r="C480" s="0" t="s">
        <v>2453</v>
      </c>
      <c r="D480" s="0" t="s">
        <v>3446</v>
      </c>
      <c r="E480" s="0" t="n">
        <v>1.4</v>
      </c>
      <c r="F480" s="0" t="n">
        <v>5.30284813596491</v>
      </c>
      <c r="G480" s="0" t="n">
        <v>7.42398739035088</v>
      </c>
      <c r="H480" s="0" t="s">
        <v>3649</v>
      </c>
      <c r="I480" s="0" t="str">
        <f aca="false">A480&amp;"|"&amp;TRIM(D480)</f>
        <v>161|+5 DOC</v>
      </c>
    </row>
    <row r="481" customFormat="false" ht="15" hidden="false" customHeight="false" outlineLevel="0" collapsed="false">
      <c r="A481" s="0" t="n">
        <v>161</v>
      </c>
      <c r="B481" s="0" t="s">
        <v>2452</v>
      </c>
      <c r="C481" s="0" t="s">
        <v>2453</v>
      </c>
      <c r="D481" s="0" t="s">
        <v>9</v>
      </c>
      <c r="E481" s="0" t="n">
        <v>1.45</v>
      </c>
      <c r="F481" s="0" t="n">
        <v>5.30284813596491</v>
      </c>
      <c r="G481" s="0" t="n">
        <v>7.68912979714912</v>
      </c>
      <c r="H481" s="0" t="s">
        <v>3650</v>
      </c>
      <c r="I481" s="0" t="str">
        <f aca="false">A481&amp;"|"&amp;TRIM(D481)</f>
        <v>161|1 A 5 DOC</v>
      </c>
    </row>
    <row r="482" customFormat="false" ht="15" hidden="false" customHeight="false" outlineLevel="0" collapsed="false">
      <c r="A482" s="0" t="n">
        <v>161</v>
      </c>
      <c r="B482" s="0" t="s">
        <v>2452</v>
      </c>
      <c r="C482" s="0" t="s">
        <v>2453</v>
      </c>
      <c r="D482" s="0" t="s">
        <v>3449</v>
      </c>
      <c r="E482" s="0" t="n">
        <v>1.99</v>
      </c>
      <c r="F482" s="0" t="n">
        <v>5.30284813596491</v>
      </c>
      <c r="G482" s="0" t="n">
        <v>10.5526677905702</v>
      </c>
      <c r="H482" s="0" t="s">
        <v>3651</v>
      </c>
      <c r="I482" s="0" t="str">
        <f aca="false">A482&amp;"|"&amp;TRIM(D482)</f>
        <v>161|DETAL</v>
      </c>
    </row>
    <row r="483" customFormat="false" ht="15" hidden="false" customHeight="false" outlineLevel="0" collapsed="false">
      <c r="A483" s="0" t="n">
        <v>162</v>
      </c>
      <c r="B483" s="0" t="s">
        <v>2452</v>
      </c>
      <c r="C483" s="0" t="s">
        <v>2476</v>
      </c>
      <c r="D483" s="0" t="s">
        <v>3446</v>
      </c>
      <c r="E483" s="0" t="n">
        <v>1.45</v>
      </c>
      <c r="F483" s="0" t="n">
        <v>3.87101782628921</v>
      </c>
      <c r="G483" s="0" t="n">
        <v>5.61297584811935</v>
      </c>
      <c r="H483" s="0" t="s">
        <v>3722</v>
      </c>
      <c r="I483" s="0" t="str">
        <f aca="false">A483&amp;"|"&amp;TRIM(D483)</f>
        <v>162|+5 DOC</v>
      </c>
    </row>
    <row r="484" customFormat="false" ht="15" hidden="false" customHeight="false" outlineLevel="0" collapsed="false">
      <c r="A484" s="0" t="n">
        <v>162</v>
      </c>
      <c r="B484" s="0" t="s">
        <v>2452</v>
      </c>
      <c r="C484" s="0" t="s">
        <v>2476</v>
      </c>
      <c r="D484" s="0" t="s">
        <v>9</v>
      </c>
      <c r="E484" s="0" t="n">
        <v>1.5</v>
      </c>
      <c r="F484" s="0" t="n">
        <v>3.87101782628921</v>
      </c>
      <c r="G484" s="0" t="n">
        <v>5.80652673943381</v>
      </c>
      <c r="H484" s="0" t="s">
        <v>3723</v>
      </c>
      <c r="I484" s="0" t="str">
        <f aca="false">A484&amp;"|"&amp;TRIM(D484)</f>
        <v>162|1 A 5 DOC</v>
      </c>
    </row>
    <row r="485" customFormat="false" ht="15" hidden="false" customHeight="false" outlineLevel="0" collapsed="false">
      <c r="A485" s="0" t="n">
        <v>162</v>
      </c>
      <c r="B485" s="0" t="s">
        <v>2452</v>
      </c>
      <c r="C485" s="0" t="s">
        <v>2476</v>
      </c>
      <c r="D485" s="0" t="s">
        <v>3449</v>
      </c>
      <c r="E485" s="0" t="n">
        <v>1.99</v>
      </c>
      <c r="F485" s="0" t="n">
        <v>3.87101782628921</v>
      </c>
      <c r="G485" s="0" t="n">
        <v>7.70332547431552</v>
      </c>
      <c r="H485" s="0" t="s">
        <v>3724</v>
      </c>
      <c r="I485" s="0" t="str">
        <f aca="false">A485&amp;"|"&amp;TRIM(D485)</f>
        <v>162|DETAL</v>
      </c>
    </row>
    <row r="486" customFormat="false" ht="15" hidden="false" customHeight="false" outlineLevel="0" collapsed="false">
      <c r="A486" s="0" t="n">
        <v>163</v>
      </c>
      <c r="B486" s="0" t="s">
        <v>2495</v>
      </c>
      <c r="C486" s="0" t="s">
        <v>296</v>
      </c>
      <c r="D486" s="0" t="s">
        <v>3446</v>
      </c>
      <c r="E486" s="0" t="n">
        <v>1.45</v>
      </c>
      <c r="F486" s="0" t="n">
        <v>6.95789473684211</v>
      </c>
      <c r="G486" s="0" t="n">
        <v>10.0889473684211</v>
      </c>
      <c r="H486" s="0" t="s">
        <v>3606</v>
      </c>
      <c r="I486" s="0" t="str">
        <f aca="false">A486&amp;"|"&amp;TRIM(D486)</f>
        <v>163|+5 DOC</v>
      </c>
    </row>
    <row r="487" customFormat="false" ht="15" hidden="false" customHeight="false" outlineLevel="0" collapsed="false">
      <c r="A487" s="0" t="n">
        <v>163</v>
      </c>
      <c r="B487" s="0" t="s">
        <v>2495</v>
      </c>
      <c r="C487" s="0" t="s">
        <v>296</v>
      </c>
      <c r="D487" s="0" t="s">
        <v>9</v>
      </c>
      <c r="E487" s="0" t="n">
        <v>1.75</v>
      </c>
      <c r="F487" s="0" t="n">
        <v>6.95789473684211</v>
      </c>
      <c r="G487" s="0" t="n">
        <v>12.1763157894737</v>
      </c>
      <c r="H487" s="0" t="s">
        <v>3607</v>
      </c>
      <c r="I487" s="0" t="str">
        <f aca="false">A487&amp;"|"&amp;TRIM(D487)</f>
        <v>163|1 A 5 DOC</v>
      </c>
    </row>
    <row r="488" customFormat="false" ht="15" hidden="false" customHeight="false" outlineLevel="0" collapsed="false">
      <c r="A488" s="0" t="n">
        <v>163</v>
      </c>
      <c r="B488" s="0" t="s">
        <v>2495</v>
      </c>
      <c r="C488" s="0" t="s">
        <v>296</v>
      </c>
      <c r="D488" s="0" t="s">
        <v>3449</v>
      </c>
      <c r="E488" s="0" t="n">
        <v>1.99</v>
      </c>
      <c r="F488" s="0" t="n">
        <v>6.95789473684211</v>
      </c>
      <c r="G488" s="0" t="n">
        <v>13.8462105263158</v>
      </c>
      <c r="H488" s="0" t="s">
        <v>3608</v>
      </c>
      <c r="I488" s="0" t="str">
        <f aca="false">A488&amp;"|"&amp;TRIM(D488)</f>
        <v>163|DETAL</v>
      </c>
    </row>
    <row r="489" customFormat="false" ht="15" hidden="false" customHeight="false" outlineLevel="0" collapsed="false">
      <c r="A489" s="0" t="n">
        <v>164</v>
      </c>
      <c r="B489" s="0" t="s">
        <v>2495</v>
      </c>
      <c r="C489" s="0" t="s">
        <v>311</v>
      </c>
      <c r="D489" s="0" t="s">
        <v>3446</v>
      </c>
      <c r="E489" s="0" t="n">
        <v>1.45</v>
      </c>
      <c r="F489" s="0" t="n">
        <v>10.8157894736842</v>
      </c>
      <c r="G489" s="0" t="n">
        <v>15.6828947368421</v>
      </c>
      <c r="H489" s="0" t="s">
        <v>3785</v>
      </c>
      <c r="I489" s="0" t="str">
        <f aca="false">A489&amp;"|"&amp;TRIM(D489)</f>
        <v>164|+5 DOC</v>
      </c>
    </row>
    <row r="490" customFormat="false" ht="15" hidden="false" customHeight="false" outlineLevel="0" collapsed="false">
      <c r="A490" s="0" t="n">
        <v>164</v>
      </c>
      <c r="B490" s="0" t="s">
        <v>2495</v>
      </c>
      <c r="C490" s="0" t="s">
        <v>311</v>
      </c>
      <c r="D490" s="0" t="s">
        <v>9</v>
      </c>
      <c r="E490" s="0" t="n">
        <v>1.65</v>
      </c>
      <c r="F490" s="0" t="n">
        <v>10.8157894736842</v>
      </c>
      <c r="G490" s="0" t="n">
        <v>17.846052631579</v>
      </c>
      <c r="H490" s="0" t="s">
        <v>3786</v>
      </c>
      <c r="I490" s="0" t="str">
        <f aca="false">A490&amp;"|"&amp;TRIM(D490)</f>
        <v>164|1 A 5 DOC</v>
      </c>
    </row>
    <row r="491" customFormat="false" ht="15" hidden="false" customHeight="false" outlineLevel="0" collapsed="false">
      <c r="A491" s="0" t="n">
        <v>164</v>
      </c>
      <c r="B491" s="0" t="s">
        <v>2495</v>
      </c>
      <c r="C491" s="0" t="s">
        <v>311</v>
      </c>
      <c r="D491" s="0" t="s">
        <v>3449</v>
      </c>
      <c r="E491" s="0" t="n">
        <v>1.99</v>
      </c>
      <c r="F491" s="0" t="n">
        <v>10.8157894736842</v>
      </c>
      <c r="G491" s="0" t="n">
        <v>21.5234210526316</v>
      </c>
      <c r="H491" s="0" t="s">
        <v>3787</v>
      </c>
      <c r="I491" s="0" t="str">
        <f aca="false">A491&amp;"|"&amp;TRIM(D491)</f>
        <v>164|DETAL</v>
      </c>
    </row>
    <row r="492" customFormat="false" ht="15" hidden="false" customHeight="false" outlineLevel="0" collapsed="false">
      <c r="A492" s="0" t="n">
        <v>165</v>
      </c>
      <c r="B492" s="0" t="s">
        <v>2495</v>
      </c>
      <c r="C492" s="0" t="s">
        <v>296</v>
      </c>
      <c r="D492" s="0" t="s">
        <v>3446</v>
      </c>
      <c r="E492" s="0" t="n">
        <v>1.35</v>
      </c>
      <c r="F492" s="0" t="n">
        <v>7.06052631578947</v>
      </c>
      <c r="G492" s="0" t="n">
        <v>9.53171052631579</v>
      </c>
      <c r="H492" s="0" t="s">
        <v>3609</v>
      </c>
      <c r="I492" s="0" t="str">
        <f aca="false">A492&amp;"|"&amp;TRIM(D492)</f>
        <v>165|+5 DOC</v>
      </c>
    </row>
    <row r="493" customFormat="false" ht="15" hidden="false" customHeight="false" outlineLevel="0" collapsed="false">
      <c r="A493" s="0" t="n">
        <v>165</v>
      </c>
      <c r="B493" s="0" t="s">
        <v>2495</v>
      </c>
      <c r="C493" s="0" t="s">
        <v>296</v>
      </c>
      <c r="D493" s="0" t="s">
        <v>9</v>
      </c>
      <c r="E493" s="0" t="n">
        <v>1.45</v>
      </c>
      <c r="F493" s="0" t="n">
        <v>7.06052631578947</v>
      </c>
      <c r="G493" s="0" t="n">
        <v>10.2377631578947</v>
      </c>
      <c r="H493" s="0" t="s">
        <v>3610</v>
      </c>
      <c r="I493" s="0" t="str">
        <f aca="false">A493&amp;"|"&amp;TRIM(D493)</f>
        <v>165|1 A 5 DOC</v>
      </c>
    </row>
    <row r="494" customFormat="false" ht="15" hidden="false" customHeight="false" outlineLevel="0" collapsed="false">
      <c r="A494" s="0" t="n">
        <v>165</v>
      </c>
      <c r="B494" s="0" t="s">
        <v>2495</v>
      </c>
      <c r="C494" s="0" t="s">
        <v>296</v>
      </c>
      <c r="D494" s="0" t="s">
        <v>3449</v>
      </c>
      <c r="E494" s="0" t="n">
        <v>1.99</v>
      </c>
      <c r="F494" s="0" t="n">
        <v>7.06052631578947</v>
      </c>
      <c r="G494" s="0" t="n">
        <v>14.0504473684211</v>
      </c>
      <c r="H494" s="0" t="s">
        <v>3611</v>
      </c>
      <c r="I494" s="0" t="str">
        <f aca="false">A494&amp;"|"&amp;TRIM(D494)</f>
        <v>165|DETAL</v>
      </c>
    </row>
    <row r="495" customFormat="false" ht="15" hidden="false" customHeight="false" outlineLevel="0" collapsed="false">
      <c r="A495" s="0" t="n">
        <v>166</v>
      </c>
      <c r="B495" s="0" t="s">
        <v>2495</v>
      </c>
      <c r="C495" s="0" t="s">
        <v>311</v>
      </c>
      <c r="D495" s="0" t="s">
        <v>3446</v>
      </c>
      <c r="E495" s="0" t="n">
        <v>1.45</v>
      </c>
      <c r="F495" s="0" t="n">
        <v>9.62105263157895</v>
      </c>
      <c r="G495" s="0" t="n">
        <v>13.9505263157895</v>
      </c>
      <c r="H495" s="0" t="s">
        <v>3781</v>
      </c>
      <c r="I495" s="0" t="str">
        <f aca="false">A495&amp;"|"&amp;TRIM(D495)</f>
        <v>166|+5 DOC</v>
      </c>
    </row>
    <row r="496" customFormat="false" ht="15" hidden="false" customHeight="false" outlineLevel="0" collapsed="false">
      <c r="A496" s="0" t="n">
        <v>166</v>
      </c>
      <c r="B496" s="0" t="s">
        <v>2495</v>
      </c>
      <c r="C496" s="0" t="s">
        <v>311</v>
      </c>
      <c r="D496" s="0" t="s">
        <v>9</v>
      </c>
      <c r="E496" s="0" t="n">
        <v>1.75</v>
      </c>
      <c r="F496" s="0" t="n">
        <v>9.62105263157895</v>
      </c>
      <c r="G496" s="0" t="n">
        <v>16.8368421052632</v>
      </c>
      <c r="H496" s="0" t="s">
        <v>3782</v>
      </c>
      <c r="I496" s="0" t="str">
        <f aca="false">A496&amp;"|"&amp;TRIM(D496)</f>
        <v>166|1 A 5 DOC</v>
      </c>
    </row>
    <row r="497" customFormat="false" ht="15" hidden="false" customHeight="false" outlineLevel="0" collapsed="false">
      <c r="A497" s="0" t="n">
        <v>166</v>
      </c>
      <c r="B497" s="0" t="s">
        <v>2495</v>
      </c>
      <c r="C497" s="0" t="s">
        <v>311</v>
      </c>
      <c r="D497" s="0" t="s">
        <v>3449</v>
      </c>
      <c r="E497" s="0" t="n">
        <v>1.99</v>
      </c>
      <c r="F497" s="0" t="n">
        <v>9.62105263157895</v>
      </c>
      <c r="G497" s="0" t="n">
        <v>19.1458947368421</v>
      </c>
      <c r="H497" s="0" t="s">
        <v>3783</v>
      </c>
      <c r="I497" s="0" t="str">
        <f aca="false">A497&amp;"|"&amp;TRIM(D497)</f>
        <v>166|DETAL</v>
      </c>
    </row>
    <row r="498" customFormat="false" ht="15" hidden="false" customHeight="false" outlineLevel="0" collapsed="false">
      <c r="A498" s="0" t="n">
        <v>167</v>
      </c>
      <c r="B498" s="0" t="s">
        <v>2495</v>
      </c>
      <c r="C498" s="0" t="s">
        <v>349</v>
      </c>
      <c r="D498" s="0" t="s">
        <v>3446</v>
      </c>
      <c r="E498" s="0" t="n">
        <v>1.45</v>
      </c>
      <c r="F498" s="0" t="n">
        <v>6.73684210526316</v>
      </c>
      <c r="G498" s="0" t="n">
        <v>9.76842105263158</v>
      </c>
      <c r="H498" s="0" t="s">
        <v>3863</v>
      </c>
      <c r="I498" s="0" t="str">
        <f aca="false">A498&amp;"|"&amp;TRIM(D498)</f>
        <v>167|+5 DOC</v>
      </c>
    </row>
    <row r="499" customFormat="false" ht="15" hidden="false" customHeight="false" outlineLevel="0" collapsed="false">
      <c r="A499" s="0" t="n">
        <v>167</v>
      </c>
      <c r="B499" s="0" t="s">
        <v>2495</v>
      </c>
      <c r="C499" s="0" t="s">
        <v>349</v>
      </c>
      <c r="D499" s="0" t="s">
        <v>9</v>
      </c>
      <c r="E499" s="0" t="n">
        <v>1.7</v>
      </c>
      <c r="F499" s="0" t="n">
        <v>6.73684210526316</v>
      </c>
      <c r="G499" s="0" t="n">
        <v>11.4526315789474</v>
      </c>
      <c r="H499" s="0" t="s">
        <v>3864</v>
      </c>
      <c r="I499" s="0" t="str">
        <f aca="false">A499&amp;"|"&amp;TRIM(D499)</f>
        <v>167|1 A 5 DOC</v>
      </c>
    </row>
    <row r="500" customFormat="false" ht="15" hidden="false" customHeight="false" outlineLevel="0" collapsed="false">
      <c r="A500" s="0" t="n">
        <v>167</v>
      </c>
      <c r="B500" s="0" t="s">
        <v>2495</v>
      </c>
      <c r="C500" s="0" t="s">
        <v>349</v>
      </c>
      <c r="D500" s="0" t="s">
        <v>3449</v>
      </c>
      <c r="E500" s="0" t="n">
        <v>1.9</v>
      </c>
      <c r="F500" s="0" t="n">
        <v>6.73684210526316</v>
      </c>
      <c r="G500" s="0" t="n">
        <v>12.8</v>
      </c>
      <c r="H500" s="0" t="s">
        <v>3865</v>
      </c>
      <c r="I500" s="0" t="str">
        <f aca="false">A500&amp;"|"&amp;TRIM(D500)</f>
        <v>167|DETAL</v>
      </c>
    </row>
    <row r="501" customFormat="false" ht="15" hidden="false" customHeight="false" outlineLevel="0" collapsed="false">
      <c r="A501" s="0" t="n">
        <v>168</v>
      </c>
      <c r="B501" s="0" t="s">
        <v>2495</v>
      </c>
      <c r="C501" s="0" t="s">
        <v>349</v>
      </c>
      <c r="D501" s="0" t="s">
        <v>3446</v>
      </c>
      <c r="E501" s="0" t="n">
        <v>1.4</v>
      </c>
      <c r="F501" s="0" t="n">
        <v>10.7394736842105</v>
      </c>
      <c r="G501" s="0" t="n">
        <v>15.0352631578947</v>
      </c>
      <c r="H501" s="0" t="s">
        <v>3866</v>
      </c>
      <c r="I501" s="0" t="str">
        <f aca="false">A501&amp;"|"&amp;TRIM(D501)</f>
        <v>168|+5 DOC</v>
      </c>
    </row>
    <row r="502" customFormat="false" ht="15" hidden="false" customHeight="false" outlineLevel="0" collapsed="false">
      <c r="A502" s="0" t="n">
        <v>168</v>
      </c>
      <c r="B502" s="0" t="s">
        <v>2495</v>
      </c>
      <c r="C502" s="0" t="s">
        <v>349</v>
      </c>
      <c r="D502" s="0" t="s">
        <v>9</v>
      </c>
      <c r="E502" s="0" t="n">
        <v>1.6</v>
      </c>
      <c r="F502" s="0" t="n">
        <v>10.7394736842105</v>
      </c>
      <c r="G502" s="0" t="n">
        <v>17.1831578947368</v>
      </c>
      <c r="H502" s="0" t="s">
        <v>3867</v>
      </c>
      <c r="I502" s="0" t="str">
        <f aca="false">A502&amp;"|"&amp;TRIM(D502)</f>
        <v>168|1 A 5 DOC</v>
      </c>
    </row>
    <row r="503" customFormat="false" ht="15" hidden="false" customHeight="false" outlineLevel="0" collapsed="false">
      <c r="A503" s="0" t="n">
        <v>168</v>
      </c>
      <c r="B503" s="0" t="s">
        <v>2495</v>
      </c>
      <c r="C503" s="0" t="s">
        <v>349</v>
      </c>
      <c r="D503" s="0" t="s">
        <v>3449</v>
      </c>
      <c r="E503" s="0" t="n">
        <v>1.99</v>
      </c>
      <c r="F503" s="0" t="n">
        <v>10.7394736842105</v>
      </c>
      <c r="G503" s="0" t="n">
        <v>21.371552631579</v>
      </c>
      <c r="H503" s="0" t="s">
        <v>3868</v>
      </c>
      <c r="I503" s="0" t="str">
        <f aca="false">A503&amp;"|"&amp;TRIM(D503)</f>
        <v>168|DETAL</v>
      </c>
    </row>
    <row r="504" customFormat="false" ht="15" hidden="false" customHeight="false" outlineLevel="0" collapsed="false">
      <c r="A504" s="0" t="n">
        <v>169</v>
      </c>
      <c r="B504" s="0" t="s">
        <v>2495</v>
      </c>
      <c r="C504" s="0" t="s">
        <v>349</v>
      </c>
      <c r="D504" s="0" t="s">
        <v>3446</v>
      </c>
      <c r="E504" s="0" t="n">
        <v>1.55</v>
      </c>
      <c r="F504" s="0" t="n">
        <v>8.86052631578947</v>
      </c>
      <c r="G504" s="0" t="n">
        <v>13.7338157894737</v>
      </c>
      <c r="H504" s="0" t="s">
        <v>3869</v>
      </c>
      <c r="I504" s="0" t="str">
        <f aca="false">A504&amp;"|"&amp;TRIM(D504)</f>
        <v>169|+5 DOC</v>
      </c>
    </row>
    <row r="505" customFormat="false" ht="15" hidden="false" customHeight="false" outlineLevel="0" collapsed="false">
      <c r="A505" s="0" t="n">
        <v>169</v>
      </c>
      <c r="B505" s="0" t="s">
        <v>2495</v>
      </c>
      <c r="C505" s="0" t="s">
        <v>349</v>
      </c>
      <c r="D505" s="0" t="s">
        <v>9</v>
      </c>
      <c r="E505" s="0" t="n">
        <v>1.75</v>
      </c>
      <c r="F505" s="0" t="n">
        <v>8.86052631578947</v>
      </c>
      <c r="G505" s="0" t="n">
        <v>15.5059210526316</v>
      </c>
      <c r="H505" s="0" t="s">
        <v>3870</v>
      </c>
      <c r="I505" s="0" t="str">
        <f aca="false">A505&amp;"|"&amp;TRIM(D505)</f>
        <v>169|1 A 5 DOC</v>
      </c>
    </row>
    <row r="506" customFormat="false" ht="15" hidden="false" customHeight="false" outlineLevel="0" collapsed="false">
      <c r="A506" s="0" t="n">
        <v>169</v>
      </c>
      <c r="B506" s="0" t="s">
        <v>2495</v>
      </c>
      <c r="C506" s="0" t="s">
        <v>349</v>
      </c>
      <c r="D506" s="0" t="s">
        <v>3449</v>
      </c>
      <c r="E506" s="0" t="n">
        <v>1.9</v>
      </c>
      <c r="F506" s="0" t="n">
        <v>8.86052631578947</v>
      </c>
      <c r="G506" s="0" t="n">
        <v>16.835</v>
      </c>
      <c r="H506" s="0" t="s">
        <v>3871</v>
      </c>
      <c r="I506" s="0" t="str">
        <f aca="false">A506&amp;"|"&amp;TRIM(D506)</f>
        <v>169|DETAL</v>
      </c>
    </row>
    <row r="507" customFormat="false" ht="15" hidden="false" customHeight="false" outlineLevel="0" collapsed="false">
      <c r="A507" s="0" t="n">
        <v>170</v>
      </c>
      <c r="B507" s="0" t="s">
        <v>2588</v>
      </c>
      <c r="C507" s="0" t="s">
        <v>2588</v>
      </c>
      <c r="D507" s="0" t="s">
        <v>3446</v>
      </c>
      <c r="E507" s="0" t="n">
        <v>1.4</v>
      </c>
      <c r="F507" s="0" t="n">
        <v>11.0384210526316</v>
      </c>
      <c r="G507" s="0" t="n">
        <v>15.4537894736842</v>
      </c>
      <c r="H507" s="0" t="s">
        <v>3455</v>
      </c>
      <c r="I507" s="0" t="str">
        <f aca="false">A507&amp;"|"&amp;TRIM(D507)</f>
        <v>170|+5 DOC</v>
      </c>
    </row>
    <row r="508" customFormat="false" ht="15" hidden="false" customHeight="false" outlineLevel="0" collapsed="false">
      <c r="A508" s="0" t="n">
        <v>170</v>
      </c>
      <c r="B508" s="0" t="s">
        <v>2588</v>
      </c>
      <c r="C508" s="0" t="s">
        <v>2588</v>
      </c>
      <c r="D508" s="0" t="s">
        <v>9</v>
      </c>
      <c r="E508" s="0" t="n">
        <v>1.6</v>
      </c>
      <c r="F508" s="0" t="n">
        <v>11.0384210526316</v>
      </c>
      <c r="G508" s="0" t="n">
        <v>17.6614736842105</v>
      </c>
      <c r="H508" s="0" t="s">
        <v>3456</v>
      </c>
      <c r="I508" s="0" t="str">
        <f aca="false">A508&amp;"|"&amp;TRIM(D508)</f>
        <v>170|1 A 5 DOC</v>
      </c>
    </row>
    <row r="509" customFormat="false" ht="15" hidden="false" customHeight="false" outlineLevel="0" collapsed="false">
      <c r="A509" s="0" t="n">
        <v>170</v>
      </c>
      <c r="B509" s="0" t="s">
        <v>2588</v>
      </c>
      <c r="C509" s="0" t="s">
        <v>2588</v>
      </c>
      <c r="D509" s="0" t="s">
        <v>3449</v>
      </c>
      <c r="E509" s="0" t="n">
        <v>1.99</v>
      </c>
      <c r="F509" s="0" t="n">
        <v>11.0384210526316</v>
      </c>
      <c r="G509" s="0" t="n">
        <v>21.9664578947368</v>
      </c>
      <c r="H509" s="0" t="s">
        <v>3872</v>
      </c>
      <c r="I509" s="0" t="str">
        <f aca="false">A509&amp;"|"&amp;TRIM(D509)</f>
        <v>170|DETAL</v>
      </c>
    </row>
    <row r="510" customFormat="false" ht="15" hidden="false" customHeight="false" outlineLevel="0" collapsed="false">
      <c r="A510" s="0" t="n">
        <v>171</v>
      </c>
      <c r="B510" s="0" t="s">
        <v>2608</v>
      </c>
      <c r="C510" s="0" t="s">
        <v>2609</v>
      </c>
      <c r="D510" s="0" t="s">
        <v>3446</v>
      </c>
      <c r="E510" s="0" t="n">
        <v>1.4</v>
      </c>
      <c r="F510" s="0" t="n">
        <v>16.175</v>
      </c>
      <c r="G510" s="0" t="n">
        <v>22.645</v>
      </c>
      <c r="H510" s="0" t="s">
        <v>3461</v>
      </c>
      <c r="I510" s="0" t="str">
        <f aca="false">A510&amp;"|"&amp;TRIM(D510)</f>
        <v>171|+5 DOC</v>
      </c>
    </row>
    <row r="511" customFormat="false" ht="15" hidden="false" customHeight="false" outlineLevel="0" collapsed="false">
      <c r="A511" s="0" t="n">
        <v>171</v>
      </c>
      <c r="B511" s="0" t="s">
        <v>2608</v>
      </c>
      <c r="C511" s="0" t="s">
        <v>2609</v>
      </c>
      <c r="D511" s="0" t="s">
        <v>9</v>
      </c>
      <c r="E511" s="0" t="n">
        <v>1.7</v>
      </c>
      <c r="F511" s="0" t="n">
        <v>16.175</v>
      </c>
      <c r="G511" s="0" t="n">
        <v>27.4975</v>
      </c>
      <c r="H511" s="0" t="s">
        <v>3462</v>
      </c>
      <c r="I511" s="0" t="str">
        <f aca="false">A511&amp;"|"&amp;TRIM(D511)</f>
        <v>171|1 A 5 DOC</v>
      </c>
    </row>
    <row r="512" customFormat="false" ht="15" hidden="false" customHeight="false" outlineLevel="0" collapsed="false">
      <c r="A512" s="0" t="n">
        <v>171</v>
      </c>
      <c r="B512" s="0" t="s">
        <v>2608</v>
      </c>
      <c r="C512" s="0" t="s">
        <v>2609</v>
      </c>
      <c r="D512" s="0" t="s">
        <v>3449</v>
      </c>
      <c r="E512" s="0" t="n">
        <v>1.99</v>
      </c>
      <c r="F512" s="0" t="n">
        <v>16.175</v>
      </c>
      <c r="G512" s="0" t="n">
        <v>32.18825</v>
      </c>
      <c r="H512" s="0" t="s">
        <v>3627</v>
      </c>
      <c r="I512" s="0" t="str">
        <f aca="false">A512&amp;"|"&amp;TRIM(D512)</f>
        <v>171|DETAL</v>
      </c>
    </row>
    <row r="513" customFormat="false" ht="15" hidden="false" customHeight="false" outlineLevel="0" collapsed="false">
      <c r="A513" s="0" t="n">
        <v>172</v>
      </c>
      <c r="B513" s="0" t="s">
        <v>2626</v>
      </c>
      <c r="C513" s="0" t="s">
        <v>2626</v>
      </c>
      <c r="D513" s="0" t="s">
        <v>3446</v>
      </c>
      <c r="E513" s="0" t="n">
        <v>1.45</v>
      </c>
      <c r="F513" s="0" t="n">
        <v>3.15701754385965</v>
      </c>
      <c r="G513" s="0" t="n">
        <v>4.57767543859649</v>
      </c>
      <c r="H513" s="0" t="s">
        <v>3448</v>
      </c>
      <c r="I513" s="0" t="str">
        <f aca="false">A513&amp;"|"&amp;TRIM(D513)</f>
        <v>172|+5 DOC</v>
      </c>
    </row>
    <row r="514" customFormat="false" ht="15" hidden="false" customHeight="false" outlineLevel="0" collapsed="false">
      <c r="A514" s="0" t="n">
        <v>172</v>
      </c>
      <c r="B514" s="0" t="s">
        <v>2626</v>
      </c>
      <c r="C514" s="0" t="s">
        <v>2626</v>
      </c>
      <c r="D514" s="0" t="s">
        <v>9</v>
      </c>
      <c r="E514" s="0" t="n">
        <v>1.6</v>
      </c>
      <c r="F514" s="0" t="n">
        <v>3.15701754385965</v>
      </c>
      <c r="G514" s="0" t="n">
        <v>5.05122807017544</v>
      </c>
      <c r="H514" s="0" t="s">
        <v>3450</v>
      </c>
      <c r="I514" s="0" t="str">
        <f aca="false">A514&amp;"|"&amp;TRIM(D514)</f>
        <v>172|1 A 5 DOC</v>
      </c>
    </row>
    <row r="515" customFormat="false" ht="15" hidden="false" customHeight="false" outlineLevel="0" collapsed="false">
      <c r="A515" s="0" t="n">
        <v>172</v>
      </c>
      <c r="B515" s="0" t="s">
        <v>2626</v>
      </c>
      <c r="C515" s="0" t="s">
        <v>2626</v>
      </c>
      <c r="D515" s="0" t="s">
        <v>3449</v>
      </c>
      <c r="E515" s="0" t="n">
        <v>1.8</v>
      </c>
      <c r="F515" s="0" t="n">
        <v>3.15701754385965</v>
      </c>
      <c r="G515" s="0" t="n">
        <v>5.68263157894737</v>
      </c>
      <c r="H515" s="0" t="s">
        <v>3873</v>
      </c>
      <c r="I515" s="0" t="str">
        <f aca="false">A515&amp;"|"&amp;TRIM(D515)</f>
        <v>172|DETAL</v>
      </c>
    </row>
    <row r="516" customFormat="false" ht="15" hidden="false" customHeight="false" outlineLevel="0" collapsed="false">
      <c r="A516" s="0" t="n">
        <v>173</v>
      </c>
      <c r="B516" s="0" t="s">
        <v>2640</v>
      </c>
      <c r="C516" s="0" t="s">
        <v>349</v>
      </c>
      <c r="D516" s="0" t="s">
        <v>3446</v>
      </c>
      <c r="E516" s="0" t="n">
        <v>1.45</v>
      </c>
      <c r="F516" s="0" t="n">
        <v>10.3631578947368</v>
      </c>
      <c r="G516" s="0" t="n">
        <v>15.0265789473684</v>
      </c>
      <c r="H516" s="0" t="s">
        <v>3649</v>
      </c>
      <c r="I516" s="0" t="str">
        <f aca="false">A516&amp;"|"&amp;TRIM(D516)</f>
        <v>173|+5 DOC</v>
      </c>
    </row>
    <row r="517" customFormat="false" ht="15" hidden="false" customHeight="false" outlineLevel="0" collapsed="false">
      <c r="A517" s="0" t="n">
        <v>173</v>
      </c>
      <c r="B517" s="0" t="s">
        <v>2640</v>
      </c>
      <c r="C517" s="0" t="s">
        <v>349</v>
      </c>
      <c r="D517" s="0" t="s">
        <v>9</v>
      </c>
      <c r="E517" s="0" t="n">
        <v>1.75</v>
      </c>
      <c r="F517" s="0" t="n">
        <v>10.3631578947368</v>
      </c>
      <c r="G517" s="0" t="n">
        <v>18.1355263157895</v>
      </c>
      <c r="H517" s="0" t="s">
        <v>3650</v>
      </c>
      <c r="I517" s="0" t="str">
        <f aca="false">A517&amp;"|"&amp;TRIM(D517)</f>
        <v>173|1 A 5 DOC</v>
      </c>
    </row>
    <row r="518" customFormat="false" ht="15" hidden="false" customHeight="false" outlineLevel="0" collapsed="false">
      <c r="A518" s="0" t="n">
        <v>173</v>
      </c>
      <c r="B518" s="0" t="s">
        <v>2640</v>
      </c>
      <c r="C518" s="0" t="s">
        <v>349</v>
      </c>
      <c r="D518" s="0" t="s">
        <v>3449</v>
      </c>
      <c r="E518" s="0" t="n">
        <v>1.99</v>
      </c>
      <c r="F518" s="0" t="n">
        <v>10.3631578947368</v>
      </c>
      <c r="G518" s="0" t="n">
        <v>20.6226842105263</v>
      </c>
      <c r="H518" s="0" t="s">
        <v>3651</v>
      </c>
      <c r="I518" s="0" t="str">
        <f aca="false">A518&amp;"|"&amp;TRIM(D518)</f>
        <v>173|DETAL</v>
      </c>
    </row>
    <row r="519" customFormat="false" ht="15" hidden="false" customHeight="false" outlineLevel="0" collapsed="false">
      <c r="A519" s="0" t="n">
        <v>174</v>
      </c>
      <c r="B519" s="0" t="s">
        <v>2640</v>
      </c>
      <c r="C519" s="0" t="s">
        <v>349</v>
      </c>
      <c r="D519" s="0" t="s">
        <v>3446</v>
      </c>
      <c r="E519" s="0" t="n">
        <v>1.3</v>
      </c>
      <c r="F519" s="0" t="n">
        <v>10.1542105263158</v>
      </c>
      <c r="G519" s="0" t="n">
        <v>13.2004736842105</v>
      </c>
      <c r="H519" s="0" t="s">
        <v>3778</v>
      </c>
      <c r="I519" s="0" t="str">
        <f aca="false">A519&amp;"|"&amp;TRIM(D519)</f>
        <v>174|+5 DOC</v>
      </c>
    </row>
    <row r="520" customFormat="false" ht="15" hidden="false" customHeight="false" outlineLevel="0" collapsed="false">
      <c r="A520" s="0" t="n">
        <v>174</v>
      </c>
      <c r="B520" s="0" t="s">
        <v>2640</v>
      </c>
      <c r="C520" s="0" t="s">
        <v>349</v>
      </c>
      <c r="D520" s="0" t="s">
        <v>9</v>
      </c>
      <c r="E520" s="0" t="n">
        <v>1.65</v>
      </c>
      <c r="F520" s="0" t="n">
        <v>10.1542105263158</v>
      </c>
      <c r="G520" s="0" t="n">
        <v>16.7544473684211</v>
      </c>
      <c r="H520" s="0" t="s">
        <v>3779</v>
      </c>
      <c r="I520" s="0" t="str">
        <f aca="false">A520&amp;"|"&amp;TRIM(D520)</f>
        <v>174|1 A 5 DOC</v>
      </c>
    </row>
    <row r="521" customFormat="false" ht="15" hidden="false" customHeight="false" outlineLevel="0" collapsed="false">
      <c r="A521" s="0" t="n">
        <v>174</v>
      </c>
      <c r="B521" s="0" t="s">
        <v>2640</v>
      </c>
      <c r="C521" s="0" t="s">
        <v>349</v>
      </c>
      <c r="D521" s="0" t="s">
        <v>3449</v>
      </c>
      <c r="E521" s="0" t="n">
        <v>1.8</v>
      </c>
      <c r="F521" s="0" t="n">
        <v>10.1542105263158</v>
      </c>
      <c r="G521" s="0" t="n">
        <v>18.2775789473684</v>
      </c>
      <c r="H521" s="0" t="s">
        <v>3780</v>
      </c>
      <c r="I521" s="0" t="str">
        <f aca="false">A521&amp;"|"&amp;TRIM(D521)</f>
        <v>174|DETAL</v>
      </c>
    </row>
    <row r="522" customFormat="false" ht="15" hidden="false" customHeight="false" outlineLevel="0" collapsed="false">
      <c r="A522" s="0" t="n">
        <v>175</v>
      </c>
      <c r="B522" s="0" t="s">
        <v>2640</v>
      </c>
      <c r="C522" s="0" t="s">
        <v>349</v>
      </c>
      <c r="D522" s="0" t="s">
        <v>3446</v>
      </c>
      <c r="E522" s="0" t="n">
        <v>1.45</v>
      </c>
      <c r="F522" s="0" t="n">
        <v>15.1625</v>
      </c>
      <c r="G522" s="0" t="n">
        <v>21.985625</v>
      </c>
      <c r="H522" s="0" t="s">
        <v>3874</v>
      </c>
      <c r="I522" s="0" t="str">
        <f aca="false">A522&amp;"|"&amp;TRIM(D522)</f>
        <v>175|+5 DOC</v>
      </c>
    </row>
    <row r="523" customFormat="false" ht="15" hidden="false" customHeight="false" outlineLevel="0" collapsed="false">
      <c r="A523" s="0" t="n">
        <v>175</v>
      </c>
      <c r="B523" s="0" t="s">
        <v>2640</v>
      </c>
      <c r="C523" s="0" t="s">
        <v>349</v>
      </c>
      <c r="D523" s="0" t="s">
        <v>9</v>
      </c>
      <c r="E523" s="0" t="n">
        <v>1.75</v>
      </c>
      <c r="F523" s="0" t="n">
        <v>15.1625</v>
      </c>
      <c r="G523" s="0" t="n">
        <v>26.534375</v>
      </c>
      <c r="H523" s="0" t="s">
        <v>3875</v>
      </c>
      <c r="I523" s="0" t="str">
        <f aca="false">A523&amp;"|"&amp;TRIM(D523)</f>
        <v>175|1 A 5 DOC</v>
      </c>
    </row>
    <row r="524" customFormat="false" ht="15" hidden="false" customHeight="false" outlineLevel="0" collapsed="false">
      <c r="A524" s="0" t="n">
        <v>175</v>
      </c>
      <c r="B524" s="0" t="s">
        <v>2640</v>
      </c>
      <c r="C524" s="0" t="s">
        <v>349</v>
      </c>
      <c r="D524" s="0" t="s">
        <v>3449</v>
      </c>
      <c r="E524" s="0" t="n">
        <v>1.99</v>
      </c>
      <c r="F524" s="0" t="n">
        <v>15.1625</v>
      </c>
      <c r="G524" s="0" t="n">
        <v>30.173375</v>
      </c>
      <c r="H524" s="0" t="s">
        <v>3876</v>
      </c>
      <c r="I524" s="0" t="str">
        <f aca="false">A524&amp;"|"&amp;TRIM(D524)</f>
        <v>175|DETAL</v>
      </c>
    </row>
    <row r="525" customFormat="false" ht="15" hidden="false" customHeight="false" outlineLevel="0" collapsed="false">
      <c r="A525" s="0" t="n">
        <v>176</v>
      </c>
      <c r="B525" s="0" t="s">
        <v>2640</v>
      </c>
      <c r="C525" s="0" t="s">
        <v>349</v>
      </c>
      <c r="D525" s="0" t="s">
        <v>3446</v>
      </c>
      <c r="E525" s="0" t="n">
        <v>1.45</v>
      </c>
      <c r="F525" s="0" t="n">
        <v>9.36277777777778</v>
      </c>
      <c r="G525" s="0" t="n">
        <v>13.5760277777778</v>
      </c>
      <c r="H525" s="0" t="s">
        <v>3877</v>
      </c>
      <c r="I525" s="0" t="str">
        <f aca="false">A525&amp;"|"&amp;TRIM(D525)</f>
        <v>176|+5 DOC</v>
      </c>
    </row>
    <row r="526" customFormat="false" ht="15" hidden="false" customHeight="false" outlineLevel="0" collapsed="false">
      <c r="A526" s="0" t="n">
        <v>176</v>
      </c>
      <c r="B526" s="0" t="s">
        <v>2640</v>
      </c>
      <c r="C526" s="0" t="s">
        <v>349</v>
      </c>
      <c r="D526" s="0" t="s">
        <v>9</v>
      </c>
      <c r="E526" s="0" t="n">
        <v>1.75</v>
      </c>
      <c r="F526" s="0" t="n">
        <v>9.36277777777778</v>
      </c>
      <c r="G526" s="0" t="n">
        <v>16.3848611111111</v>
      </c>
      <c r="H526" s="0" t="s">
        <v>3878</v>
      </c>
      <c r="I526" s="0" t="str">
        <f aca="false">A526&amp;"|"&amp;TRIM(D526)</f>
        <v>176|1 A 5 DOC</v>
      </c>
    </row>
    <row r="527" customFormat="false" ht="15" hidden="false" customHeight="false" outlineLevel="0" collapsed="false">
      <c r="A527" s="0" t="n">
        <v>176</v>
      </c>
      <c r="B527" s="0" t="s">
        <v>2640</v>
      </c>
      <c r="C527" s="0" t="s">
        <v>349</v>
      </c>
      <c r="D527" s="0" t="s">
        <v>3449</v>
      </c>
      <c r="E527" s="0" t="n">
        <v>1.99</v>
      </c>
      <c r="F527" s="0" t="n">
        <v>9.36277777777778</v>
      </c>
      <c r="G527" s="0" t="n">
        <v>18.6319277777778</v>
      </c>
      <c r="H527" s="0" t="s">
        <v>3879</v>
      </c>
      <c r="I527" s="0" t="str">
        <f aca="false">A527&amp;"|"&amp;TRIM(D527)</f>
        <v>176|DETAL</v>
      </c>
    </row>
    <row r="528" customFormat="false" ht="15" hidden="false" customHeight="false" outlineLevel="0" collapsed="false">
      <c r="A528" s="0" t="n">
        <v>177</v>
      </c>
      <c r="B528" s="0" t="s">
        <v>2640</v>
      </c>
      <c r="C528" s="0" t="s">
        <v>349</v>
      </c>
      <c r="D528" s="0" t="s">
        <v>3446</v>
      </c>
      <c r="E528" s="0" t="n">
        <v>1.3</v>
      </c>
      <c r="F528" s="0" t="n">
        <v>10.8315789473684</v>
      </c>
      <c r="G528" s="0" t="n">
        <v>14.081052631579</v>
      </c>
      <c r="H528" s="0" t="s">
        <v>3880</v>
      </c>
      <c r="I528" s="0" t="str">
        <f aca="false">A528&amp;"|"&amp;TRIM(D528)</f>
        <v>177|+5 DOC</v>
      </c>
    </row>
    <row r="529" customFormat="false" ht="15" hidden="false" customHeight="false" outlineLevel="0" collapsed="false">
      <c r="A529" s="0" t="n">
        <v>177</v>
      </c>
      <c r="B529" s="0" t="s">
        <v>2640</v>
      </c>
      <c r="C529" s="0" t="s">
        <v>349</v>
      </c>
      <c r="D529" s="0" t="s">
        <v>9</v>
      </c>
      <c r="E529" s="0" t="n">
        <v>1.75</v>
      </c>
      <c r="F529" s="0" t="n">
        <v>10.8315789473684</v>
      </c>
      <c r="G529" s="0" t="n">
        <v>18.9552631578947</v>
      </c>
      <c r="H529" s="0" t="s">
        <v>3881</v>
      </c>
      <c r="I529" s="0" t="str">
        <f aca="false">A529&amp;"|"&amp;TRIM(D529)</f>
        <v>177|1 A 5 DOC</v>
      </c>
    </row>
    <row r="530" customFormat="false" ht="15" hidden="false" customHeight="false" outlineLevel="0" collapsed="false">
      <c r="A530" s="0" t="n">
        <v>177</v>
      </c>
      <c r="B530" s="0" t="s">
        <v>2640</v>
      </c>
      <c r="C530" s="0" t="s">
        <v>349</v>
      </c>
      <c r="D530" s="0" t="s">
        <v>3449</v>
      </c>
      <c r="E530" s="0" t="n">
        <v>1.99</v>
      </c>
      <c r="F530" s="0" t="n">
        <v>10.8315789473684</v>
      </c>
      <c r="G530" s="0" t="n">
        <v>21.5548421052632</v>
      </c>
      <c r="H530" s="0" t="s">
        <v>3882</v>
      </c>
      <c r="I530" s="0" t="str">
        <f aca="false">A530&amp;"|"&amp;TRIM(D530)</f>
        <v>177|DETAL</v>
      </c>
    </row>
    <row r="531" customFormat="false" ht="15" hidden="false" customHeight="false" outlineLevel="0" collapsed="false">
      <c r="A531" s="0" t="n">
        <v>178</v>
      </c>
      <c r="B531" s="0" t="s">
        <v>2640</v>
      </c>
      <c r="C531" s="0" t="s">
        <v>349</v>
      </c>
      <c r="D531" s="0" t="s">
        <v>3446</v>
      </c>
      <c r="E531" s="0" t="n">
        <v>1.7</v>
      </c>
      <c r="F531" s="0" t="n">
        <v>7.02736842105263</v>
      </c>
      <c r="G531" s="0" t="n">
        <v>11.9465263157895</v>
      </c>
      <c r="H531" s="0" t="s">
        <v>3722</v>
      </c>
      <c r="I531" s="0" t="str">
        <f aca="false">A531&amp;"|"&amp;TRIM(D531)</f>
        <v>178|+5 DOC</v>
      </c>
    </row>
    <row r="532" customFormat="false" ht="15" hidden="false" customHeight="false" outlineLevel="0" collapsed="false">
      <c r="A532" s="0" t="n">
        <v>178</v>
      </c>
      <c r="B532" s="0" t="s">
        <v>2640</v>
      </c>
      <c r="C532" s="0" t="s">
        <v>349</v>
      </c>
      <c r="D532" s="0" t="s">
        <v>9</v>
      </c>
      <c r="E532" s="0" t="n">
        <v>1.75</v>
      </c>
      <c r="F532" s="0" t="n">
        <v>7.02736842105263</v>
      </c>
      <c r="G532" s="0" t="n">
        <v>12.2978947368421</v>
      </c>
      <c r="H532" s="0" t="s">
        <v>3723</v>
      </c>
      <c r="I532" s="0" t="str">
        <f aca="false">A532&amp;"|"&amp;TRIM(D532)</f>
        <v>178|1 A 5 DOC</v>
      </c>
    </row>
    <row r="533" customFormat="false" ht="15" hidden="false" customHeight="false" outlineLevel="0" collapsed="false">
      <c r="A533" s="0" t="n">
        <v>178</v>
      </c>
      <c r="B533" s="0" t="s">
        <v>2640</v>
      </c>
      <c r="C533" s="0" t="s">
        <v>349</v>
      </c>
      <c r="D533" s="0" t="s">
        <v>3449</v>
      </c>
      <c r="E533" s="0" t="n">
        <v>1.99</v>
      </c>
      <c r="F533" s="0" t="n">
        <v>7.02736842105263</v>
      </c>
      <c r="G533" s="0" t="n">
        <v>13.9844631578947</v>
      </c>
      <c r="H533" s="0" t="s">
        <v>3724</v>
      </c>
      <c r="I533" s="0" t="str">
        <f aca="false">A533&amp;"|"&amp;TRIM(D533)</f>
        <v>178|DETAL</v>
      </c>
    </row>
    <row r="534" customFormat="false" ht="15" hidden="false" customHeight="false" outlineLevel="0" collapsed="false">
      <c r="A534" s="0" t="n">
        <v>179</v>
      </c>
      <c r="B534" s="0" t="s">
        <v>2640</v>
      </c>
      <c r="C534" s="0" t="s">
        <v>349</v>
      </c>
      <c r="D534" s="0" t="s">
        <v>3446</v>
      </c>
      <c r="E534" s="0" t="n">
        <v>1.45</v>
      </c>
      <c r="F534" s="0" t="n">
        <v>10.6763157894737</v>
      </c>
      <c r="G534" s="0" t="n">
        <v>15.4806578947368</v>
      </c>
      <c r="H534" s="0" t="s">
        <v>3781</v>
      </c>
      <c r="I534" s="0" t="str">
        <f aca="false">A534&amp;"|"&amp;TRIM(D534)</f>
        <v>179|+5 DOC</v>
      </c>
    </row>
    <row r="535" customFormat="false" ht="15" hidden="false" customHeight="false" outlineLevel="0" collapsed="false">
      <c r="A535" s="0" t="n">
        <v>179</v>
      </c>
      <c r="B535" s="0" t="s">
        <v>2640</v>
      </c>
      <c r="C535" s="0" t="s">
        <v>349</v>
      </c>
      <c r="D535" s="0" t="s">
        <v>9</v>
      </c>
      <c r="E535" s="0" t="n">
        <v>1.75</v>
      </c>
      <c r="F535" s="0" t="n">
        <v>10.6763157894737</v>
      </c>
      <c r="G535" s="0" t="n">
        <v>18.683552631579</v>
      </c>
      <c r="H535" s="0" t="s">
        <v>3782</v>
      </c>
      <c r="I535" s="0" t="str">
        <f aca="false">A535&amp;"|"&amp;TRIM(D535)</f>
        <v>179|1 A 5 DOC</v>
      </c>
    </row>
    <row r="536" customFormat="false" ht="15" hidden="false" customHeight="false" outlineLevel="0" collapsed="false">
      <c r="A536" s="0" t="n">
        <v>179</v>
      </c>
      <c r="B536" s="0" t="s">
        <v>2640</v>
      </c>
      <c r="C536" s="0" t="s">
        <v>349</v>
      </c>
      <c r="D536" s="0" t="s">
        <v>3449</v>
      </c>
      <c r="E536" s="0" t="n">
        <v>1.99</v>
      </c>
      <c r="F536" s="0" t="n">
        <v>10.6763157894737</v>
      </c>
      <c r="G536" s="0" t="n">
        <v>21.2458684210526</v>
      </c>
      <c r="H536" s="0" t="s">
        <v>3783</v>
      </c>
      <c r="I536" s="0" t="str">
        <f aca="false">A536&amp;"|"&amp;TRIM(D536)</f>
        <v>179|DETAL</v>
      </c>
    </row>
    <row r="537" customFormat="false" ht="15" hidden="false" customHeight="false" outlineLevel="0" collapsed="false">
      <c r="A537" s="0" t="n">
        <v>180</v>
      </c>
      <c r="B537" s="0" t="s">
        <v>2640</v>
      </c>
      <c r="C537" s="0" t="s">
        <v>2761</v>
      </c>
      <c r="D537" s="0" t="s">
        <v>3446</v>
      </c>
      <c r="E537" s="0" t="n">
        <v>1</v>
      </c>
      <c r="F537" s="0" t="n">
        <v>6.625</v>
      </c>
      <c r="G537" s="0" t="n">
        <v>6.625</v>
      </c>
      <c r="H537" s="0" t="s">
        <v>3700</v>
      </c>
      <c r="I537" s="0" t="str">
        <f aca="false">A537&amp;"|"&amp;TRIM(D537)</f>
        <v>180|+5 DOC</v>
      </c>
    </row>
    <row r="538" customFormat="false" ht="15" hidden="false" customHeight="false" outlineLevel="0" collapsed="false">
      <c r="A538" s="0" t="n">
        <v>180</v>
      </c>
      <c r="B538" s="0" t="s">
        <v>2640</v>
      </c>
      <c r="C538" s="0" t="s">
        <v>2761</v>
      </c>
      <c r="D538" s="0" t="s">
        <v>9</v>
      </c>
      <c r="E538" s="0" t="n">
        <v>1.7</v>
      </c>
      <c r="F538" s="0" t="n">
        <v>6.625</v>
      </c>
      <c r="G538" s="0" t="n">
        <v>11.2625</v>
      </c>
      <c r="H538" s="0" t="s">
        <v>3701</v>
      </c>
      <c r="I538" s="0" t="str">
        <f aca="false">A538&amp;"|"&amp;TRIM(D538)</f>
        <v>180|1 A 5 DOC</v>
      </c>
    </row>
    <row r="539" customFormat="false" ht="15" hidden="false" customHeight="false" outlineLevel="0" collapsed="false">
      <c r="A539" s="0" t="n">
        <v>180</v>
      </c>
      <c r="B539" s="0" t="s">
        <v>2640</v>
      </c>
      <c r="C539" s="0" t="s">
        <v>2761</v>
      </c>
      <c r="D539" s="0" t="s">
        <v>3449</v>
      </c>
      <c r="E539" s="0" t="n">
        <v>1.9</v>
      </c>
      <c r="F539" s="0" t="n">
        <v>6.625</v>
      </c>
      <c r="G539" s="0" t="n">
        <v>12.5875</v>
      </c>
      <c r="H539" s="0" t="s">
        <v>3702</v>
      </c>
      <c r="I539" s="0" t="str">
        <f aca="false">A539&amp;"|"&amp;TRIM(D539)</f>
        <v>180|DETAL</v>
      </c>
    </row>
    <row r="540" customFormat="false" ht="15" hidden="false" customHeight="false" outlineLevel="0" collapsed="false">
      <c r="A540" s="0" t="n">
        <v>181</v>
      </c>
      <c r="B540" s="0" t="s">
        <v>2774</v>
      </c>
      <c r="C540" s="0" t="s">
        <v>2761</v>
      </c>
      <c r="D540" s="0" t="s">
        <v>3446</v>
      </c>
      <c r="E540" s="0" t="n">
        <v>1.4</v>
      </c>
      <c r="F540" s="0" t="n">
        <v>15.1</v>
      </c>
      <c r="G540" s="0" t="n">
        <v>21.14</v>
      </c>
      <c r="H540" s="0" t="s">
        <v>3649</v>
      </c>
      <c r="I540" s="0" t="str">
        <f aca="false">A540&amp;"|"&amp;TRIM(D540)</f>
        <v>181|+5 DOC</v>
      </c>
    </row>
    <row r="541" customFormat="false" ht="15" hidden="false" customHeight="false" outlineLevel="0" collapsed="false">
      <c r="A541" s="0" t="n">
        <v>181</v>
      </c>
      <c r="B541" s="0" t="s">
        <v>2774</v>
      </c>
      <c r="C541" s="0" t="s">
        <v>2761</v>
      </c>
      <c r="D541" s="0" t="s">
        <v>9</v>
      </c>
      <c r="E541" s="0" t="n">
        <v>1.8</v>
      </c>
      <c r="F541" s="0" t="n">
        <v>15.1</v>
      </c>
      <c r="G541" s="0" t="n">
        <v>27.18</v>
      </c>
      <c r="H541" s="0" t="s">
        <v>3650</v>
      </c>
      <c r="I541" s="0" t="str">
        <f aca="false">A541&amp;"|"&amp;TRIM(D541)</f>
        <v>181|1 A 5 DOC</v>
      </c>
    </row>
    <row r="542" customFormat="false" ht="15" hidden="false" customHeight="false" outlineLevel="0" collapsed="false">
      <c r="A542" s="0" t="n">
        <v>181</v>
      </c>
      <c r="B542" s="0" t="s">
        <v>2774</v>
      </c>
      <c r="C542" s="0" t="s">
        <v>2761</v>
      </c>
      <c r="D542" s="0" t="s">
        <v>3449</v>
      </c>
      <c r="E542" s="0" t="n">
        <v>1.9</v>
      </c>
      <c r="F542" s="0" t="n">
        <v>15.1</v>
      </c>
      <c r="G542" s="0" t="n">
        <v>28.69</v>
      </c>
      <c r="H542" s="0" t="s">
        <v>3651</v>
      </c>
      <c r="I542" s="0" t="str">
        <f aca="false">A542&amp;"|"&amp;TRIM(D542)</f>
        <v>181|DETAL</v>
      </c>
    </row>
    <row r="543" customFormat="false" ht="15" hidden="false" customHeight="false" outlineLevel="0" collapsed="false">
      <c r="A543" s="0" t="n">
        <v>182</v>
      </c>
      <c r="B543" s="0" t="s">
        <v>2789</v>
      </c>
      <c r="C543" s="0" t="s">
        <v>2789</v>
      </c>
      <c r="D543" s="0" t="s">
        <v>3721</v>
      </c>
      <c r="E543" s="0" t="n">
        <v>1.5</v>
      </c>
      <c r="F543" s="0" t="n">
        <v>6.86052631578947</v>
      </c>
      <c r="G543" s="0" t="n">
        <v>10.2907894736842</v>
      </c>
      <c r="H543" s="0" t="s">
        <v>3883</v>
      </c>
      <c r="I543" s="0" t="str">
        <f aca="false">A543&amp;"|"&amp;TRIM(D543)</f>
        <v>182|?</v>
      </c>
    </row>
    <row r="544" customFormat="false" ht="15" hidden="false" customHeight="false" outlineLevel="0" collapsed="false">
      <c r="A544" s="0" t="n">
        <v>182</v>
      </c>
      <c r="B544" s="0" t="s">
        <v>2789</v>
      </c>
      <c r="C544" s="0" t="s">
        <v>2789</v>
      </c>
      <c r="D544" s="0" t="s">
        <v>3721</v>
      </c>
      <c r="E544" s="0" t="n">
        <v>1.7</v>
      </c>
      <c r="F544" s="0" t="n">
        <v>6.86052631578947</v>
      </c>
      <c r="G544" s="0" t="n">
        <v>11.6628947368421</v>
      </c>
      <c r="H544" s="0" t="s">
        <v>3884</v>
      </c>
      <c r="I544" s="0" t="str">
        <f aca="false">A544&amp;"|"&amp;TRIM(D544)</f>
        <v>182|?</v>
      </c>
    </row>
    <row r="545" customFormat="false" ht="15" hidden="false" customHeight="false" outlineLevel="0" collapsed="false">
      <c r="A545" s="0" t="n">
        <v>182</v>
      </c>
      <c r="B545" s="0" t="s">
        <v>2789</v>
      </c>
      <c r="C545" s="0" t="s">
        <v>2789</v>
      </c>
      <c r="D545" s="0" t="s">
        <v>3721</v>
      </c>
      <c r="E545" s="0" t="n">
        <v>1.99</v>
      </c>
      <c r="F545" s="0" t="n">
        <v>6.86052631578947</v>
      </c>
      <c r="G545" s="0" t="n">
        <v>13.6524473684211</v>
      </c>
      <c r="H545" s="0" t="s">
        <v>3885</v>
      </c>
      <c r="I545" s="0" t="str">
        <f aca="false">A545&amp;"|"&amp;TRIM(D545)</f>
        <v>182|?</v>
      </c>
    </row>
    <row r="546" customFormat="false" ht="15" hidden="false" customHeight="false" outlineLevel="0" collapsed="false">
      <c r="A546" s="0" t="n">
        <v>183</v>
      </c>
      <c r="B546" s="0" t="s">
        <v>2797</v>
      </c>
      <c r="C546" s="0" t="s">
        <v>296</v>
      </c>
      <c r="D546" s="0" t="s">
        <v>3446</v>
      </c>
      <c r="E546" s="0" t="n">
        <v>1.45</v>
      </c>
      <c r="F546" s="0" t="n">
        <v>2.47777777777778</v>
      </c>
      <c r="G546" s="0" t="n">
        <v>3.59277777777778</v>
      </c>
      <c r="H546" s="0" t="s">
        <v>3886</v>
      </c>
      <c r="I546" s="0" t="str">
        <f aca="false">A546&amp;"|"&amp;TRIM(D546)</f>
        <v>183|+5 DOC</v>
      </c>
    </row>
    <row r="547" customFormat="false" ht="15" hidden="false" customHeight="false" outlineLevel="0" collapsed="false">
      <c r="A547" s="0" t="n">
        <v>183</v>
      </c>
      <c r="B547" s="0" t="s">
        <v>2797</v>
      </c>
      <c r="C547" s="0" t="s">
        <v>296</v>
      </c>
      <c r="D547" s="0" t="s">
        <v>9</v>
      </c>
      <c r="E547" s="0" t="n">
        <v>1.75</v>
      </c>
      <c r="F547" s="0" t="n">
        <v>2.47777777777778</v>
      </c>
      <c r="G547" s="0" t="n">
        <v>4.33611111111111</v>
      </c>
      <c r="H547" s="0" t="s">
        <v>3765</v>
      </c>
      <c r="I547" s="0" t="str">
        <f aca="false">A547&amp;"|"&amp;TRIM(D547)</f>
        <v>183|1 A 5 DOC</v>
      </c>
    </row>
    <row r="548" customFormat="false" ht="15" hidden="false" customHeight="false" outlineLevel="0" collapsed="false">
      <c r="A548" s="0" t="n">
        <v>183</v>
      </c>
      <c r="B548" s="0" t="s">
        <v>2797</v>
      </c>
      <c r="C548" s="0" t="s">
        <v>296</v>
      </c>
      <c r="D548" s="0" t="s">
        <v>3449</v>
      </c>
      <c r="E548" s="0" t="n">
        <v>1.99</v>
      </c>
      <c r="F548" s="0" t="n">
        <v>2.47777777777778</v>
      </c>
      <c r="G548" s="0" t="n">
        <v>4.93077777777778</v>
      </c>
      <c r="H548" s="0" t="s">
        <v>3766</v>
      </c>
      <c r="I548" s="0" t="str">
        <f aca="false">A548&amp;"|"&amp;TRIM(D548)</f>
        <v>183|DETAL</v>
      </c>
    </row>
    <row r="549" customFormat="false" ht="15" hidden="false" customHeight="false" outlineLevel="0" collapsed="false">
      <c r="A549" s="0" t="n">
        <v>184</v>
      </c>
      <c r="B549" s="0" t="s">
        <v>2797</v>
      </c>
      <c r="C549" s="0" t="s">
        <v>296</v>
      </c>
      <c r="D549" s="0" t="s">
        <v>3446</v>
      </c>
      <c r="E549" s="0" t="n">
        <v>1.45</v>
      </c>
      <c r="F549" s="0" t="n">
        <v>4.86666666666667</v>
      </c>
      <c r="G549" s="0" t="n">
        <v>7.05666666666667</v>
      </c>
      <c r="H549" s="0" t="s">
        <v>3762</v>
      </c>
      <c r="I549" s="0" t="str">
        <f aca="false">A549&amp;"|"&amp;TRIM(D549)</f>
        <v>184|+5 DOC</v>
      </c>
    </row>
    <row r="550" customFormat="false" ht="15" hidden="false" customHeight="false" outlineLevel="0" collapsed="false">
      <c r="A550" s="0" t="n">
        <v>184</v>
      </c>
      <c r="B550" s="0" t="s">
        <v>2797</v>
      </c>
      <c r="C550" s="0" t="s">
        <v>296</v>
      </c>
      <c r="D550" s="0" t="s">
        <v>9</v>
      </c>
      <c r="E550" s="0" t="n">
        <v>1.75</v>
      </c>
      <c r="F550" s="0" t="n">
        <v>4.86666666666667</v>
      </c>
      <c r="G550" s="0" t="n">
        <v>8.51666666666667</v>
      </c>
      <c r="H550" s="0" t="s">
        <v>3763</v>
      </c>
      <c r="I550" s="0" t="str">
        <f aca="false">A550&amp;"|"&amp;TRIM(D550)</f>
        <v>184|1 A 5 DOC</v>
      </c>
    </row>
    <row r="551" customFormat="false" ht="15" hidden="false" customHeight="false" outlineLevel="0" collapsed="false">
      <c r="A551" s="0" t="n">
        <v>184</v>
      </c>
      <c r="B551" s="0" t="s">
        <v>2797</v>
      </c>
      <c r="C551" s="0" t="s">
        <v>296</v>
      </c>
      <c r="D551" s="0" t="s">
        <v>3449</v>
      </c>
      <c r="E551" s="0" t="n">
        <v>1.99</v>
      </c>
      <c r="F551" s="0" t="n">
        <v>4.86666666666667</v>
      </c>
      <c r="G551" s="0" t="n">
        <v>9.68466666666667</v>
      </c>
      <c r="H551" s="0" t="s">
        <v>3764</v>
      </c>
      <c r="I551" s="0" t="str">
        <f aca="false">A551&amp;"|"&amp;TRIM(D551)</f>
        <v>184|DETAL</v>
      </c>
    </row>
    <row r="552" customFormat="false" ht="15" hidden="false" customHeight="false" outlineLevel="0" collapsed="false">
      <c r="A552" s="0" t="n">
        <v>185</v>
      </c>
      <c r="B552" s="0" t="s">
        <v>2797</v>
      </c>
      <c r="C552" s="0" t="s">
        <v>2814</v>
      </c>
      <c r="D552" s="0" t="s">
        <v>3446</v>
      </c>
      <c r="E552" s="0" t="n">
        <v>1.45</v>
      </c>
      <c r="F552" s="0" t="n">
        <v>2.04222222222222</v>
      </c>
      <c r="G552" s="0" t="n">
        <v>2.96122222222222</v>
      </c>
      <c r="H552" s="0" t="s">
        <v>3887</v>
      </c>
      <c r="I552" s="0" t="str">
        <f aca="false">A552&amp;"|"&amp;TRIM(D552)</f>
        <v>185|+5 DOC</v>
      </c>
    </row>
    <row r="553" customFormat="false" ht="15" hidden="false" customHeight="false" outlineLevel="0" collapsed="false">
      <c r="A553" s="0" t="n">
        <v>185</v>
      </c>
      <c r="B553" s="0" t="s">
        <v>2797</v>
      </c>
      <c r="C553" s="0" t="s">
        <v>2814</v>
      </c>
      <c r="D553" s="0" t="s">
        <v>9</v>
      </c>
      <c r="E553" s="0" t="n">
        <v>1.75</v>
      </c>
      <c r="F553" s="0" t="n">
        <v>2.04222222222222</v>
      </c>
      <c r="G553" s="0" t="n">
        <v>3.57388888888889</v>
      </c>
      <c r="H553" s="0" t="s">
        <v>3888</v>
      </c>
      <c r="I553" s="0" t="str">
        <f aca="false">A553&amp;"|"&amp;TRIM(D553)</f>
        <v>185|1 A 5 DOC</v>
      </c>
    </row>
    <row r="554" customFormat="false" ht="15" hidden="false" customHeight="false" outlineLevel="0" collapsed="false">
      <c r="A554" s="0" t="n">
        <v>185</v>
      </c>
      <c r="B554" s="0" t="s">
        <v>2797</v>
      </c>
      <c r="C554" s="0" t="s">
        <v>2814</v>
      </c>
      <c r="D554" s="0" t="s">
        <v>3449</v>
      </c>
      <c r="E554" s="0" t="n">
        <v>1.99</v>
      </c>
      <c r="F554" s="0" t="n">
        <v>2.04222222222222</v>
      </c>
      <c r="G554" s="0" t="n">
        <v>4.06402222222222</v>
      </c>
      <c r="H554" s="0" t="s">
        <v>3889</v>
      </c>
      <c r="I554" s="0" t="str">
        <f aca="false">A554&amp;"|"&amp;TRIM(D554)</f>
        <v>185|DETAL</v>
      </c>
    </row>
    <row r="555" customFormat="false" ht="15" hidden="false" customHeight="false" outlineLevel="0" collapsed="false">
      <c r="A555" s="0" t="n">
        <v>186</v>
      </c>
      <c r="B555" s="0" t="s">
        <v>2822</v>
      </c>
      <c r="C555" s="0" t="s">
        <v>296</v>
      </c>
      <c r="D555" s="0" t="s">
        <v>3446</v>
      </c>
      <c r="E555" s="0" t="n">
        <v>1.25</v>
      </c>
      <c r="F555" s="0" t="n">
        <v>3.815</v>
      </c>
      <c r="G555" s="0" t="n">
        <v>4.76875</v>
      </c>
      <c r="H555" s="0" t="s">
        <v>3890</v>
      </c>
      <c r="I555" s="0" t="str">
        <f aca="false">A555&amp;"|"&amp;TRIM(D555)</f>
        <v>186|+5 DOC</v>
      </c>
    </row>
    <row r="556" customFormat="false" ht="15" hidden="false" customHeight="false" outlineLevel="0" collapsed="false">
      <c r="A556" s="0" t="n">
        <v>186</v>
      </c>
      <c r="B556" s="0" t="s">
        <v>2822</v>
      </c>
      <c r="C556" s="0" t="s">
        <v>296</v>
      </c>
      <c r="D556" s="0" t="s">
        <v>9</v>
      </c>
      <c r="E556" s="0" t="n">
        <v>1.65</v>
      </c>
      <c r="F556" s="0" t="n">
        <v>3.815</v>
      </c>
      <c r="G556" s="0" t="n">
        <v>6.29475</v>
      </c>
      <c r="H556" s="0" t="s">
        <v>3649</v>
      </c>
      <c r="I556" s="0" t="str">
        <f aca="false">A556&amp;"|"&amp;TRIM(D556)</f>
        <v>186|1 A 5 DOC</v>
      </c>
    </row>
    <row r="557" customFormat="false" ht="15" hidden="false" customHeight="false" outlineLevel="0" collapsed="false">
      <c r="A557" s="0" t="n">
        <v>186</v>
      </c>
      <c r="B557" s="0" t="s">
        <v>2822</v>
      </c>
      <c r="C557" s="0" t="s">
        <v>296</v>
      </c>
      <c r="D557" s="0" t="s">
        <v>3449</v>
      </c>
      <c r="E557" s="0" t="n">
        <v>1.99</v>
      </c>
      <c r="F557" s="0" t="n">
        <v>3.815</v>
      </c>
      <c r="G557" s="0" t="n">
        <v>7.59185</v>
      </c>
      <c r="H557" s="0" t="s">
        <v>3650</v>
      </c>
      <c r="I557" s="0" t="str">
        <f aca="false">A557&amp;"|"&amp;TRIM(D557)</f>
        <v>186|DETAL</v>
      </c>
    </row>
    <row r="558" customFormat="false" ht="15" hidden="false" customHeight="false" outlineLevel="0" collapsed="false">
      <c r="A558" s="0" t="n">
        <v>187</v>
      </c>
      <c r="B558" s="0" t="s">
        <v>2822</v>
      </c>
      <c r="C558" s="0" t="s">
        <v>296</v>
      </c>
      <c r="D558" s="0" t="s">
        <v>3446</v>
      </c>
      <c r="E558" s="0" t="n">
        <v>1.45</v>
      </c>
      <c r="F558" s="0" t="n">
        <v>3.525</v>
      </c>
      <c r="G558" s="0" t="n">
        <v>5.11125</v>
      </c>
      <c r="H558" s="0" t="s">
        <v>3891</v>
      </c>
      <c r="I558" s="0" t="str">
        <f aca="false">A558&amp;"|"&amp;TRIM(D558)</f>
        <v>187|+5 DOC</v>
      </c>
    </row>
    <row r="559" customFormat="false" ht="15" hidden="false" customHeight="false" outlineLevel="0" collapsed="false">
      <c r="A559" s="0" t="n">
        <v>187</v>
      </c>
      <c r="B559" s="0" t="s">
        <v>2822</v>
      </c>
      <c r="C559" s="0" t="s">
        <v>296</v>
      </c>
      <c r="D559" s="0" t="s">
        <v>9</v>
      </c>
      <c r="E559" s="0" t="n">
        <v>1.75</v>
      </c>
      <c r="F559" s="0" t="n">
        <v>3.525</v>
      </c>
      <c r="G559" s="0" t="n">
        <v>6.16875</v>
      </c>
      <c r="H559" s="0" t="s">
        <v>3892</v>
      </c>
      <c r="I559" s="0" t="str">
        <f aca="false">A559&amp;"|"&amp;TRIM(D559)</f>
        <v>187|1 A 5 DOC</v>
      </c>
    </row>
    <row r="560" customFormat="false" ht="15" hidden="false" customHeight="false" outlineLevel="0" collapsed="false">
      <c r="A560" s="0" t="n">
        <v>187</v>
      </c>
      <c r="B560" s="0" t="s">
        <v>2822</v>
      </c>
      <c r="C560" s="0" t="s">
        <v>296</v>
      </c>
      <c r="D560" s="0" t="s">
        <v>3449</v>
      </c>
      <c r="E560" s="0" t="n">
        <v>1.99</v>
      </c>
      <c r="F560" s="0" t="n">
        <v>3.525</v>
      </c>
      <c r="G560" s="0" t="n">
        <v>7.01475</v>
      </c>
      <c r="H560" s="0" t="s">
        <v>3893</v>
      </c>
      <c r="I560" s="0" t="str">
        <f aca="false">A560&amp;"|"&amp;TRIM(D560)</f>
        <v>187|DETAL</v>
      </c>
    </row>
    <row r="561" customFormat="false" ht="15" hidden="false" customHeight="false" outlineLevel="0" collapsed="false">
      <c r="A561" s="0" t="n">
        <v>188</v>
      </c>
      <c r="B561" s="0" t="s">
        <v>2822</v>
      </c>
      <c r="C561" s="0" t="s">
        <v>311</v>
      </c>
      <c r="D561" s="0" t="s">
        <v>3446</v>
      </c>
      <c r="E561" s="0" t="n">
        <v>1.45</v>
      </c>
      <c r="F561" s="0" t="n">
        <v>3.15</v>
      </c>
      <c r="G561" s="0" t="n">
        <v>4.5675</v>
      </c>
      <c r="H561" s="0" t="s">
        <v>3894</v>
      </c>
      <c r="I561" s="0" t="str">
        <f aca="false">A561&amp;"|"&amp;TRIM(D561)</f>
        <v>188|+5 DOC</v>
      </c>
    </row>
    <row r="562" customFormat="false" ht="15" hidden="false" customHeight="false" outlineLevel="0" collapsed="false">
      <c r="A562" s="0" t="n">
        <v>188</v>
      </c>
      <c r="B562" s="0" t="s">
        <v>2822</v>
      </c>
      <c r="C562" s="0" t="s">
        <v>311</v>
      </c>
      <c r="D562" s="0" t="s">
        <v>9</v>
      </c>
      <c r="E562" s="0" t="n">
        <v>1.75</v>
      </c>
      <c r="F562" s="0" t="n">
        <v>3.15</v>
      </c>
      <c r="G562" s="0" t="n">
        <v>5.5125</v>
      </c>
      <c r="H562" s="0" t="s">
        <v>3652</v>
      </c>
      <c r="I562" s="0" t="str">
        <f aca="false">A562&amp;"|"&amp;TRIM(D562)</f>
        <v>188|1 A 5 DOC</v>
      </c>
    </row>
    <row r="563" customFormat="false" ht="15" hidden="false" customHeight="false" outlineLevel="0" collapsed="false">
      <c r="A563" s="0" t="n">
        <v>188</v>
      </c>
      <c r="B563" s="0" t="s">
        <v>2822</v>
      </c>
      <c r="C563" s="0" t="s">
        <v>311</v>
      </c>
      <c r="D563" s="0" t="s">
        <v>3449</v>
      </c>
      <c r="E563" s="0" t="n">
        <v>1.99</v>
      </c>
      <c r="F563" s="0" t="n">
        <v>3.15</v>
      </c>
      <c r="G563" s="0" t="n">
        <v>6.2685</v>
      </c>
      <c r="H563" s="0" t="s">
        <v>3653</v>
      </c>
      <c r="I563" s="0" t="str">
        <f aca="false">A563&amp;"|"&amp;TRIM(D563)</f>
        <v>188|DETAL</v>
      </c>
    </row>
    <row r="564" customFormat="false" ht="15" hidden="false" customHeight="false" outlineLevel="0" collapsed="false">
      <c r="A564" s="0" t="n">
        <v>189</v>
      </c>
      <c r="B564" s="0" t="s">
        <v>2822</v>
      </c>
      <c r="C564" s="0" t="s">
        <v>311</v>
      </c>
      <c r="D564" s="0" t="s">
        <v>3446</v>
      </c>
      <c r="E564" s="0" t="n">
        <v>1.45</v>
      </c>
      <c r="F564" s="0" t="n">
        <v>2.875</v>
      </c>
      <c r="G564" s="0" t="n">
        <v>4.16875</v>
      </c>
      <c r="H564" s="0" t="s">
        <v>3463</v>
      </c>
      <c r="I564" s="0" t="str">
        <f aca="false">A564&amp;"|"&amp;TRIM(D564)</f>
        <v>189|+5 DOC</v>
      </c>
    </row>
    <row r="565" customFormat="false" ht="15" hidden="false" customHeight="false" outlineLevel="0" collapsed="false">
      <c r="A565" s="0" t="n">
        <v>189</v>
      </c>
      <c r="B565" s="0" t="s">
        <v>2822</v>
      </c>
      <c r="C565" s="0" t="s">
        <v>311</v>
      </c>
      <c r="D565" s="0" t="s">
        <v>9</v>
      </c>
      <c r="E565" s="0" t="n">
        <v>1.75</v>
      </c>
      <c r="F565" s="0" t="n">
        <v>2.875</v>
      </c>
      <c r="G565" s="0" t="n">
        <v>5.03125</v>
      </c>
      <c r="H565" s="0" t="s">
        <v>3464</v>
      </c>
      <c r="I565" s="0" t="str">
        <f aca="false">A565&amp;"|"&amp;TRIM(D565)</f>
        <v>189|1 A 5 DOC</v>
      </c>
    </row>
    <row r="566" customFormat="false" ht="15" hidden="false" customHeight="false" outlineLevel="0" collapsed="false">
      <c r="A566" s="0" t="n">
        <v>189</v>
      </c>
      <c r="B566" s="0" t="s">
        <v>2822</v>
      </c>
      <c r="C566" s="0" t="s">
        <v>311</v>
      </c>
      <c r="D566" s="0" t="s">
        <v>3449</v>
      </c>
      <c r="E566" s="0" t="n">
        <v>1.99</v>
      </c>
      <c r="F566" s="0" t="n">
        <v>2.875</v>
      </c>
      <c r="G566" s="0" t="n">
        <v>5.72125</v>
      </c>
      <c r="H566" s="0" t="s">
        <v>3465</v>
      </c>
      <c r="I566" s="0" t="str">
        <f aca="false">A566&amp;"|"&amp;TRIM(D566)</f>
        <v>189|DETAL</v>
      </c>
    </row>
    <row r="567" customFormat="false" ht="15" hidden="false" customHeight="false" outlineLevel="0" collapsed="false">
      <c r="A567" s="0" t="n">
        <v>190</v>
      </c>
      <c r="B567" s="0" t="s">
        <v>2822</v>
      </c>
      <c r="C567" s="0" t="s">
        <v>349</v>
      </c>
      <c r="D567" s="0" t="s">
        <v>3446</v>
      </c>
      <c r="E567" s="0" t="n">
        <v>1.45</v>
      </c>
      <c r="F567" s="0" t="n">
        <v>3.085</v>
      </c>
      <c r="G567" s="0" t="n">
        <v>4.47325</v>
      </c>
      <c r="H567" s="0" t="s">
        <v>3895</v>
      </c>
      <c r="I567" s="0" t="str">
        <f aca="false">A567&amp;"|"&amp;TRIM(D567)</f>
        <v>190|+5 DOC</v>
      </c>
    </row>
    <row r="568" customFormat="false" ht="15" hidden="false" customHeight="false" outlineLevel="0" collapsed="false">
      <c r="A568" s="0" t="n">
        <v>190</v>
      </c>
      <c r="B568" s="0" t="s">
        <v>2822</v>
      </c>
      <c r="C568" s="0" t="s">
        <v>349</v>
      </c>
      <c r="D568" s="0" t="s">
        <v>9</v>
      </c>
      <c r="E568" s="0" t="n">
        <v>1.75</v>
      </c>
      <c r="F568" s="0" t="n">
        <v>3.085</v>
      </c>
      <c r="G568" s="0" t="n">
        <v>5.39875</v>
      </c>
      <c r="H568" s="0" t="s">
        <v>3830</v>
      </c>
      <c r="I568" s="0" t="str">
        <f aca="false">A568&amp;"|"&amp;TRIM(D568)</f>
        <v>190|1 A 5 DOC</v>
      </c>
    </row>
    <row r="569" customFormat="false" ht="15" hidden="false" customHeight="false" outlineLevel="0" collapsed="false">
      <c r="A569" s="0" t="n">
        <v>190</v>
      </c>
      <c r="B569" s="0" t="s">
        <v>2822</v>
      </c>
      <c r="C569" s="0" t="s">
        <v>349</v>
      </c>
      <c r="D569" s="0" t="s">
        <v>3449</v>
      </c>
      <c r="E569" s="0" t="n">
        <v>1.99</v>
      </c>
      <c r="F569" s="0" t="n">
        <v>3.085</v>
      </c>
      <c r="G569" s="0" t="n">
        <v>6.13915</v>
      </c>
      <c r="H569" s="0" t="s">
        <v>3831</v>
      </c>
      <c r="I569" s="0" t="str">
        <f aca="false">A569&amp;"|"&amp;TRIM(D569)</f>
        <v>190|DETAL</v>
      </c>
    </row>
    <row r="570" customFormat="false" ht="15" hidden="false" customHeight="false" outlineLevel="0" collapsed="false">
      <c r="A570" s="0" t="n">
        <v>191</v>
      </c>
      <c r="B570" s="0" t="s">
        <v>2822</v>
      </c>
      <c r="C570" s="0" t="s">
        <v>349</v>
      </c>
      <c r="D570" s="0" t="s">
        <v>3446</v>
      </c>
      <c r="E570" s="0" t="n">
        <v>1.45</v>
      </c>
      <c r="F570" s="0" t="n">
        <v>3.725</v>
      </c>
      <c r="G570" s="0" t="n">
        <v>5.40125</v>
      </c>
      <c r="H570" s="0" t="s">
        <v>3896</v>
      </c>
      <c r="I570" s="0" t="str">
        <f aca="false">A570&amp;"|"&amp;TRIM(D570)</f>
        <v>191|+5 DOC</v>
      </c>
    </row>
    <row r="571" customFormat="false" ht="15" hidden="false" customHeight="false" outlineLevel="0" collapsed="false">
      <c r="A571" s="0" t="n">
        <v>191</v>
      </c>
      <c r="B571" s="0" t="s">
        <v>2822</v>
      </c>
      <c r="C571" s="0" t="s">
        <v>349</v>
      </c>
      <c r="D571" s="0" t="s">
        <v>9</v>
      </c>
      <c r="E571" s="0" t="n">
        <v>1.75</v>
      </c>
      <c r="F571" s="0" t="n">
        <v>3.725</v>
      </c>
      <c r="G571" s="0" t="n">
        <v>6.51875</v>
      </c>
      <c r="H571" s="0" t="s">
        <v>3897</v>
      </c>
      <c r="I571" s="0" t="str">
        <f aca="false">A571&amp;"|"&amp;TRIM(D571)</f>
        <v>191|1 A 5 DOC</v>
      </c>
    </row>
    <row r="572" customFormat="false" ht="15" hidden="false" customHeight="false" outlineLevel="0" collapsed="false">
      <c r="A572" s="0" t="n">
        <v>191</v>
      </c>
      <c r="B572" s="0" t="s">
        <v>2822</v>
      </c>
      <c r="C572" s="0" t="s">
        <v>349</v>
      </c>
      <c r="D572" s="0" t="s">
        <v>3449</v>
      </c>
      <c r="E572" s="0" t="n">
        <v>1.99</v>
      </c>
      <c r="F572" s="0" t="n">
        <v>3.725</v>
      </c>
      <c r="G572" s="0" t="n">
        <v>7.41275</v>
      </c>
      <c r="H572" s="0" t="s">
        <v>3898</v>
      </c>
      <c r="I572" s="0" t="str">
        <f aca="false">A572&amp;"|"&amp;TRIM(D572)</f>
        <v>191|DETAL</v>
      </c>
    </row>
    <row r="573" customFormat="false" ht="15" hidden="false" customHeight="false" outlineLevel="0" collapsed="false">
      <c r="A573" s="0" t="n">
        <v>192</v>
      </c>
      <c r="B573" s="0" t="s">
        <v>2822</v>
      </c>
      <c r="C573" s="0" t="s">
        <v>296</v>
      </c>
      <c r="D573" s="0" t="s">
        <v>3446</v>
      </c>
      <c r="E573" s="0" t="n">
        <v>1.45</v>
      </c>
      <c r="F573" s="0" t="n">
        <v>3.815</v>
      </c>
      <c r="G573" s="0" t="n">
        <v>5.53175</v>
      </c>
      <c r="H573" s="0" t="s">
        <v>3899</v>
      </c>
      <c r="I573" s="0" t="str">
        <f aca="false">A573&amp;"|"&amp;TRIM(D573)</f>
        <v>192|+5 DOC</v>
      </c>
    </row>
    <row r="574" customFormat="false" ht="15" hidden="false" customHeight="false" outlineLevel="0" collapsed="false">
      <c r="A574" s="0" t="n">
        <v>192</v>
      </c>
      <c r="B574" s="0" t="s">
        <v>2822</v>
      </c>
      <c r="C574" s="0" t="s">
        <v>296</v>
      </c>
      <c r="D574" s="0" t="s">
        <v>9</v>
      </c>
      <c r="E574" s="0" t="n">
        <v>1.75</v>
      </c>
      <c r="F574" s="0" t="n">
        <v>3.815</v>
      </c>
      <c r="G574" s="0" t="n">
        <v>6.67625</v>
      </c>
      <c r="H574" s="0" t="s">
        <v>3900</v>
      </c>
      <c r="I574" s="0" t="str">
        <f aca="false">A574&amp;"|"&amp;TRIM(D574)</f>
        <v>192|1 A 5 DOC</v>
      </c>
    </row>
    <row r="575" customFormat="false" ht="15" hidden="false" customHeight="false" outlineLevel="0" collapsed="false">
      <c r="A575" s="0" t="n">
        <v>192</v>
      </c>
      <c r="B575" s="0" t="s">
        <v>2822</v>
      </c>
      <c r="C575" s="0" t="s">
        <v>296</v>
      </c>
      <c r="D575" s="0" t="s">
        <v>3449</v>
      </c>
      <c r="E575" s="0" t="n">
        <v>1.99</v>
      </c>
      <c r="F575" s="0" t="n">
        <v>3.815</v>
      </c>
      <c r="G575" s="0" t="n">
        <v>7.59185</v>
      </c>
      <c r="H575" s="0" t="s">
        <v>3901</v>
      </c>
      <c r="I575" s="0" t="str">
        <f aca="false">A575&amp;"|"&amp;TRIM(D575)</f>
        <v>192|DETAL</v>
      </c>
    </row>
    <row r="576" customFormat="false" ht="15" hidden="false" customHeight="false" outlineLevel="0" collapsed="false">
      <c r="A576" s="0" t="n">
        <v>193</v>
      </c>
      <c r="B576" s="0" t="s">
        <v>2822</v>
      </c>
      <c r="C576" s="0" t="s">
        <v>311</v>
      </c>
      <c r="D576" s="0" t="s">
        <v>3446</v>
      </c>
      <c r="E576" s="0" t="n">
        <v>1.45</v>
      </c>
      <c r="F576" s="0" t="n">
        <v>3.425</v>
      </c>
      <c r="G576" s="0" t="n">
        <v>4.96625</v>
      </c>
      <c r="H576" s="0" t="s">
        <v>3475</v>
      </c>
      <c r="I576" s="0" t="str">
        <f aca="false">A576&amp;"|"&amp;TRIM(D576)</f>
        <v>193|+5 DOC</v>
      </c>
    </row>
    <row r="577" customFormat="false" ht="15" hidden="false" customHeight="false" outlineLevel="0" collapsed="false">
      <c r="A577" s="0" t="n">
        <v>193</v>
      </c>
      <c r="B577" s="0" t="s">
        <v>2822</v>
      </c>
      <c r="C577" s="0" t="s">
        <v>311</v>
      </c>
      <c r="D577" s="0" t="s">
        <v>9</v>
      </c>
      <c r="E577" s="0" t="n">
        <v>1.75</v>
      </c>
      <c r="F577" s="0" t="n">
        <v>3.425</v>
      </c>
      <c r="G577" s="0" t="n">
        <v>5.99375</v>
      </c>
      <c r="H577" s="0" t="s">
        <v>3476</v>
      </c>
      <c r="I577" s="0" t="str">
        <f aca="false">A577&amp;"|"&amp;TRIM(D577)</f>
        <v>193|1 A 5 DOC</v>
      </c>
    </row>
    <row r="578" customFormat="false" ht="15" hidden="false" customHeight="false" outlineLevel="0" collapsed="false">
      <c r="A578" s="0" t="n">
        <v>193</v>
      </c>
      <c r="B578" s="0" t="s">
        <v>2822</v>
      </c>
      <c r="C578" s="0" t="s">
        <v>311</v>
      </c>
      <c r="D578" s="0" t="s">
        <v>3449</v>
      </c>
      <c r="E578" s="0" t="n">
        <v>1.99</v>
      </c>
      <c r="F578" s="0" t="n">
        <v>3.425</v>
      </c>
      <c r="G578" s="0" t="n">
        <v>6.81575</v>
      </c>
      <c r="H578" s="0" t="s">
        <v>3477</v>
      </c>
      <c r="I578" s="0" t="str">
        <f aca="false">A578&amp;"|"&amp;TRIM(D578)</f>
        <v>193|DETAL</v>
      </c>
    </row>
    <row r="579" customFormat="false" ht="15" hidden="false" customHeight="false" outlineLevel="0" collapsed="false">
      <c r="A579" s="0" t="n">
        <v>194</v>
      </c>
      <c r="B579" s="0" t="s">
        <v>2822</v>
      </c>
      <c r="C579" s="0" t="s">
        <v>70</v>
      </c>
      <c r="D579" s="0" t="s">
        <v>3446</v>
      </c>
      <c r="E579" s="0" t="n">
        <v>1.45</v>
      </c>
      <c r="F579" s="0" t="n">
        <v>5.01</v>
      </c>
      <c r="G579" s="0" t="n">
        <v>7.2645</v>
      </c>
      <c r="H579" s="0" t="s">
        <v>3478</v>
      </c>
      <c r="I579" s="0" t="str">
        <f aca="false">A579&amp;"|"&amp;TRIM(D579)</f>
        <v>194|+5 DOC</v>
      </c>
    </row>
    <row r="580" customFormat="false" ht="15" hidden="false" customHeight="false" outlineLevel="0" collapsed="false">
      <c r="A580" s="0" t="n">
        <v>194</v>
      </c>
      <c r="B580" s="0" t="s">
        <v>2822</v>
      </c>
      <c r="C580" s="0" t="s">
        <v>70</v>
      </c>
      <c r="D580" s="0" t="s">
        <v>9</v>
      </c>
      <c r="E580" s="0" t="n">
        <v>1.9</v>
      </c>
      <c r="F580" s="0" t="n">
        <v>5.01</v>
      </c>
      <c r="G580" s="0" t="n">
        <v>9.519</v>
      </c>
      <c r="H580" s="0" t="s">
        <v>3479</v>
      </c>
      <c r="I580" s="0" t="str">
        <f aca="false">A580&amp;"|"&amp;TRIM(D580)</f>
        <v>194|1 A 5 DOC</v>
      </c>
    </row>
    <row r="581" customFormat="false" ht="15" hidden="false" customHeight="false" outlineLevel="0" collapsed="false">
      <c r="A581" s="0" t="n">
        <v>194</v>
      </c>
      <c r="B581" s="0" t="s">
        <v>2822</v>
      </c>
      <c r="C581" s="0" t="s">
        <v>70</v>
      </c>
      <c r="D581" s="0" t="s">
        <v>3449</v>
      </c>
      <c r="E581" s="0" t="n">
        <v>1.99</v>
      </c>
      <c r="F581" s="0" t="n">
        <v>5.01</v>
      </c>
      <c r="G581" s="0" t="n">
        <v>9.9699</v>
      </c>
      <c r="H581" s="0" t="s">
        <v>3480</v>
      </c>
      <c r="I581" s="0" t="str">
        <f aca="false">A581&amp;"|"&amp;TRIM(D581)</f>
        <v>194|DETAL</v>
      </c>
    </row>
    <row r="582" customFormat="false" ht="15" hidden="false" customHeight="false" outlineLevel="0" collapsed="false">
      <c r="A582" s="0" t="n">
        <v>195</v>
      </c>
      <c r="B582" s="0" t="s">
        <v>2822</v>
      </c>
      <c r="C582" s="0" t="s">
        <v>90</v>
      </c>
      <c r="D582" s="0" t="s">
        <v>3446</v>
      </c>
      <c r="E582" s="0" t="n">
        <v>1.45</v>
      </c>
      <c r="F582" s="0" t="n">
        <v>3.725</v>
      </c>
      <c r="G582" s="0" t="n">
        <v>5.40125</v>
      </c>
      <c r="H582" s="0" t="s">
        <v>3902</v>
      </c>
      <c r="I582" s="0" t="str">
        <f aca="false">A582&amp;"|"&amp;TRIM(D582)</f>
        <v>195|+5 DOC</v>
      </c>
    </row>
    <row r="583" customFormat="false" ht="15" hidden="false" customHeight="false" outlineLevel="0" collapsed="false">
      <c r="A583" s="0" t="n">
        <v>195</v>
      </c>
      <c r="B583" s="0" t="s">
        <v>2822</v>
      </c>
      <c r="C583" s="0" t="s">
        <v>90</v>
      </c>
      <c r="D583" s="0" t="s">
        <v>9</v>
      </c>
      <c r="E583" s="0" t="n">
        <v>1.75</v>
      </c>
      <c r="F583" s="0" t="n">
        <v>3.725</v>
      </c>
      <c r="G583" s="0" t="n">
        <v>6.51875</v>
      </c>
      <c r="H583" s="0" t="s">
        <v>3903</v>
      </c>
      <c r="I583" s="0" t="str">
        <f aca="false">A583&amp;"|"&amp;TRIM(D583)</f>
        <v>195|1 A 5 DOC</v>
      </c>
    </row>
    <row r="584" customFormat="false" ht="15" hidden="false" customHeight="false" outlineLevel="0" collapsed="false">
      <c r="A584" s="0" t="n">
        <v>195</v>
      </c>
      <c r="B584" s="0" t="s">
        <v>2822</v>
      </c>
      <c r="C584" s="0" t="s">
        <v>90</v>
      </c>
      <c r="D584" s="0" t="s">
        <v>3449</v>
      </c>
      <c r="E584" s="0" t="n">
        <v>1.99</v>
      </c>
      <c r="F584" s="0" t="n">
        <v>3.725</v>
      </c>
      <c r="G584" s="0" t="n">
        <v>7.41275</v>
      </c>
      <c r="H584" s="0" t="s">
        <v>3904</v>
      </c>
      <c r="I584" s="0" t="str">
        <f aca="false">A584&amp;"|"&amp;TRIM(D584)</f>
        <v>195|DETAL</v>
      </c>
    </row>
    <row r="585" customFormat="false" ht="15" hidden="false" customHeight="false" outlineLevel="0" collapsed="false">
      <c r="A585" s="0" t="n">
        <v>196</v>
      </c>
      <c r="B585" s="0" t="s">
        <v>2822</v>
      </c>
      <c r="C585" s="0" t="s">
        <v>2945</v>
      </c>
      <c r="D585" s="0" t="s">
        <v>3446</v>
      </c>
      <c r="E585" s="0" t="n">
        <v>1.45</v>
      </c>
      <c r="F585" s="0" t="n">
        <v>4.593</v>
      </c>
      <c r="G585" s="0" t="n">
        <v>6.65985</v>
      </c>
      <c r="H585" s="0" t="s">
        <v>3484</v>
      </c>
      <c r="I585" s="0" t="str">
        <f aca="false">A585&amp;"|"&amp;TRIM(D585)</f>
        <v>196|+5 DOC</v>
      </c>
    </row>
    <row r="586" customFormat="false" ht="15" hidden="false" customHeight="false" outlineLevel="0" collapsed="false">
      <c r="A586" s="0" t="n">
        <v>196</v>
      </c>
      <c r="B586" s="0" t="s">
        <v>2822</v>
      </c>
      <c r="C586" s="0" t="s">
        <v>2945</v>
      </c>
      <c r="D586" s="0" t="s">
        <v>9</v>
      </c>
      <c r="E586" s="0" t="n">
        <v>1.75</v>
      </c>
      <c r="F586" s="0" t="n">
        <v>4.593</v>
      </c>
      <c r="G586" s="0" t="n">
        <v>8.03775</v>
      </c>
      <c r="H586" s="0" t="s">
        <v>3485</v>
      </c>
      <c r="I586" s="0" t="str">
        <f aca="false">A586&amp;"|"&amp;TRIM(D586)</f>
        <v>196|1 A 5 DOC</v>
      </c>
    </row>
    <row r="587" customFormat="false" ht="15" hidden="false" customHeight="false" outlineLevel="0" collapsed="false">
      <c r="A587" s="0" t="n">
        <v>196</v>
      </c>
      <c r="B587" s="0" t="s">
        <v>2822</v>
      </c>
      <c r="C587" s="0" t="s">
        <v>2945</v>
      </c>
      <c r="D587" s="0" t="s">
        <v>3449</v>
      </c>
      <c r="E587" s="0" t="n">
        <v>1.99</v>
      </c>
      <c r="F587" s="0" t="n">
        <v>4.593</v>
      </c>
      <c r="G587" s="0" t="n">
        <v>9.14007</v>
      </c>
      <c r="H587" s="0" t="s">
        <v>3486</v>
      </c>
      <c r="I587" s="0" t="str">
        <f aca="false">A587&amp;"|"&amp;TRIM(D587)</f>
        <v>196|DETAL</v>
      </c>
    </row>
    <row r="588" customFormat="false" ht="15" hidden="false" customHeight="false" outlineLevel="0" collapsed="false">
      <c r="A588" s="0" t="n">
        <v>197</v>
      </c>
      <c r="B588" s="0" t="s">
        <v>2822</v>
      </c>
      <c r="C588" s="0" t="s">
        <v>349</v>
      </c>
      <c r="D588" s="0" t="s">
        <v>3446</v>
      </c>
      <c r="E588" s="0" t="n">
        <v>1.45</v>
      </c>
      <c r="F588" s="0" t="n">
        <v>4.575</v>
      </c>
      <c r="G588" s="0" t="n">
        <v>6.63375</v>
      </c>
      <c r="H588" s="0" t="s">
        <v>3905</v>
      </c>
      <c r="I588" s="0" t="str">
        <f aca="false">A588&amp;"|"&amp;TRIM(D588)</f>
        <v>197|+5 DOC</v>
      </c>
    </row>
    <row r="589" customFormat="false" ht="15" hidden="false" customHeight="false" outlineLevel="0" collapsed="false">
      <c r="A589" s="0" t="n">
        <v>197</v>
      </c>
      <c r="B589" s="0" t="s">
        <v>2822</v>
      </c>
      <c r="C589" s="0" t="s">
        <v>349</v>
      </c>
      <c r="D589" s="0" t="s">
        <v>9</v>
      </c>
      <c r="E589" s="0" t="n">
        <v>1.75</v>
      </c>
      <c r="F589" s="0" t="n">
        <v>4.575</v>
      </c>
      <c r="G589" s="0" t="n">
        <v>8.00625</v>
      </c>
      <c r="H589" s="0" t="s">
        <v>3906</v>
      </c>
      <c r="I589" s="0" t="str">
        <f aca="false">A589&amp;"|"&amp;TRIM(D589)</f>
        <v>197|1 A 5 DOC</v>
      </c>
    </row>
    <row r="590" customFormat="false" ht="15" hidden="false" customHeight="false" outlineLevel="0" collapsed="false">
      <c r="A590" s="0" t="n">
        <v>197</v>
      </c>
      <c r="B590" s="0" t="s">
        <v>2822</v>
      </c>
      <c r="C590" s="0" t="s">
        <v>349</v>
      </c>
      <c r="D590" s="0" t="s">
        <v>3449</v>
      </c>
      <c r="E590" s="0" t="n">
        <v>1.99</v>
      </c>
      <c r="F590" s="0" t="n">
        <v>4.575</v>
      </c>
      <c r="G590" s="0" t="n">
        <v>9.10425</v>
      </c>
      <c r="H590" s="0" t="s">
        <v>3907</v>
      </c>
      <c r="I590" s="0" t="str">
        <f aca="false">A590&amp;"|"&amp;TRIM(D590)</f>
        <v>197|DETAL</v>
      </c>
    </row>
    <row r="591" customFormat="false" ht="15" hidden="false" customHeight="false" outlineLevel="0" collapsed="false">
      <c r="A591" s="0" t="n">
        <v>198</v>
      </c>
      <c r="B591" s="0" t="s">
        <v>2822</v>
      </c>
      <c r="C591" s="0" t="s">
        <v>296</v>
      </c>
      <c r="D591" s="0" t="s">
        <v>3446</v>
      </c>
      <c r="E591" s="0" t="n">
        <v>1.45</v>
      </c>
      <c r="F591" s="0" t="n">
        <v>3.6775</v>
      </c>
      <c r="G591" s="0" t="n">
        <v>5.332375</v>
      </c>
      <c r="H591" s="0" t="s">
        <v>3908</v>
      </c>
      <c r="I591" s="0" t="str">
        <f aca="false">A591&amp;"|"&amp;TRIM(D591)</f>
        <v>198|+5 DOC</v>
      </c>
    </row>
    <row r="592" customFormat="false" ht="15" hidden="false" customHeight="false" outlineLevel="0" collapsed="false">
      <c r="A592" s="0" t="n">
        <v>198</v>
      </c>
      <c r="B592" s="0" t="s">
        <v>2822</v>
      </c>
      <c r="C592" s="0" t="s">
        <v>296</v>
      </c>
      <c r="D592" s="0" t="s">
        <v>9</v>
      </c>
      <c r="E592" s="0" t="n">
        <v>1.75</v>
      </c>
      <c r="F592" s="0" t="n">
        <v>3.6775</v>
      </c>
      <c r="G592" s="0" t="n">
        <v>6.435625</v>
      </c>
      <c r="H592" s="0" t="s">
        <v>3909</v>
      </c>
      <c r="I592" s="0" t="str">
        <f aca="false">A592&amp;"|"&amp;TRIM(D592)</f>
        <v>198|1 A 5 DOC</v>
      </c>
    </row>
    <row r="593" customFormat="false" ht="15" hidden="false" customHeight="false" outlineLevel="0" collapsed="false">
      <c r="A593" s="0" t="n">
        <v>198</v>
      </c>
      <c r="B593" s="0" t="s">
        <v>2822</v>
      </c>
      <c r="C593" s="0" t="s">
        <v>296</v>
      </c>
      <c r="D593" s="0" t="s">
        <v>3449</v>
      </c>
      <c r="E593" s="0" t="n">
        <v>1.99</v>
      </c>
      <c r="F593" s="0" t="n">
        <v>3.6775</v>
      </c>
      <c r="G593" s="0" t="n">
        <v>7.318225</v>
      </c>
      <c r="H593" s="0" t="s">
        <v>3910</v>
      </c>
      <c r="I593" s="0" t="str">
        <f aca="false">A593&amp;"|"&amp;TRIM(D593)</f>
        <v>198|DETAL</v>
      </c>
    </row>
    <row r="594" customFormat="false" ht="15" hidden="false" customHeight="false" outlineLevel="0" collapsed="false">
      <c r="A594" s="0" t="n">
        <v>199</v>
      </c>
      <c r="B594" s="0" t="s">
        <v>2822</v>
      </c>
      <c r="C594" s="0" t="s">
        <v>311</v>
      </c>
      <c r="D594" s="0" t="s">
        <v>3446</v>
      </c>
      <c r="E594" s="0" t="n">
        <v>1.45</v>
      </c>
      <c r="F594" s="0" t="n">
        <v>3.4375</v>
      </c>
      <c r="G594" s="0" t="n">
        <v>4.984375</v>
      </c>
      <c r="H594" s="0" t="s">
        <v>3911</v>
      </c>
      <c r="I594" s="0" t="str">
        <f aca="false">A594&amp;"|"&amp;TRIM(D594)</f>
        <v>199|+5 DOC</v>
      </c>
    </row>
    <row r="595" customFormat="false" ht="15" hidden="false" customHeight="false" outlineLevel="0" collapsed="false">
      <c r="A595" s="0" t="n">
        <v>199</v>
      </c>
      <c r="B595" s="0" t="s">
        <v>2822</v>
      </c>
      <c r="C595" s="0" t="s">
        <v>311</v>
      </c>
      <c r="D595" s="0" t="s">
        <v>9</v>
      </c>
      <c r="E595" s="0" t="n">
        <v>1.75</v>
      </c>
      <c r="F595" s="0" t="n">
        <v>3.4375</v>
      </c>
      <c r="G595" s="0" t="n">
        <v>6.015625</v>
      </c>
      <c r="H595" s="0" t="s">
        <v>3912</v>
      </c>
      <c r="I595" s="0" t="str">
        <f aca="false">A595&amp;"|"&amp;TRIM(D595)</f>
        <v>199|1 A 5 DOC</v>
      </c>
    </row>
    <row r="596" customFormat="false" ht="15" hidden="false" customHeight="false" outlineLevel="0" collapsed="false">
      <c r="A596" s="0" t="n">
        <v>199</v>
      </c>
      <c r="B596" s="0" t="s">
        <v>2822</v>
      </c>
      <c r="C596" s="0" t="s">
        <v>311</v>
      </c>
      <c r="D596" s="0" t="s">
        <v>3449</v>
      </c>
      <c r="E596" s="0" t="n">
        <v>1.99</v>
      </c>
      <c r="F596" s="0" t="n">
        <v>3.4375</v>
      </c>
      <c r="G596" s="0" t="n">
        <v>6.840625</v>
      </c>
      <c r="H596" s="0" t="s">
        <v>3913</v>
      </c>
      <c r="I596" s="0" t="str">
        <f aca="false">A596&amp;"|"&amp;TRIM(D596)</f>
        <v>199|DETAL</v>
      </c>
    </row>
    <row r="597" customFormat="false" ht="15" hidden="false" customHeight="false" outlineLevel="0" collapsed="false">
      <c r="A597" s="0" t="n">
        <v>200</v>
      </c>
      <c r="B597" s="0" t="s">
        <v>2822</v>
      </c>
      <c r="C597" s="0" t="s">
        <v>296</v>
      </c>
      <c r="D597" s="0" t="s">
        <v>3446</v>
      </c>
      <c r="E597" s="0" t="n">
        <v>1.45</v>
      </c>
      <c r="F597" s="0" t="n">
        <v>4.4375</v>
      </c>
      <c r="G597" s="0" t="n">
        <v>6.434375</v>
      </c>
      <c r="H597" s="0" t="s">
        <v>3914</v>
      </c>
      <c r="I597" s="0" t="str">
        <f aca="false">A597&amp;"|"&amp;TRIM(D597)</f>
        <v>200|+5 DOC</v>
      </c>
    </row>
    <row r="598" customFormat="false" ht="15" hidden="false" customHeight="false" outlineLevel="0" collapsed="false">
      <c r="A598" s="0" t="n">
        <v>200</v>
      </c>
      <c r="B598" s="0" t="s">
        <v>2822</v>
      </c>
      <c r="C598" s="0" t="s">
        <v>296</v>
      </c>
      <c r="D598" s="0" t="s">
        <v>9</v>
      </c>
      <c r="E598" s="0" t="n">
        <v>1.75</v>
      </c>
      <c r="F598" s="0" t="n">
        <v>4.4375</v>
      </c>
      <c r="G598" s="0" t="n">
        <v>7.765625</v>
      </c>
      <c r="H598" s="0" t="s">
        <v>3915</v>
      </c>
      <c r="I598" s="0" t="str">
        <f aca="false">A598&amp;"|"&amp;TRIM(D598)</f>
        <v>200|1 A 5 DOC</v>
      </c>
    </row>
    <row r="599" customFormat="false" ht="15" hidden="false" customHeight="false" outlineLevel="0" collapsed="false">
      <c r="A599" s="0" t="n">
        <v>200</v>
      </c>
      <c r="B599" s="0" t="s">
        <v>2822</v>
      </c>
      <c r="C599" s="0" t="s">
        <v>296</v>
      </c>
      <c r="D599" s="0" t="s">
        <v>3449</v>
      </c>
      <c r="E599" s="0" t="n">
        <v>1.99</v>
      </c>
      <c r="F599" s="0" t="n">
        <v>4.4375</v>
      </c>
      <c r="G599" s="0" t="n">
        <v>8.830625</v>
      </c>
      <c r="H599" s="0" t="s">
        <v>3916</v>
      </c>
      <c r="I599" s="0" t="str">
        <f aca="false">A599&amp;"|"&amp;TRIM(D599)</f>
        <v>200|DETAL</v>
      </c>
    </row>
    <row r="600" customFormat="false" ht="15" hidden="false" customHeight="false" outlineLevel="0" collapsed="false">
      <c r="A600" s="0" t="n">
        <v>201</v>
      </c>
      <c r="B600" s="0" t="s">
        <v>2822</v>
      </c>
      <c r="C600" s="0" t="s">
        <v>311</v>
      </c>
      <c r="D600" s="0" t="s">
        <v>3446</v>
      </c>
      <c r="E600" s="0" t="n">
        <v>1.45</v>
      </c>
      <c r="F600" s="0" t="n">
        <v>3.8375</v>
      </c>
      <c r="G600" s="0" t="n">
        <v>5.564375</v>
      </c>
      <c r="H600" s="0" t="s">
        <v>3917</v>
      </c>
      <c r="I600" s="0" t="str">
        <f aca="false">A600&amp;"|"&amp;TRIM(D600)</f>
        <v>201|+5 DOC</v>
      </c>
    </row>
    <row r="601" customFormat="false" ht="15" hidden="false" customHeight="false" outlineLevel="0" collapsed="false">
      <c r="A601" s="0" t="n">
        <v>201</v>
      </c>
      <c r="B601" s="0" t="s">
        <v>2822</v>
      </c>
      <c r="C601" s="0" t="s">
        <v>311</v>
      </c>
      <c r="D601" s="0" t="s">
        <v>9</v>
      </c>
      <c r="E601" s="0" t="n">
        <v>1.75</v>
      </c>
      <c r="F601" s="0" t="n">
        <v>3.8375</v>
      </c>
      <c r="G601" s="0" t="n">
        <v>6.715625</v>
      </c>
      <c r="H601" s="0" t="s">
        <v>3918</v>
      </c>
      <c r="I601" s="0" t="str">
        <f aca="false">A601&amp;"|"&amp;TRIM(D601)</f>
        <v>201|1 A 5 DOC</v>
      </c>
    </row>
    <row r="602" customFormat="false" ht="15" hidden="false" customHeight="false" outlineLevel="0" collapsed="false">
      <c r="A602" s="0" t="n">
        <v>201</v>
      </c>
      <c r="B602" s="0" t="s">
        <v>2822</v>
      </c>
      <c r="C602" s="0" t="s">
        <v>311</v>
      </c>
      <c r="D602" s="0" t="s">
        <v>3449</v>
      </c>
      <c r="E602" s="0" t="n">
        <v>1.99</v>
      </c>
      <c r="F602" s="0" t="n">
        <v>3.8375</v>
      </c>
      <c r="G602" s="0" t="n">
        <v>7.636625</v>
      </c>
      <c r="H602" s="0" t="s">
        <v>3919</v>
      </c>
      <c r="I602" s="0" t="str">
        <f aca="false">A602&amp;"|"&amp;TRIM(D602)</f>
        <v>201|DETAL</v>
      </c>
    </row>
    <row r="603" customFormat="false" ht="15" hidden="false" customHeight="false" outlineLevel="0" collapsed="false">
      <c r="A603" s="0" t="n">
        <v>202</v>
      </c>
      <c r="B603" s="0" t="s">
        <v>2822</v>
      </c>
      <c r="C603" s="0" t="s">
        <v>349</v>
      </c>
      <c r="D603" s="0" t="s">
        <v>3446</v>
      </c>
      <c r="E603" s="0" t="n">
        <v>1.45</v>
      </c>
      <c r="F603" s="0" t="n">
        <v>3.7975</v>
      </c>
      <c r="G603" s="0" t="n">
        <v>5.506375</v>
      </c>
      <c r="H603" s="0" t="s">
        <v>3920</v>
      </c>
      <c r="I603" s="0" t="str">
        <f aca="false">A603&amp;"|"&amp;TRIM(D603)</f>
        <v>202|+5 DOC</v>
      </c>
    </row>
    <row r="604" customFormat="false" ht="15" hidden="false" customHeight="false" outlineLevel="0" collapsed="false">
      <c r="A604" s="0" t="n">
        <v>202</v>
      </c>
      <c r="B604" s="0" t="s">
        <v>2822</v>
      </c>
      <c r="C604" s="0" t="s">
        <v>349</v>
      </c>
      <c r="D604" s="0" t="s">
        <v>9</v>
      </c>
      <c r="E604" s="0" t="n">
        <v>1.75</v>
      </c>
      <c r="F604" s="0" t="n">
        <v>3.7975</v>
      </c>
      <c r="G604" s="0" t="n">
        <v>6.645625</v>
      </c>
      <c r="H604" s="0" t="s">
        <v>3921</v>
      </c>
      <c r="I604" s="0" t="str">
        <f aca="false">A604&amp;"|"&amp;TRIM(D604)</f>
        <v>202|1 A 5 DOC</v>
      </c>
    </row>
    <row r="605" customFormat="false" ht="15" hidden="false" customHeight="false" outlineLevel="0" collapsed="false">
      <c r="A605" s="0" t="n">
        <v>202</v>
      </c>
      <c r="B605" s="0" t="s">
        <v>2822</v>
      </c>
      <c r="C605" s="0" t="s">
        <v>349</v>
      </c>
      <c r="D605" s="0" t="s">
        <v>3449</v>
      </c>
      <c r="E605" s="0" t="n">
        <v>1.99</v>
      </c>
      <c r="F605" s="0" t="n">
        <v>3.7975</v>
      </c>
      <c r="G605" s="0" t="n">
        <v>7.557025</v>
      </c>
      <c r="H605" s="0" t="s">
        <v>3922</v>
      </c>
      <c r="I605" s="0" t="str">
        <f aca="false">A605&amp;"|"&amp;TRIM(D605)</f>
        <v>202|DETAL</v>
      </c>
    </row>
    <row r="606" customFormat="false" ht="15" hidden="false" customHeight="false" outlineLevel="0" collapsed="false">
      <c r="A606" s="0" t="n">
        <v>203</v>
      </c>
      <c r="B606" s="0" t="s">
        <v>2822</v>
      </c>
      <c r="C606" s="0" t="s">
        <v>349</v>
      </c>
      <c r="D606" s="0" t="s">
        <v>3446</v>
      </c>
      <c r="E606" s="0" t="n">
        <v>1.45</v>
      </c>
      <c r="F606" s="0" t="n">
        <v>4.4375</v>
      </c>
      <c r="G606" s="0" t="n">
        <v>6.434375</v>
      </c>
      <c r="H606" s="0" t="s">
        <v>3923</v>
      </c>
      <c r="I606" s="0" t="str">
        <f aca="false">A606&amp;"|"&amp;TRIM(D606)</f>
        <v>203|+5 DOC</v>
      </c>
    </row>
    <row r="607" customFormat="false" ht="15" hidden="false" customHeight="false" outlineLevel="0" collapsed="false">
      <c r="A607" s="0" t="n">
        <v>203</v>
      </c>
      <c r="B607" s="0" t="s">
        <v>2822</v>
      </c>
      <c r="C607" s="0" t="s">
        <v>349</v>
      </c>
      <c r="D607" s="0" t="s">
        <v>9</v>
      </c>
      <c r="E607" s="0" t="n">
        <v>1.75</v>
      </c>
      <c r="F607" s="0" t="n">
        <v>4.4375</v>
      </c>
      <c r="G607" s="0" t="n">
        <v>7.765625</v>
      </c>
      <c r="H607" s="0" t="s">
        <v>3924</v>
      </c>
      <c r="I607" s="0" t="str">
        <f aca="false">A607&amp;"|"&amp;TRIM(D607)</f>
        <v>203|1 A 5 DOC</v>
      </c>
    </row>
    <row r="608" customFormat="false" ht="15" hidden="false" customHeight="false" outlineLevel="0" collapsed="false">
      <c r="A608" s="0" t="n">
        <v>203</v>
      </c>
      <c r="B608" s="0" t="s">
        <v>2822</v>
      </c>
      <c r="C608" s="0" t="s">
        <v>349</v>
      </c>
      <c r="D608" s="0" t="s">
        <v>3449</v>
      </c>
      <c r="E608" s="0" t="n">
        <v>1.99</v>
      </c>
      <c r="F608" s="0" t="n">
        <v>4.4375</v>
      </c>
      <c r="G608" s="0" t="n">
        <v>8.830625</v>
      </c>
      <c r="H608" s="0" t="s">
        <v>3925</v>
      </c>
      <c r="I608" s="0" t="str">
        <f aca="false">A608&amp;"|"&amp;TRIM(D608)</f>
        <v>203|DETAL</v>
      </c>
    </row>
    <row r="609" customFormat="false" ht="15" hidden="false" customHeight="false" outlineLevel="0" collapsed="false">
      <c r="A609" s="0" t="n">
        <v>204</v>
      </c>
      <c r="B609" s="0" t="s">
        <v>2822</v>
      </c>
      <c r="C609" s="0" t="s">
        <v>296</v>
      </c>
      <c r="D609" s="0" t="s">
        <v>3446</v>
      </c>
      <c r="E609" s="0" t="n">
        <v>1.45</v>
      </c>
      <c r="F609" s="0" t="n">
        <v>3.865</v>
      </c>
      <c r="G609" s="0" t="n">
        <v>5.60425</v>
      </c>
      <c r="H609" s="0" t="s">
        <v>3926</v>
      </c>
      <c r="I609" s="0" t="str">
        <f aca="false">A609&amp;"|"&amp;TRIM(D609)</f>
        <v>204|+5 DOC</v>
      </c>
    </row>
    <row r="610" customFormat="false" ht="15" hidden="false" customHeight="false" outlineLevel="0" collapsed="false">
      <c r="A610" s="0" t="n">
        <v>204</v>
      </c>
      <c r="B610" s="0" t="s">
        <v>2822</v>
      </c>
      <c r="C610" s="0" t="s">
        <v>296</v>
      </c>
      <c r="D610" s="0" t="s">
        <v>9</v>
      </c>
      <c r="E610" s="0" t="n">
        <v>1.75</v>
      </c>
      <c r="F610" s="0" t="n">
        <v>3.865</v>
      </c>
      <c r="G610" s="0" t="n">
        <v>6.76375</v>
      </c>
      <c r="H610" s="0" t="s">
        <v>3927</v>
      </c>
      <c r="I610" s="0" t="str">
        <f aca="false">A610&amp;"|"&amp;TRIM(D610)</f>
        <v>204|1 A 5 DOC</v>
      </c>
    </row>
    <row r="611" customFormat="false" ht="15" hidden="false" customHeight="false" outlineLevel="0" collapsed="false">
      <c r="A611" s="0" t="n">
        <v>204</v>
      </c>
      <c r="B611" s="0" t="s">
        <v>2822</v>
      </c>
      <c r="C611" s="0" t="s">
        <v>296</v>
      </c>
      <c r="D611" s="0" t="s">
        <v>3449</v>
      </c>
      <c r="E611" s="0" t="n">
        <v>1.99</v>
      </c>
      <c r="F611" s="0" t="n">
        <v>3.865</v>
      </c>
      <c r="G611" s="0" t="n">
        <v>7.69135</v>
      </c>
      <c r="H611" s="0" t="s">
        <v>3928</v>
      </c>
      <c r="I611" s="0" t="str">
        <f aca="false">A611&amp;"|"&amp;TRIM(D611)</f>
        <v>204|DETAL</v>
      </c>
    </row>
    <row r="612" customFormat="false" ht="15" hidden="false" customHeight="false" outlineLevel="0" collapsed="false">
      <c r="A612" s="0" t="n">
        <v>205</v>
      </c>
      <c r="B612" s="0" t="s">
        <v>2822</v>
      </c>
      <c r="C612" s="0" t="s">
        <v>311</v>
      </c>
      <c r="D612" s="0" t="s">
        <v>3446</v>
      </c>
      <c r="E612" s="0" t="n">
        <v>1.45</v>
      </c>
      <c r="F612" s="0" t="n">
        <v>3.38125</v>
      </c>
      <c r="G612" s="0" t="n">
        <v>4.9028125</v>
      </c>
      <c r="H612" s="0" t="s">
        <v>3929</v>
      </c>
      <c r="I612" s="0" t="str">
        <f aca="false">A612&amp;"|"&amp;TRIM(D612)</f>
        <v>205|+5 DOC</v>
      </c>
    </row>
    <row r="613" customFormat="false" ht="15" hidden="false" customHeight="false" outlineLevel="0" collapsed="false">
      <c r="A613" s="0" t="n">
        <v>205</v>
      </c>
      <c r="B613" s="0" t="s">
        <v>2822</v>
      </c>
      <c r="C613" s="0" t="s">
        <v>311</v>
      </c>
      <c r="D613" s="0" t="s">
        <v>9</v>
      </c>
      <c r="E613" s="0" t="n">
        <v>1.75</v>
      </c>
      <c r="F613" s="0" t="n">
        <v>3.38125</v>
      </c>
      <c r="G613" s="0" t="n">
        <v>5.9171875</v>
      </c>
      <c r="H613" s="0" t="s">
        <v>3930</v>
      </c>
      <c r="I613" s="0" t="str">
        <f aca="false">A613&amp;"|"&amp;TRIM(D613)</f>
        <v>205|1 A 5 DOC</v>
      </c>
    </row>
    <row r="614" customFormat="false" ht="15" hidden="false" customHeight="false" outlineLevel="0" collapsed="false">
      <c r="A614" s="0" t="n">
        <v>205</v>
      </c>
      <c r="B614" s="0" t="s">
        <v>2822</v>
      </c>
      <c r="C614" s="0" t="s">
        <v>311</v>
      </c>
      <c r="D614" s="0" t="s">
        <v>3449</v>
      </c>
      <c r="E614" s="0" t="n">
        <v>1.99</v>
      </c>
      <c r="F614" s="0" t="n">
        <v>3.38125</v>
      </c>
      <c r="G614" s="0" t="n">
        <v>6.7286875</v>
      </c>
      <c r="H614" s="0" t="s">
        <v>3931</v>
      </c>
      <c r="I614" s="0" t="str">
        <f aca="false">A614&amp;"|"&amp;TRIM(D614)</f>
        <v>205|DETAL</v>
      </c>
    </row>
    <row r="615" customFormat="false" ht="15" hidden="false" customHeight="false" outlineLevel="0" collapsed="false">
      <c r="A615" s="0" t="n">
        <v>206</v>
      </c>
      <c r="B615" s="0" t="s">
        <v>2822</v>
      </c>
      <c r="C615" s="0" t="s">
        <v>296</v>
      </c>
      <c r="D615" s="0" t="s">
        <v>3446</v>
      </c>
      <c r="E615" s="0" t="n">
        <v>1.45</v>
      </c>
      <c r="F615" s="0" t="n">
        <v>4.425</v>
      </c>
      <c r="G615" s="0" t="n">
        <v>6.41625</v>
      </c>
      <c r="H615" s="0" t="s">
        <v>3932</v>
      </c>
      <c r="I615" s="0" t="str">
        <f aca="false">A615&amp;"|"&amp;TRIM(D615)</f>
        <v>206|+5 DOC</v>
      </c>
    </row>
    <row r="616" customFormat="false" ht="15" hidden="false" customHeight="false" outlineLevel="0" collapsed="false">
      <c r="A616" s="0" t="n">
        <v>206</v>
      </c>
      <c r="B616" s="0" t="s">
        <v>2822</v>
      </c>
      <c r="C616" s="0" t="s">
        <v>296</v>
      </c>
      <c r="D616" s="0" t="s">
        <v>9</v>
      </c>
      <c r="E616" s="0" t="n">
        <v>1.75</v>
      </c>
      <c r="F616" s="0" t="n">
        <v>4.425</v>
      </c>
      <c r="G616" s="0" t="n">
        <v>7.74375</v>
      </c>
      <c r="H616" s="0" t="s">
        <v>3933</v>
      </c>
      <c r="I616" s="0" t="str">
        <f aca="false">A616&amp;"|"&amp;TRIM(D616)</f>
        <v>206|1 A 5 DOC</v>
      </c>
    </row>
    <row r="617" customFormat="false" ht="15" hidden="false" customHeight="false" outlineLevel="0" collapsed="false">
      <c r="A617" s="0" t="n">
        <v>206</v>
      </c>
      <c r="B617" s="0" t="s">
        <v>2822</v>
      </c>
      <c r="C617" s="0" t="s">
        <v>296</v>
      </c>
      <c r="D617" s="0" t="s">
        <v>3449</v>
      </c>
      <c r="E617" s="0" t="n">
        <v>1.99</v>
      </c>
      <c r="F617" s="0" t="n">
        <v>4.425</v>
      </c>
      <c r="G617" s="0" t="n">
        <v>8.80575</v>
      </c>
      <c r="H617" s="0" t="s">
        <v>3934</v>
      </c>
      <c r="I617" s="0" t="str">
        <f aca="false">A617&amp;"|"&amp;TRIM(D617)</f>
        <v>206|DETAL</v>
      </c>
    </row>
    <row r="618" customFormat="false" ht="15" hidden="false" customHeight="false" outlineLevel="0" collapsed="false">
      <c r="A618" s="0" t="n">
        <v>207</v>
      </c>
      <c r="B618" s="0" t="s">
        <v>2822</v>
      </c>
      <c r="C618" s="0" t="s">
        <v>311</v>
      </c>
      <c r="D618" s="0" t="s">
        <v>3446</v>
      </c>
      <c r="E618" s="0" t="n">
        <v>1.45</v>
      </c>
      <c r="F618" s="0" t="n">
        <v>3.68125</v>
      </c>
      <c r="G618" s="0" t="n">
        <v>5.3378125</v>
      </c>
      <c r="H618" s="0" t="s">
        <v>3935</v>
      </c>
      <c r="I618" s="0" t="str">
        <f aca="false">A618&amp;"|"&amp;TRIM(D618)</f>
        <v>207|+5 DOC</v>
      </c>
    </row>
    <row r="619" customFormat="false" ht="15" hidden="false" customHeight="false" outlineLevel="0" collapsed="false">
      <c r="A619" s="0" t="n">
        <v>207</v>
      </c>
      <c r="B619" s="0" t="s">
        <v>2822</v>
      </c>
      <c r="C619" s="0" t="s">
        <v>311</v>
      </c>
      <c r="D619" s="0" t="s">
        <v>9</v>
      </c>
      <c r="E619" s="0" t="n">
        <v>1.75</v>
      </c>
      <c r="F619" s="0" t="n">
        <v>3.68125</v>
      </c>
      <c r="G619" s="0" t="n">
        <v>6.4421875</v>
      </c>
      <c r="H619" s="0" t="s">
        <v>3936</v>
      </c>
      <c r="I619" s="0" t="str">
        <f aca="false">A619&amp;"|"&amp;TRIM(D619)</f>
        <v>207|1 A 5 DOC</v>
      </c>
    </row>
    <row r="620" customFormat="false" ht="15" hidden="false" customHeight="false" outlineLevel="0" collapsed="false">
      <c r="A620" s="0" t="n">
        <v>207</v>
      </c>
      <c r="B620" s="0" t="s">
        <v>2822</v>
      </c>
      <c r="C620" s="0" t="s">
        <v>311</v>
      </c>
      <c r="D620" s="0" t="s">
        <v>3449</v>
      </c>
      <c r="E620" s="0" t="n">
        <v>1.99</v>
      </c>
      <c r="F620" s="0" t="n">
        <v>3.68125</v>
      </c>
      <c r="G620" s="0" t="n">
        <v>7.3256875</v>
      </c>
      <c r="H620" s="0" t="s">
        <v>3937</v>
      </c>
      <c r="I620" s="0" t="str">
        <f aca="false">A620&amp;"|"&amp;TRIM(D620)</f>
        <v>207|DETAL</v>
      </c>
    </row>
    <row r="621" customFormat="false" ht="15" hidden="false" customHeight="false" outlineLevel="0" collapsed="false">
      <c r="A621" s="0" t="n">
        <v>208</v>
      </c>
      <c r="B621" s="0" t="s">
        <v>2822</v>
      </c>
      <c r="C621" s="0" t="s">
        <v>349</v>
      </c>
      <c r="D621" s="0" t="s">
        <v>3446</v>
      </c>
      <c r="E621" s="0" t="n">
        <v>1.45</v>
      </c>
      <c r="F621" s="0" t="n">
        <v>3.985</v>
      </c>
      <c r="G621" s="0" t="n">
        <v>5.77825</v>
      </c>
      <c r="H621" s="0" t="s">
        <v>3938</v>
      </c>
      <c r="I621" s="0" t="str">
        <f aca="false">A621&amp;"|"&amp;TRIM(D621)</f>
        <v>208|+5 DOC</v>
      </c>
    </row>
    <row r="622" customFormat="false" ht="15" hidden="false" customHeight="false" outlineLevel="0" collapsed="false">
      <c r="A622" s="0" t="n">
        <v>208</v>
      </c>
      <c r="B622" s="0" t="s">
        <v>2822</v>
      </c>
      <c r="C622" s="0" t="s">
        <v>349</v>
      </c>
      <c r="D622" s="0" t="s">
        <v>9</v>
      </c>
      <c r="E622" s="0" t="n">
        <v>1.75</v>
      </c>
      <c r="F622" s="0" t="n">
        <v>3.985</v>
      </c>
      <c r="G622" s="0" t="n">
        <v>6.97375</v>
      </c>
      <c r="H622" s="0" t="s">
        <v>3939</v>
      </c>
      <c r="I622" s="0" t="str">
        <f aca="false">A622&amp;"|"&amp;TRIM(D622)</f>
        <v>208|1 A 5 DOC</v>
      </c>
    </row>
    <row r="623" customFormat="false" ht="15" hidden="false" customHeight="false" outlineLevel="0" collapsed="false">
      <c r="A623" s="0" t="n">
        <v>208</v>
      </c>
      <c r="B623" s="0" t="s">
        <v>2822</v>
      </c>
      <c r="C623" s="0" t="s">
        <v>349</v>
      </c>
      <c r="D623" s="0" t="s">
        <v>3449</v>
      </c>
      <c r="E623" s="0" t="n">
        <v>1.99</v>
      </c>
      <c r="F623" s="0" t="n">
        <v>3.985</v>
      </c>
      <c r="G623" s="0" t="n">
        <v>7.93015</v>
      </c>
      <c r="H623" s="0" t="s">
        <v>3940</v>
      </c>
      <c r="I623" s="0" t="str">
        <f aca="false">A623&amp;"|"&amp;TRIM(D623)</f>
        <v>208|DETAL</v>
      </c>
    </row>
    <row r="624" customFormat="false" ht="15" hidden="false" customHeight="false" outlineLevel="0" collapsed="false">
      <c r="A624" s="0" t="n">
        <v>209</v>
      </c>
      <c r="B624" s="0" t="s">
        <v>2822</v>
      </c>
      <c r="C624" s="0" t="s">
        <v>349</v>
      </c>
      <c r="D624" s="0" t="s">
        <v>3446</v>
      </c>
      <c r="E624" s="0" t="n">
        <v>1.45</v>
      </c>
      <c r="F624" s="0" t="n">
        <v>4.625</v>
      </c>
      <c r="G624" s="0" t="n">
        <v>6.70625</v>
      </c>
      <c r="H624" s="0" t="s">
        <v>3941</v>
      </c>
      <c r="I624" s="0" t="str">
        <f aca="false">A624&amp;"|"&amp;TRIM(D624)</f>
        <v>209|+5 DOC</v>
      </c>
    </row>
    <row r="625" customFormat="false" ht="15" hidden="false" customHeight="false" outlineLevel="0" collapsed="false">
      <c r="A625" s="0" t="n">
        <v>209</v>
      </c>
      <c r="B625" s="0" t="s">
        <v>2822</v>
      </c>
      <c r="C625" s="0" t="s">
        <v>349</v>
      </c>
      <c r="D625" s="0" t="s">
        <v>9</v>
      </c>
      <c r="E625" s="0" t="n">
        <v>1.75</v>
      </c>
      <c r="F625" s="0" t="n">
        <v>4.625</v>
      </c>
      <c r="G625" s="0" t="n">
        <v>8.09375</v>
      </c>
      <c r="H625" s="0" t="s">
        <v>3942</v>
      </c>
      <c r="I625" s="0" t="str">
        <f aca="false">A625&amp;"|"&amp;TRIM(D625)</f>
        <v>209|1 A 5 DOC</v>
      </c>
    </row>
    <row r="626" customFormat="false" ht="15" hidden="false" customHeight="false" outlineLevel="0" collapsed="false">
      <c r="A626" s="0" t="n">
        <v>209</v>
      </c>
      <c r="B626" s="0" t="s">
        <v>2822</v>
      </c>
      <c r="C626" s="0" t="s">
        <v>349</v>
      </c>
      <c r="D626" s="0" t="s">
        <v>3449</v>
      </c>
      <c r="E626" s="0" t="n">
        <v>1.99</v>
      </c>
      <c r="F626" s="0" t="n">
        <v>4.625</v>
      </c>
      <c r="G626" s="0" t="n">
        <v>9.20375</v>
      </c>
      <c r="H626" s="0" t="s">
        <v>3943</v>
      </c>
      <c r="I626" s="0" t="str">
        <f aca="false">A626&amp;"|"&amp;TRIM(D626)</f>
        <v>209|DETAL</v>
      </c>
    </row>
    <row r="627" customFormat="false" ht="15" hidden="false" customHeight="false" outlineLevel="0" collapsed="false">
      <c r="A627" s="0" t="n">
        <v>210</v>
      </c>
      <c r="B627" s="0" t="s">
        <v>2822</v>
      </c>
      <c r="C627" s="0" t="s">
        <v>296</v>
      </c>
      <c r="D627" s="0" t="s">
        <v>3446</v>
      </c>
      <c r="E627" s="0" t="n">
        <v>1.45</v>
      </c>
      <c r="F627" s="0" t="n">
        <v>4.115</v>
      </c>
      <c r="G627" s="0" t="n">
        <v>5.96675</v>
      </c>
      <c r="H627" s="0" t="s">
        <v>3944</v>
      </c>
      <c r="I627" s="0" t="str">
        <f aca="false">A627&amp;"|"&amp;TRIM(D627)</f>
        <v>210|+5 DOC</v>
      </c>
    </row>
    <row r="628" customFormat="false" ht="15" hidden="false" customHeight="false" outlineLevel="0" collapsed="false">
      <c r="A628" s="0" t="n">
        <v>210</v>
      </c>
      <c r="B628" s="0" t="s">
        <v>2822</v>
      </c>
      <c r="C628" s="0" t="s">
        <v>296</v>
      </c>
      <c r="D628" s="0" t="s">
        <v>9</v>
      </c>
      <c r="E628" s="0" t="n">
        <v>1.75</v>
      </c>
      <c r="F628" s="0" t="n">
        <v>4.115</v>
      </c>
      <c r="G628" s="0" t="n">
        <v>7.20125</v>
      </c>
      <c r="H628" s="0" t="s">
        <v>3945</v>
      </c>
      <c r="I628" s="0" t="str">
        <f aca="false">A628&amp;"|"&amp;TRIM(D628)</f>
        <v>210|1 A 5 DOC</v>
      </c>
    </row>
    <row r="629" customFormat="false" ht="15" hidden="false" customHeight="false" outlineLevel="0" collapsed="false">
      <c r="A629" s="0" t="n">
        <v>210</v>
      </c>
      <c r="B629" s="0" t="s">
        <v>2822</v>
      </c>
      <c r="C629" s="0" t="s">
        <v>296</v>
      </c>
      <c r="D629" s="0" t="s">
        <v>3449</v>
      </c>
      <c r="E629" s="0" t="n">
        <v>1.99</v>
      </c>
      <c r="F629" s="0" t="n">
        <v>4.115</v>
      </c>
      <c r="G629" s="0" t="n">
        <v>8.18885</v>
      </c>
      <c r="H629" s="0" t="s">
        <v>3946</v>
      </c>
      <c r="I629" s="0" t="str">
        <f aca="false">A629&amp;"|"&amp;TRIM(D629)</f>
        <v>210|DETAL</v>
      </c>
    </row>
    <row r="630" customFormat="false" ht="15" hidden="false" customHeight="false" outlineLevel="0" collapsed="false">
      <c r="A630" s="0" t="n">
        <v>211</v>
      </c>
      <c r="B630" s="0" t="s">
        <v>2822</v>
      </c>
      <c r="C630" s="0" t="s">
        <v>311</v>
      </c>
      <c r="D630" s="0" t="s">
        <v>3446</v>
      </c>
      <c r="E630" s="0" t="n">
        <v>1.45</v>
      </c>
      <c r="F630" s="0" t="n">
        <v>3.875</v>
      </c>
      <c r="G630" s="0" t="n">
        <v>5.61875</v>
      </c>
      <c r="H630" s="0" t="s">
        <v>3947</v>
      </c>
      <c r="I630" s="0" t="str">
        <f aca="false">A630&amp;"|"&amp;TRIM(D630)</f>
        <v>211|+5 DOC</v>
      </c>
    </row>
    <row r="631" customFormat="false" ht="15" hidden="false" customHeight="false" outlineLevel="0" collapsed="false">
      <c r="A631" s="0" t="n">
        <v>211</v>
      </c>
      <c r="B631" s="0" t="s">
        <v>2822</v>
      </c>
      <c r="C631" s="0" t="s">
        <v>311</v>
      </c>
      <c r="D631" s="0" t="s">
        <v>9</v>
      </c>
      <c r="E631" s="0" t="n">
        <v>1.75</v>
      </c>
      <c r="F631" s="0" t="n">
        <v>3.875</v>
      </c>
      <c r="G631" s="0" t="n">
        <v>6.78125</v>
      </c>
      <c r="H631" s="0" t="s">
        <v>3948</v>
      </c>
      <c r="I631" s="0" t="str">
        <f aca="false">A631&amp;"|"&amp;TRIM(D631)</f>
        <v>211|1 A 5 DOC</v>
      </c>
    </row>
    <row r="632" customFormat="false" ht="15" hidden="false" customHeight="false" outlineLevel="0" collapsed="false">
      <c r="A632" s="0" t="n">
        <v>211</v>
      </c>
      <c r="B632" s="0" t="s">
        <v>2822</v>
      </c>
      <c r="C632" s="0" t="s">
        <v>311</v>
      </c>
      <c r="D632" s="0" t="s">
        <v>3449</v>
      </c>
      <c r="E632" s="0" t="n">
        <v>1.99</v>
      </c>
      <c r="F632" s="0" t="n">
        <v>3.875</v>
      </c>
      <c r="G632" s="0" t="n">
        <v>7.71125</v>
      </c>
      <c r="H632" s="0" t="s">
        <v>3949</v>
      </c>
      <c r="I632" s="0" t="str">
        <f aca="false">A632&amp;"|"&amp;TRIM(D632)</f>
        <v>211|DETAL</v>
      </c>
    </row>
    <row r="633" customFormat="false" ht="15" hidden="false" customHeight="false" outlineLevel="0" collapsed="false">
      <c r="A633" s="0" t="n">
        <v>212</v>
      </c>
      <c r="B633" s="0" t="s">
        <v>2822</v>
      </c>
      <c r="C633" s="0" t="s">
        <v>296</v>
      </c>
      <c r="D633" s="0" t="s">
        <v>3446</v>
      </c>
      <c r="E633" s="0" t="n">
        <v>1.45</v>
      </c>
      <c r="F633" s="0" t="n">
        <v>4.9875</v>
      </c>
      <c r="G633" s="0" t="n">
        <v>7.231875</v>
      </c>
      <c r="H633" s="0" t="s">
        <v>3950</v>
      </c>
      <c r="I633" s="0" t="str">
        <f aca="false">A633&amp;"|"&amp;TRIM(D633)</f>
        <v>212|+5 DOC</v>
      </c>
    </row>
    <row r="634" customFormat="false" ht="15" hidden="false" customHeight="false" outlineLevel="0" collapsed="false">
      <c r="A634" s="0" t="n">
        <v>212</v>
      </c>
      <c r="B634" s="0" t="s">
        <v>2822</v>
      </c>
      <c r="C634" s="0" t="s">
        <v>296</v>
      </c>
      <c r="D634" s="0" t="s">
        <v>9</v>
      </c>
      <c r="E634" s="0" t="n">
        <v>1.75</v>
      </c>
      <c r="F634" s="0" t="n">
        <v>4.9875</v>
      </c>
      <c r="G634" s="0" t="n">
        <v>8.728125</v>
      </c>
      <c r="H634" s="0" t="s">
        <v>3951</v>
      </c>
      <c r="I634" s="0" t="str">
        <f aca="false">A634&amp;"|"&amp;TRIM(D634)</f>
        <v>212|1 A 5 DOC</v>
      </c>
    </row>
    <row r="635" customFormat="false" ht="15" hidden="false" customHeight="false" outlineLevel="0" collapsed="false">
      <c r="A635" s="0" t="n">
        <v>212</v>
      </c>
      <c r="B635" s="0" t="s">
        <v>2822</v>
      </c>
      <c r="C635" s="0" t="s">
        <v>296</v>
      </c>
      <c r="D635" s="0" t="s">
        <v>3449</v>
      </c>
      <c r="E635" s="0" t="n">
        <v>1.99</v>
      </c>
      <c r="F635" s="0" t="n">
        <v>4.9875</v>
      </c>
      <c r="G635" s="0" t="n">
        <v>9.925125</v>
      </c>
      <c r="H635" s="0" t="s">
        <v>3952</v>
      </c>
      <c r="I635" s="0" t="str">
        <f aca="false">A635&amp;"|"&amp;TRIM(D635)</f>
        <v>212|DETAL</v>
      </c>
    </row>
    <row r="636" customFormat="false" ht="15" hidden="false" customHeight="false" outlineLevel="0" collapsed="false">
      <c r="A636" s="0" t="n">
        <v>213</v>
      </c>
      <c r="B636" s="0" t="s">
        <v>2822</v>
      </c>
      <c r="C636" s="0" t="s">
        <v>311</v>
      </c>
      <c r="D636" s="0" t="s">
        <v>3446</v>
      </c>
      <c r="E636" s="0" t="n">
        <v>1.45</v>
      </c>
      <c r="F636" s="0" t="n">
        <v>4.3375</v>
      </c>
      <c r="G636" s="0" t="n">
        <v>6.289375</v>
      </c>
      <c r="H636" s="0" t="s">
        <v>3953</v>
      </c>
      <c r="I636" s="0" t="str">
        <f aca="false">A636&amp;"|"&amp;TRIM(D636)</f>
        <v>213|+5 DOC</v>
      </c>
    </row>
    <row r="637" customFormat="false" ht="15" hidden="false" customHeight="false" outlineLevel="0" collapsed="false">
      <c r="A637" s="0" t="n">
        <v>213</v>
      </c>
      <c r="B637" s="0" t="s">
        <v>2822</v>
      </c>
      <c r="C637" s="0" t="s">
        <v>311</v>
      </c>
      <c r="D637" s="0" t="s">
        <v>9</v>
      </c>
      <c r="E637" s="0" t="n">
        <v>1.75</v>
      </c>
      <c r="F637" s="0" t="n">
        <v>4.3375</v>
      </c>
      <c r="G637" s="0" t="n">
        <v>7.590625</v>
      </c>
      <c r="H637" s="0" t="s">
        <v>3954</v>
      </c>
      <c r="I637" s="0" t="str">
        <f aca="false">A637&amp;"|"&amp;TRIM(D637)</f>
        <v>213|1 A 5 DOC</v>
      </c>
    </row>
    <row r="638" customFormat="false" ht="15" hidden="false" customHeight="false" outlineLevel="0" collapsed="false">
      <c r="A638" s="0" t="n">
        <v>213</v>
      </c>
      <c r="B638" s="0" t="s">
        <v>2822</v>
      </c>
      <c r="C638" s="0" t="s">
        <v>311</v>
      </c>
      <c r="D638" s="0" t="s">
        <v>3449</v>
      </c>
      <c r="E638" s="0" t="n">
        <v>1.99</v>
      </c>
      <c r="F638" s="0" t="n">
        <v>4.3375</v>
      </c>
      <c r="G638" s="0" t="n">
        <v>8.631625</v>
      </c>
      <c r="H638" s="0" t="s">
        <v>3955</v>
      </c>
      <c r="I638" s="0" t="str">
        <f aca="false">A638&amp;"|"&amp;TRIM(D638)</f>
        <v>213|DETAL</v>
      </c>
    </row>
    <row r="639" customFormat="false" ht="15" hidden="false" customHeight="false" outlineLevel="0" collapsed="false">
      <c r="A639" s="0" t="n">
        <v>214</v>
      </c>
      <c r="B639" s="0" t="s">
        <v>2822</v>
      </c>
      <c r="C639" s="0" t="s">
        <v>349</v>
      </c>
      <c r="D639" s="0" t="s">
        <v>3446</v>
      </c>
      <c r="E639" s="0" t="n">
        <v>1.45</v>
      </c>
      <c r="F639" s="0" t="n">
        <v>5.4375</v>
      </c>
      <c r="G639" s="0" t="n">
        <v>7.884375</v>
      </c>
      <c r="H639" s="0" t="s">
        <v>3956</v>
      </c>
      <c r="I639" s="0" t="str">
        <f aca="false">A639&amp;"|"&amp;TRIM(D639)</f>
        <v>214|+5 DOC</v>
      </c>
    </row>
    <row r="640" customFormat="false" ht="15" hidden="false" customHeight="false" outlineLevel="0" collapsed="false">
      <c r="A640" s="0" t="n">
        <v>214</v>
      </c>
      <c r="B640" s="0" t="s">
        <v>2822</v>
      </c>
      <c r="C640" s="0" t="s">
        <v>349</v>
      </c>
      <c r="D640" s="0" t="s">
        <v>9</v>
      </c>
      <c r="E640" s="0" t="n">
        <v>1.75</v>
      </c>
      <c r="F640" s="0" t="n">
        <v>5.4375</v>
      </c>
      <c r="G640" s="0" t="n">
        <v>9.515625</v>
      </c>
      <c r="H640" s="0" t="s">
        <v>3957</v>
      </c>
      <c r="I640" s="0" t="str">
        <f aca="false">A640&amp;"|"&amp;TRIM(D640)</f>
        <v>214|1 A 5 DOC</v>
      </c>
    </row>
    <row r="641" customFormat="false" ht="15" hidden="false" customHeight="false" outlineLevel="0" collapsed="false">
      <c r="A641" s="0" t="n">
        <v>214</v>
      </c>
      <c r="B641" s="0" t="s">
        <v>2822</v>
      </c>
      <c r="C641" s="0" t="s">
        <v>349</v>
      </c>
      <c r="D641" s="0" t="s">
        <v>3449</v>
      </c>
      <c r="E641" s="0" t="n">
        <v>1.99</v>
      </c>
      <c r="F641" s="0" t="n">
        <v>5.4375</v>
      </c>
      <c r="G641" s="0" t="n">
        <v>10.820625</v>
      </c>
      <c r="H641" s="0" t="s">
        <v>3958</v>
      </c>
      <c r="I641" s="0" t="str">
        <f aca="false">A641&amp;"|"&amp;TRIM(D641)</f>
        <v>214|DETAL</v>
      </c>
    </row>
    <row r="642" customFormat="false" ht="15" hidden="false" customHeight="false" outlineLevel="0" collapsed="false">
      <c r="A642" s="0" t="n">
        <v>215</v>
      </c>
      <c r="B642" s="0" t="s">
        <v>2822</v>
      </c>
      <c r="C642" s="0" t="s">
        <v>349</v>
      </c>
      <c r="D642" s="0" t="s">
        <v>3446</v>
      </c>
      <c r="E642" s="0" t="n">
        <v>1.45</v>
      </c>
      <c r="F642" s="0" t="n">
        <v>4.5475</v>
      </c>
      <c r="G642" s="0" t="n">
        <v>6.593875</v>
      </c>
      <c r="H642" s="0" t="s">
        <v>3959</v>
      </c>
      <c r="I642" s="0" t="str">
        <f aca="false">A642&amp;"|"&amp;TRIM(D642)</f>
        <v>215|+5 DOC</v>
      </c>
    </row>
    <row r="643" customFormat="false" ht="15" hidden="false" customHeight="false" outlineLevel="0" collapsed="false">
      <c r="A643" s="0" t="n">
        <v>215</v>
      </c>
      <c r="B643" s="0" t="s">
        <v>2822</v>
      </c>
      <c r="C643" s="0" t="s">
        <v>349</v>
      </c>
      <c r="D643" s="0" t="s">
        <v>9</v>
      </c>
      <c r="E643" s="0" t="n">
        <v>1.75</v>
      </c>
      <c r="F643" s="0" t="n">
        <v>4.5475</v>
      </c>
      <c r="G643" s="0" t="n">
        <v>7.958125</v>
      </c>
      <c r="H643" s="0" t="s">
        <v>3960</v>
      </c>
      <c r="I643" s="0" t="str">
        <f aca="false">A643&amp;"|"&amp;TRIM(D643)</f>
        <v>215|1 A 5 DOC</v>
      </c>
    </row>
    <row r="644" customFormat="false" ht="15" hidden="false" customHeight="false" outlineLevel="0" collapsed="false">
      <c r="A644" s="0" t="n">
        <v>215</v>
      </c>
      <c r="B644" s="0" t="s">
        <v>2822</v>
      </c>
      <c r="C644" s="0" t="s">
        <v>349</v>
      </c>
      <c r="D644" s="0" t="s">
        <v>3449</v>
      </c>
      <c r="E644" s="0" t="n">
        <v>1.99</v>
      </c>
      <c r="F644" s="0" t="n">
        <v>4.5475</v>
      </c>
      <c r="G644" s="0" t="n">
        <v>9.049525</v>
      </c>
      <c r="H644" s="0" t="s">
        <v>3961</v>
      </c>
      <c r="I644" s="0" t="str">
        <f aca="false">A644&amp;"|"&amp;TRIM(D644)</f>
        <v>215|DETAL</v>
      </c>
    </row>
    <row r="645" customFormat="false" ht="15" hidden="false" customHeight="false" outlineLevel="0" collapsed="false">
      <c r="A645" s="0" t="n">
        <v>216</v>
      </c>
      <c r="B645" s="0" t="s">
        <v>2822</v>
      </c>
      <c r="C645" s="0" t="s">
        <v>311</v>
      </c>
      <c r="D645" s="0" t="s">
        <v>3446</v>
      </c>
      <c r="E645" s="0" t="n">
        <v>1.45</v>
      </c>
      <c r="F645" s="0" t="n">
        <v>5.85588235294118</v>
      </c>
      <c r="G645" s="0" t="n">
        <v>8.49102941176471</v>
      </c>
      <c r="H645" s="0" t="s">
        <v>3962</v>
      </c>
      <c r="I645" s="0" t="str">
        <f aca="false">A645&amp;"|"&amp;TRIM(D645)</f>
        <v>216|+5 DOC</v>
      </c>
    </row>
    <row r="646" customFormat="false" ht="15" hidden="false" customHeight="false" outlineLevel="0" collapsed="false">
      <c r="A646" s="0" t="n">
        <v>216</v>
      </c>
      <c r="B646" s="0" t="s">
        <v>2822</v>
      </c>
      <c r="C646" s="0" t="s">
        <v>311</v>
      </c>
      <c r="D646" s="0" t="s">
        <v>9</v>
      </c>
      <c r="E646" s="0" t="n">
        <v>1.75</v>
      </c>
      <c r="F646" s="0" t="n">
        <v>5.85588235294118</v>
      </c>
      <c r="G646" s="0" t="n">
        <v>10.2477941176471</v>
      </c>
      <c r="H646" s="0" t="s">
        <v>3963</v>
      </c>
      <c r="I646" s="0" t="str">
        <f aca="false">A646&amp;"|"&amp;TRIM(D646)</f>
        <v>216|1 A 5 DOC</v>
      </c>
    </row>
    <row r="647" customFormat="false" ht="15" hidden="false" customHeight="false" outlineLevel="0" collapsed="false">
      <c r="A647" s="0" t="n">
        <v>216</v>
      </c>
      <c r="B647" s="0" t="s">
        <v>2822</v>
      </c>
      <c r="C647" s="0" t="s">
        <v>311</v>
      </c>
      <c r="D647" s="0" t="s">
        <v>3449</v>
      </c>
      <c r="E647" s="0" t="n">
        <v>1.99</v>
      </c>
      <c r="F647" s="0" t="n">
        <v>5.85588235294118</v>
      </c>
      <c r="G647" s="0" t="n">
        <v>11.6532058823529</v>
      </c>
      <c r="H647" s="0" t="s">
        <v>3964</v>
      </c>
      <c r="I647" s="0" t="str">
        <f aca="false">A647&amp;"|"&amp;TRIM(D647)</f>
        <v>216|DETAL</v>
      </c>
    </row>
    <row r="648" customFormat="false" ht="15" hidden="false" customHeight="false" outlineLevel="0" collapsed="false">
      <c r="A648" s="0" t="n">
        <v>217</v>
      </c>
      <c r="B648" s="0" t="s">
        <v>2822</v>
      </c>
      <c r="C648" s="0" t="s">
        <v>311</v>
      </c>
      <c r="D648" s="0" t="s">
        <v>3446</v>
      </c>
      <c r="E648" s="0" t="n">
        <v>1.45</v>
      </c>
      <c r="F648" s="0" t="n">
        <v>4.9125</v>
      </c>
      <c r="G648" s="0" t="n">
        <v>7.123125</v>
      </c>
      <c r="H648" s="0" t="s">
        <v>3965</v>
      </c>
      <c r="I648" s="0" t="str">
        <f aca="false">A648&amp;"|"&amp;TRIM(D648)</f>
        <v>217|+5 DOC</v>
      </c>
    </row>
    <row r="649" customFormat="false" ht="15" hidden="false" customHeight="false" outlineLevel="0" collapsed="false">
      <c r="A649" s="0" t="n">
        <v>217</v>
      </c>
      <c r="B649" s="0" t="s">
        <v>2822</v>
      </c>
      <c r="C649" s="0" t="s">
        <v>311</v>
      </c>
      <c r="D649" s="0" t="s">
        <v>9</v>
      </c>
      <c r="E649" s="0" t="n">
        <v>1.75</v>
      </c>
      <c r="F649" s="0" t="n">
        <v>4.9125</v>
      </c>
      <c r="G649" s="0" t="n">
        <v>8.596875</v>
      </c>
      <c r="H649" s="0" t="s">
        <v>3966</v>
      </c>
      <c r="I649" s="0" t="str">
        <f aca="false">A649&amp;"|"&amp;TRIM(D649)</f>
        <v>217|1 A 5 DOC</v>
      </c>
    </row>
    <row r="650" customFormat="false" ht="15" hidden="false" customHeight="false" outlineLevel="0" collapsed="false">
      <c r="A650" s="0" t="n">
        <v>217</v>
      </c>
      <c r="B650" s="0" t="s">
        <v>2822</v>
      </c>
      <c r="C650" s="0" t="s">
        <v>311</v>
      </c>
      <c r="D650" s="0" t="s">
        <v>3449</v>
      </c>
      <c r="E650" s="0" t="n">
        <v>1.99</v>
      </c>
      <c r="F650" s="0" t="n">
        <v>4.9125</v>
      </c>
      <c r="G650" s="0" t="n">
        <v>9.775875</v>
      </c>
      <c r="H650" s="0" t="s">
        <v>3967</v>
      </c>
      <c r="I650" s="0" t="str">
        <f aca="false">A650&amp;"|"&amp;TRIM(D650)</f>
        <v>217|DETAL</v>
      </c>
    </row>
    <row r="651" customFormat="false" ht="15" hidden="false" customHeight="false" outlineLevel="0" collapsed="false">
      <c r="A651" s="0" t="n">
        <v>218</v>
      </c>
      <c r="B651" s="0" t="s">
        <v>2822</v>
      </c>
      <c r="C651" s="0" t="s">
        <v>296</v>
      </c>
      <c r="D651" s="0" t="s">
        <v>3446</v>
      </c>
      <c r="E651" s="0" t="n">
        <v>1.45</v>
      </c>
      <c r="F651" s="0" t="n">
        <v>7.625</v>
      </c>
      <c r="G651" s="0" t="n">
        <v>11.05625</v>
      </c>
      <c r="H651" s="0" t="s">
        <v>3968</v>
      </c>
      <c r="I651" s="0" t="str">
        <f aca="false">A651&amp;"|"&amp;TRIM(D651)</f>
        <v>218|+5 DOC</v>
      </c>
    </row>
    <row r="652" customFormat="false" ht="15" hidden="false" customHeight="false" outlineLevel="0" collapsed="false">
      <c r="A652" s="0" t="n">
        <v>218</v>
      </c>
      <c r="B652" s="0" t="s">
        <v>2822</v>
      </c>
      <c r="C652" s="0" t="s">
        <v>296</v>
      </c>
      <c r="D652" s="0" t="s">
        <v>9</v>
      </c>
      <c r="E652" s="0" t="n">
        <v>1.75</v>
      </c>
      <c r="F652" s="0" t="n">
        <v>7.625</v>
      </c>
      <c r="G652" s="0" t="n">
        <v>13.34375</v>
      </c>
      <c r="H652" s="0" t="s">
        <v>3969</v>
      </c>
      <c r="I652" s="0" t="str">
        <f aca="false">A652&amp;"|"&amp;TRIM(D652)</f>
        <v>218|1 A 5 DOC</v>
      </c>
    </row>
    <row r="653" customFormat="false" ht="15" hidden="false" customHeight="false" outlineLevel="0" collapsed="false">
      <c r="A653" s="0" t="n">
        <v>218</v>
      </c>
      <c r="B653" s="0" t="s">
        <v>2822</v>
      </c>
      <c r="C653" s="0" t="s">
        <v>296</v>
      </c>
      <c r="D653" s="0" t="s">
        <v>3449</v>
      </c>
      <c r="E653" s="0" t="n">
        <v>1.99</v>
      </c>
      <c r="F653" s="0" t="n">
        <v>7.625</v>
      </c>
      <c r="G653" s="0" t="n">
        <v>15.17375</v>
      </c>
      <c r="H653" s="0" t="s">
        <v>3970</v>
      </c>
      <c r="I653" s="0" t="str">
        <f aca="false">A653&amp;"|"&amp;TRIM(D653)</f>
        <v>218|DETAL</v>
      </c>
    </row>
    <row r="654" customFormat="false" ht="15" hidden="false" customHeight="false" outlineLevel="0" collapsed="false">
      <c r="A654" s="0" t="n">
        <v>219</v>
      </c>
      <c r="B654" s="0" t="s">
        <v>2822</v>
      </c>
      <c r="C654" s="0" t="s">
        <v>296</v>
      </c>
      <c r="D654" s="0" t="s">
        <v>3446</v>
      </c>
      <c r="E654" s="0" t="n">
        <v>1.45</v>
      </c>
      <c r="F654" s="0" t="n">
        <v>6.09416666666667</v>
      </c>
      <c r="G654" s="0" t="n">
        <v>8.83654166666667</v>
      </c>
      <c r="H654" s="0" t="s">
        <v>3971</v>
      </c>
      <c r="I654" s="0" t="str">
        <f aca="false">A654&amp;"|"&amp;TRIM(D654)</f>
        <v>219|+5 DOC</v>
      </c>
    </row>
    <row r="655" customFormat="false" ht="15" hidden="false" customHeight="false" outlineLevel="0" collapsed="false">
      <c r="A655" s="0" t="n">
        <v>219</v>
      </c>
      <c r="B655" s="0" t="s">
        <v>2822</v>
      </c>
      <c r="C655" s="0" t="s">
        <v>296</v>
      </c>
      <c r="D655" s="0" t="s">
        <v>9</v>
      </c>
      <c r="E655" s="0" t="n">
        <v>1.75</v>
      </c>
      <c r="F655" s="0" t="n">
        <v>6.09416666666667</v>
      </c>
      <c r="G655" s="0" t="n">
        <v>10.6647916666667</v>
      </c>
      <c r="H655" s="0" t="s">
        <v>3972</v>
      </c>
      <c r="I655" s="0" t="str">
        <f aca="false">A655&amp;"|"&amp;TRIM(D655)</f>
        <v>219|1 A 5 DOC</v>
      </c>
    </row>
    <row r="656" customFormat="false" ht="15" hidden="false" customHeight="false" outlineLevel="0" collapsed="false">
      <c r="A656" s="0" t="n">
        <v>219</v>
      </c>
      <c r="B656" s="0" t="s">
        <v>2822</v>
      </c>
      <c r="C656" s="0" t="s">
        <v>296</v>
      </c>
      <c r="D656" s="0" t="s">
        <v>3449</v>
      </c>
      <c r="E656" s="0" t="n">
        <v>1.99</v>
      </c>
      <c r="F656" s="0" t="n">
        <v>6.09416666666667</v>
      </c>
      <c r="G656" s="0" t="n">
        <v>12.1273916666667</v>
      </c>
      <c r="H656" s="0" t="s">
        <v>3973</v>
      </c>
      <c r="I656" s="0" t="str">
        <f aca="false">A656&amp;"|"&amp;TRIM(D656)</f>
        <v>219|DETAL</v>
      </c>
    </row>
    <row r="657" customFormat="false" ht="15" hidden="false" customHeight="false" outlineLevel="0" collapsed="false">
      <c r="A657" s="0" t="n">
        <v>220</v>
      </c>
      <c r="B657" s="0" t="s">
        <v>2822</v>
      </c>
      <c r="C657" s="0" t="s">
        <v>349</v>
      </c>
      <c r="D657" s="0" t="s">
        <v>3446</v>
      </c>
      <c r="E657" s="0" t="n">
        <v>1.45</v>
      </c>
      <c r="F657" s="0" t="n">
        <v>8.25</v>
      </c>
      <c r="G657" s="0" t="n">
        <v>11.9625</v>
      </c>
      <c r="H657" s="0" t="s">
        <v>3974</v>
      </c>
      <c r="I657" s="0" t="str">
        <f aca="false">A657&amp;"|"&amp;TRIM(D657)</f>
        <v>220|+5 DOC</v>
      </c>
    </row>
    <row r="658" customFormat="false" ht="15" hidden="false" customHeight="false" outlineLevel="0" collapsed="false">
      <c r="A658" s="0" t="n">
        <v>220</v>
      </c>
      <c r="B658" s="0" t="s">
        <v>2822</v>
      </c>
      <c r="C658" s="0" t="s">
        <v>349</v>
      </c>
      <c r="D658" s="0" t="s">
        <v>9</v>
      </c>
      <c r="E658" s="0" t="n">
        <v>1.75</v>
      </c>
      <c r="F658" s="0" t="n">
        <v>8.25</v>
      </c>
      <c r="G658" s="0" t="n">
        <v>14.4375</v>
      </c>
      <c r="H658" s="0" t="s">
        <v>3975</v>
      </c>
      <c r="I658" s="0" t="str">
        <f aca="false">A658&amp;"|"&amp;TRIM(D658)</f>
        <v>220|1 A 5 DOC</v>
      </c>
    </row>
    <row r="659" customFormat="false" ht="15" hidden="false" customHeight="false" outlineLevel="0" collapsed="false">
      <c r="A659" s="0" t="n">
        <v>220</v>
      </c>
      <c r="B659" s="0" t="s">
        <v>2822</v>
      </c>
      <c r="C659" s="0" t="s">
        <v>349</v>
      </c>
      <c r="D659" s="0" t="s">
        <v>3449</v>
      </c>
      <c r="E659" s="0" t="n">
        <v>1.99</v>
      </c>
      <c r="F659" s="0" t="n">
        <v>8.25</v>
      </c>
      <c r="G659" s="0" t="n">
        <v>16.4175</v>
      </c>
      <c r="H659" s="0" t="s">
        <v>3976</v>
      </c>
      <c r="I659" s="0" t="str">
        <f aca="false">A659&amp;"|"&amp;TRIM(D659)</f>
        <v>220|DETAL</v>
      </c>
    </row>
    <row r="660" customFormat="false" ht="15" hidden="false" customHeight="false" outlineLevel="0" collapsed="false">
      <c r="A660" s="0" t="n">
        <v>221</v>
      </c>
      <c r="B660" s="0" t="s">
        <v>2822</v>
      </c>
      <c r="C660" s="0" t="s">
        <v>349</v>
      </c>
      <c r="D660" s="0" t="s">
        <v>3446</v>
      </c>
      <c r="E660" s="0" t="n">
        <v>1.45</v>
      </c>
      <c r="F660" s="0" t="n">
        <v>7.61</v>
      </c>
      <c r="G660" s="0" t="n">
        <v>11.0345</v>
      </c>
      <c r="H660" s="0" t="s">
        <v>3977</v>
      </c>
      <c r="I660" s="0" t="str">
        <f aca="false">A660&amp;"|"&amp;TRIM(D660)</f>
        <v>221|+5 DOC</v>
      </c>
    </row>
    <row r="661" customFormat="false" ht="15" hidden="false" customHeight="false" outlineLevel="0" collapsed="false">
      <c r="A661" s="0" t="n">
        <v>221</v>
      </c>
      <c r="B661" s="0" t="s">
        <v>2822</v>
      </c>
      <c r="C661" s="0" t="s">
        <v>349</v>
      </c>
      <c r="D661" s="0" t="s">
        <v>9</v>
      </c>
      <c r="E661" s="0" t="n">
        <v>1.6</v>
      </c>
      <c r="F661" s="0" t="n">
        <v>7.61</v>
      </c>
      <c r="G661" s="0" t="n">
        <v>12.176</v>
      </c>
      <c r="H661" s="0" t="s">
        <v>3978</v>
      </c>
      <c r="I661" s="0" t="str">
        <f aca="false">A661&amp;"|"&amp;TRIM(D661)</f>
        <v>221|1 A 5 DOC</v>
      </c>
    </row>
    <row r="662" customFormat="false" ht="15" hidden="false" customHeight="false" outlineLevel="0" collapsed="false">
      <c r="A662" s="0" t="n">
        <v>221</v>
      </c>
      <c r="B662" s="0" t="s">
        <v>2822</v>
      </c>
      <c r="C662" s="0" t="s">
        <v>349</v>
      </c>
      <c r="D662" s="0" t="s">
        <v>3449</v>
      </c>
      <c r="E662" s="0" t="n">
        <v>1.99</v>
      </c>
      <c r="F662" s="0" t="n">
        <v>7.61</v>
      </c>
      <c r="G662" s="0" t="n">
        <v>15.1439</v>
      </c>
      <c r="H662" s="0" t="s">
        <v>3979</v>
      </c>
      <c r="I662" s="0" t="str">
        <f aca="false">A662&amp;"|"&amp;TRIM(D662)</f>
        <v>221|DETAL</v>
      </c>
    </row>
    <row r="663" customFormat="false" ht="15" hidden="false" customHeight="false" outlineLevel="0" collapsed="false">
      <c r="A663" s="0" t="n">
        <v>222</v>
      </c>
      <c r="B663" s="0" t="s">
        <v>2822</v>
      </c>
      <c r="C663" s="0" t="s">
        <v>296</v>
      </c>
      <c r="D663" s="0" t="s">
        <v>3446</v>
      </c>
      <c r="E663" s="0" t="n">
        <v>1.45</v>
      </c>
      <c r="F663" s="0" t="n">
        <v>4.67</v>
      </c>
      <c r="G663" s="0" t="n">
        <v>6.7715</v>
      </c>
      <c r="H663" s="0" t="s">
        <v>3980</v>
      </c>
      <c r="I663" s="0" t="str">
        <f aca="false">A663&amp;"|"&amp;TRIM(D663)</f>
        <v>222|+5 DOC</v>
      </c>
    </row>
    <row r="664" customFormat="false" ht="15" hidden="false" customHeight="false" outlineLevel="0" collapsed="false">
      <c r="A664" s="0" t="n">
        <v>222</v>
      </c>
      <c r="B664" s="0" t="s">
        <v>2822</v>
      </c>
      <c r="C664" s="0" t="s">
        <v>296</v>
      </c>
      <c r="D664" s="0" t="s">
        <v>9</v>
      </c>
      <c r="E664" s="0" t="n">
        <v>1.75</v>
      </c>
      <c r="F664" s="0" t="n">
        <v>4.67</v>
      </c>
      <c r="G664" s="0" t="n">
        <v>8.1725</v>
      </c>
      <c r="H664" s="0" t="s">
        <v>3981</v>
      </c>
      <c r="I664" s="0" t="str">
        <f aca="false">A664&amp;"|"&amp;TRIM(D664)</f>
        <v>222|1 A 5 DOC</v>
      </c>
    </row>
    <row r="665" customFormat="false" ht="15" hidden="false" customHeight="false" outlineLevel="0" collapsed="false">
      <c r="A665" s="0" t="n">
        <v>222</v>
      </c>
      <c r="B665" s="0" t="s">
        <v>2822</v>
      </c>
      <c r="C665" s="0" t="s">
        <v>296</v>
      </c>
      <c r="D665" s="0" t="s">
        <v>3449</v>
      </c>
      <c r="E665" s="0" t="n">
        <v>1.99</v>
      </c>
      <c r="F665" s="0" t="n">
        <v>4.67</v>
      </c>
      <c r="G665" s="0" t="n">
        <v>9.2933</v>
      </c>
      <c r="H665" s="0" t="s">
        <v>3982</v>
      </c>
      <c r="I665" s="0" t="str">
        <f aca="false">A665&amp;"|"&amp;TRIM(D665)</f>
        <v>222|DETAL</v>
      </c>
    </row>
    <row r="666" customFormat="false" ht="15" hidden="false" customHeight="false" outlineLevel="0" collapsed="false">
      <c r="A666" s="0" t="n">
        <v>223</v>
      </c>
      <c r="B666" s="0" t="s">
        <v>2822</v>
      </c>
      <c r="C666" s="0" t="s">
        <v>311</v>
      </c>
      <c r="D666" s="0" t="s">
        <v>3446</v>
      </c>
      <c r="E666" s="0" t="n">
        <v>1.45</v>
      </c>
      <c r="F666" s="0" t="n">
        <v>4.05</v>
      </c>
      <c r="G666" s="0" t="n">
        <v>5.8725</v>
      </c>
      <c r="H666" s="0" t="s">
        <v>3983</v>
      </c>
      <c r="I666" s="0" t="str">
        <f aca="false">A666&amp;"|"&amp;TRIM(D666)</f>
        <v>223|+5 DOC</v>
      </c>
    </row>
    <row r="667" customFormat="false" ht="15" hidden="false" customHeight="false" outlineLevel="0" collapsed="false">
      <c r="A667" s="0" t="n">
        <v>223</v>
      </c>
      <c r="B667" s="0" t="s">
        <v>2822</v>
      </c>
      <c r="C667" s="0" t="s">
        <v>311</v>
      </c>
      <c r="D667" s="0" t="s">
        <v>9</v>
      </c>
      <c r="E667" s="0" t="n">
        <v>1.75</v>
      </c>
      <c r="F667" s="0" t="n">
        <v>4.05</v>
      </c>
      <c r="G667" s="0" t="n">
        <v>7.0875</v>
      </c>
      <c r="H667" s="0" t="s">
        <v>3984</v>
      </c>
      <c r="I667" s="0" t="str">
        <f aca="false">A667&amp;"|"&amp;TRIM(D667)</f>
        <v>223|1 A 5 DOC</v>
      </c>
    </row>
    <row r="668" customFormat="false" ht="15" hidden="false" customHeight="false" outlineLevel="0" collapsed="false">
      <c r="A668" s="0" t="n">
        <v>223</v>
      </c>
      <c r="B668" s="0" t="s">
        <v>2822</v>
      </c>
      <c r="C668" s="0" t="s">
        <v>311</v>
      </c>
      <c r="D668" s="0" t="s">
        <v>3449</v>
      </c>
      <c r="E668" s="0" t="n">
        <v>1.99</v>
      </c>
      <c r="F668" s="0" t="n">
        <v>4.05</v>
      </c>
      <c r="G668" s="0" t="n">
        <v>8.0595</v>
      </c>
      <c r="H668" s="0" t="s">
        <v>3985</v>
      </c>
      <c r="I668" s="0" t="str">
        <f aca="false">A668&amp;"|"&amp;TRIM(D668)</f>
        <v>223|DETAL</v>
      </c>
    </row>
    <row r="669" customFormat="false" ht="15" hidden="false" customHeight="false" outlineLevel="0" collapsed="false">
      <c r="A669" s="0" t="n">
        <v>224</v>
      </c>
      <c r="B669" s="0" t="s">
        <v>2822</v>
      </c>
      <c r="C669" s="0" t="s">
        <v>70</v>
      </c>
      <c r="D669" s="0" t="s">
        <v>3446</v>
      </c>
      <c r="E669" s="0" t="n">
        <v>1.45</v>
      </c>
      <c r="F669" s="0" t="n">
        <v>5.3</v>
      </c>
      <c r="G669" s="0" t="n">
        <v>7.685</v>
      </c>
      <c r="H669" s="0" t="s">
        <v>3986</v>
      </c>
      <c r="I669" s="0" t="str">
        <f aca="false">A669&amp;"|"&amp;TRIM(D669)</f>
        <v>224|+5 DOC</v>
      </c>
    </row>
    <row r="670" customFormat="false" ht="15" hidden="false" customHeight="false" outlineLevel="0" collapsed="false">
      <c r="A670" s="0" t="n">
        <v>224</v>
      </c>
      <c r="B670" s="0" t="s">
        <v>2822</v>
      </c>
      <c r="C670" s="0" t="s">
        <v>70</v>
      </c>
      <c r="D670" s="0" t="s">
        <v>9</v>
      </c>
      <c r="E670" s="0" t="n">
        <v>1.75</v>
      </c>
      <c r="F670" s="0" t="n">
        <v>5.3</v>
      </c>
      <c r="G670" s="0" t="n">
        <v>9.275</v>
      </c>
      <c r="H670" s="0" t="s">
        <v>3987</v>
      </c>
      <c r="I670" s="0" t="str">
        <f aca="false">A670&amp;"|"&amp;TRIM(D670)</f>
        <v>224|1 A 5 DOC</v>
      </c>
    </row>
    <row r="671" customFormat="false" ht="15" hidden="false" customHeight="false" outlineLevel="0" collapsed="false">
      <c r="A671" s="0" t="n">
        <v>224</v>
      </c>
      <c r="B671" s="0" t="s">
        <v>2822</v>
      </c>
      <c r="C671" s="0" t="s">
        <v>70</v>
      </c>
      <c r="D671" s="0" t="s">
        <v>3449</v>
      </c>
      <c r="E671" s="0" t="n">
        <v>1.99</v>
      </c>
      <c r="F671" s="0" t="n">
        <v>5.3</v>
      </c>
      <c r="G671" s="0" t="n">
        <v>10.547</v>
      </c>
      <c r="H671" s="0" t="s">
        <v>3988</v>
      </c>
      <c r="I671" s="0" t="str">
        <f aca="false">A671&amp;"|"&amp;TRIM(D671)</f>
        <v>224|DETAL</v>
      </c>
    </row>
    <row r="672" customFormat="false" ht="15" hidden="false" customHeight="false" outlineLevel="0" collapsed="false">
      <c r="A672" s="0" t="n">
        <v>225</v>
      </c>
      <c r="B672" s="0" t="s">
        <v>2822</v>
      </c>
      <c r="C672" s="0" t="s">
        <v>90</v>
      </c>
      <c r="D672" s="0" t="s">
        <v>3446</v>
      </c>
      <c r="E672" s="0" t="n">
        <v>1.45</v>
      </c>
      <c r="F672" s="0" t="n">
        <v>4.35</v>
      </c>
      <c r="G672" s="0" t="n">
        <v>6.3075</v>
      </c>
      <c r="H672" s="0" t="s">
        <v>3989</v>
      </c>
      <c r="I672" s="0" t="str">
        <f aca="false">A672&amp;"|"&amp;TRIM(D672)</f>
        <v>225|+5 DOC</v>
      </c>
    </row>
    <row r="673" customFormat="false" ht="15" hidden="false" customHeight="false" outlineLevel="0" collapsed="false">
      <c r="A673" s="0" t="n">
        <v>225</v>
      </c>
      <c r="B673" s="0" t="s">
        <v>2822</v>
      </c>
      <c r="C673" s="0" t="s">
        <v>90</v>
      </c>
      <c r="D673" s="0" t="s">
        <v>9</v>
      </c>
      <c r="E673" s="0" t="n">
        <v>1.75</v>
      </c>
      <c r="F673" s="0" t="n">
        <v>4.35</v>
      </c>
      <c r="G673" s="0" t="n">
        <v>7.6125</v>
      </c>
      <c r="H673" s="0" t="s">
        <v>3990</v>
      </c>
      <c r="I673" s="0" t="str">
        <f aca="false">A673&amp;"|"&amp;TRIM(D673)</f>
        <v>225|1 A 5 DOC</v>
      </c>
    </row>
    <row r="674" customFormat="false" ht="15" hidden="false" customHeight="false" outlineLevel="0" collapsed="false">
      <c r="A674" s="0" t="n">
        <v>225</v>
      </c>
      <c r="B674" s="0" t="s">
        <v>2822</v>
      </c>
      <c r="C674" s="0" t="s">
        <v>90</v>
      </c>
      <c r="D674" s="0" t="s">
        <v>3449</v>
      </c>
      <c r="E674" s="0" t="n">
        <v>1.99</v>
      </c>
      <c r="F674" s="0" t="n">
        <v>4.35</v>
      </c>
      <c r="G674" s="0" t="n">
        <v>8.6565</v>
      </c>
      <c r="H674" s="0" t="s">
        <v>3991</v>
      </c>
      <c r="I674" s="0" t="str">
        <f aca="false">A674&amp;"|"&amp;TRIM(D674)</f>
        <v>225|DETAL</v>
      </c>
    </row>
    <row r="675" customFormat="false" ht="15" hidden="false" customHeight="false" outlineLevel="0" collapsed="false">
      <c r="A675" s="0" t="n">
        <v>226</v>
      </c>
      <c r="B675" s="0" t="s">
        <v>2822</v>
      </c>
      <c r="C675" s="0" t="s">
        <v>349</v>
      </c>
      <c r="D675" s="0" t="s">
        <v>3446</v>
      </c>
      <c r="E675" s="0" t="n">
        <v>1.45</v>
      </c>
      <c r="F675" s="0" t="n">
        <v>5.055</v>
      </c>
      <c r="G675" s="0" t="n">
        <v>7.32975</v>
      </c>
      <c r="H675" s="0" t="s">
        <v>3992</v>
      </c>
      <c r="I675" s="0" t="str">
        <f aca="false">A675&amp;"|"&amp;TRIM(D675)</f>
        <v>226|+5 DOC</v>
      </c>
    </row>
    <row r="676" customFormat="false" ht="15" hidden="false" customHeight="false" outlineLevel="0" collapsed="false">
      <c r="A676" s="0" t="n">
        <v>226</v>
      </c>
      <c r="B676" s="0" t="s">
        <v>2822</v>
      </c>
      <c r="C676" s="0" t="s">
        <v>349</v>
      </c>
      <c r="D676" s="0" t="s">
        <v>9</v>
      </c>
      <c r="E676" s="0" t="n">
        <v>1.75</v>
      </c>
      <c r="F676" s="0" t="n">
        <v>5.055</v>
      </c>
      <c r="G676" s="0" t="n">
        <v>8.84625</v>
      </c>
      <c r="H676" s="0" t="s">
        <v>3993</v>
      </c>
      <c r="I676" s="0" t="str">
        <f aca="false">A676&amp;"|"&amp;TRIM(D676)</f>
        <v>226|1 A 5 DOC</v>
      </c>
    </row>
    <row r="677" customFormat="false" ht="15" hidden="false" customHeight="false" outlineLevel="0" collapsed="false">
      <c r="A677" s="0" t="n">
        <v>226</v>
      </c>
      <c r="B677" s="0" t="s">
        <v>2822</v>
      </c>
      <c r="C677" s="0" t="s">
        <v>349</v>
      </c>
      <c r="D677" s="0" t="s">
        <v>3449</v>
      </c>
      <c r="E677" s="0" t="n">
        <v>1.99</v>
      </c>
      <c r="F677" s="0" t="n">
        <v>5.055</v>
      </c>
      <c r="G677" s="0" t="n">
        <v>10.05945</v>
      </c>
      <c r="H677" s="0" t="s">
        <v>3994</v>
      </c>
      <c r="I677" s="0" t="str">
        <f aca="false">A677&amp;"|"&amp;TRIM(D677)</f>
        <v>226|DETAL</v>
      </c>
    </row>
    <row r="678" customFormat="false" ht="15" hidden="false" customHeight="false" outlineLevel="0" collapsed="false">
      <c r="A678" s="0" t="n">
        <v>227</v>
      </c>
      <c r="B678" s="0" t="s">
        <v>2822</v>
      </c>
      <c r="C678" s="0" t="s">
        <v>349</v>
      </c>
      <c r="D678" s="0" t="s">
        <v>3446</v>
      </c>
      <c r="E678" s="0" t="n">
        <v>1.45</v>
      </c>
      <c r="F678" s="0" t="n">
        <v>5.775</v>
      </c>
      <c r="G678" s="0" t="n">
        <v>8.37375</v>
      </c>
      <c r="H678" s="0" t="s">
        <v>3995</v>
      </c>
      <c r="I678" s="0" t="str">
        <f aca="false">A678&amp;"|"&amp;TRIM(D678)</f>
        <v>227|+5 DOC</v>
      </c>
    </row>
    <row r="679" customFormat="false" ht="15" hidden="false" customHeight="false" outlineLevel="0" collapsed="false">
      <c r="A679" s="0" t="n">
        <v>227</v>
      </c>
      <c r="B679" s="0" t="s">
        <v>2822</v>
      </c>
      <c r="C679" s="0" t="s">
        <v>349</v>
      </c>
      <c r="D679" s="0" t="s">
        <v>9</v>
      </c>
      <c r="E679" s="0" t="n">
        <v>1.75</v>
      </c>
      <c r="F679" s="0" t="n">
        <v>5.775</v>
      </c>
      <c r="G679" s="0" t="n">
        <v>10.10625</v>
      </c>
      <c r="H679" s="0" t="s">
        <v>3996</v>
      </c>
      <c r="I679" s="0" t="str">
        <f aca="false">A679&amp;"|"&amp;TRIM(D679)</f>
        <v>227|1 A 5 DOC</v>
      </c>
    </row>
    <row r="680" customFormat="false" ht="15" hidden="false" customHeight="false" outlineLevel="0" collapsed="false">
      <c r="A680" s="0" t="n">
        <v>227</v>
      </c>
      <c r="B680" s="0" t="s">
        <v>2822</v>
      </c>
      <c r="C680" s="0" t="s">
        <v>349</v>
      </c>
      <c r="D680" s="0" t="s">
        <v>3449</v>
      </c>
      <c r="E680" s="0" t="n">
        <v>1.99</v>
      </c>
      <c r="F680" s="0" t="n">
        <v>5.775</v>
      </c>
      <c r="G680" s="0" t="n">
        <v>11.49225</v>
      </c>
      <c r="H680" s="0" t="s">
        <v>3997</v>
      </c>
      <c r="I680" s="0" t="str">
        <f aca="false">A680&amp;"|"&amp;TRIM(D680)</f>
        <v>227|DETAL</v>
      </c>
    </row>
    <row r="681" customFormat="false" ht="15" hidden="false" customHeight="false" outlineLevel="0" collapsed="false">
      <c r="A681" s="0" t="n">
        <v>228</v>
      </c>
      <c r="B681" s="0" t="s">
        <v>3346</v>
      </c>
      <c r="C681" s="0" t="s">
        <v>3347</v>
      </c>
      <c r="D681" s="0" t="s">
        <v>3446</v>
      </c>
      <c r="E681" s="0" t="n">
        <v>1.45</v>
      </c>
      <c r="F681" s="0" t="n">
        <v>4.14162162162162</v>
      </c>
      <c r="G681" s="0" t="n">
        <v>6.00535135135135</v>
      </c>
      <c r="H681" s="0" t="s">
        <v>3664</v>
      </c>
      <c r="I681" s="0" t="str">
        <f aca="false">A681&amp;"|"&amp;TRIM(D681)</f>
        <v>228|+5 DOC</v>
      </c>
    </row>
    <row r="682" customFormat="false" ht="15" hidden="false" customHeight="false" outlineLevel="0" collapsed="false">
      <c r="A682" s="0" t="n">
        <v>228</v>
      </c>
      <c r="B682" s="0" t="s">
        <v>3346</v>
      </c>
      <c r="C682" s="0" t="s">
        <v>3347</v>
      </c>
      <c r="D682" s="0" t="s">
        <v>3721</v>
      </c>
      <c r="E682" s="0" t="n">
        <v>1.7</v>
      </c>
      <c r="F682" s="0" t="n">
        <v>4.14162162162162</v>
      </c>
      <c r="G682" s="0" t="n">
        <v>7.04075675675676</v>
      </c>
      <c r="H682" s="0" t="s">
        <v>3665</v>
      </c>
      <c r="I682" s="0" t="str">
        <f aca="false">A682&amp;"|"&amp;TRIM(D682)</f>
        <v>228|?</v>
      </c>
    </row>
    <row r="683" customFormat="false" ht="15" hidden="false" customHeight="false" outlineLevel="0" collapsed="false">
      <c r="A683" s="0" t="n">
        <v>228</v>
      </c>
      <c r="B683" s="0" t="s">
        <v>3346</v>
      </c>
      <c r="C683" s="0" t="s">
        <v>3347</v>
      </c>
      <c r="D683" s="0" t="s">
        <v>3449</v>
      </c>
      <c r="E683" s="0" t="n">
        <v>1.9</v>
      </c>
      <c r="F683" s="0" t="n">
        <v>4.14162162162162</v>
      </c>
      <c r="G683" s="0" t="n">
        <v>7.86908108108108</v>
      </c>
      <c r="H683" s="0" t="s">
        <v>3666</v>
      </c>
      <c r="I683" s="0" t="str">
        <f aca="false">A683&amp;"|"&amp;TRIM(D683)</f>
        <v>228|DETAL</v>
      </c>
    </row>
    <row r="684" customFormat="false" ht="15" hidden="false" customHeight="false" outlineLevel="0" collapsed="false">
      <c r="A684" s="0" t="n">
        <v>229</v>
      </c>
      <c r="B684" s="0" t="s">
        <v>3346</v>
      </c>
      <c r="C684" s="0" t="s">
        <v>3347</v>
      </c>
      <c r="D684" s="0" t="s">
        <v>3446</v>
      </c>
      <c r="E684" s="0" t="n">
        <v>1.45</v>
      </c>
      <c r="F684" s="0" t="n">
        <v>2.45384615384615</v>
      </c>
      <c r="G684" s="0" t="n">
        <v>3.55807692307692</v>
      </c>
      <c r="H684" s="0" t="s">
        <v>3998</v>
      </c>
      <c r="I684" s="0" t="str">
        <f aca="false">A684&amp;"|"&amp;TRIM(D684)</f>
        <v>229|+5 DOC</v>
      </c>
    </row>
    <row r="685" customFormat="false" ht="15" hidden="false" customHeight="false" outlineLevel="0" collapsed="false">
      <c r="A685" s="0" t="n">
        <v>229</v>
      </c>
      <c r="B685" s="0" t="s">
        <v>3346</v>
      </c>
      <c r="C685" s="0" t="s">
        <v>3347</v>
      </c>
      <c r="D685" s="0" t="s">
        <v>3721</v>
      </c>
      <c r="E685" s="0" t="n">
        <v>1.75</v>
      </c>
      <c r="F685" s="0" t="n">
        <v>2.45384615384615</v>
      </c>
      <c r="G685" s="0" t="n">
        <v>4.29423076923077</v>
      </c>
      <c r="H685" s="0" t="s">
        <v>3999</v>
      </c>
      <c r="I685" s="0" t="str">
        <f aca="false">A685&amp;"|"&amp;TRIM(D685)</f>
        <v>229|?</v>
      </c>
    </row>
    <row r="686" customFormat="false" ht="15" hidden="false" customHeight="false" outlineLevel="0" collapsed="false">
      <c r="A686" s="0" t="n">
        <v>229</v>
      </c>
      <c r="B686" s="0" t="s">
        <v>3346</v>
      </c>
      <c r="C686" s="0" t="s">
        <v>3347</v>
      </c>
      <c r="D686" s="0" t="s">
        <v>3449</v>
      </c>
      <c r="E686" s="0" t="n">
        <v>1.99</v>
      </c>
      <c r="F686" s="0" t="n">
        <v>2.45384615384615</v>
      </c>
      <c r="G686" s="0" t="n">
        <v>4.88315384615385</v>
      </c>
      <c r="H686" s="0" t="s">
        <v>4000</v>
      </c>
      <c r="I686" s="0" t="str">
        <f aca="false">A686&amp;"|"&amp;TRIM(D686)</f>
        <v>229|DETAL</v>
      </c>
    </row>
    <row r="687" customFormat="false" ht="15" hidden="false" customHeight="false" outlineLevel="0" collapsed="false">
      <c r="A687" s="0" t="n">
        <v>230</v>
      </c>
      <c r="B687" s="0" t="s">
        <v>3372</v>
      </c>
      <c r="C687" s="0" t="s">
        <v>3373</v>
      </c>
      <c r="D687" s="0" t="s">
        <v>3446</v>
      </c>
      <c r="E687" s="0" t="n">
        <v>1.65</v>
      </c>
      <c r="F687" s="0" t="n">
        <v>3.875</v>
      </c>
      <c r="G687" s="0" t="n">
        <v>6.39375</v>
      </c>
      <c r="H687" s="0" t="s">
        <v>3664</v>
      </c>
      <c r="I687" s="0" t="str">
        <f aca="false">A687&amp;"|"&amp;TRIM(D687)</f>
        <v>230|+5 DOC</v>
      </c>
    </row>
    <row r="688" customFormat="false" ht="15" hidden="false" customHeight="false" outlineLevel="0" collapsed="false">
      <c r="A688" s="0" t="n">
        <v>230</v>
      </c>
      <c r="B688" s="0" t="s">
        <v>3372</v>
      </c>
      <c r="C688" s="0" t="s">
        <v>3373</v>
      </c>
      <c r="D688" s="0" t="s">
        <v>3449</v>
      </c>
      <c r="E688" s="0" t="n">
        <v>1.99</v>
      </c>
      <c r="F688" s="0" t="n">
        <v>3.875</v>
      </c>
      <c r="G688" s="0" t="n">
        <v>7.71125</v>
      </c>
      <c r="H688" s="0" t="s">
        <v>3666</v>
      </c>
      <c r="I688" s="0" t="str">
        <f aca="false">A688&amp;"|"&amp;TRIM(D688)</f>
        <v>230|DETAL</v>
      </c>
    </row>
    <row r="689" customFormat="false" ht="15" hidden="false" customHeight="false" outlineLevel="0" collapsed="false">
      <c r="A689" s="0" t="n">
        <v>231</v>
      </c>
      <c r="B689" s="0" t="s">
        <v>3384</v>
      </c>
      <c r="C689" s="0" t="s">
        <v>296</v>
      </c>
      <c r="D689" s="0" t="s">
        <v>3446</v>
      </c>
      <c r="E689" s="0" t="n">
        <v>1.45</v>
      </c>
      <c r="F689" s="0" t="n">
        <v>2.72888888888889</v>
      </c>
      <c r="G689" s="0" t="n">
        <v>3.95688888888889</v>
      </c>
      <c r="H689" s="0" t="s">
        <v>3612</v>
      </c>
      <c r="I689" s="0" t="str">
        <f aca="false">A689&amp;"|"&amp;TRIM(D689)</f>
        <v>231|+5 DOC</v>
      </c>
    </row>
    <row r="690" customFormat="false" ht="15" hidden="false" customHeight="false" outlineLevel="0" collapsed="false">
      <c r="A690" s="0" t="n">
        <v>231</v>
      </c>
      <c r="B690" s="0" t="s">
        <v>3384</v>
      </c>
      <c r="C690" s="0" t="s">
        <v>296</v>
      </c>
      <c r="D690" s="0" t="s">
        <v>9</v>
      </c>
      <c r="E690" s="0" t="n">
        <v>1.75</v>
      </c>
      <c r="F690" s="0" t="n">
        <v>2.72888888888889</v>
      </c>
      <c r="G690" s="0" t="n">
        <v>4.77555555555556</v>
      </c>
      <c r="H690" s="0" t="s">
        <v>3613</v>
      </c>
      <c r="I690" s="0" t="str">
        <f aca="false">A690&amp;"|"&amp;TRIM(D690)</f>
        <v>231|1 A 5 DOC</v>
      </c>
    </row>
    <row r="691" customFormat="false" ht="15" hidden="false" customHeight="false" outlineLevel="0" collapsed="false">
      <c r="A691" s="0" t="n">
        <v>231</v>
      </c>
      <c r="B691" s="0" t="s">
        <v>3384</v>
      </c>
      <c r="C691" s="0" t="s">
        <v>296</v>
      </c>
      <c r="D691" s="0" t="s">
        <v>3449</v>
      </c>
      <c r="E691" s="0" t="n">
        <v>1.99</v>
      </c>
      <c r="F691" s="0" t="n">
        <v>2.72888888888889</v>
      </c>
      <c r="G691" s="0" t="n">
        <v>5.43048888888889</v>
      </c>
      <c r="H691" s="0" t="s">
        <v>3614</v>
      </c>
      <c r="I691" s="0" t="str">
        <f aca="false">A691&amp;"|"&amp;TRIM(D691)</f>
        <v>231|DETAL</v>
      </c>
    </row>
    <row r="692" customFormat="false" ht="15" hidden="false" customHeight="false" outlineLevel="0" collapsed="false">
      <c r="A692" s="0" t="n">
        <v>232</v>
      </c>
      <c r="B692" s="0" t="s">
        <v>3384</v>
      </c>
      <c r="C692" s="0" t="s">
        <v>296</v>
      </c>
      <c r="D692" s="0" t="s">
        <v>3446</v>
      </c>
      <c r="E692" s="0" t="n">
        <v>1.45</v>
      </c>
      <c r="F692" s="0" t="n">
        <v>3.28888888888889</v>
      </c>
      <c r="G692" s="0" t="n">
        <v>4.76888888888889</v>
      </c>
      <c r="H692" s="0" t="s">
        <v>4001</v>
      </c>
      <c r="I692" s="0" t="str">
        <f aca="false">A692&amp;"|"&amp;TRIM(D692)</f>
        <v>232|+5 DOC</v>
      </c>
    </row>
    <row r="693" customFormat="false" ht="15" hidden="false" customHeight="false" outlineLevel="0" collapsed="false">
      <c r="A693" s="0" t="n">
        <v>232</v>
      </c>
      <c r="B693" s="0" t="s">
        <v>3384</v>
      </c>
      <c r="C693" s="0" t="s">
        <v>296</v>
      </c>
      <c r="D693" s="0" t="s">
        <v>9</v>
      </c>
      <c r="E693" s="0" t="n">
        <v>1.75</v>
      </c>
      <c r="F693" s="0" t="n">
        <v>3.28888888888889</v>
      </c>
      <c r="G693" s="0" t="n">
        <v>5.75555555555556</v>
      </c>
      <c r="H693" s="0" t="s">
        <v>4002</v>
      </c>
      <c r="I693" s="0" t="str">
        <f aca="false">A693&amp;"|"&amp;TRIM(D693)</f>
        <v>232|1 A 5 DOC</v>
      </c>
    </row>
    <row r="694" customFormat="false" ht="15" hidden="false" customHeight="false" outlineLevel="0" collapsed="false">
      <c r="A694" s="0" t="n">
        <v>232</v>
      </c>
      <c r="B694" s="0" t="s">
        <v>3384</v>
      </c>
      <c r="C694" s="0" t="s">
        <v>296</v>
      </c>
      <c r="D694" s="0" t="s">
        <v>3449</v>
      </c>
      <c r="E694" s="0" t="n">
        <v>1.99</v>
      </c>
      <c r="F694" s="0" t="n">
        <v>3.28888888888889</v>
      </c>
      <c r="G694" s="0" t="n">
        <v>6.54488888888889</v>
      </c>
      <c r="H694" s="0" t="s">
        <v>4003</v>
      </c>
      <c r="I694" s="0" t="str">
        <f aca="false">A694&amp;"|"&amp;TRIM(D694)</f>
        <v>232|DETAL</v>
      </c>
    </row>
    <row r="695" customFormat="false" ht="15" hidden="false" customHeight="false" outlineLevel="0" collapsed="false">
      <c r="A695" s="0" t="n">
        <v>233</v>
      </c>
      <c r="B695" s="0" t="s">
        <v>3384</v>
      </c>
      <c r="C695" s="0" t="s">
        <v>311</v>
      </c>
      <c r="D695" s="0" t="s">
        <v>3446</v>
      </c>
      <c r="E695" s="0" t="n">
        <v>1.45</v>
      </c>
      <c r="F695" s="0" t="n">
        <v>2.33888888888889</v>
      </c>
      <c r="G695" s="0" t="n">
        <v>3.39138888888889</v>
      </c>
      <c r="H695" s="0" t="s">
        <v>3461</v>
      </c>
      <c r="I695" s="0" t="str">
        <f aca="false">A695&amp;"|"&amp;TRIM(D695)</f>
        <v>233|+5 DOC</v>
      </c>
    </row>
    <row r="696" customFormat="false" ht="15" hidden="false" customHeight="false" outlineLevel="0" collapsed="false">
      <c r="A696" s="0" t="n">
        <v>233</v>
      </c>
      <c r="B696" s="0" t="s">
        <v>3384</v>
      </c>
      <c r="C696" s="0" t="s">
        <v>311</v>
      </c>
      <c r="D696" s="0" t="s">
        <v>9</v>
      </c>
      <c r="E696" s="0" t="n">
        <v>1.75</v>
      </c>
      <c r="F696" s="0" t="n">
        <v>2.33888888888889</v>
      </c>
      <c r="G696" s="0" t="n">
        <v>4.09305555555556</v>
      </c>
      <c r="H696" s="0" t="s">
        <v>3462</v>
      </c>
      <c r="I696" s="0" t="str">
        <f aca="false">A696&amp;"|"&amp;TRIM(D696)</f>
        <v>233|1 A 5 DOC</v>
      </c>
    </row>
    <row r="697" customFormat="false" ht="15" hidden="false" customHeight="false" outlineLevel="0" collapsed="false">
      <c r="A697" s="0" t="n">
        <v>233</v>
      </c>
      <c r="B697" s="0" t="s">
        <v>3384</v>
      </c>
      <c r="C697" s="0" t="s">
        <v>311</v>
      </c>
      <c r="D697" s="0" t="s">
        <v>3449</v>
      </c>
      <c r="E697" s="0" t="n">
        <v>1.99</v>
      </c>
      <c r="F697" s="0" t="n">
        <v>2.33888888888889</v>
      </c>
      <c r="G697" s="0" t="n">
        <v>4.65438888888889</v>
      </c>
      <c r="H697" s="0" t="s">
        <v>3627</v>
      </c>
      <c r="I697" s="0" t="str">
        <f aca="false">A697&amp;"|"&amp;TRIM(D697)</f>
        <v>233|DETAL</v>
      </c>
    </row>
    <row r="698" customFormat="false" ht="15" hidden="false" customHeight="false" outlineLevel="0" collapsed="false">
      <c r="A698" s="0" t="n">
        <v>234</v>
      </c>
      <c r="B698" s="0" t="s">
        <v>3384</v>
      </c>
      <c r="C698" s="0" t="s">
        <v>311</v>
      </c>
      <c r="D698" s="0" t="s">
        <v>3446</v>
      </c>
      <c r="E698" s="0" t="n">
        <v>1.45</v>
      </c>
      <c r="F698" s="0" t="n">
        <v>2.63888888888889</v>
      </c>
      <c r="G698" s="0" t="n">
        <v>3.82638888888889</v>
      </c>
      <c r="H698" s="0" t="s">
        <v>4004</v>
      </c>
      <c r="I698" s="0" t="str">
        <f aca="false">A698&amp;"|"&amp;TRIM(D698)</f>
        <v>234|+5 DOC</v>
      </c>
    </row>
    <row r="699" customFormat="false" ht="15" hidden="false" customHeight="false" outlineLevel="0" collapsed="false">
      <c r="A699" s="0" t="n">
        <v>234</v>
      </c>
      <c r="B699" s="0" t="s">
        <v>3384</v>
      </c>
      <c r="C699" s="0" t="s">
        <v>311</v>
      </c>
      <c r="D699" s="0" t="s">
        <v>9</v>
      </c>
      <c r="E699" s="0" t="n">
        <v>1.75</v>
      </c>
      <c r="F699" s="0" t="n">
        <v>2.63888888888889</v>
      </c>
      <c r="G699" s="0" t="n">
        <v>4.61805555555556</v>
      </c>
      <c r="H699" s="0" t="s">
        <v>4005</v>
      </c>
      <c r="I699" s="0" t="str">
        <f aca="false">A699&amp;"|"&amp;TRIM(D699)</f>
        <v>234|1 A 5 DOC</v>
      </c>
    </row>
    <row r="700" customFormat="false" ht="15" hidden="false" customHeight="false" outlineLevel="0" collapsed="false">
      <c r="A700" s="0" t="n">
        <v>234</v>
      </c>
      <c r="B700" s="0" t="s">
        <v>3384</v>
      </c>
      <c r="C700" s="0" t="s">
        <v>311</v>
      </c>
      <c r="D700" s="0" t="s">
        <v>3449</v>
      </c>
      <c r="E700" s="0" t="n">
        <v>1.99</v>
      </c>
      <c r="F700" s="0" t="n">
        <v>2.63888888888889</v>
      </c>
      <c r="G700" s="0" t="n">
        <v>5.25138888888889</v>
      </c>
      <c r="H700" s="0" t="s">
        <v>4006</v>
      </c>
      <c r="I700" s="0" t="str">
        <f aca="false">A700&amp;"|"&amp;TRIM(D700)</f>
        <v>234|DETAL</v>
      </c>
    </row>
    <row r="701" customFormat="false" ht="15" hidden="false" customHeight="false" outlineLevel="0" collapsed="false">
      <c r="A701" s="0" t="n">
        <v>235</v>
      </c>
      <c r="B701" s="0" t="s">
        <v>3384</v>
      </c>
      <c r="C701" s="0" t="s">
        <v>349</v>
      </c>
      <c r="D701" s="0" t="s">
        <v>3446</v>
      </c>
      <c r="E701" s="0" t="n">
        <v>1.45</v>
      </c>
      <c r="F701" s="0" t="n">
        <v>2.84888888888889</v>
      </c>
      <c r="G701" s="0" t="n">
        <v>4.13088888888889</v>
      </c>
      <c r="H701" s="0" t="s">
        <v>4007</v>
      </c>
      <c r="I701" s="0" t="str">
        <f aca="false">A701&amp;"|"&amp;TRIM(D701)</f>
        <v>235|+5 DOC</v>
      </c>
    </row>
    <row r="702" customFormat="false" ht="15" hidden="false" customHeight="false" outlineLevel="0" collapsed="false">
      <c r="A702" s="0" t="n">
        <v>235</v>
      </c>
      <c r="B702" s="0" t="s">
        <v>3384</v>
      </c>
      <c r="C702" s="0" t="s">
        <v>349</v>
      </c>
      <c r="D702" s="0" t="s">
        <v>9</v>
      </c>
      <c r="E702" s="0" t="n">
        <v>1.75</v>
      </c>
      <c r="F702" s="0" t="n">
        <v>2.84888888888889</v>
      </c>
      <c r="G702" s="0" t="n">
        <v>4.98555555555556</v>
      </c>
      <c r="H702" s="0" t="s">
        <v>4008</v>
      </c>
      <c r="I702" s="0" t="str">
        <f aca="false">A702&amp;"|"&amp;TRIM(D702)</f>
        <v>235|1 A 5 DOC</v>
      </c>
    </row>
    <row r="703" customFormat="false" ht="15" hidden="false" customHeight="false" outlineLevel="0" collapsed="false">
      <c r="A703" s="0" t="n">
        <v>235</v>
      </c>
      <c r="B703" s="0" t="s">
        <v>3384</v>
      </c>
      <c r="C703" s="0" t="s">
        <v>349</v>
      </c>
      <c r="D703" s="0" t="s">
        <v>3449</v>
      </c>
      <c r="E703" s="0" t="n">
        <v>1.99</v>
      </c>
      <c r="F703" s="0" t="n">
        <v>2.84888888888889</v>
      </c>
      <c r="G703" s="0" t="n">
        <v>5.66928888888889</v>
      </c>
      <c r="H703" s="0" t="s">
        <v>4009</v>
      </c>
      <c r="I703" s="0" t="str">
        <f aca="false">A703&amp;"|"&amp;TRIM(D703)</f>
        <v>235|DETAL</v>
      </c>
    </row>
    <row r="704" customFormat="false" ht="15" hidden="false" customHeight="false" outlineLevel="0" collapsed="false">
      <c r="A704" s="0" t="n">
        <v>236</v>
      </c>
      <c r="B704" s="0" t="s">
        <v>3384</v>
      </c>
      <c r="C704" s="0" t="s">
        <v>349</v>
      </c>
      <c r="D704" s="0" t="s">
        <v>3446</v>
      </c>
      <c r="E704" s="0" t="n">
        <v>1.45</v>
      </c>
      <c r="F704" s="0" t="n">
        <v>3.48888888888889</v>
      </c>
      <c r="G704" s="0" t="n">
        <v>5.05888888888889</v>
      </c>
      <c r="H704" s="0" t="s">
        <v>4010</v>
      </c>
      <c r="I704" s="0" t="str">
        <f aca="false">A704&amp;"|"&amp;TRIM(D704)</f>
        <v>236|+5 DOC</v>
      </c>
    </row>
    <row r="705" customFormat="false" ht="15" hidden="false" customHeight="false" outlineLevel="0" collapsed="false">
      <c r="A705" s="0" t="n">
        <v>236</v>
      </c>
      <c r="B705" s="0" t="s">
        <v>3384</v>
      </c>
      <c r="C705" s="0" t="s">
        <v>349</v>
      </c>
      <c r="D705" s="0" t="s">
        <v>9</v>
      </c>
      <c r="E705" s="0" t="n">
        <v>1.75</v>
      </c>
      <c r="F705" s="0" t="n">
        <v>3.48888888888889</v>
      </c>
      <c r="G705" s="0" t="n">
        <v>6.10555555555556</v>
      </c>
      <c r="H705" s="0" t="s">
        <v>4011</v>
      </c>
      <c r="I705" s="0" t="str">
        <f aca="false">A705&amp;"|"&amp;TRIM(D705)</f>
        <v>236|1 A 5 DOC</v>
      </c>
    </row>
    <row r="706" customFormat="false" ht="15" hidden="false" customHeight="false" outlineLevel="0" collapsed="false">
      <c r="A706" s="0" t="n">
        <v>236</v>
      </c>
      <c r="B706" s="0" t="s">
        <v>3384</v>
      </c>
      <c r="C706" s="0" t="s">
        <v>349</v>
      </c>
      <c r="D706" s="0" t="s">
        <v>3449</v>
      </c>
      <c r="E706" s="0" t="n">
        <v>1.99</v>
      </c>
      <c r="F706" s="0" t="n">
        <v>3.48888888888889</v>
      </c>
      <c r="G706" s="0" t="n">
        <v>6.94288888888889</v>
      </c>
      <c r="H706" s="0" t="s">
        <v>4012</v>
      </c>
      <c r="I706" s="0" t="str">
        <f aca="false">A706&amp;"|"&amp;TRIM(D706)</f>
        <v>236|DETAL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4013</v>
      </c>
      <c r="B1" s="0" t="s">
        <v>47</v>
      </c>
      <c r="C1" s="0" t="s">
        <v>4014</v>
      </c>
      <c r="D1" s="0" t="s">
        <v>48</v>
      </c>
      <c r="E1" s="0" t="s">
        <v>49</v>
      </c>
    </row>
    <row r="2" customFormat="false" ht="15" hidden="false" customHeight="false" outlineLevel="0" collapsed="false">
      <c r="A2" s="0" t="s">
        <v>53</v>
      </c>
      <c r="B2" s="0" t="n">
        <v>7360</v>
      </c>
      <c r="C2" s="0" t="n">
        <v>4000</v>
      </c>
      <c r="D2" s="0" t="n">
        <v>1.84</v>
      </c>
      <c r="E2" s="0" t="s">
        <v>54</v>
      </c>
    </row>
    <row r="3" customFormat="false" ht="15" hidden="false" customHeight="false" outlineLevel="0" collapsed="false">
      <c r="A3" s="0" t="s">
        <v>53</v>
      </c>
      <c r="B3" s="0" t="n">
        <v>6400</v>
      </c>
      <c r="C3" s="0" t="n">
        <v>4000</v>
      </c>
      <c r="D3" s="0" t="n">
        <v>1.6</v>
      </c>
      <c r="E3" s="0" t="s">
        <v>71</v>
      </c>
    </row>
    <row r="4" customFormat="false" ht="15" hidden="false" customHeight="false" outlineLevel="0" collapsed="false">
      <c r="A4" s="0" t="s">
        <v>53</v>
      </c>
      <c r="B4" s="0" t="n">
        <v>1560</v>
      </c>
      <c r="C4" s="0" t="n">
        <v>4000</v>
      </c>
      <c r="D4" s="0" t="n">
        <v>0.39</v>
      </c>
      <c r="E4" s="0" t="s">
        <v>81</v>
      </c>
    </row>
    <row r="5" customFormat="false" ht="15" hidden="false" customHeight="false" outlineLevel="0" collapsed="false">
      <c r="A5" s="0" t="s">
        <v>53</v>
      </c>
      <c r="B5" s="0" t="n">
        <v>4800</v>
      </c>
      <c r="C5" s="0" t="n">
        <v>4000</v>
      </c>
      <c r="D5" s="0" t="n">
        <v>1.2</v>
      </c>
      <c r="E5" s="0" t="s">
        <v>91</v>
      </c>
    </row>
    <row r="6" customFormat="false" ht="15" hidden="false" customHeight="false" outlineLevel="0" collapsed="false">
      <c r="A6" s="0" t="s">
        <v>53</v>
      </c>
      <c r="B6" s="0" t="n">
        <v>5400</v>
      </c>
      <c r="C6" s="0" t="n">
        <v>4000</v>
      </c>
      <c r="D6" s="0" t="n">
        <v>1.35</v>
      </c>
      <c r="E6" s="0" t="s">
        <v>102</v>
      </c>
    </row>
    <row r="7" customFormat="false" ht="15" hidden="false" customHeight="false" outlineLevel="0" collapsed="false">
      <c r="A7" s="0" t="s">
        <v>53</v>
      </c>
      <c r="B7" s="0" t="n">
        <v>9200</v>
      </c>
      <c r="C7" s="0" t="n">
        <v>4000</v>
      </c>
      <c r="D7" s="0" t="n">
        <v>2.3</v>
      </c>
      <c r="E7" s="0" t="s">
        <v>114</v>
      </c>
    </row>
    <row r="8" customFormat="false" ht="15" hidden="false" customHeight="false" outlineLevel="0" collapsed="false">
      <c r="A8" s="0" t="s">
        <v>53</v>
      </c>
      <c r="B8" s="0" t="n">
        <v>5760</v>
      </c>
      <c r="C8" s="0" t="n">
        <v>4000</v>
      </c>
      <c r="D8" s="0" t="n">
        <v>1.44</v>
      </c>
      <c r="E8" s="0" t="s">
        <v>142</v>
      </c>
    </row>
    <row r="9" customFormat="false" ht="15" hidden="false" customHeight="false" outlineLevel="0" collapsed="false">
      <c r="A9" s="0" t="s">
        <v>53</v>
      </c>
      <c r="B9" s="0" t="n">
        <v>7360</v>
      </c>
      <c r="C9" s="0" t="n">
        <v>4000</v>
      </c>
      <c r="D9" s="0" t="n">
        <v>1.84</v>
      </c>
      <c r="E9" s="0" t="s">
        <v>155</v>
      </c>
    </row>
    <row r="10" customFormat="false" ht="15" hidden="false" customHeight="false" outlineLevel="0" collapsed="false">
      <c r="A10" s="0" t="s">
        <v>53</v>
      </c>
      <c r="B10" s="0" t="n">
        <v>4800</v>
      </c>
      <c r="C10" s="0" t="n">
        <v>4000</v>
      </c>
      <c r="D10" s="0" t="n">
        <v>1.2</v>
      </c>
      <c r="E10" s="0" t="s">
        <v>170</v>
      </c>
    </row>
    <row r="11" customFormat="false" ht="15" hidden="false" customHeight="false" outlineLevel="0" collapsed="false">
      <c r="A11" s="0" t="s">
        <v>53</v>
      </c>
      <c r="B11" s="0" t="n">
        <v>3960</v>
      </c>
      <c r="C11" s="0" t="n">
        <v>4000</v>
      </c>
      <c r="D11" s="0" t="n">
        <v>0.99</v>
      </c>
      <c r="E11" s="0" t="s">
        <v>185</v>
      </c>
    </row>
    <row r="12" customFormat="false" ht="15" hidden="false" customHeight="false" outlineLevel="0" collapsed="false">
      <c r="A12" s="0" t="s">
        <v>53</v>
      </c>
      <c r="B12" s="0" t="n">
        <v>6400</v>
      </c>
      <c r="C12" s="0" t="n">
        <v>4000</v>
      </c>
      <c r="D12" s="0" t="n">
        <v>1.6</v>
      </c>
      <c r="E12" s="0" t="s">
        <v>199</v>
      </c>
    </row>
    <row r="13" customFormat="false" ht="15" hidden="false" customHeight="false" outlineLevel="0" collapsed="false">
      <c r="A13" s="0" t="s">
        <v>53</v>
      </c>
      <c r="B13" s="0" t="n">
        <v>4480</v>
      </c>
      <c r="C13" s="0" t="n">
        <v>4000</v>
      </c>
      <c r="D13" s="0" t="n">
        <v>1.12</v>
      </c>
      <c r="E13" s="0" t="s">
        <v>214</v>
      </c>
    </row>
    <row r="14" customFormat="false" ht="15" hidden="false" customHeight="false" outlineLevel="0" collapsed="false">
      <c r="A14" s="0" t="s">
        <v>53</v>
      </c>
      <c r="B14" s="0" t="n">
        <v>3200</v>
      </c>
      <c r="C14" s="0" t="n">
        <v>4000</v>
      </c>
      <c r="D14" s="0" t="n">
        <v>0.8</v>
      </c>
      <c r="E14" s="0" t="s">
        <v>229</v>
      </c>
    </row>
    <row r="15" customFormat="false" ht="15" hidden="false" customHeight="false" outlineLevel="0" collapsed="false">
      <c r="A15" s="0" t="s">
        <v>53</v>
      </c>
      <c r="B15" s="0" t="n">
        <v>4320</v>
      </c>
      <c r="C15" s="0" t="n">
        <v>4000</v>
      </c>
      <c r="D15" s="0" t="n">
        <v>1.08</v>
      </c>
      <c r="E15" s="0" t="s">
        <v>244</v>
      </c>
    </row>
    <row r="16" customFormat="false" ht="15" hidden="false" customHeight="false" outlineLevel="0" collapsed="false">
      <c r="A16" s="0" t="s">
        <v>53</v>
      </c>
      <c r="B16" s="0" t="n">
        <v>7420</v>
      </c>
      <c r="C16" s="0" t="n">
        <v>4000</v>
      </c>
      <c r="D16" s="0" t="n">
        <v>1.855</v>
      </c>
      <c r="E16" s="0" t="s">
        <v>258</v>
      </c>
    </row>
    <row r="17" customFormat="false" ht="15" hidden="false" customHeight="false" outlineLevel="0" collapsed="false">
      <c r="A17" s="0" t="s">
        <v>53</v>
      </c>
      <c r="B17" s="0" t="n">
        <v>4800</v>
      </c>
      <c r="C17" s="0" t="n">
        <v>4000</v>
      </c>
      <c r="D17" s="0" t="n">
        <v>1.2</v>
      </c>
      <c r="E17" s="0" t="s">
        <v>271</v>
      </c>
    </row>
    <row r="18" customFormat="false" ht="15" hidden="false" customHeight="false" outlineLevel="0" collapsed="false">
      <c r="A18" s="0" t="s">
        <v>53</v>
      </c>
      <c r="B18" s="0" t="n">
        <v>7600</v>
      </c>
      <c r="C18" s="0" t="n">
        <v>4000</v>
      </c>
      <c r="D18" s="0" t="n">
        <v>1.9</v>
      </c>
      <c r="E18" s="0" t="s">
        <v>284</v>
      </c>
    </row>
    <row r="19" customFormat="false" ht="15" hidden="false" customHeight="false" outlineLevel="0" collapsed="false">
      <c r="A19" s="0" t="s">
        <v>53</v>
      </c>
      <c r="B19" s="0" t="n">
        <v>5760</v>
      </c>
      <c r="C19" s="0" t="n">
        <v>4000</v>
      </c>
      <c r="D19" s="0" t="n">
        <v>1.44</v>
      </c>
      <c r="E19" s="0" t="s">
        <v>297</v>
      </c>
    </row>
    <row r="20" customFormat="false" ht="15" hidden="false" customHeight="false" outlineLevel="0" collapsed="false">
      <c r="A20" s="0" t="s">
        <v>53</v>
      </c>
      <c r="B20" s="0" t="n">
        <v>4320</v>
      </c>
      <c r="C20" s="0" t="n">
        <v>4000</v>
      </c>
      <c r="D20" s="0" t="n">
        <v>1.08</v>
      </c>
      <c r="E20" s="0" t="s">
        <v>312</v>
      </c>
    </row>
    <row r="21" customFormat="false" ht="15" hidden="false" customHeight="false" outlineLevel="0" collapsed="false">
      <c r="A21" s="0" t="s">
        <v>53</v>
      </c>
      <c r="B21" s="0" t="n">
        <v>8480</v>
      </c>
      <c r="C21" s="0" t="n">
        <v>4000</v>
      </c>
      <c r="D21" s="0" t="n">
        <v>2.12</v>
      </c>
      <c r="E21" s="0" t="s">
        <v>324</v>
      </c>
    </row>
    <row r="22" customFormat="false" ht="15" hidden="false" customHeight="false" outlineLevel="0" collapsed="false">
      <c r="A22" s="0" t="s">
        <v>53</v>
      </c>
      <c r="B22" s="0" t="n">
        <v>5760</v>
      </c>
      <c r="C22" s="0" t="n">
        <v>4000</v>
      </c>
      <c r="D22" s="0" t="n">
        <v>1.44</v>
      </c>
      <c r="E22" s="0" t="s">
        <v>336</v>
      </c>
    </row>
    <row r="23" customFormat="false" ht="15" hidden="false" customHeight="false" outlineLevel="0" collapsed="false">
      <c r="A23" s="0" t="s">
        <v>53</v>
      </c>
      <c r="B23" s="0" t="n">
        <v>4000</v>
      </c>
      <c r="C23" s="0" t="n">
        <v>4000</v>
      </c>
      <c r="D23" s="0" t="n">
        <v>1</v>
      </c>
      <c r="E23" s="0" t="s">
        <v>350</v>
      </c>
    </row>
    <row r="24" customFormat="false" ht="15" hidden="false" customHeight="false" outlineLevel="0" collapsed="false">
      <c r="A24" s="0" t="s">
        <v>53</v>
      </c>
      <c r="B24" s="0" t="n">
        <v>6800</v>
      </c>
      <c r="C24" s="0" t="n">
        <v>4000</v>
      </c>
      <c r="D24" s="0" t="n">
        <v>1.7</v>
      </c>
      <c r="E24" s="0" t="s">
        <v>363</v>
      </c>
    </row>
    <row r="25" customFormat="false" ht="15" hidden="false" customHeight="false" outlineLevel="0" collapsed="false">
      <c r="A25" s="0" t="s">
        <v>53</v>
      </c>
      <c r="B25" s="0" t="n">
        <v>5120</v>
      </c>
      <c r="C25" s="0" t="n">
        <v>4000</v>
      </c>
      <c r="D25" s="0" t="n">
        <v>1.28</v>
      </c>
      <c r="E25" s="0" t="s">
        <v>375</v>
      </c>
    </row>
    <row r="26" customFormat="false" ht="15" hidden="false" customHeight="false" outlineLevel="0" collapsed="false">
      <c r="A26" s="0" t="s">
        <v>53</v>
      </c>
      <c r="B26" s="0" t="n">
        <v>5040</v>
      </c>
      <c r="C26" s="0" t="n">
        <v>4000</v>
      </c>
      <c r="D26" s="0" t="n">
        <v>1.26</v>
      </c>
      <c r="E26" s="0" t="s">
        <v>388</v>
      </c>
    </row>
    <row r="27" customFormat="false" ht="15" hidden="false" customHeight="false" outlineLevel="0" collapsed="false">
      <c r="A27" s="0" t="s">
        <v>53</v>
      </c>
      <c r="B27" s="0" t="n">
        <v>8320</v>
      </c>
      <c r="C27" s="0" t="n">
        <v>4000</v>
      </c>
      <c r="D27" s="0" t="n">
        <v>2.08</v>
      </c>
      <c r="E27" s="0" t="s">
        <v>400</v>
      </c>
    </row>
    <row r="28" customFormat="false" ht="15" hidden="false" customHeight="false" outlineLevel="0" collapsed="false">
      <c r="A28" s="0" t="s">
        <v>53</v>
      </c>
      <c r="B28" s="0" t="n">
        <v>5520</v>
      </c>
      <c r="C28" s="0" t="n">
        <v>4000</v>
      </c>
      <c r="D28" s="0" t="n">
        <v>1.38</v>
      </c>
      <c r="E28" s="0" t="s">
        <v>412</v>
      </c>
    </row>
    <row r="29" customFormat="false" ht="15" hidden="false" customHeight="false" outlineLevel="0" collapsed="false">
      <c r="A29" s="0" t="s">
        <v>53</v>
      </c>
      <c r="B29" s="0" t="n">
        <v>11880</v>
      </c>
      <c r="C29" s="0" t="n">
        <v>4000</v>
      </c>
      <c r="D29" s="0" t="n">
        <v>2.97</v>
      </c>
      <c r="E29" s="0" t="s">
        <v>425</v>
      </c>
    </row>
    <row r="30" customFormat="false" ht="15" hidden="false" customHeight="false" outlineLevel="0" collapsed="false">
      <c r="A30" s="0" t="s">
        <v>53</v>
      </c>
      <c r="B30" s="0" t="n">
        <v>18000</v>
      </c>
      <c r="C30" s="0" t="n">
        <v>4000</v>
      </c>
      <c r="D30" s="0" t="n">
        <v>4.5</v>
      </c>
      <c r="E30" s="0" t="s">
        <v>438</v>
      </c>
    </row>
    <row r="31" customFormat="false" ht="15" hidden="false" customHeight="false" outlineLevel="0" collapsed="false">
      <c r="A31" s="0" t="s">
        <v>53</v>
      </c>
      <c r="B31" s="0" t="n">
        <v>5040</v>
      </c>
      <c r="C31" s="0" t="n">
        <v>4000</v>
      </c>
      <c r="D31" s="0" t="n">
        <v>1.26</v>
      </c>
      <c r="E31" s="0" t="s">
        <v>451</v>
      </c>
    </row>
    <row r="32" customFormat="false" ht="15" hidden="false" customHeight="false" outlineLevel="0" collapsed="false">
      <c r="A32" s="0" t="s">
        <v>53</v>
      </c>
      <c r="B32" s="0" t="n">
        <v>2600</v>
      </c>
      <c r="C32" s="0" t="n">
        <v>4000</v>
      </c>
      <c r="D32" s="0" t="n">
        <v>0.65</v>
      </c>
      <c r="E32" s="0" t="s">
        <v>463</v>
      </c>
    </row>
    <row r="33" customFormat="false" ht="15" hidden="false" customHeight="false" outlineLevel="0" collapsed="false">
      <c r="A33" s="0" t="s">
        <v>53</v>
      </c>
      <c r="B33" s="0" t="n">
        <v>8320</v>
      </c>
      <c r="C33" s="0" t="n">
        <v>4000</v>
      </c>
      <c r="D33" s="0" t="n">
        <v>2.08</v>
      </c>
      <c r="E33" s="0" t="s">
        <v>476</v>
      </c>
    </row>
    <row r="34" customFormat="false" ht="15" hidden="false" customHeight="false" outlineLevel="0" collapsed="false">
      <c r="A34" s="0" t="s">
        <v>53</v>
      </c>
      <c r="B34" s="0" t="n">
        <v>3424</v>
      </c>
      <c r="C34" s="0" t="n">
        <v>4000</v>
      </c>
      <c r="D34" s="0" t="n">
        <v>0.856</v>
      </c>
      <c r="E34" s="0" t="s">
        <v>488</v>
      </c>
    </row>
    <row r="35" customFormat="false" ht="15" hidden="false" customHeight="false" outlineLevel="0" collapsed="false">
      <c r="A35" s="0" t="s">
        <v>53</v>
      </c>
      <c r="B35" s="0" t="n">
        <v>6400</v>
      </c>
      <c r="C35" s="0" t="n">
        <v>4000</v>
      </c>
      <c r="D35" s="0" t="n">
        <v>1.6</v>
      </c>
      <c r="E35" s="0" t="s">
        <v>501</v>
      </c>
    </row>
    <row r="36" customFormat="false" ht="15" hidden="false" customHeight="false" outlineLevel="0" collapsed="false">
      <c r="A36" s="0" t="s">
        <v>53</v>
      </c>
      <c r="B36" s="0" t="n">
        <v>5760</v>
      </c>
      <c r="C36" s="0" t="n">
        <v>4000</v>
      </c>
      <c r="D36" s="0" t="n">
        <v>1.44</v>
      </c>
      <c r="E36" s="0" t="s">
        <v>514</v>
      </c>
    </row>
    <row r="37" customFormat="false" ht="15" hidden="false" customHeight="false" outlineLevel="0" collapsed="false">
      <c r="A37" s="0" t="s">
        <v>53</v>
      </c>
      <c r="B37" s="0" t="n">
        <v>6480</v>
      </c>
      <c r="C37" s="0" t="n">
        <v>4000</v>
      </c>
      <c r="D37" s="0" t="n">
        <v>1.62</v>
      </c>
      <c r="E37" s="0" t="s">
        <v>526</v>
      </c>
    </row>
    <row r="38" customFormat="false" ht="15" hidden="false" customHeight="false" outlineLevel="0" collapsed="false">
      <c r="A38" s="0" t="s">
        <v>53</v>
      </c>
      <c r="B38" s="0" t="n">
        <v>4320</v>
      </c>
      <c r="C38" s="0" t="n">
        <v>4000</v>
      </c>
      <c r="D38" s="0" t="n">
        <v>1.08</v>
      </c>
      <c r="E38" s="0" t="s">
        <v>541</v>
      </c>
    </row>
    <row r="39" customFormat="false" ht="15" hidden="false" customHeight="false" outlineLevel="0" collapsed="false">
      <c r="A39" s="0" t="s">
        <v>53</v>
      </c>
      <c r="B39" s="0" t="n">
        <v>10080</v>
      </c>
      <c r="C39" s="0" t="n">
        <v>4000</v>
      </c>
      <c r="D39" s="0" t="n">
        <v>2.52</v>
      </c>
      <c r="E39" s="0" t="s">
        <v>555</v>
      </c>
    </row>
    <row r="40" customFormat="false" ht="15" hidden="false" customHeight="false" outlineLevel="0" collapsed="false">
      <c r="A40" s="0" t="s">
        <v>53</v>
      </c>
      <c r="B40" s="0" t="n">
        <v>7200</v>
      </c>
      <c r="C40" s="0" t="n">
        <v>4000</v>
      </c>
      <c r="D40" s="0" t="n">
        <v>1.8</v>
      </c>
      <c r="E40" s="0" t="s">
        <v>575</v>
      </c>
    </row>
    <row r="41" customFormat="false" ht="15" hidden="false" customHeight="false" outlineLevel="0" collapsed="false">
      <c r="A41" s="0" t="s">
        <v>53</v>
      </c>
      <c r="B41" s="0" t="n">
        <v>8100</v>
      </c>
      <c r="C41" s="0" t="n">
        <v>4000</v>
      </c>
      <c r="D41" s="0" t="n">
        <v>2.025</v>
      </c>
      <c r="E41" s="0" t="s">
        <v>596</v>
      </c>
    </row>
    <row r="42" customFormat="false" ht="15" hidden="false" customHeight="false" outlineLevel="0" collapsed="false">
      <c r="A42" s="0" t="s">
        <v>53</v>
      </c>
      <c r="B42" s="0" t="n">
        <v>12600</v>
      </c>
      <c r="C42" s="0" t="n">
        <v>4000</v>
      </c>
      <c r="D42" s="0" t="n">
        <v>3.15</v>
      </c>
      <c r="E42" s="0" t="s">
        <v>610</v>
      </c>
    </row>
    <row r="43" customFormat="false" ht="15" hidden="false" customHeight="false" outlineLevel="0" collapsed="false">
      <c r="A43" s="0" t="s">
        <v>53</v>
      </c>
      <c r="B43" s="0" t="n">
        <v>12768</v>
      </c>
      <c r="C43" s="0" t="n">
        <v>3800</v>
      </c>
      <c r="D43" s="0" t="n">
        <v>3.36</v>
      </c>
      <c r="E43" s="0" t="s">
        <v>627</v>
      </c>
    </row>
    <row r="44" customFormat="false" ht="15" hidden="false" customHeight="false" outlineLevel="0" collapsed="false">
      <c r="A44" s="0" t="s">
        <v>53</v>
      </c>
      <c r="B44" s="0" t="n">
        <v>15960</v>
      </c>
      <c r="C44" s="0" t="n">
        <v>3800</v>
      </c>
      <c r="D44" s="0" t="n">
        <v>4.2</v>
      </c>
      <c r="E44" s="0" t="s">
        <v>637</v>
      </c>
    </row>
    <row r="45" customFormat="false" ht="15" hidden="false" customHeight="false" outlineLevel="0" collapsed="false">
      <c r="A45" s="0" t="s">
        <v>53</v>
      </c>
      <c r="B45" s="0" t="n">
        <v>8512</v>
      </c>
      <c r="C45" s="0" t="n">
        <v>3800</v>
      </c>
      <c r="D45" s="0" t="n">
        <v>2.24</v>
      </c>
      <c r="E45" s="0" t="s">
        <v>649</v>
      </c>
    </row>
    <row r="46" customFormat="false" ht="15" hidden="false" customHeight="false" outlineLevel="0" collapsed="false">
      <c r="A46" s="0" t="s">
        <v>53</v>
      </c>
      <c r="B46" s="0" t="n">
        <v>10640</v>
      </c>
      <c r="C46" s="0" t="n">
        <v>3800</v>
      </c>
      <c r="D46" s="0" t="n">
        <v>2.8</v>
      </c>
      <c r="E46" s="0" t="s">
        <v>661</v>
      </c>
    </row>
    <row r="47" customFormat="false" ht="15" hidden="false" customHeight="false" outlineLevel="0" collapsed="false">
      <c r="A47" s="0" t="s">
        <v>53</v>
      </c>
      <c r="B47" s="0" t="n">
        <v>11552</v>
      </c>
      <c r="C47" s="0" t="n">
        <v>3800</v>
      </c>
      <c r="D47" s="0" t="n">
        <v>3.04</v>
      </c>
      <c r="E47" s="0" t="s">
        <v>671</v>
      </c>
    </row>
    <row r="48" customFormat="false" ht="15" hidden="false" customHeight="false" outlineLevel="0" collapsed="false">
      <c r="A48" s="0" t="s">
        <v>53</v>
      </c>
      <c r="B48" s="0" t="n">
        <v>15200</v>
      </c>
      <c r="C48" s="0" t="n">
        <v>3800</v>
      </c>
      <c r="D48" s="0" t="n">
        <v>4</v>
      </c>
      <c r="E48" s="0" t="s">
        <v>683</v>
      </c>
    </row>
    <row r="49" customFormat="false" ht="15" hidden="false" customHeight="false" outlineLevel="0" collapsed="false">
      <c r="A49" s="0" t="s">
        <v>53</v>
      </c>
      <c r="B49" s="0" t="n">
        <v>13376</v>
      </c>
      <c r="C49" s="0" t="n">
        <v>3800</v>
      </c>
      <c r="D49" s="0" t="n">
        <v>3.52</v>
      </c>
      <c r="E49" s="0" t="s">
        <v>694</v>
      </c>
    </row>
    <row r="50" customFormat="false" ht="15" hidden="false" customHeight="false" outlineLevel="0" collapsed="false">
      <c r="A50" s="0" t="s">
        <v>53</v>
      </c>
      <c r="B50" s="0" t="n">
        <v>16720</v>
      </c>
      <c r="C50" s="0" t="n">
        <v>3800</v>
      </c>
      <c r="D50" s="0" t="n">
        <v>4.4</v>
      </c>
      <c r="E50" s="0" t="s">
        <v>704</v>
      </c>
    </row>
    <row r="51" customFormat="false" ht="15" hidden="false" customHeight="false" outlineLevel="0" collapsed="false">
      <c r="A51" s="0" t="s">
        <v>53</v>
      </c>
      <c r="B51" s="0" t="n">
        <v>11856</v>
      </c>
      <c r="C51" s="0" t="n">
        <v>3800</v>
      </c>
      <c r="D51" s="0" t="n">
        <v>3.12</v>
      </c>
      <c r="E51" s="0" t="s">
        <v>714</v>
      </c>
    </row>
    <row r="52" customFormat="false" ht="15" hidden="false" customHeight="false" outlineLevel="0" collapsed="false">
      <c r="A52" s="0" t="s">
        <v>53</v>
      </c>
      <c r="B52" s="0" t="n">
        <v>14820</v>
      </c>
      <c r="C52" s="0" t="n">
        <v>3800</v>
      </c>
      <c r="D52" s="0" t="n">
        <v>3.9</v>
      </c>
      <c r="E52" s="0" t="s">
        <v>724</v>
      </c>
    </row>
    <row r="53" customFormat="false" ht="15" hidden="false" customHeight="false" outlineLevel="0" collapsed="false">
      <c r="A53" s="0" t="s">
        <v>53</v>
      </c>
      <c r="B53" s="0" t="n">
        <v>15200</v>
      </c>
      <c r="C53" s="0" t="n">
        <v>3800</v>
      </c>
      <c r="D53" s="0" t="n">
        <v>4</v>
      </c>
      <c r="E53" s="0" t="s">
        <v>754</v>
      </c>
    </row>
    <row r="54" customFormat="false" ht="15" hidden="false" customHeight="false" outlineLevel="0" collapsed="false">
      <c r="A54" s="0" t="s">
        <v>53</v>
      </c>
      <c r="B54" s="0" t="n">
        <v>16142.4</v>
      </c>
      <c r="C54" s="0" t="n">
        <v>3800</v>
      </c>
      <c r="D54" s="0" t="n">
        <v>4.248</v>
      </c>
      <c r="E54" s="0" t="s">
        <v>771</v>
      </c>
    </row>
    <row r="55" customFormat="false" ht="15" hidden="false" customHeight="false" outlineLevel="0" collapsed="false">
      <c r="A55" s="0" t="s">
        <v>53</v>
      </c>
      <c r="B55" s="0" t="n">
        <v>7942</v>
      </c>
      <c r="C55" s="0" t="n">
        <v>3800</v>
      </c>
      <c r="D55" s="0" t="n">
        <v>2.09</v>
      </c>
      <c r="E55" s="0" t="s">
        <v>784</v>
      </c>
    </row>
    <row r="56" customFormat="false" ht="15" hidden="false" customHeight="false" outlineLevel="0" collapsed="false">
      <c r="A56" s="0" t="s">
        <v>53</v>
      </c>
      <c r="B56" s="0" t="n">
        <v>16142.4</v>
      </c>
      <c r="C56" s="0" t="n">
        <v>3800</v>
      </c>
      <c r="D56" s="0" t="n">
        <v>4.248</v>
      </c>
      <c r="E56" s="0" t="s">
        <v>799</v>
      </c>
    </row>
    <row r="57" customFormat="false" ht="15" hidden="false" customHeight="false" outlineLevel="0" collapsed="false">
      <c r="A57" s="0" t="s">
        <v>53</v>
      </c>
      <c r="B57" s="0" t="n">
        <v>40356</v>
      </c>
      <c r="C57" s="0" t="n">
        <v>3800</v>
      </c>
      <c r="D57" s="0" t="n">
        <v>10.62</v>
      </c>
      <c r="E57" s="0" t="s">
        <v>812</v>
      </c>
    </row>
    <row r="58" customFormat="false" ht="15" hidden="false" customHeight="false" outlineLevel="0" collapsed="false">
      <c r="A58" s="0" t="s">
        <v>53</v>
      </c>
      <c r="B58" s="0" t="n">
        <v>6480</v>
      </c>
      <c r="C58" s="0" t="n">
        <v>4000</v>
      </c>
      <c r="D58" s="0" t="n">
        <v>1.62</v>
      </c>
      <c r="E58" s="0" t="s">
        <v>1083</v>
      </c>
    </row>
    <row r="59" customFormat="false" ht="15" hidden="false" customHeight="false" outlineLevel="0" collapsed="false">
      <c r="A59" s="0" t="s">
        <v>53</v>
      </c>
      <c r="B59" s="0" t="n">
        <v>7040</v>
      </c>
      <c r="C59" s="0" t="n">
        <v>4000</v>
      </c>
      <c r="D59" s="0" t="n">
        <v>1.76</v>
      </c>
      <c r="E59" s="0" t="s">
        <v>1097</v>
      </c>
    </row>
    <row r="60" customFormat="false" ht="15" hidden="false" customHeight="false" outlineLevel="0" collapsed="false">
      <c r="A60" s="0" t="s">
        <v>53</v>
      </c>
      <c r="B60" s="0" t="n">
        <v>14400</v>
      </c>
      <c r="C60" s="0" t="n">
        <v>4000</v>
      </c>
      <c r="D60" s="0" t="n">
        <v>3.6</v>
      </c>
      <c r="E60" s="0" t="s">
        <v>1112</v>
      </c>
    </row>
    <row r="61" customFormat="false" ht="15" hidden="false" customHeight="false" outlineLevel="0" collapsed="false">
      <c r="A61" s="0" t="s">
        <v>53</v>
      </c>
      <c r="B61" s="0" t="n">
        <v>19200</v>
      </c>
      <c r="C61" s="0" t="n">
        <v>4000</v>
      </c>
      <c r="D61" s="0" t="n">
        <v>4.8</v>
      </c>
      <c r="E61" s="0" t="s">
        <v>1126</v>
      </c>
    </row>
    <row r="62" customFormat="false" ht="15" hidden="false" customHeight="false" outlineLevel="0" collapsed="false">
      <c r="A62" s="0" t="s">
        <v>53</v>
      </c>
      <c r="B62" s="0" t="n">
        <v>9200</v>
      </c>
      <c r="C62" s="0" t="n">
        <v>4000</v>
      </c>
      <c r="D62" s="0" t="n">
        <v>2.3</v>
      </c>
      <c r="E62" s="0" t="s">
        <v>1144</v>
      </c>
    </row>
    <row r="63" customFormat="false" ht="15" hidden="false" customHeight="false" outlineLevel="0" collapsed="false">
      <c r="A63" s="0" t="s">
        <v>53</v>
      </c>
      <c r="B63" s="0" t="n">
        <v>21240</v>
      </c>
      <c r="C63" s="0" t="n">
        <v>4000</v>
      </c>
      <c r="D63" s="0" t="n">
        <v>5.31</v>
      </c>
      <c r="E63" s="0" t="s">
        <v>1160</v>
      </c>
    </row>
    <row r="64" customFormat="false" ht="15" hidden="false" customHeight="false" outlineLevel="0" collapsed="false">
      <c r="A64" s="0" t="s">
        <v>53</v>
      </c>
      <c r="B64" s="0" t="n">
        <v>12000</v>
      </c>
      <c r="C64" s="0" t="n">
        <v>4000</v>
      </c>
      <c r="D64" s="0" t="n">
        <v>3</v>
      </c>
      <c r="E64" s="0" t="s">
        <v>1180</v>
      </c>
    </row>
    <row r="65" customFormat="false" ht="15" hidden="false" customHeight="false" outlineLevel="0" collapsed="false">
      <c r="A65" s="0" t="s">
        <v>53</v>
      </c>
      <c r="B65" s="0" t="n">
        <v>4256</v>
      </c>
      <c r="C65" s="0" t="n">
        <v>4000</v>
      </c>
      <c r="D65" s="0" t="n">
        <v>1.064</v>
      </c>
      <c r="E65" s="0" t="s">
        <v>1198</v>
      </c>
    </row>
    <row r="66" customFormat="false" ht="15" hidden="false" customHeight="false" outlineLevel="0" collapsed="false">
      <c r="A66" s="0" t="s">
        <v>53</v>
      </c>
      <c r="B66" s="0" t="n">
        <v>3840</v>
      </c>
      <c r="C66" s="0" t="n">
        <v>4000</v>
      </c>
      <c r="D66" s="0" t="n">
        <v>0.96</v>
      </c>
      <c r="E66" s="0" t="s">
        <v>1212</v>
      </c>
    </row>
    <row r="67" customFormat="false" ht="15" hidden="false" customHeight="false" outlineLevel="0" collapsed="false">
      <c r="A67" s="0" t="s">
        <v>53</v>
      </c>
      <c r="B67" s="0" t="n">
        <v>14400</v>
      </c>
      <c r="C67" s="0" t="n">
        <v>4000</v>
      </c>
      <c r="D67" s="0" t="n">
        <v>3.6</v>
      </c>
      <c r="E67" s="0" t="s">
        <v>1228</v>
      </c>
    </row>
    <row r="68" customFormat="false" ht="15" hidden="false" customHeight="false" outlineLevel="0" collapsed="false">
      <c r="A68" s="0" t="s">
        <v>53</v>
      </c>
      <c r="B68" s="0" t="n">
        <v>9690</v>
      </c>
      <c r="C68" s="0" t="n">
        <v>4000</v>
      </c>
      <c r="D68" s="0" t="n">
        <v>2.4225</v>
      </c>
      <c r="E68" s="0" t="s">
        <v>1241</v>
      </c>
    </row>
    <row r="69" customFormat="false" ht="15" hidden="false" customHeight="false" outlineLevel="0" collapsed="false">
      <c r="A69" s="0" t="s">
        <v>53</v>
      </c>
      <c r="B69" s="0" t="n">
        <v>5320</v>
      </c>
      <c r="C69" s="0" t="n">
        <v>4000</v>
      </c>
      <c r="D69" s="0" t="n">
        <v>1.33</v>
      </c>
      <c r="E69" s="0" t="s">
        <v>1259</v>
      </c>
    </row>
    <row r="70" customFormat="false" ht="15" hidden="false" customHeight="false" outlineLevel="0" collapsed="false">
      <c r="A70" s="0" t="s">
        <v>53</v>
      </c>
      <c r="B70" s="0" t="n">
        <v>5333.33333333333</v>
      </c>
      <c r="C70" s="0" t="n">
        <v>4000</v>
      </c>
      <c r="D70" s="0" t="n">
        <v>1.33333333333333</v>
      </c>
      <c r="E70" s="0" t="s">
        <v>1275</v>
      </c>
    </row>
    <row r="71" customFormat="false" ht="15" hidden="false" customHeight="false" outlineLevel="0" collapsed="false">
      <c r="A71" s="0" t="s">
        <v>53</v>
      </c>
      <c r="B71" s="0" t="n">
        <v>31860</v>
      </c>
      <c r="C71" s="0" t="n">
        <v>4000</v>
      </c>
      <c r="D71" s="0" t="n">
        <v>7.965</v>
      </c>
      <c r="E71" s="0" t="s">
        <v>1292</v>
      </c>
    </row>
    <row r="72" customFormat="false" ht="15" hidden="false" customHeight="false" outlineLevel="0" collapsed="false">
      <c r="A72" s="0" t="s">
        <v>53</v>
      </c>
      <c r="B72" s="0" t="n">
        <v>10400</v>
      </c>
      <c r="C72" s="0" t="n">
        <v>4000</v>
      </c>
      <c r="D72" s="0" t="n">
        <v>2.6</v>
      </c>
      <c r="E72" s="0" t="s">
        <v>1305</v>
      </c>
    </row>
    <row r="73" customFormat="false" ht="15" hidden="false" customHeight="false" outlineLevel="0" collapsed="false">
      <c r="A73" s="0" t="s">
        <v>53</v>
      </c>
      <c r="B73" s="0" t="n">
        <v>7200</v>
      </c>
      <c r="C73" s="0" t="n">
        <v>4000</v>
      </c>
      <c r="D73" s="0" t="n">
        <v>1.8</v>
      </c>
      <c r="E73" s="0" t="s">
        <v>1319</v>
      </c>
    </row>
    <row r="74" customFormat="false" ht="15" hidden="false" customHeight="false" outlineLevel="0" collapsed="false">
      <c r="A74" s="0" t="s">
        <v>53</v>
      </c>
      <c r="B74" s="0" t="n">
        <v>6000</v>
      </c>
      <c r="C74" s="0" t="n">
        <v>4000</v>
      </c>
      <c r="D74" s="0" t="n">
        <v>1.5</v>
      </c>
      <c r="E74" s="0" t="s">
        <v>1335</v>
      </c>
    </row>
    <row r="75" customFormat="false" ht="15" hidden="false" customHeight="false" outlineLevel="0" collapsed="false">
      <c r="A75" s="0" t="s">
        <v>53</v>
      </c>
      <c r="B75" s="0" t="n">
        <v>48000</v>
      </c>
      <c r="C75" s="0" t="n">
        <v>4000</v>
      </c>
      <c r="D75" s="0" t="n">
        <v>12</v>
      </c>
      <c r="E75" s="0" t="s">
        <v>1349</v>
      </c>
    </row>
    <row r="76" customFormat="false" ht="15" hidden="false" customHeight="false" outlineLevel="0" collapsed="false">
      <c r="A76" s="0" t="s">
        <v>53</v>
      </c>
      <c r="B76" s="0" t="n">
        <v>12000</v>
      </c>
      <c r="C76" s="0" t="n">
        <v>4000</v>
      </c>
      <c r="D76" s="0" t="n">
        <v>3</v>
      </c>
      <c r="E76" s="0" t="s">
        <v>1363</v>
      </c>
    </row>
    <row r="77" customFormat="false" ht="15" hidden="false" customHeight="false" outlineLevel="0" collapsed="false">
      <c r="A77" s="0" t="s">
        <v>53</v>
      </c>
      <c r="B77" s="0" t="n">
        <v>31860</v>
      </c>
      <c r="C77" s="0" t="n">
        <v>4000</v>
      </c>
      <c r="D77" s="0" t="n">
        <v>7.965</v>
      </c>
      <c r="E77" s="0" t="s">
        <v>1378</v>
      </c>
    </row>
    <row r="78" customFormat="false" ht="15" hidden="false" customHeight="false" outlineLevel="0" collapsed="false">
      <c r="A78" s="0" t="s">
        <v>53</v>
      </c>
      <c r="B78" s="0" t="n">
        <v>12000</v>
      </c>
      <c r="C78" s="0" t="n">
        <v>4000</v>
      </c>
      <c r="D78" s="0" t="n">
        <v>3</v>
      </c>
      <c r="E78" s="0" t="s">
        <v>1391</v>
      </c>
    </row>
    <row r="79" customFormat="false" ht="15" hidden="false" customHeight="false" outlineLevel="0" collapsed="false">
      <c r="A79" s="0" t="s">
        <v>53</v>
      </c>
      <c r="B79" s="0" t="n">
        <v>10640</v>
      </c>
      <c r="C79" s="0" t="n">
        <v>3800</v>
      </c>
      <c r="D79" s="0" t="n">
        <v>2.8</v>
      </c>
      <c r="E79" s="0" t="s">
        <v>1408</v>
      </c>
    </row>
    <row r="80" customFormat="false" ht="15" hidden="false" customHeight="false" outlineLevel="0" collapsed="false">
      <c r="A80" s="0" t="s">
        <v>53</v>
      </c>
      <c r="B80" s="0" t="n">
        <v>3762</v>
      </c>
      <c r="C80" s="0" t="n">
        <v>3800</v>
      </c>
      <c r="D80" s="0" t="n">
        <v>0.99</v>
      </c>
      <c r="E80" s="0" t="s">
        <v>1422</v>
      </c>
    </row>
    <row r="81" customFormat="false" ht="15" hidden="false" customHeight="false" outlineLevel="0" collapsed="false">
      <c r="A81" s="0" t="s">
        <v>53</v>
      </c>
      <c r="B81" s="0" t="n">
        <v>6840</v>
      </c>
      <c r="C81" s="0" t="n">
        <v>3800</v>
      </c>
      <c r="D81" s="0" t="n">
        <v>1.8</v>
      </c>
      <c r="E81" s="0" t="s">
        <v>1440</v>
      </c>
    </row>
    <row r="82" customFormat="false" ht="15" hidden="false" customHeight="false" outlineLevel="0" collapsed="false">
      <c r="A82" s="0" t="s">
        <v>53</v>
      </c>
      <c r="B82" s="0" t="n">
        <v>5472</v>
      </c>
      <c r="C82" s="0" t="n">
        <v>3800</v>
      </c>
      <c r="D82" s="0" t="n">
        <v>1.44</v>
      </c>
      <c r="E82" s="0" t="s">
        <v>1456</v>
      </c>
    </row>
    <row r="83" customFormat="false" ht="15" hidden="false" customHeight="false" outlineLevel="0" collapsed="false">
      <c r="A83" s="0" t="s">
        <v>53</v>
      </c>
      <c r="B83" s="0" t="n">
        <v>3762</v>
      </c>
      <c r="C83" s="0" t="n">
        <v>3800</v>
      </c>
      <c r="D83" s="0" t="n">
        <v>0.99</v>
      </c>
      <c r="E83" s="0" t="s">
        <v>1471</v>
      </c>
    </row>
    <row r="84" customFormat="false" ht="15" hidden="false" customHeight="false" outlineLevel="0" collapsed="false">
      <c r="A84" s="0" t="s">
        <v>53</v>
      </c>
      <c r="B84" s="0" t="n">
        <v>4104</v>
      </c>
      <c r="C84" s="0" t="n">
        <v>3800</v>
      </c>
      <c r="D84" s="0" t="n">
        <v>1.08</v>
      </c>
      <c r="E84" s="0" t="s">
        <v>1486</v>
      </c>
    </row>
    <row r="85" customFormat="false" ht="15" hidden="false" customHeight="false" outlineLevel="0" collapsed="false">
      <c r="A85" s="0" t="s">
        <v>53</v>
      </c>
      <c r="B85" s="0" t="n">
        <v>5472</v>
      </c>
      <c r="C85" s="0" t="n">
        <v>3800</v>
      </c>
      <c r="D85" s="0" t="n">
        <v>1.44</v>
      </c>
      <c r="E85" s="0" t="s">
        <v>1502</v>
      </c>
    </row>
    <row r="86" customFormat="false" ht="15" hidden="false" customHeight="false" outlineLevel="0" collapsed="false">
      <c r="A86" s="0" t="s">
        <v>53</v>
      </c>
      <c r="B86" s="0" t="n">
        <v>2508</v>
      </c>
      <c r="C86" s="0" t="n">
        <v>3800</v>
      </c>
      <c r="D86" s="0" t="n">
        <v>0.66</v>
      </c>
      <c r="E86" s="0" t="s">
        <v>1517</v>
      </c>
    </row>
    <row r="87" customFormat="false" ht="15" hidden="false" customHeight="false" outlineLevel="0" collapsed="false">
      <c r="A87" s="0" t="s">
        <v>53</v>
      </c>
      <c r="B87" s="0" t="n">
        <v>4104</v>
      </c>
      <c r="C87" s="0" t="n">
        <v>3800</v>
      </c>
      <c r="D87" s="0" t="n">
        <v>1.08</v>
      </c>
      <c r="E87" s="0" t="s">
        <v>1534</v>
      </c>
    </row>
    <row r="88" customFormat="false" ht="15" hidden="false" customHeight="false" outlineLevel="0" collapsed="false">
      <c r="A88" s="0" t="s">
        <v>53</v>
      </c>
      <c r="B88" s="0" t="n">
        <v>5472</v>
      </c>
      <c r="C88" s="0" t="n">
        <v>3800</v>
      </c>
      <c r="D88" s="0" t="n">
        <v>1.44</v>
      </c>
      <c r="E88" s="0" t="s">
        <v>1550</v>
      </c>
    </row>
    <row r="89" customFormat="false" ht="15" hidden="false" customHeight="false" outlineLevel="0" collapsed="false">
      <c r="A89" s="0" t="s">
        <v>53</v>
      </c>
      <c r="B89" s="0" t="n">
        <v>11400</v>
      </c>
      <c r="C89" s="0" t="n">
        <v>3800</v>
      </c>
      <c r="D89" s="0" t="n">
        <v>3</v>
      </c>
      <c r="E89" s="0" t="s">
        <v>1851</v>
      </c>
    </row>
    <row r="90" customFormat="false" ht="15" hidden="false" customHeight="false" outlineLevel="0" collapsed="false">
      <c r="A90" s="0" t="s">
        <v>53</v>
      </c>
      <c r="B90" s="0" t="n">
        <v>6840</v>
      </c>
      <c r="C90" s="0" t="n">
        <v>3800</v>
      </c>
      <c r="D90" s="0" t="n">
        <v>1.8</v>
      </c>
      <c r="E90" s="0" t="s">
        <v>1871</v>
      </c>
    </row>
    <row r="91" customFormat="false" ht="15" hidden="false" customHeight="false" outlineLevel="0" collapsed="false">
      <c r="A91" s="0" t="s">
        <v>53</v>
      </c>
      <c r="B91" s="0" t="n">
        <v>7980</v>
      </c>
      <c r="C91" s="0" t="n">
        <v>3800</v>
      </c>
      <c r="D91" s="0" t="n">
        <v>2.1</v>
      </c>
      <c r="E91" s="0" t="s">
        <v>1886</v>
      </c>
    </row>
    <row r="92" customFormat="false" ht="15" hidden="false" customHeight="false" outlineLevel="0" collapsed="false">
      <c r="A92" s="0" t="s">
        <v>53</v>
      </c>
      <c r="B92" s="0" t="n">
        <v>4788</v>
      </c>
      <c r="C92" s="0" t="n">
        <v>3800</v>
      </c>
      <c r="D92" s="0" t="n">
        <v>1.26</v>
      </c>
      <c r="E92" s="0" t="s">
        <v>1901</v>
      </c>
    </row>
    <row r="93" customFormat="false" ht="15" hidden="false" customHeight="false" outlineLevel="0" collapsed="false">
      <c r="A93" s="0" t="s">
        <v>53</v>
      </c>
      <c r="B93" s="0" t="n">
        <v>4760</v>
      </c>
      <c r="C93" s="0" t="n">
        <v>4000</v>
      </c>
      <c r="D93" s="0" t="n">
        <v>1.19</v>
      </c>
      <c r="E93" s="0" t="s">
        <v>1921</v>
      </c>
    </row>
    <row r="94" customFormat="false" ht="15" hidden="false" customHeight="false" outlineLevel="0" collapsed="false">
      <c r="A94" s="0" t="s">
        <v>53</v>
      </c>
      <c r="B94" s="0" t="n">
        <v>4560</v>
      </c>
      <c r="C94" s="0" t="n">
        <v>4000</v>
      </c>
      <c r="D94" s="0" t="n">
        <v>1.14</v>
      </c>
      <c r="E94" s="0" t="s">
        <v>1937</v>
      </c>
    </row>
    <row r="95" customFormat="false" ht="15" hidden="false" customHeight="false" outlineLevel="0" collapsed="false">
      <c r="A95" s="0" t="s">
        <v>53</v>
      </c>
      <c r="B95" s="0" t="n">
        <v>3344</v>
      </c>
      <c r="C95" s="0" t="n">
        <v>4000</v>
      </c>
      <c r="D95" s="0" t="n">
        <v>0.836</v>
      </c>
      <c r="E95" s="0" t="s">
        <v>1952</v>
      </c>
    </row>
    <row r="96" customFormat="false" ht="15" hidden="false" customHeight="false" outlineLevel="0" collapsed="false">
      <c r="A96" s="0" t="s">
        <v>53</v>
      </c>
      <c r="B96" s="0" t="n">
        <v>950</v>
      </c>
      <c r="C96" s="0" t="n">
        <v>4000</v>
      </c>
      <c r="D96" s="0" t="n">
        <v>0.2375</v>
      </c>
      <c r="E96" s="0" t="s">
        <v>1968</v>
      </c>
    </row>
    <row r="97" customFormat="false" ht="15" hidden="false" customHeight="false" outlineLevel="0" collapsed="false">
      <c r="A97" s="0" t="s">
        <v>53</v>
      </c>
      <c r="B97" s="0" t="n">
        <v>4446</v>
      </c>
      <c r="C97" s="0" t="n">
        <v>4000</v>
      </c>
      <c r="D97" s="0" t="n">
        <v>1.1115</v>
      </c>
      <c r="E97" s="0" t="s">
        <v>1984</v>
      </c>
    </row>
    <row r="98" customFormat="false" ht="15" hidden="false" customHeight="false" outlineLevel="0" collapsed="false">
      <c r="A98" s="0" t="s">
        <v>53</v>
      </c>
      <c r="B98" s="0" t="n">
        <v>5472</v>
      </c>
      <c r="C98" s="0" t="n">
        <v>4000</v>
      </c>
      <c r="D98" s="0" t="n">
        <v>1.368</v>
      </c>
      <c r="E98" s="0" t="s">
        <v>2000</v>
      </c>
    </row>
    <row r="99" customFormat="false" ht="15" hidden="false" customHeight="false" outlineLevel="0" collapsed="false">
      <c r="A99" s="0" t="s">
        <v>53</v>
      </c>
      <c r="B99" s="0" t="n">
        <v>2160</v>
      </c>
      <c r="C99" s="0" t="n">
        <v>4000</v>
      </c>
      <c r="D99" s="0" t="n">
        <v>0.54</v>
      </c>
      <c r="E99" s="0" t="s">
        <v>2016</v>
      </c>
    </row>
    <row r="100" customFormat="false" ht="15" hidden="false" customHeight="false" outlineLevel="0" collapsed="false">
      <c r="A100" s="0" t="s">
        <v>53</v>
      </c>
      <c r="B100" s="0" t="n">
        <v>3400</v>
      </c>
      <c r="C100" s="0" t="n">
        <v>3800</v>
      </c>
      <c r="D100" s="0" t="n">
        <v>0.894736842105263</v>
      </c>
      <c r="E100" s="0" t="s">
        <v>2031</v>
      </c>
    </row>
    <row r="101" customFormat="false" ht="15" hidden="false" customHeight="false" outlineLevel="0" collapsed="false">
      <c r="A101" s="0" t="s">
        <v>53</v>
      </c>
      <c r="B101" s="0" t="n">
        <v>2400</v>
      </c>
      <c r="C101" s="0" t="n">
        <v>4000</v>
      </c>
      <c r="D101" s="0" t="n">
        <v>0.6</v>
      </c>
      <c r="E101" s="0" t="s">
        <v>2048</v>
      </c>
    </row>
    <row r="102" customFormat="false" ht="15" hidden="false" customHeight="false" outlineLevel="0" collapsed="false">
      <c r="A102" s="0" t="s">
        <v>53</v>
      </c>
      <c r="B102" s="0" t="n">
        <v>5472</v>
      </c>
      <c r="C102" s="0" t="n">
        <v>3800</v>
      </c>
      <c r="D102" s="0" t="n">
        <v>1.44</v>
      </c>
      <c r="E102" s="0" t="s">
        <v>2064</v>
      </c>
    </row>
    <row r="103" customFormat="false" ht="15" hidden="false" customHeight="false" outlineLevel="0" collapsed="false">
      <c r="A103" s="0" t="s">
        <v>53</v>
      </c>
      <c r="B103" s="0" t="n">
        <v>3420</v>
      </c>
      <c r="C103" s="0" t="n">
        <v>4000</v>
      </c>
      <c r="D103" s="0" t="n">
        <v>0.855</v>
      </c>
      <c r="E103" s="0" t="s">
        <v>2079</v>
      </c>
    </row>
    <row r="104" customFormat="false" ht="15" hidden="false" customHeight="false" outlineLevel="0" collapsed="false">
      <c r="A104" s="0" t="s">
        <v>53</v>
      </c>
      <c r="B104" s="0" t="n">
        <v>2736</v>
      </c>
      <c r="C104" s="0" t="n">
        <v>4000</v>
      </c>
      <c r="D104" s="0" t="n">
        <v>0.684</v>
      </c>
      <c r="E104" s="0" t="s">
        <v>2094</v>
      </c>
    </row>
    <row r="105" customFormat="false" ht="15" hidden="false" customHeight="false" outlineLevel="0" collapsed="false">
      <c r="A105" s="0" t="s">
        <v>53</v>
      </c>
      <c r="B105" s="0" t="n">
        <v>5040</v>
      </c>
      <c r="C105" s="0" t="n">
        <v>4000</v>
      </c>
      <c r="D105" s="0" t="n">
        <v>1.26</v>
      </c>
      <c r="E105" s="0" t="s">
        <v>2111</v>
      </c>
    </row>
    <row r="106" customFormat="false" ht="15" hidden="false" customHeight="false" outlineLevel="0" collapsed="false">
      <c r="A106" s="0" t="s">
        <v>53</v>
      </c>
      <c r="B106" s="0" t="n">
        <v>9120</v>
      </c>
      <c r="C106" s="0" t="n">
        <v>3800</v>
      </c>
      <c r="D106" s="0" t="n">
        <v>2.4</v>
      </c>
      <c r="E106" s="0" t="s">
        <v>2130</v>
      </c>
    </row>
    <row r="107" customFormat="false" ht="15" hidden="false" customHeight="false" outlineLevel="0" collapsed="false">
      <c r="A107" s="0" t="s">
        <v>53</v>
      </c>
      <c r="B107" s="0" t="n">
        <v>6840</v>
      </c>
      <c r="C107" s="0" t="n">
        <v>3800</v>
      </c>
      <c r="D107" s="0" t="n">
        <v>1.8</v>
      </c>
      <c r="E107" s="0" t="s">
        <v>2145</v>
      </c>
    </row>
    <row r="108" customFormat="false" ht="15" hidden="false" customHeight="false" outlineLevel="0" collapsed="false">
      <c r="A108" s="0" t="s">
        <v>53</v>
      </c>
      <c r="B108" s="0" t="n">
        <v>12540</v>
      </c>
      <c r="C108" s="0" t="n">
        <v>3800</v>
      </c>
      <c r="D108" s="0" t="n">
        <v>3.3</v>
      </c>
      <c r="E108" s="0" t="s">
        <v>2161</v>
      </c>
    </row>
    <row r="109" customFormat="false" ht="15" hidden="false" customHeight="false" outlineLevel="0" collapsed="false">
      <c r="A109" s="0" t="s">
        <v>53</v>
      </c>
      <c r="B109" s="0" t="n">
        <v>3876</v>
      </c>
      <c r="C109" s="0" t="n">
        <v>3800</v>
      </c>
      <c r="D109" s="0" t="n">
        <v>1.02</v>
      </c>
      <c r="E109" s="0" t="s">
        <v>2177</v>
      </c>
    </row>
    <row r="110" customFormat="false" ht="15" hidden="false" customHeight="false" outlineLevel="0" collapsed="false">
      <c r="A110" s="0" t="s">
        <v>53</v>
      </c>
      <c r="B110" s="0" t="n">
        <v>5168</v>
      </c>
      <c r="C110" s="0" t="n">
        <v>3800</v>
      </c>
      <c r="D110" s="0" t="n">
        <v>1.36</v>
      </c>
      <c r="E110" s="0" t="s">
        <v>2191</v>
      </c>
    </row>
    <row r="111" customFormat="false" ht="15" hidden="false" customHeight="false" outlineLevel="0" collapsed="false">
      <c r="A111" s="0" t="s">
        <v>53</v>
      </c>
      <c r="B111" s="0" t="n">
        <v>7106</v>
      </c>
      <c r="C111" s="0" t="n">
        <v>3800</v>
      </c>
      <c r="D111" s="0" t="n">
        <v>1.87</v>
      </c>
      <c r="E111" s="0" t="s">
        <v>2206</v>
      </c>
    </row>
    <row r="112" customFormat="false" ht="15" hidden="false" customHeight="false" outlineLevel="0" collapsed="false">
      <c r="A112" s="0" t="s">
        <v>53</v>
      </c>
      <c r="B112" s="0" t="n">
        <v>4400</v>
      </c>
      <c r="C112" s="0" t="n">
        <v>3800</v>
      </c>
      <c r="D112" s="0" t="n">
        <v>1.15789473684211</v>
      </c>
      <c r="E112" s="0" t="s">
        <v>2222</v>
      </c>
    </row>
    <row r="113" customFormat="false" ht="15" hidden="false" customHeight="false" outlineLevel="0" collapsed="false">
      <c r="A113" s="0" t="s">
        <v>53</v>
      </c>
      <c r="B113" s="0" t="n">
        <v>5320</v>
      </c>
      <c r="C113" s="0" t="n">
        <v>3800</v>
      </c>
      <c r="D113" s="0" t="n">
        <v>1.4</v>
      </c>
      <c r="E113" s="0" t="s">
        <v>2237</v>
      </c>
    </row>
    <row r="114" customFormat="false" ht="15" hidden="false" customHeight="false" outlineLevel="0" collapsed="false">
      <c r="A114" s="0" t="s">
        <v>53</v>
      </c>
      <c r="B114" s="0" t="n">
        <v>10080</v>
      </c>
      <c r="C114" s="0" t="n">
        <v>3800</v>
      </c>
      <c r="D114" s="0" t="n">
        <v>2.65263157894737</v>
      </c>
      <c r="E114" s="0" t="s">
        <v>2266</v>
      </c>
    </row>
    <row r="115" customFormat="false" ht="15" hidden="false" customHeight="false" outlineLevel="0" collapsed="false">
      <c r="A115" s="0" t="s">
        <v>53</v>
      </c>
      <c r="B115" s="0" t="n">
        <v>7333.33333333333</v>
      </c>
      <c r="C115" s="0" t="n">
        <v>3800</v>
      </c>
      <c r="D115" s="0" t="n">
        <v>1.92982456140351</v>
      </c>
      <c r="E115" s="0" t="s">
        <v>2280</v>
      </c>
    </row>
    <row r="116" customFormat="false" ht="15" hidden="false" customHeight="false" outlineLevel="0" collapsed="false">
      <c r="A116" s="0" t="s">
        <v>53</v>
      </c>
      <c r="B116" s="0" t="n">
        <v>6080</v>
      </c>
      <c r="C116" s="0" t="n">
        <v>3800</v>
      </c>
      <c r="D116" s="0" t="n">
        <v>1.6</v>
      </c>
      <c r="E116" s="0" t="s">
        <v>2294</v>
      </c>
    </row>
    <row r="117" customFormat="false" ht="15" hidden="false" customHeight="false" outlineLevel="0" collapsed="false">
      <c r="A117" s="0" t="s">
        <v>53</v>
      </c>
      <c r="B117" s="0" t="n">
        <v>3990</v>
      </c>
      <c r="C117" s="0" t="n">
        <v>3800</v>
      </c>
      <c r="D117" s="0" t="n">
        <v>1.05</v>
      </c>
      <c r="E117" s="0" t="s">
        <v>2309</v>
      </c>
    </row>
    <row r="118" customFormat="false" ht="15" hidden="false" customHeight="false" outlineLevel="0" collapsed="false">
      <c r="A118" s="0" t="s">
        <v>53</v>
      </c>
      <c r="B118" s="0" t="n">
        <v>5600</v>
      </c>
      <c r="C118" s="0" t="n">
        <v>3800</v>
      </c>
      <c r="D118" s="0" t="n">
        <v>1.47368421052632</v>
      </c>
      <c r="E118" s="0" t="s">
        <v>2323</v>
      </c>
    </row>
    <row r="119" customFormat="false" ht="15" hidden="false" customHeight="false" outlineLevel="0" collapsed="false">
      <c r="A119" s="0" t="s">
        <v>53</v>
      </c>
      <c r="B119" s="0" t="n">
        <v>11526.6666666667</v>
      </c>
      <c r="C119" s="0" t="n">
        <v>3800</v>
      </c>
      <c r="D119" s="0" t="n">
        <v>3.03333333333333</v>
      </c>
      <c r="E119" s="0" t="s">
        <v>2341</v>
      </c>
    </row>
    <row r="120" customFormat="false" ht="15" hidden="false" customHeight="false" outlineLevel="0" collapsed="false">
      <c r="A120" s="0" t="s">
        <v>53</v>
      </c>
      <c r="B120" s="0" t="n">
        <v>6650</v>
      </c>
      <c r="C120" s="0" t="n">
        <v>3800</v>
      </c>
      <c r="D120" s="0" t="n">
        <v>1.75</v>
      </c>
      <c r="E120" s="0" t="s">
        <v>2374</v>
      </c>
    </row>
    <row r="121" customFormat="false" ht="15" hidden="false" customHeight="false" outlineLevel="0" collapsed="false">
      <c r="A121" s="0" t="s">
        <v>53</v>
      </c>
      <c r="B121" s="0" t="n">
        <v>5200</v>
      </c>
      <c r="C121" s="0" t="n">
        <v>3800</v>
      </c>
      <c r="D121" s="0" t="n">
        <v>1.36842105263158</v>
      </c>
      <c r="E121" s="0" t="s">
        <v>2392</v>
      </c>
    </row>
    <row r="122" customFormat="false" ht="15" hidden="false" customHeight="false" outlineLevel="0" collapsed="false">
      <c r="A122" s="0" t="s">
        <v>53</v>
      </c>
      <c r="B122" s="0" t="n">
        <v>3733.33333333333</v>
      </c>
      <c r="C122" s="0" t="n">
        <v>3800</v>
      </c>
      <c r="D122" s="0" t="n">
        <v>0.982456140350877</v>
      </c>
      <c r="E122" s="0" t="s">
        <v>2408</v>
      </c>
    </row>
    <row r="123" customFormat="false" ht="15" hidden="false" customHeight="false" outlineLevel="0" collapsed="false">
      <c r="A123" s="0" t="s">
        <v>53</v>
      </c>
      <c r="B123" s="0" t="n">
        <v>3200</v>
      </c>
      <c r="C123" s="0" t="n">
        <v>3800</v>
      </c>
      <c r="D123" s="0" t="n">
        <v>0.842105263157895</v>
      </c>
      <c r="E123" s="0" t="s">
        <v>2437</v>
      </c>
    </row>
    <row r="124" customFormat="false" ht="15" hidden="false" customHeight="false" outlineLevel="0" collapsed="false">
      <c r="A124" s="0" t="s">
        <v>53</v>
      </c>
      <c r="B124" s="0" t="n">
        <v>5814</v>
      </c>
      <c r="C124" s="0" t="n">
        <v>3800</v>
      </c>
      <c r="D124" s="0" t="n">
        <v>1.53</v>
      </c>
      <c r="E124" s="0" t="s">
        <v>2454</v>
      </c>
    </row>
    <row r="125" customFormat="false" ht="15" hidden="false" customHeight="false" outlineLevel="0" collapsed="false">
      <c r="A125" s="0" t="s">
        <v>53</v>
      </c>
      <c r="B125" s="0" t="n">
        <v>7752</v>
      </c>
      <c r="C125" s="0" t="n">
        <v>3800</v>
      </c>
      <c r="D125" s="0" t="n">
        <v>2.04</v>
      </c>
      <c r="E125" s="0" t="s">
        <v>2477</v>
      </c>
    </row>
    <row r="126" customFormat="false" ht="15" hidden="false" customHeight="false" outlineLevel="0" collapsed="false">
      <c r="A126" s="0" t="s">
        <v>53</v>
      </c>
      <c r="B126" s="0" t="n">
        <v>10640</v>
      </c>
      <c r="C126" s="0" t="n">
        <v>3800</v>
      </c>
      <c r="D126" s="0" t="n">
        <v>2.8</v>
      </c>
      <c r="E126" s="0" t="s">
        <v>2496</v>
      </c>
    </row>
    <row r="127" customFormat="false" ht="15" hidden="false" customHeight="false" outlineLevel="0" collapsed="false">
      <c r="A127" s="0" t="s">
        <v>53</v>
      </c>
      <c r="B127" s="0" t="n">
        <v>17100</v>
      </c>
      <c r="C127" s="0" t="n">
        <v>3800</v>
      </c>
      <c r="D127" s="0" t="n">
        <v>4.5</v>
      </c>
      <c r="E127" s="0" t="s">
        <v>2510</v>
      </c>
    </row>
    <row r="128" customFormat="false" ht="15" hidden="false" customHeight="false" outlineLevel="0" collapsed="false">
      <c r="A128" s="0" t="s">
        <v>53</v>
      </c>
      <c r="B128" s="0" t="n">
        <v>13680</v>
      </c>
      <c r="C128" s="0" t="n">
        <v>3800</v>
      </c>
      <c r="D128" s="0" t="n">
        <v>3.6</v>
      </c>
      <c r="E128" s="0" t="s">
        <v>2523</v>
      </c>
    </row>
    <row r="129" customFormat="false" ht="15" hidden="false" customHeight="false" outlineLevel="0" collapsed="false">
      <c r="A129" s="0" t="s">
        <v>53</v>
      </c>
      <c r="B129" s="0" t="n">
        <v>10260</v>
      </c>
      <c r="C129" s="0" t="n">
        <v>3800</v>
      </c>
      <c r="D129" s="0" t="n">
        <v>2.7</v>
      </c>
      <c r="E129" s="0" t="s">
        <v>2536</v>
      </c>
    </row>
    <row r="130" customFormat="false" ht="15" hidden="false" customHeight="false" outlineLevel="0" collapsed="false">
      <c r="A130" s="0" t="s">
        <v>53</v>
      </c>
      <c r="B130" s="0" t="n">
        <v>11400</v>
      </c>
      <c r="C130" s="0" t="n">
        <v>3800</v>
      </c>
      <c r="D130" s="0" t="n">
        <v>3</v>
      </c>
      <c r="E130" s="0" t="s">
        <v>2549</v>
      </c>
    </row>
    <row r="131" customFormat="false" ht="15" hidden="false" customHeight="false" outlineLevel="0" collapsed="false">
      <c r="A131" s="0" t="s">
        <v>53</v>
      </c>
      <c r="B131" s="0" t="n">
        <v>10260</v>
      </c>
      <c r="C131" s="0" t="n">
        <v>3800</v>
      </c>
      <c r="D131" s="0" t="n">
        <v>2.7</v>
      </c>
      <c r="E131" s="0" t="s">
        <v>2562</v>
      </c>
    </row>
    <row r="132" customFormat="false" ht="15" hidden="false" customHeight="false" outlineLevel="0" collapsed="false">
      <c r="A132" s="0" t="s">
        <v>53</v>
      </c>
      <c r="B132" s="0" t="n">
        <v>10260</v>
      </c>
      <c r="C132" s="0" t="n">
        <v>3800</v>
      </c>
      <c r="D132" s="0" t="n">
        <v>2.7</v>
      </c>
      <c r="E132" s="0" t="s">
        <v>2576</v>
      </c>
    </row>
    <row r="133" customFormat="false" ht="15" hidden="false" customHeight="false" outlineLevel="0" collapsed="false">
      <c r="A133" s="0" t="s">
        <v>53</v>
      </c>
      <c r="B133" s="0" t="n">
        <v>17100</v>
      </c>
      <c r="C133" s="0" t="n">
        <v>3800</v>
      </c>
      <c r="D133" s="0" t="n">
        <v>4.5</v>
      </c>
      <c r="E133" s="0" t="s">
        <v>2610</v>
      </c>
    </row>
    <row r="134" customFormat="false" ht="15" hidden="false" customHeight="false" outlineLevel="0" collapsed="false">
      <c r="A134" s="0" t="s">
        <v>53</v>
      </c>
      <c r="B134" s="0" t="n">
        <v>840</v>
      </c>
      <c r="C134" s="0" t="n">
        <v>4500</v>
      </c>
      <c r="D134" s="0" t="n">
        <v>0.186666666666667</v>
      </c>
      <c r="E134" s="0" t="s">
        <v>2815</v>
      </c>
    </row>
    <row r="135" customFormat="false" ht="15" hidden="false" customHeight="false" outlineLevel="0" collapsed="false">
      <c r="A135" s="0" t="s">
        <v>53</v>
      </c>
      <c r="B135" s="0" t="n">
        <v>3360</v>
      </c>
      <c r="C135" s="0" t="n">
        <v>4000</v>
      </c>
      <c r="D135" s="0" t="n">
        <v>0.84</v>
      </c>
      <c r="E135" s="0" t="s">
        <v>2824</v>
      </c>
    </row>
    <row r="136" customFormat="false" ht="15" hidden="false" customHeight="false" outlineLevel="0" collapsed="false">
      <c r="A136" s="0" t="s">
        <v>53</v>
      </c>
      <c r="B136" s="0" t="n">
        <v>5600</v>
      </c>
      <c r="C136" s="0" t="n">
        <v>4000</v>
      </c>
      <c r="D136" s="0" t="n">
        <v>1.4</v>
      </c>
      <c r="E136" s="0" t="s">
        <v>2833</v>
      </c>
    </row>
    <row r="137" customFormat="false" ht="15" hidden="false" customHeight="false" outlineLevel="0" collapsed="false">
      <c r="A137" s="0" t="s">
        <v>53</v>
      </c>
      <c r="B137" s="0" t="n">
        <v>3600</v>
      </c>
      <c r="C137" s="0" t="n">
        <v>4000</v>
      </c>
      <c r="D137" s="0" t="n">
        <v>0.9</v>
      </c>
      <c r="E137" s="0" t="s">
        <v>2842</v>
      </c>
    </row>
    <row r="138" customFormat="false" ht="15" hidden="false" customHeight="false" outlineLevel="0" collapsed="false">
      <c r="A138" s="0" t="s">
        <v>53</v>
      </c>
      <c r="B138" s="0" t="n">
        <v>3000</v>
      </c>
      <c r="C138" s="0" t="n">
        <v>4000</v>
      </c>
      <c r="D138" s="0" t="n">
        <v>0.75</v>
      </c>
      <c r="E138" s="0" t="s">
        <v>2851</v>
      </c>
    </row>
    <row r="139" customFormat="false" ht="15" hidden="false" customHeight="false" outlineLevel="0" collapsed="false">
      <c r="A139" s="0" t="s">
        <v>53</v>
      </c>
      <c r="B139" s="0" t="n">
        <v>3840</v>
      </c>
      <c r="C139" s="0" t="n">
        <v>4000</v>
      </c>
      <c r="D139" s="0" t="n">
        <v>0.96</v>
      </c>
      <c r="E139" s="0" t="s">
        <v>2860</v>
      </c>
    </row>
    <row r="140" customFormat="false" ht="15" hidden="false" customHeight="false" outlineLevel="0" collapsed="false">
      <c r="A140" s="0" t="s">
        <v>53</v>
      </c>
      <c r="B140" s="0" t="n">
        <v>6400</v>
      </c>
      <c r="C140" s="0" t="n">
        <v>4000</v>
      </c>
      <c r="D140" s="0" t="n">
        <v>1.6</v>
      </c>
      <c r="E140" s="0" t="s">
        <v>2869</v>
      </c>
    </row>
    <row r="141" customFormat="false" ht="15" hidden="false" customHeight="false" outlineLevel="0" collapsed="false">
      <c r="A141" s="0" t="s">
        <v>53</v>
      </c>
      <c r="B141" s="0" t="n">
        <v>3360</v>
      </c>
      <c r="C141" s="0" t="n">
        <v>4000</v>
      </c>
      <c r="D141" s="0" t="n">
        <v>0.84</v>
      </c>
      <c r="E141" s="0" t="s">
        <v>2881</v>
      </c>
    </row>
    <row r="142" customFormat="false" ht="15" hidden="false" customHeight="false" outlineLevel="0" collapsed="false">
      <c r="A142" s="0" t="s">
        <v>53</v>
      </c>
      <c r="B142" s="0" t="n">
        <v>1800</v>
      </c>
      <c r="C142" s="0" t="n">
        <v>4000</v>
      </c>
      <c r="D142" s="0" t="n">
        <v>0.45</v>
      </c>
      <c r="E142" s="0" t="s">
        <v>2894</v>
      </c>
    </row>
    <row r="143" customFormat="false" ht="15" hidden="false" customHeight="false" outlineLevel="0" collapsed="false">
      <c r="A143" s="0" t="s">
        <v>53</v>
      </c>
      <c r="B143" s="0" t="n">
        <v>5040</v>
      </c>
      <c r="C143" s="0" t="n">
        <v>4000</v>
      </c>
      <c r="D143" s="0" t="n">
        <v>1.26</v>
      </c>
      <c r="E143" s="0" t="s">
        <v>2908</v>
      </c>
    </row>
    <row r="144" customFormat="false" ht="15" hidden="false" customHeight="false" outlineLevel="0" collapsed="false">
      <c r="A144" s="0" t="s">
        <v>53</v>
      </c>
      <c r="B144" s="0" t="n">
        <v>3000</v>
      </c>
      <c r="C144" s="0" t="n">
        <v>4000</v>
      </c>
      <c r="D144" s="0" t="n">
        <v>0.75</v>
      </c>
      <c r="E144" s="0" t="s">
        <v>2924</v>
      </c>
    </row>
    <row r="145" customFormat="false" ht="15" hidden="false" customHeight="false" outlineLevel="0" collapsed="false">
      <c r="A145" s="0" t="s">
        <v>53</v>
      </c>
      <c r="B145" s="0" t="n">
        <v>5472</v>
      </c>
      <c r="C145" s="0" t="n">
        <v>4000</v>
      </c>
      <c r="D145" s="0" t="n">
        <v>1.368</v>
      </c>
      <c r="E145" s="0" t="s">
        <v>2946</v>
      </c>
    </row>
    <row r="146" customFormat="false" ht="15" hidden="false" customHeight="false" outlineLevel="0" collapsed="false">
      <c r="A146" s="0" t="s">
        <v>53</v>
      </c>
      <c r="B146" s="0" t="n">
        <v>6400</v>
      </c>
      <c r="C146" s="0" t="n">
        <v>4000</v>
      </c>
      <c r="D146" s="0" t="n">
        <v>1.6</v>
      </c>
      <c r="E146" s="0" t="s">
        <v>2960</v>
      </c>
    </row>
    <row r="147" customFormat="false" ht="15" hidden="false" customHeight="false" outlineLevel="0" collapsed="false">
      <c r="A147" s="0" t="s">
        <v>53</v>
      </c>
      <c r="B147" s="0" t="n">
        <v>3360</v>
      </c>
      <c r="C147" s="0" t="n">
        <v>4000</v>
      </c>
      <c r="D147" s="0" t="n">
        <v>0.84</v>
      </c>
      <c r="E147" s="0" t="s">
        <v>2973</v>
      </c>
    </row>
    <row r="148" customFormat="false" ht="15" hidden="false" customHeight="false" outlineLevel="0" collapsed="false">
      <c r="A148" s="0" t="s">
        <v>53</v>
      </c>
      <c r="B148" s="0" t="n">
        <v>2400</v>
      </c>
      <c r="C148" s="0" t="n">
        <v>4000</v>
      </c>
      <c r="D148" s="0" t="n">
        <v>0.6</v>
      </c>
      <c r="E148" s="0" t="s">
        <v>2985</v>
      </c>
    </row>
    <row r="149" customFormat="false" ht="15" hidden="false" customHeight="false" outlineLevel="0" collapsed="false">
      <c r="A149" s="0" t="s">
        <v>53</v>
      </c>
      <c r="B149" s="0" t="n">
        <v>6400</v>
      </c>
      <c r="C149" s="0" t="n">
        <v>4000</v>
      </c>
      <c r="D149" s="0" t="n">
        <v>1.6</v>
      </c>
      <c r="E149" s="0" t="s">
        <v>2997</v>
      </c>
    </row>
    <row r="150" customFormat="false" ht="15" hidden="false" customHeight="false" outlineLevel="0" collapsed="false">
      <c r="A150" s="0" t="s">
        <v>53</v>
      </c>
      <c r="B150" s="0" t="n">
        <v>4000</v>
      </c>
      <c r="C150" s="0" t="n">
        <v>4000</v>
      </c>
      <c r="D150" s="0" t="n">
        <v>1</v>
      </c>
      <c r="E150" s="0" t="s">
        <v>3008</v>
      </c>
    </row>
    <row r="151" customFormat="false" ht="15" hidden="false" customHeight="false" outlineLevel="0" collapsed="false">
      <c r="A151" s="0" t="s">
        <v>53</v>
      </c>
      <c r="B151" s="0" t="n">
        <v>3840</v>
      </c>
      <c r="C151" s="0" t="n">
        <v>4000</v>
      </c>
      <c r="D151" s="0" t="n">
        <v>0.96</v>
      </c>
      <c r="E151" s="0" t="s">
        <v>3020</v>
      </c>
    </row>
    <row r="152" customFormat="false" ht="15" hidden="false" customHeight="false" outlineLevel="0" collapsed="false">
      <c r="A152" s="0" t="s">
        <v>53</v>
      </c>
      <c r="B152" s="0" t="n">
        <v>6400</v>
      </c>
      <c r="C152" s="0" t="n">
        <v>4000</v>
      </c>
      <c r="D152" s="0" t="n">
        <v>1.6</v>
      </c>
      <c r="E152" s="0" t="s">
        <v>3032</v>
      </c>
    </row>
    <row r="153" customFormat="false" ht="15" hidden="false" customHeight="false" outlineLevel="0" collapsed="false">
      <c r="A153" s="0" t="s">
        <v>53</v>
      </c>
      <c r="B153" s="0" t="n">
        <v>3360</v>
      </c>
      <c r="C153" s="0" t="n">
        <v>4000</v>
      </c>
      <c r="D153" s="0" t="n">
        <v>0.84</v>
      </c>
      <c r="E153" s="0" t="s">
        <v>3043</v>
      </c>
    </row>
    <row r="154" customFormat="false" ht="15" hidden="false" customHeight="false" outlineLevel="0" collapsed="false">
      <c r="A154" s="0" t="s">
        <v>53</v>
      </c>
      <c r="B154" s="0" t="n">
        <v>1800</v>
      </c>
      <c r="C154" s="0" t="n">
        <v>4000</v>
      </c>
      <c r="D154" s="0" t="n">
        <v>0.45</v>
      </c>
      <c r="E154" s="0" t="s">
        <v>3054</v>
      </c>
    </row>
    <row r="155" customFormat="false" ht="15" hidden="false" customHeight="false" outlineLevel="0" collapsed="false">
      <c r="A155" s="0" t="s">
        <v>53</v>
      </c>
      <c r="B155" s="0" t="n">
        <v>5600</v>
      </c>
      <c r="C155" s="0" t="n">
        <v>4000</v>
      </c>
      <c r="D155" s="0" t="n">
        <v>1.4</v>
      </c>
      <c r="E155" s="0" t="s">
        <v>3066</v>
      </c>
    </row>
    <row r="156" customFormat="false" ht="15" hidden="false" customHeight="false" outlineLevel="0" collapsed="false">
      <c r="A156" s="0" t="s">
        <v>53</v>
      </c>
      <c r="B156" s="0" t="n">
        <v>3000</v>
      </c>
      <c r="C156" s="0" t="n">
        <v>4000</v>
      </c>
      <c r="D156" s="0" t="n">
        <v>0.75</v>
      </c>
      <c r="E156" s="0" t="s">
        <v>3077</v>
      </c>
    </row>
    <row r="157" customFormat="false" ht="15" hidden="false" customHeight="false" outlineLevel="0" collapsed="false">
      <c r="A157" s="0" t="s">
        <v>53</v>
      </c>
      <c r="B157" s="0" t="n">
        <v>3840</v>
      </c>
      <c r="C157" s="0" t="n">
        <v>4000</v>
      </c>
      <c r="D157" s="0" t="n">
        <v>0.96</v>
      </c>
      <c r="E157" s="0" t="s">
        <v>3089</v>
      </c>
    </row>
    <row r="158" customFormat="false" ht="15" hidden="false" customHeight="false" outlineLevel="0" collapsed="false">
      <c r="A158" s="0" t="s">
        <v>53</v>
      </c>
      <c r="B158" s="0" t="n">
        <v>6400</v>
      </c>
      <c r="C158" s="0" t="n">
        <v>4000</v>
      </c>
      <c r="D158" s="0" t="n">
        <v>1.6</v>
      </c>
      <c r="E158" s="0" t="s">
        <v>3100</v>
      </c>
    </row>
    <row r="159" customFormat="false" ht="15" hidden="false" customHeight="false" outlineLevel="0" collapsed="false">
      <c r="A159" s="0" t="s">
        <v>53</v>
      </c>
      <c r="B159" s="0" t="n">
        <v>3360</v>
      </c>
      <c r="C159" s="0" t="n">
        <v>4000</v>
      </c>
      <c r="D159" s="0" t="n">
        <v>0.84</v>
      </c>
      <c r="E159" s="0" t="s">
        <v>3111</v>
      </c>
    </row>
    <row r="160" customFormat="false" ht="15" hidden="false" customHeight="false" outlineLevel="0" collapsed="false">
      <c r="A160" s="0" t="s">
        <v>53</v>
      </c>
      <c r="B160" s="0" t="n">
        <v>2400</v>
      </c>
      <c r="C160" s="0" t="n">
        <v>4000</v>
      </c>
      <c r="D160" s="0" t="n">
        <v>0.6</v>
      </c>
      <c r="E160" s="0" t="s">
        <v>3123</v>
      </c>
    </row>
    <row r="161" customFormat="false" ht="15" hidden="false" customHeight="false" outlineLevel="0" collapsed="false">
      <c r="A161" s="0" t="s">
        <v>53</v>
      </c>
      <c r="B161" s="0" t="n">
        <v>5600</v>
      </c>
      <c r="C161" s="0" t="n">
        <v>4000</v>
      </c>
      <c r="D161" s="0" t="n">
        <v>1.4</v>
      </c>
      <c r="E161" s="0" t="s">
        <v>3135</v>
      </c>
    </row>
    <row r="162" customFormat="false" ht="15" hidden="false" customHeight="false" outlineLevel="0" collapsed="false">
      <c r="A162" s="0" t="s">
        <v>53</v>
      </c>
      <c r="B162" s="0" t="n">
        <v>3000</v>
      </c>
      <c r="C162" s="0" t="n">
        <v>4000</v>
      </c>
      <c r="D162" s="0" t="n">
        <v>0.75</v>
      </c>
      <c r="E162" s="0" t="s">
        <v>3146</v>
      </c>
    </row>
    <row r="163" customFormat="false" ht="15" hidden="false" customHeight="false" outlineLevel="0" collapsed="false">
      <c r="A163" s="0" t="s">
        <v>53</v>
      </c>
      <c r="B163" s="0" t="n">
        <v>6400</v>
      </c>
      <c r="C163" s="0" t="n">
        <v>4000</v>
      </c>
      <c r="D163" s="0" t="n">
        <v>1.6</v>
      </c>
      <c r="E163" s="0" t="s">
        <v>3157</v>
      </c>
    </row>
    <row r="164" customFormat="false" ht="15" hidden="false" customHeight="false" outlineLevel="0" collapsed="false">
      <c r="A164" s="0" t="s">
        <v>53</v>
      </c>
      <c r="B164" s="0" t="n">
        <v>3840</v>
      </c>
      <c r="C164" s="0" t="n">
        <v>4000</v>
      </c>
      <c r="D164" s="0" t="n">
        <v>0.96</v>
      </c>
      <c r="E164" s="0" t="s">
        <v>3168</v>
      </c>
    </row>
    <row r="165" customFormat="false" ht="15" hidden="false" customHeight="false" outlineLevel="0" collapsed="false">
      <c r="A165" s="0" t="s">
        <v>53</v>
      </c>
      <c r="B165" s="0" t="n">
        <v>3000</v>
      </c>
      <c r="C165" s="0" t="n">
        <v>4000</v>
      </c>
      <c r="D165" s="0" t="n">
        <v>0.75</v>
      </c>
      <c r="E165" s="0" t="s">
        <v>3179</v>
      </c>
    </row>
    <row r="166" customFormat="false" ht="15" hidden="false" customHeight="false" outlineLevel="0" collapsed="false">
      <c r="A166" s="0" t="s">
        <v>53</v>
      </c>
      <c r="B166" s="0" t="n">
        <v>1800</v>
      </c>
      <c r="C166" s="0" t="n">
        <v>4000</v>
      </c>
      <c r="D166" s="0" t="n">
        <v>0.45</v>
      </c>
      <c r="E166" s="0" t="s">
        <v>3191</v>
      </c>
    </row>
    <row r="167" customFormat="false" ht="15" hidden="false" customHeight="false" outlineLevel="0" collapsed="false">
      <c r="A167" s="0" t="s">
        <v>53</v>
      </c>
      <c r="B167" s="0" t="n">
        <v>5600</v>
      </c>
      <c r="C167" s="0" t="n">
        <v>4000</v>
      </c>
      <c r="D167" s="0" t="n">
        <v>1.4</v>
      </c>
      <c r="E167" s="0" t="s">
        <v>3204</v>
      </c>
    </row>
    <row r="168" customFormat="false" ht="15" hidden="false" customHeight="false" outlineLevel="0" collapsed="false">
      <c r="A168" s="0" t="s">
        <v>53</v>
      </c>
      <c r="B168" s="0" t="n">
        <v>3360</v>
      </c>
      <c r="C168" s="0" t="n">
        <v>4000</v>
      </c>
      <c r="D168" s="0" t="n">
        <v>0.84</v>
      </c>
      <c r="E168" s="0" t="s">
        <v>3215</v>
      </c>
    </row>
    <row r="169" customFormat="false" ht="15" hidden="false" customHeight="false" outlineLevel="0" collapsed="false">
      <c r="A169" s="0" t="s">
        <v>53</v>
      </c>
      <c r="B169" s="0" t="n">
        <v>6400</v>
      </c>
      <c r="C169" s="0" t="n">
        <v>4000</v>
      </c>
      <c r="D169" s="0" t="n">
        <v>1.6</v>
      </c>
      <c r="E169" s="0" t="s">
        <v>3227</v>
      </c>
    </row>
    <row r="170" customFormat="false" ht="15" hidden="false" customHeight="false" outlineLevel="0" collapsed="false">
      <c r="A170" s="0" t="s">
        <v>53</v>
      </c>
      <c r="B170" s="0" t="n">
        <v>3840</v>
      </c>
      <c r="C170" s="0" t="n">
        <v>4000</v>
      </c>
      <c r="D170" s="0" t="n">
        <v>0.96</v>
      </c>
      <c r="E170" s="0" t="s">
        <v>3238</v>
      </c>
    </row>
    <row r="171" customFormat="false" ht="15" hidden="false" customHeight="false" outlineLevel="0" collapsed="false">
      <c r="A171" s="0" t="s">
        <v>53</v>
      </c>
      <c r="B171" s="0" t="n">
        <v>3780</v>
      </c>
      <c r="C171" s="0" t="n">
        <v>4000</v>
      </c>
      <c r="D171" s="0" t="n">
        <v>0.945</v>
      </c>
      <c r="E171" s="0" t="s">
        <v>3249</v>
      </c>
    </row>
    <row r="172" customFormat="false" ht="15" hidden="false" customHeight="false" outlineLevel="0" collapsed="false">
      <c r="A172" s="0" t="s">
        <v>53</v>
      </c>
      <c r="B172" s="0" t="n">
        <v>1800</v>
      </c>
      <c r="C172" s="0" t="n">
        <v>4000</v>
      </c>
      <c r="D172" s="0" t="n">
        <v>0.45</v>
      </c>
      <c r="E172" s="0" t="s">
        <v>3263</v>
      </c>
    </row>
    <row r="173" customFormat="false" ht="15" hidden="false" customHeight="false" outlineLevel="0" collapsed="false">
      <c r="A173" s="0" t="s">
        <v>53</v>
      </c>
      <c r="B173" s="0" t="n">
        <v>6300</v>
      </c>
      <c r="C173" s="0" t="n">
        <v>4000</v>
      </c>
      <c r="D173" s="0" t="n">
        <v>1.575</v>
      </c>
      <c r="E173" s="0" t="s">
        <v>3276</v>
      </c>
    </row>
    <row r="174" customFormat="false" ht="15" hidden="false" customHeight="false" outlineLevel="0" collapsed="false">
      <c r="A174" s="0" t="s">
        <v>53</v>
      </c>
      <c r="B174" s="0" t="n">
        <v>3000</v>
      </c>
      <c r="C174" s="0" t="n">
        <v>4000</v>
      </c>
      <c r="D174" s="0" t="n">
        <v>0.75</v>
      </c>
      <c r="E174" s="0" t="s">
        <v>3297</v>
      </c>
    </row>
    <row r="175" customFormat="false" ht="15" hidden="false" customHeight="false" outlineLevel="0" collapsed="false">
      <c r="A175" s="0" t="s">
        <v>53</v>
      </c>
      <c r="B175" s="0" t="n">
        <v>4320</v>
      </c>
      <c r="C175" s="0" t="n">
        <v>4000</v>
      </c>
      <c r="D175" s="0" t="n">
        <v>1.08</v>
      </c>
      <c r="E175" s="0" t="s">
        <v>3317</v>
      </c>
    </row>
    <row r="176" customFormat="false" ht="15" hidden="false" customHeight="false" outlineLevel="0" collapsed="false">
      <c r="A176" s="0" t="s">
        <v>53</v>
      </c>
      <c r="B176" s="0" t="n">
        <v>7200</v>
      </c>
      <c r="C176" s="0" t="n">
        <v>4000</v>
      </c>
      <c r="D176" s="0" t="n">
        <v>1.8</v>
      </c>
      <c r="E176" s="0" t="s">
        <v>3331</v>
      </c>
    </row>
    <row r="177" customFormat="false" ht="15" hidden="false" customHeight="false" outlineLevel="0" collapsed="false">
      <c r="A177" s="0" t="s">
        <v>53</v>
      </c>
      <c r="B177" s="0" t="n">
        <v>2664</v>
      </c>
      <c r="C177" s="0" t="n">
        <v>3700</v>
      </c>
      <c r="D177" s="0" t="n">
        <v>0.72</v>
      </c>
      <c r="E177" s="0" t="s">
        <v>3348</v>
      </c>
    </row>
    <row r="178" customFormat="false" ht="15" hidden="false" customHeight="false" outlineLevel="0" collapsed="false">
      <c r="A178" s="0" t="s">
        <v>53</v>
      </c>
      <c r="B178" s="0" t="n">
        <v>1170</v>
      </c>
      <c r="C178" s="0" t="n">
        <v>3900</v>
      </c>
      <c r="D178" s="0" t="n">
        <v>0.3</v>
      </c>
      <c r="E178" s="0" t="s">
        <v>3361</v>
      </c>
    </row>
    <row r="179" customFormat="false" ht="15" hidden="false" customHeight="false" outlineLevel="0" collapsed="false">
      <c r="A179" s="0" t="s">
        <v>53</v>
      </c>
      <c r="B179" s="0" t="n">
        <v>3780</v>
      </c>
      <c r="C179" s="0" t="n">
        <v>4500</v>
      </c>
      <c r="D179" s="0" t="n">
        <v>0.84</v>
      </c>
      <c r="E179" s="0" t="s">
        <v>3385</v>
      </c>
    </row>
    <row r="180" customFormat="false" ht="15" hidden="false" customHeight="false" outlineLevel="0" collapsed="false">
      <c r="A180" s="0" t="s">
        <v>53</v>
      </c>
      <c r="B180" s="0" t="n">
        <v>6300</v>
      </c>
      <c r="C180" s="0" t="n">
        <v>4500</v>
      </c>
      <c r="D180" s="0" t="n">
        <v>1.4</v>
      </c>
      <c r="E180" s="0" t="s">
        <v>3394</v>
      </c>
    </row>
    <row r="181" customFormat="false" ht="15" hidden="false" customHeight="false" outlineLevel="0" collapsed="false">
      <c r="A181" s="0" t="s">
        <v>53</v>
      </c>
      <c r="B181" s="0" t="n">
        <v>2025</v>
      </c>
      <c r="C181" s="0" t="n">
        <v>4500</v>
      </c>
      <c r="D181" s="0" t="n">
        <v>0.45</v>
      </c>
      <c r="E181" s="0" t="s">
        <v>3403</v>
      </c>
    </row>
    <row r="182" customFormat="false" ht="15" hidden="false" customHeight="false" outlineLevel="0" collapsed="false">
      <c r="A182" s="0" t="s">
        <v>53</v>
      </c>
      <c r="B182" s="0" t="n">
        <v>3375</v>
      </c>
      <c r="C182" s="0" t="n">
        <v>4500</v>
      </c>
      <c r="D182" s="0" t="n">
        <v>0.75</v>
      </c>
      <c r="E182" s="0" t="s">
        <v>3412</v>
      </c>
    </row>
    <row r="183" customFormat="false" ht="15" hidden="false" customHeight="false" outlineLevel="0" collapsed="false">
      <c r="A183" s="0" t="s">
        <v>53</v>
      </c>
      <c r="B183" s="0" t="n">
        <v>4320</v>
      </c>
      <c r="C183" s="0" t="n">
        <v>4500</v>
      </c>
      <c r="D183" s="0" t="n">
        <v>0.96</v>
      </c>
      <c r="E183" s="0" t="s">
        <v>3421</v>
      </c>
    </row>
    <row r="184" customFormat="false" ht="15" hidden="false" customHeight="false" outlineLevel="0" collapsed="false">
      <c r="A184" s="0" t="s">
        <v>53</v>
      </c>
      <c r="B184" s="0" t="n">
        <v>7200</v>
      </c>
      <c r="C184" s="0" t="n">
        <v>4500</v>
      </c>
      <c r="D184" s="0" t="n">
        <v>1.6</v>
      </c>
      <c r="E184" s="0" t="s">
        <v>3430</v>
      </c>
    </row>
    <row r="185" customFormat="false" ht="15" hidden="false" customHeight="false" outlineLevel="0" collapsed="false">
      <c r="A185" s="0" t="s">
        <v>60</v>
      </c>
      <c r="B185" s="0" t="n">
        <v>200</v>
      </c>
      <c r="C185" s="0" t="n">
        <v>4000</v>
      </c>
      <c r="D185" s="0" t="n">
        <v>0.05</v>
      </c>
      <c r="E185" s="0" t="s">
        <v>61</v>
      </c>
    </row>
    <row r="186" customFormat="false" ht="15" hidden="false" customHeight="false" outlineLevel="0" collapsed="false">
      <c r="A186" s="0" t="s">
        <v>60</v>
      </c>
      <c r="B186" s="0" t="n">
        <v>200</v>
      </c>
      <c r="C186" s="0" t="n">
        <v>4000</v>
      </c>
      <c r="D186" s="0" t="n">
        <v>0.05</v>
      </c>
      <c r="E186" s="0" t="s">
        <v>75</v>
      </c>
    </row>
    <row r="187" customFormat="false" ht="15" hidden="false" customHeight="false" outlineLevel="0" collapsed="false">
      <c r="A187" s="0" t="s">
        <v>60</v>
      </c>
      <c r="B187" s="0" t="n">
        <v>7200</v>
      </c>
      <c r="C187" s="0" t="n">
        <v>4000</v>
      </c>
      <c r="D187" s="0" t="n">
        <v>1.8</v>
      </c>
      <c r="E187" s="0" t="s">
        <v>95</v>
      </c>
    </row>
    <row r="188" customFormat="false" ht="15" hidden="false" customHeight="false" outlineLevel="0" collapsed="false">
      <c r="A188" s="0" t="s">
        <v>60</v>
      </c>
      <c r="B188" s="0" t="n">
        <v>50</v>
      </c>
      <c r="C188" s="0" t="n">
        <v>4000</v>
      </c>
      <c r="D188" s="0" t="n">
        <v>0.0125</v>
      </c>
      <c r="E188" s="0" t="s">
        <v>108</v>
      </c>
    </row>
    <row r="189" customFormat="false" ht="15" hidden="false" customHeight="false" outlineLevel="0" collapsed="false">
      <c r="A189" s="0" t="s">
        <v>60</v>
      </c>
      <c r="B189" s="0" t="n">
        <v>100</v>
      </c>
      <c r="C189" s="0" t="n">
        <v>4000</v>
      </c>
      <c r="D189" s="0" t="n">
        <v>0.025</v>
      </c>
      <c r="E189" s="0" t="s">
        <v>119</v>
      </c>
    </row>
    <row r="190" customFormat="false" ht="15" hidden="false" customHeight="false" outlineLevel="0" collapsed="false">
      <c r="A190" s="0" t="s">
        <v>60</v>
      </c>
      <c r="B190" s="0" t="n">
        <v>200</v>
      </c>
      <c r="C190" s="0" t="n">
        <v>4000</v>
      </c>
      <c r="D190" s="0" t="n">
        <v>0.05</v>
      </c>
      <c r="E190" s="0" t="s">
        <v>136</v>
      </c>
    </row>
    <row r="191" customFormat="false" ht="15" hidden="false" customHeight="false" outlineLevel="0" collapsed="false">
      <c r="A191" s="0" t="s">
        <v>60</v>
      </c>
      <c r="B191" s="0" t="n">
        <v>50</v>
      </c>
      <c r="C191" s="0" t="n">
        <v>4000</v>
      </c>
      <c r="D191" s="0" t="n">
        <v>0.0125</v>
      </c>
      <c r="E191" s="0" t="s">
        <v>150</v>
      </c>
    </row>
    <row r="192" customFormat="false" ht="15" hidden="false" customHeight="false" outlineLevel="0" collapsed="false">
      <c r="A192" s="0" t="s">
        <v>60</v>
      </c>
      <c r="B192" s="0" t="n">
        <v>100</v>
      </c>
      <c r="C192" s="0" t="n">
        <v>4000</v>
      </c>
      <c r="D192" s="0" t="n">
        <v>0.025</v>
      </c>
      <c r="E192" s="0" t="s">
        <v>164</v>
      </c>
    </row>
    <row r="193" customFormat="false" ht="15" hidden="false" customHeight="false" outlineLevel="0" collapsed="false">
      <c r="A193" s="0" t="s">
        <v>60</v>
      </c>
      <c r="B193" s="0" t="n">
        <v>200</v>
      </c>
      <c r="C193" s="0" t="n">
        <v>4000</v>
      </c>
      <c r="D193" s="0" t="n">
        <v>0.05</v>
      </c>
      <c r="E193" s="0" t="s">
        <v>178</v>
      </c>
    </row>
    <row r="194" customFormat="false" ht="15" hidden="false" customHeight="false" outlineLevel="0" collapsed="false">
      <c r="A194" s="0" t="s">
        <v>60</v>
      </c>
      <c r="B194" s="0" t="n">
        <v>200</v>
      </c>
      <c r="C194" s="0" t="n">
        <v>4000</v>
      </c>
      <c r="D194" s="0" t="n">
        <v>0.05</v>
      </c>
      <c r="E194" s="0" t="s">
        <v>193</v>
      </c>
    </row>
    <row r="195" customFormat="false" ht="15" hidden="false" customHeight="false" outlineLevel="0" collapsed="false">
      <c r="A195" s="0" t="s">
        <v>60</v>
      </c>
      <c r="B195" s="0" t="n">
        <v>50</v>
      </c>
      <c r="C195" s="0" t="n">
        <v>4000</v>
      </c>
      <c r="D195" s="0" t="n">
        <v>0.0125</v>
      </c>
      <c r="E195" s="0" t="s">
        <v>208</v>
      </c>
    </row>
    <row r="196" customFormat="false" ht="15" hidden="false" customHeight="false" outlineLevel="0" collapsed="false">
      <c r="A196" s="0" t="s">
        <v>60</v>
      </c>
      <c r="B196" s="0" t="n">
        <v>200</v>
      </c>
      <c r="C196" s="0" t="n">
        <v>4000</v>
      </c>
      <c r="D196" s="0" t="n">
        <v>0.05</v>
      </c>
      <c r="E196" s="0" t="s">
        <v>222</v>
      </c>
    </row>
    <row r="197" customFormat="false" ht="15" hidden="false" customHeight="false" outlineLevel="0" collapsed="false">
      <c r="A197" s="0" t="s">
        <v>60</v>
      </c>
      <c r="B197" s="0" t="n">
        <v>200</v>
      </c>
      <c r="C197" s="0" t="n">
        <v>4000</v>
      </c>
      <c r="D197" s="0" t="n">
        <v>0.05</v>
      </c>
      <c r="E197" s="0" t="s">
        <v>237</v>
      </c>
    </row>
    <row r="198" customFormat="false" ht="15" hidden="false" customHeight="false" outlineLevel="0" collapsed="false">
      <c r="A198" s="0" t="s">
        <v>60</v>
      </c>
      <c r="B198" s="0" t="n">
        <v>200</v>
      </c>
      <c r="C198" s="0" t="n">
        <v>4000</v>
      </c>
      <c r="D198" s="0" t="n">
        <v>0.05</v>
      </c>
      <c r="E198" s="0" t="s">
        <v>252</v>
      </c>
    </row>
    <row r="199" customFormat="false" ht="15" hidden="false" customHeight="false" outlineLevel="0" collapsed="false">
      <c r="A199" s="0" t="s">
        <v>60</v>
      </c>
      <c r="B199" s="0" t="n">
        <v>200</v>
      </c>
      <c r="C199" s="0" t="n">
        <v>4000</v>
      </c>
      <c r="D199" s="0" t="n">
        <v>0.05</v>
      </c>
      <c r="E199" s="0" t="s">
        <v>265</v>
      </c>
    </row>
    <row r="200" customFormat="false" ht="15" hidden="false" customHeight="false" outlineLevel="0" collapsed="false">
      <c r="A200" s="0" t="s">
        <v>60</v>
      </c>
      <c r="B200" s="0" t="n">
        <v>200</v>
      </c>
      <c r="C200" s="0" t="n">
        <v>4000</v>
      </c>
      <c r="D200" s="0" t="n">
        <v>0.05</v>
      </c>
      <c r="E200" s="0" t="s">
        <v>278</v>
      </c>
    </row>
    <row r="201" customFormat="false" ht="15" hidden="false" customHeight="false" outlineLevel="0" collapsed="false">
      <c r="A201" s="0" t="s">
        <v>60</v>
      </c>
      <c r="B201" s="0" t="n">
        <v>200</v>
      </c>
      <c r="C201" s="0" t="n">
        <v>4000</v>
      </c>
      <c r="D201" s="0" t="n">
        <v>0.05</v>
      </c>
      <c r="E201" s="0" t="s">
        <v>291</v>
      </c>
    </row>
    <row r="202" customFormat="false" ht="15" hidden="false" customHeight="false" outlineLevel="0" collapsed="false">
      <c r="A202" s="0" t="s">
        <v>60</v>
      </c>
      <c r="B202" s="0" t="n">
        <v>200</v>
      </c>
      <c r="C202" s="0" t="n">
        <v>4000</v>
      </c>
      <c r="D202" s="0" t="n">
        <v>0.05</v>
      </c>
      <c r="E202" s="0" t="s">
        <v>306</v>
      </c>
    </row>
    <row r="203" customFormat="false" ht="15" hidden="false" customHeight="false" outlineLevel="0" collapsed="false">
      <c r="A203" s="0" t="s">
        <v>60</v>
      </c>
      <c r="B203" s="0" t="n">
        <v>200</v>
      </c>
      <c r="C203" s="0" t="n">
        <v>4000</v>
      </c>
      <c r="D203" s="0" t="n">
        <v>0.05</v>
      </c>
      <c r="E203" s="0" t="s">
        <v>319</v>
      </c>
    </row>
    <row r="204" customFormat="false" ht="15" hidden="false" customHeight="false" outlineLevel="0" collapsed="false">
      <c r="A204" s="0" t="s">
        <v>60</v>
      </c>
      <c r="B204" s="0" t="n">
        <v>200</v>
      </c>
      <c r="C204" s="0" t="n">
        <v>4000</v>
      </c>
      <c r="D204" s="0" t="n">
        <v>0.05</v>
      </c>
      <c r="E204" s="0" t="s">
        <v>331</v>
      </c>
    </row>
    <row r="205" customFormat="false" ht="15" hidden="false" customHeight="false" outlineLevel="0" collapsed="false">
      <c r="A205" s="0" t="s">
        <v>60</v>
      </c>
      <c r="B205" s="0" t="n">
        <v>50</v>
      </c>
      <c r="C205" s="0" t="n">
        <v>4000</v>
      </c>
      <c r="D205" s="0" t="n">
        <v>0.0125</v>
      </c>
      <c r="E205" s="0" t="s">
        <v>370</v>
      </c>
    </row>
    <row r="206" customFormat="false" ht="15" hidden="false" customHeight="false" outlineLevel="0" collapsed="false">
      <c r="A206" s="0" t="s">
        <v>60</v>
      </c>
      <c r="B206" s="0" t="n">
        <v>200</v>
      </c>
      <c r="C206" s="0" t="n">
        <v>4000</v>
      </c>
      <c r="D206" s="0" t="n">
        <v>0.05</v>
      </c>
      <c r="E206" s="0" t="s">
        <v>383</v>
      </c>
    </row>
    <row r="207" customFormat="false" ht="15" hidden="false" customHeight="false" outlineLevel="0" collapsed="false">
      <c r="A207" s="0" t="s">
        <v>60</v>
      </c>
      <c r="B207" s="0" t="n">
        <v>200</v>
      </c>
      <c r="C207" s="0" t="n">
        <v>4000</v>
      </c>
      <c r="D207" s="0" t="n">
        <v>0.05</v>
      </c>
      <c r="E207" s="0" t="s">
        <v>395</v>
      </c>
    </row>
    <row r="208" customFormat="false" ht="15" hidden="false" customHeight="false" outlineLevel="0" collapsed="false">
      <c r="A208" s="0" t="s">
        <v>60</v>
      </c>
      <c r="B208" s="0" t="n">
        <v>200</v>
      </c>
      <c r="C208" s="0" t="n">
        <v>4000</v>
      </c>
      <c r="D208" s="0" t="n">
        <v>0.05</v>
      </c>
      <c r="E208" s="0" t="s">
        <v>420</v>
      </c>
    </row>
    <row r="209" customFormat="false" ht="15" hidden="false" customHeight="false" outlineLevel="0" collapsed="false">
      <c r="A209" s="0" t="s">
        <v>60</v>
      </c>
      <c r="B209" s="0" t="n">
        <v>200</v>
      </c>
      <c r="C209" s="0" t="n">
        <v>4000</v>
      </c>
      <c r="D209" s="0" t="n">
        <v>0.05</v>
      </c>
      <c r="E209" s="0" t="s">
        <v>433</v>
      </c>
    </row>
    <row r="210" customFormat="false" ht="15" hidden="false" customHeight="false" outlineLevel="0" collapsed="false">
      <c r="A210" s="0" t="s">
        <v>60</v>
      </c>
      <c r="B210" s="0" t="n">
        <v>500</v>
      </c>
      <c r="C210" s="0" t="n">
        <v>4000</v>
      </c>
      <c r="D210" s="0" t="n">
        <v>0.125</v>
      </c>
      <c r="E210" s="0" t="s">
        <v>483</v>
      </c>
    </row>
    <row r="211" customFormat="false" ht="15" hidden="false" customHeight="false" outlineLevel="0" collapsed="false">
      <c r="A211" s="0" t="s">
        <v>60</v>
      </c>
      <c r="B211" s="0" t="n">
        <v>132</v>
      </c>
      <c r="C211" s="0" t="n">
        <v>4000</v>
      </c>
      <c r="D211" s="0" t="n">
        <v>0.033</v>
      </c>
      <c r="E211" s="0" t="s">
        <v>496</v>
      </c>
    </row>
    <row r="212" customFormat="false" ht="15" hidden="false" customHeight="false" outlineLevel="0" collapsed="false">
      <c r="A212" s="0" t="s">
        <v>60</v>
      </c>
      <c r="B212" s="0" t="n">
        <v>65</v>
      </c>
      <c r="C212" s="0" t="n">
        <v>4000</v>
      </c>
      <c r="D212" s="0" t="n">
        <v>0.01625</v>
      </c>
      <c r="E212" s="0" t="s">
        <v>509</v>
      </c>
    </row>
    <row r="213" customFormat="false" ht="15" hidden="false" customHeight="false" outlineLevel="0" collapsed="false">
      <c r="A213" s="0" t="s">
        <v>60</v>
      </c>
      <c r="B213" s="0" t="n">
        <v>50</v>
      </c>
      <c r="C213" s="0" t="n">
        <v>4000</v>
      </c>
      <c r="D213" s="0" t="n">
        <v>0.0125</v>
      </c>
      <c r="E213" s="0" t="s">
        <v>521</v>
      </c>
    </row>
    <row r="214" customFormat="false" ht="15" hidden="false" customHeight="false" outlineLevel="0" collapsed="false">
      <c r="A214" s="0" t="s">
        <v>60</v>
      </c>
      <c r="B214" s="0" t="n">
        <v>200</v>
      </c>
      <c r="C214" s="0" t="n">
        <v>4000</v>
      </c>
      <c r="D214" s="0" t="n">
        <v>0.05</v>
      </c>
      <c r="E214" s="0" t="s">
        <v>536</v>
      </c>
    </row>
    <row r="215" customFormat="false" ht="15" hidden="false" customHeight="false" outlineLevel="0" collapsed="false">
      <c r="A215" s="0" t="s">
        <v>60</v>
      </c>
      <c r="B215" s="0" t="n">
        <v>200</v>
      </c>
      <c r="C215" s="0" t="n">
        <v>4000</v>
      </c>
      <c r="D215" s="0" t="n">
        <v>0.05</v>
      </c>
      <c r="E215" s="0" t="s">
        <v>550</v>
      </c>
    </row>
    <row r="216" customFormat="false" ht="15" hidden="false" customHeight="false" outlineLevel="0" collapsed="false">
      <c r="A216" s="0" t="s">
        <v>60</v>
      </c>
      <c r="B216" s="0" t="n">
        <v>200</v>
      </c>
      <c r="C216" s="0" t="n">
        <v>4000</v>
      </c>
      <c r="D216" s="0" t="n">
        <v>0.05</v>
      </c>
      <c r="E216" s="0" t="s">
        <v>567</v>
      </c>
    </row>
    <row r="217" customFormat="false" ht="15" hidden="false" customHeight="false" outlineLevel="0" collapsed="false">
      <c r="A217" s="0" t="s">
        <v>60</v>
      </c>
      <c r="B217" s="0" t="n">
        <v>200</v>
      </c>
      <c r="C217" s="0" t="n">
        <v>4000</v>
      </c>
      <c r="D217" s="0" t="n">
        <v>0.05</v>
      </c>
      <c r="E217" s="0" t="s">
        <v>588</v>
      </c>
    </row>
    <row r="218" customFormat="false" ht="15" hidden="false" customHeight="false" outlineLevel="0" collapsed="false">
      <c r="A218" s="0" t="s">
        <v>60</v>
      </c>
      <c r="B218" s="0" t="n">
        <v>200</v>
      </c>
      <c r="C218" s="0" t="n">
        <v>4000</v>
      </c>
      <c r="D218" s="0" t="n">
        <v>0.05</v>
      </c>
      <c r="E218" s="0" t="s">
        <v>605</v>
      </c>
    </row>
    <row r="219" customFormat="false" ht="15" hidden="false" customHeight="false" outlineLevel="0" collapsed="false">
      <c r="A219" s="0" t="s">
        <v>60</v>
      </c>
      <c r="B219" s="0" t="n">
        <v>200</v>
      </c>
      <c r="C219" s="0" t="n">
        <v>4000</v>
      </c>
      <c r="D219" s="0" t="n">
        <v>0.05</v>
      </c>
      <c r="E219" s="0" t="s">
        <v>620</v>
      </c>
    </row>
    <row r="220" customFormat="false" ht="15" hidden="false" customHeight="false" outlineLevel="0" collapsed="false">
      <c r="A220" s="0" t="s">
        <v>60</v>
      </c>
      <c r="B220" s="0" t="n">
        <v>250</v>
      </c>
      <c r="C220" s="0" t="n">
        <v>3800</v>
      </c>
      <c r="D220" s="0" t="n">
        <v>0.0657894736842105</v>
      </c>
      <c r="E220" s="0" t="s">
        <v>631</v>
      </c>
    </row>
    <row r="221" customFormat="false" ht="15" hidden="false" customHeight="false" outlineLevel="0" collapsed="false">
      <c r="A221" s="0" t="s">
        <v>60</v>
      </c>
      <c r="B221" s="0" t="n">
        <v>250</v>
      </c>
      <c r="C221" s="0" t="n">
        <v>3800</v>
      </c>
      <c r="D221" s="0" t="n">
        <v>0.0657894736842105</v>
      </c>
      <c r="E221" s="0" t="s">
        <v>641</v>
      </c>
    </row>
    <row r="222" customFormat="false" ht="15" hidden="false" customHeight="false" outlineLevel="0" collapsed="false">
      <c r="A222" s="0" t="s">
        <v>60</v>
      </c>
      <c r="B222" s="0" t="n">
        <v>250</v>
      </c>
      <c r="C222" s="0" t="n">
        <v>3800</v>
      </c>
      <c r="D222" s="0" t="n">
        <v>0.0657894736842105</v>
      </c>
      <c r="E222" s="0" t="s">
        <v>655</v>
      </c>
    </row>
    <row r="223" customFormat="false" ht="15" hidden="false" customHeight="false" outlineLevel="0" collapsed="false">
      <c r="A223" s="0" t="s">
        <v>60</v>
      </c>
      <c r="B223" s="0" t="n">
        <v>250</v>
      </c>
      <c r="C223" s="0" t="n">
        <v>3800</v>
      </c>
      <c r="D223" s="0" t="n">
        <v>0.0657894736842105</v>
      </c>
      <c r="E223" s="0" t="s">
        <v>665</v>
      </c>
    </row>
    <row r="224" customFormat="false" ht="15" hidden="false" customHeight="false" outlineLevel="0" collapsed="false">
      <c r="A224" s="0" t="s">
        <v>60</v>
      </c>
      <c r="B224" s="0" t="n">
        <v>250</v>
      </c>
      <c r="C224" s="0" t="n">
        <v>3800</v>
      </c>
      <c r="D224" s="0" t="n">
        <v>0.0657894736842105</v>
      </c>
      <c r="E224" s="0" t="s">
        <v>678</v>
      </c>
    </row>
    <row r="225" customFormat="false" ht="15" hidden="false" customHeight="false" outlineLevel="0" collapsed="false">
      <c r="A225" s="0" t="s">
        <v>60</v>
      </c>
      <c r="B225" s="0" t="n">
        <v>250</v>
      </c>
      <c r="C225" s="0" t="n">
        <v>3800</v>
      </c>
      <c r="D225" s="0" t="n">
        <v>0.0657894736842105</v>
      </c>
      <c r="E225" s="0" t="s">
        <v>688</v>
      </c>
    </row>
    <row r="226" customFormat="false" ht="15" hidden="false" customHeight="false" outlineLevel="0" collapsed="false">
      <c r="A226" s="0" t="s">
        <v>60</v>
      </c>
      <c r="B226" s="0" t="n">
        <v>250</v>
      </c>
      <c r="C226" s="0" t="n">
        <v>3800</v>
      </c>
      <c r="D226" s="0" t="n">
        <v>0.0657894736842105</v>
      </c>
      <c r="E226" s="0" t="s">
        <v>699</v>
      </c>
    </row>
    <row r="227" customFormat="false" ht="15" hidden="false" customHeight="false" outlineLevel="0" collapsed="false">
      <c r="A227" s="0" t="s">
        <v>60</v>
      </c>
      <c r="B227" s="0" t="n">
        <v>250</v>
      </c>
      <c r="C227" s="0" t="n">
        <v>3800</v>
      </c>
      <c r="D227" s="0" t="n">
        <v>0.0657894736842105</v>
      </c>
      <c r="E227" s="0" t="s">
        <v>709</v>
      </c>
    </row>
    <row r="228" customFormat="false" ht="15" hidden="false" customHeight="false" outlineLevel="0" collapsed="false">
      <c r="A228" s="0" t="s">
        <v>60</v>
      </c>
      <c r="B228" s="0" t="n">
        <v>250</v>
      </c>
      <c r="C228" s="0" t="n">
        <v>3800</v>
      </c>
      <c r="D228" s="0" t="n">
        <v>0.0657894736842105</v>
      </c>
      <c r="E228" s="0" t="s">
        <v>719</v>
      </c>
    </row>
    <row r="229" customFormat="false" ht="15" hidden="false" customHeight="false" outlineLevel="0" collapsed="false">
      <c r="A229" s="0" t="s">
        <v>60</v>
      </c>
      <c r="B229" s="0" t="n">
        <v>250</v>
      </c>
      <c r="C229" s="0" t="n">
        <v>3800</v>
      </c>
      <c r="D229" s="0" t="n">
        <v>0.0657894736842105</v>
      </c>
      <c r="E229" s="0" t="s">
        <v>729</v>
      </c>
    </row>
    <row r="230" customFormat="false" ht="15" hidden="false" customHeight="false" outlineLevel="0" collapsed="false">
      <c r="A230" s="0" t="s">
        <v>60</v>
      </c>
      <c r="B230" s="0" t="n">
        <v>200</v>
      </c>
      <c r="C230" s="0" t="n">
        <v>3800</v>
      </c>
      <c r="D230" s="0" t="n">
        <v>0.0526315789473684</v>
      </c>
      <c r="E230" s="0" t="s">
        <v>748</v>
      </c>
    </row>
    <row r="231" customFormat="false" ht="15" hidden="false" customHeight="false" outlineLevel="0" collapsed="false">
      <c r="A231" s="0" t="s">
        <v>60</v>
      </c>
      <c r="B231" s="0" t="n">
        <v>200</v>
      </c>
      <c r="C231" s="0" t="n">
        <v>3800</v>
      </c>
      <c r="D231" s="0" t="n">
        <v>0.0526315789473684</v>
      </c>
      <c r="E231" s="0" t="s">
        <v>764</v>
      </c>
    </row>
    <row r="232" customFormat="false" ht="15" hidden="false" customHeight="false" outlineLevel="0" collapsed="false">
      <c r="A232" s="0" t="s">
        <v>60</v>
      </c>
      <c r="B232" s="0" t="n">
        <v>200</v>
      </c>
      <c r="C232" s="0" t="n">
        <v>3800</v>
      </c>
      <c r="D232" s="0" t="n">
        <v>0.0526315789473684</v>
      </c>
      <c r="E232" s="0" t="s">
        <v>779</v>
      </c>
    </row>
    <row r="233" customFormat="false" ht="15" hidden="false" customHeight="false" outlineLevel="0" collapsed="false">
      <c r="A233" s="0" t="s">
        <v>60</v>
      </c>
      <c r="B233" s="0" t="n">
        <v>200</v>
      </c>
      <c r="C233" s="0" t="n">
        <v>3800</v>
      </c>
      <c r="D233" s="0" t="n">
        <v>0.0526315789473684</v>
      </c>
      <c r="E233" s="0" t="s">
        <v>807</v>
      </c>
    </row>
    <row r="234" customFormat="false" ht="15" hidden="false" customHeight="false" outlineLevel="0" collapsed="false">
      <c r="A234" s="0" t="s">
        <v>60</v>
      </c>
      <c r="B234" s="0" t="n">
        <v>200</v>
      </c>
      <c r="C234" s="0" t="n">
        <v>3800</v>
      </c>
      <c r="D234" s="0" t="n">
        <v>0.0526315789473684</v>
      </c>
      <c r="E234" s="0" t="s">
        <v>821</v>
      </c>
    </row>
    <row r="235" customFormat="false" ht="15" hidden="false" customHeight="false" outlineLevel="0" collapsed="false">
      <c r="A235" s="0" t="s">
        <v>60</v>
      </c>
      <c r="B235" s="0" t="n">
        <v>200</v>
      </c>
      <c r="C235" s="0" t="n">
        <v>3800</v>
      </c>
      <c r="D235" s="0" t="n">
        <v>0.0526315789473684</v>
      </c>
      <c r="E235" s="0" t="s">
        <v>837</v>
      </c>
    </row>
    <row r="236" customFormat="false" ht="15" hidden="false" customHeight="false" outlineLevel="0" collapsed="false">
      <c r="A236" s="0" t="s">
        <v>60</v>
      </c>
      <c r="B236" s="0" t="n">
        <v>200</v>
      </c>
      <c r="C236" s="0" t="n">
        <v>3800</v>
      </c>
      <c r="D236" s="0" t="n">
        <v>0.0526315789473684</v>
      </c>
      <c r="E236" s="0" t="s">
        <v>853</v>
      </c>
    </row>
    <row r="237" customFormat="false" ht="15" hidden="false" customHeight="false" outlineLevel="0" collapsed="false">
      <c r="A237" s="0" t="s">
        <v>60</v>
      </c>
      <c r="B237" s="0" t="n">
        <v>200</v>
      </c>
      <c r="C237" s="0" t="n">
        <v>3800</v>
      </c>
      <c r="D237" s="0" t="n">
        <v>0.0526315789473684</v>
      </c>
      <c r="E237" s="0" t="s">
        <v>869</v>
      </c>
    </row>
    <row r="238" customFormat="false" ht="15" hidden="false" customHeight="false" outlineLevel="0" collapsed="false">
      <c r="A238" s="0" t="s">
        <v>60</v>
      </c>
      <c r="B238" s="0" t="n">
        <v>200</v>
      </c>
      <c r="C238" s="0" t="n">
        <v>3800</v>
      </c>
      <c r="D238" s="0" t="n">
        <v>0.0526315789473684</v>
      </c>
      <c r="E238" s="0" t="s">
        <v>887</v>
      </c>
    </row>
    <row r="239" customFormat="false" ht="15" hidden="false" customHeight="false" outlineLevel="0" collapsed="false">
      <c r="A239" s="0" t="s">
        <v>60</v>
      </c>
      <c r="B239" s="0" t="n">
        <v>200</v>
      </c>
      <c r="C239" s="0" t="n">
        <v>3800</v>
      </c>
      <c r="D239" s="0" t="n">
        <v>0.0526315789473684</v>
      </c>
      <c r="E239" s="0" t="s">
        <v>904</v>
      </c>
    </row>
    <row r="240" customFormat="false" ht="15" hidden="false" customHeight="false" outlineLevel="0" collapsed="false">
      <c r="A240" s="0" t="s">
        <v>60</v>
      </c>
      <c r="B240" s="0" t="n">
        <v>200</v>
      </c>
      <c r="C240" s="0" t="n">
        <v>3800</v>
      </c>
      <c r="D240" s="0" t="n">
        <v>0.0526315789473684</v>
      </c>
      <c r="E240" s="0" t="s">
        <v>916</v>
      </c>
    </row>
    <row r="241" customFormat="false" ht="15" hidden="false" customHeight="false" outlineLevel="0" collapsed="false">
      <c r="A241" s="0" t="s">
        <v>60</v>
      </c>
      <c r="B241" s="0" t="n">
        <v>200</v>
      </c>
      <c r="C241" s="0" t="n">
        <v>3800</v>
      </c>
      <c r="D241" s="0" t="n">
        <v>0.0526315789473684</v>
      </c>
      <c r="E241" s="0" t="s">
        <v>932</v>
      </c>
    </row>
    <row r="242" customFormat="false" ht="15" hidden="false" customHeight="false" outlineLevel="0" collapsed="false">
      <c r="A242" s="0" t="s">
        <v>60</v>
      </c>
      <c r="B242" s="0" t="n">
        <v>200</v>
      </c>
      <c r="C242" s="0" t="n">
        <v>3800</v>
      </c>
      <c r="D242" s="0" t="n">
        <v>0.0526315789473684</v>
      </c>
      <c r="E242" s="0" t="s">
        <v>949</v>
      </c>
    </row>
    <row r="243" customFormat="false" ht="15" hidden="false" customHeight="false" outlineLevel="0" collapsed="false">
      <c r="A243" s="0" t="s">
        <v>60</v>
      </c>
      <c r="B243" s="0" t="n">
        <v>200</v>
      </c>
      <c r="C243" s="0" t="n">
        <v>3800</v>
      </c>
      <c r="D243" s="0" t="n">
        <v>0.0526315789473684</v>
      </c>
      <c r="E243" s="0" t="s">
        <v>965</v>
      </c>
    </row>
    <row r="244" customFormat="false" ht="15" hidden="false" customHeight="false" outlineLevel="0" collapsed="false">
      <c r="A244" s="0" t="s">
        <v>60</v>
      </c>
      <c r="B244" s="0" t="n">
        <v>200</v>
      </c>
      <c r="C244" s="0" t="n">
        <v>4000</v>
      </c>
      <c r="D244" s="0" t="n">
        <v>0.05</v>
      </c>
      <c r="E244" s="0" t="s">
        <v>1000</v>
      </c>
    </row>
    <row r="245" customFormat="false" ht="15" hidden="false" customHeight="false" outlineLevel="0" collapsed="false">
      <c r="A245" s="0" t="s">
        <v>60</v>
      </c>
      <c r="B245" s="0" t="n">
        <v>200</v>
      </c>
      <c r="C245" s="0" t="n">
        <v>4000</v>
      </c>
      <c r="D245" s="0" t="n">
        <v>0.05</v>
      </c>
      <c r="E245" s="0" t="s">
        <v>1014</v>
      </c>
    </row>
    <row r="246" customFormat="false" ht="15" hidden="false" customHeight="false" outlineLevel="0" collapsed="false">
      <c r="A246" s="0" t="s">
        <v>60</v>
      </c>
      <c r="B246" s="0" t="n">
        <v>200</v>
      </c>
      <c r="C246" s="0" t="n">
        <v>4000</v>
      </c>
      <c r="D246" s="0" t="n">
        <v>0.05</v>
      </c>
      <c r="E246" s="0" t="s">
        <v>1028</v>
      </c>
    </row>
    <row r="247" customFormat="false" ht="15" hidden="false" customHeight="false" outlineLevel="0" collapsed="false">
      <c r="A247" s="0" t="s">
        <v>60</v>
      </c>
      <c r="B247" s="0" t="n">
        <v>200</v>
      </c>
      <c r="C247" s="0" t="n">
        <v>3800</v>
      </c>
      <c r="D247" s="0" t="n">
        <v>0.0526315789473684</v>
      </c>
      <c r="E247" s="0" t="s">
        <v>1045</v>
      </c>
    </row>
    <row r="248" customFormat="false" ht="15" hidden="false" customHeight="false" outlineLevel="0" collapsed="false">
      <c r="A248" s="0" t="s">
        <v>60</v>
      </c>
      <c r="B248" s="0" t="n">
        <v>200</v>
      </c>
      <c r="C248" s="0" t="n">
        <v>3800</v>
      </c>
      <c r="D248" s="0" t="n">
        <v>0.0526315789473684</v>
      </c>
      <c r="E248" s="0" t="s">
        <v>1059</v>
      </c>
    </row>
    <row r="249" customFormat="false" ht="15" hidden="false" customHeight="false" outlineLevel="0" collapsed="false">
      <c r="A249" s="0" t="s">
        <v>60</v>
      </c>
      <c r="B249" s="0" t="n">
        <v>200</v>
      </c>
      <c r="C249" s="0" t="n">
        <v>3800</v>
      </c>
      <c r="D249" s="0" t="n">
        <v>0.0526315789473684</v>
      </c>
      <c r="E249" s="0" t="s">
        <v>1075</v>
      </c>
    </row>
    <row r="250" customFormat="false" ht="15" hidden="false" customHeight="false" outlineLevel="0" collapsed="false">
      <c r="A250" s="0" t="s">
        <v>60</v>
      </c>
      <c r="B250" s="0" t="n">
        <v>200</v>
      </c>
      <c r="C250" s="0" t="n">
        <v>4000</v>
      </c>
      <c r="D250" s="0" t="n">
        <v>0.05</v>
      </c>
      <c r="E250" s="0" t="s">
        <v>1092</v>
      </c>
    </row>
    <row r="251" customFormat="false" ht="15" hidden="false" customHeight="false" outlineLevel="0" collapsed="false">
      <c r="A251" s="0" t="s">
        <v>60</v>
      </c>
      <c r="B251" s="0" t="n">
        <v>200</v>
      </c>
      <c r="C251" s="0" t="n">
        <v>4000</v>
      </c>
      <c r="D251" s="0" t="n">
        <v>0.05</v>
      </c>
      <c r="E251" s="0" t="s">
        <v>1106</v>
      </c>
    </row>
    <row r="252" customFormat="false" ht="15" hidden="false" customHeight="false" outlineLevel="0" collapsed="false">
      <c r="A252" s="0" t="s">
        <v>60</v>
      </c>
      <c r="B252" s="0" t="n">
        <v>200</v>
      </c>
      <c r="C252" s="0" t="n">
        <v>4000</v>
      </c>
      <c r="D252" s="0" t="n">
        <v>0.05</v>
      </c>
      <c r="E252" s="0" t="s">
        <v>1121</v>
      </c>
    </row>
    <row r="253" customFormat="false" ht="15" hidden="false" customHeight="false" outlineLevel="0" collapsed="false">
      <c r="A253" s="0" t="s">
        <v>60</v>
      </c>
      <c r="B253" s="0" t="n">
        <v>200</v>
      </c>
      <c r="C253" s="0" t="n">
        <v>4000</v>
      </c>
      <c r="D253" s="0" t="n">
        <v>0.05</v>
      </c>
      <c r="E253" s="0" t="s">
        <v>1136</v>
      </c>
    </row>
    <row r="254" customFormat="false" ht="15" hidden="false" customHeight="false" outlineLevel="0" collapsed="false">
      <c r="A254" s="0" t="s">
        <v>60</v>
      </c>
      <c r="B254" s="0" t="n">
        <v>200</v>
      </c>
      <c r="C254" s="0" t="n">
        <v>4000</v>
      </c>
      <c r="D254" s="0" t="n">
        <v>0.05</v>
      </c>
      <c r="E254" s="0" t="s">
        <v>1172</v>
      </c>
    </row>
    <row r="255" customFormat="false" ht="15" hidden="false" customHeight="false" outlineLevel="0" collapsed="false">
      <c r="A255" s="0" t="s">
        <v>60</v>
      </c>
      <c r="B255" s="0" t="n">
        <v>200</v>
      </c>
      <c r="C255" s="0" t="n">
        <v>4000</v>
      </c>
      <c r="D255" s="0" t="n">
        <v>0.05</v>
      </c>
      <c r="E255" s="0" t="s">
        <v>1192</v>
      </c>
    </row>
    <row r="256" customFormat="false" ht="15" hidden="false" customHeight="false" outlineLevel="0" collapsed="false">
      <c r="A256" s="0" t="s">
        <v>60</v>
      </c>
      <c r="B256" s="0" t="n">
        <v>200</v>
      </c>
      <c r="C256" s="0" t="n">
        <v>4000</v>
      </c>
      <c r="D256" s="0" t="n">
        <v>0.05</v>
      </c>
      <c r="E256" s="0" t="s">
        <v>1207</v>
      </c>
    </row>
    <row r="257" customFormat="false" ht="15" hidden="false" customHeight="false" outlineLevel="0" collapsed="false">
      <c r="A257" s="0" t="s">
        <v>60</v>
      </c>
      <c r="B257" s="0" t="n">
        <v>200</v>
      </c>
      <c r="C257" s="0" t="n">
        <v>4000</v>
      </c>
      <c r="D257" s="0" t="n">
        <v>0.05</v>
      </c>
      <c r="E257" s="0" t="s">
        <v>1222</v>
      </c>
    </row>
    <row r="258" customFormat="false" ht="15" hidden="false" customHeight="false" outlineLevel="0" collapsed="false">
      <c r="A258" s="0" t="s">
        <v>60</v>
      </c>
      <c r="B258" s="0" t="n">
        <v>200</v>
      </c>
      <c r="C258" s="0" t="n">
        <v>4000</v>
      </c>
      <c r="D258" s="0" t="n">
        <v>0.05</v>
      </c>
      <c r="E258" s="0" t="s">
        <v>1236</v>
      </c>
    </row>
    <row r="259" customFormat="false" ht="15" hidden="false" customHeight="false" outlineLevel="0" collapsed="false">
      <c r="A259" s="0" t="s">
        <v>60</v>
      </c>
      <c r="B259" s="0" t="n">
        <v>200</v>
      </c>
      <c r="C259" s="0" t="n">
        <v>4000</v>
      </c>
      <c r="D259" s="0" t="n">
        <v>0.05</v>
      </c>
      <c r="E259" s="0" t="s">
        <v>1252</v>
      </c>
    </row>
    <row r="260" customFormat="false" ht="15" hidden="false" customHeight="false" outlineLevel="0" collapsed="false">
      <c r="A260" s="0" t="s">
        <v>60</v>
      </c>
      <c r="B260" s="0" t="n">
        <v>200</v>
      </c>
      <c r="C260" s="0" t="n">
        <v>4000</v>
      </c>
      <c r="D260" s="0" t="n">
        <v>0.05</v>
      </c>
      <c r="E260" s="0" t="s">
        <v>1270</v>
      </c>
    </row>
    <row r="261" customFormat="false" ht="15" hidden="false" customHeight="false" outlineLevel="0" collapsed="false">
      <c r="A261" s="0" t="s">
        <v>60</v>
      </c>
      <c r="B261" s="0" t="n">
        <v>200</v>
      </c>
      <c r="C261" s="0" t="n">
        <v>4000</v>
      </c>
      <c r="D261" s="0" t="n">
        <v>0.05</v>
      </c>
      <c r="E261" s="0" t="s">
        <v>1286</v>
      </c>
    </row>
    <row r="262" customFormat="false" ht="15" hidden="false" customHeight="false" outlineLevel="0" collapsed="false">
      <c r="A262" s="0" t="s">
        <v>60</v>
      </c>
      <c r="B262" s="0" t="n">
        <v>200</v>
      </c>
      <c r="C262" s="0" t="n">
        <v>4000</v>
      </c>
      <c r="D262" s="0" t="n">
        <v>0.05</v>
      </c>
      <c r="E262" s="0" t="s">
        <v>1300</v>
      </c>
    </row>
    <row r="263" customFormat="false" ht="15" hidden="false" customHeight="false" outlineLevel="0" collapsed="false">
      <c r="A263" s="0" t="s">
        <v>60</v>
      </c>
      <c r="B263" s="0" t="n">
        <v>100</v>
      </c>
      <c r="C263" s="0" t="n">
        <v>4000</v>
      </c>
      <c r="D263" s="0" t="n">
        <v>0.025</v>
      </c>
      <c r="E263" s="0" t="s">
        <v>1314</v>
      </c>
    </row>
    <row r="264" customFormat="false" ht="15" hidden="false" customHeight="false" outlineLevel="0" collapsed="false">
      <c r="A264" s="0" t="s">
        <v>60</v>
      </c>
      <c r="B264" s="0" t="n">
        <v>100</v>
      </c>
      <c r="C264" s="0" t="n">
        <v>4000</v>
      </c>
      <c r="D264" s="0" t="n">
        <v>0.025</v>
      </c>
      <c r="E264" s="0" t="s">
        <v>1330</v>
      </c>
    </row>
    <row r="265" customFormat="false" ht="15" hidden="false" customHeight="false" outlineLevel="0" collapsed="false">
      <c r="A265" s="0" t="s">
        <v>60</v>
      </c>
      <c r="B265" s="0" t="n">
        <v>300</v>
      </c>
      <c r="C265" s="0" t="n">
        <v>4000</v>
      </c>
      <c r="D265" s="0" t="n">
        <v>0.075</v>
      </c>
      <c r="E265" s="0" t="s">
        <v>1344</v>
      </c>
    </row>
    <row r="266" customFormat="false" ht="15" hidden="false" customHeight="false" outlineLevel="0" collapsed="false">
      <c r="A266" s="0" t="s">
        <v>60</v>
      </c>
      <c r="B266" s="0" t="n">
        <v>200</v>
      </c>
      <c r="C266" s="0" t="n">
        <v>4000</v>
      </c>
      <c r="D266" s="0" t="n">
        <v>0.05</v>
      </c>
      <c r="E266" s="0" t="s">
        <v>1358</v>
      </c>
    </row>
    <row r="267" customFormat="false" ht="15" hidden="false" customHeight="false" outlineLevel="0" collapsed="false">
      <c r="A267" s="0" t="s">
        <v>60</v>
      </c>
      <c r="B267" s="0" t="n">
        <v>200</v>
      </c>
      <c r="C267" s="0" t="n">
        <v>4000</v>
      </c>
      <c r="D267" s="0" t="n">
        <v>0.05</v>
      </c>
      <c r="E267" s="0" t="s">
        <v>1372</v>
      </c>
    </row>
    <row r="268" customFormat="false" ht="15" hidden="false" customHeight="false" outlineLevel="0" collapsed="false">
      <c r="A268" s="0" t="s">
        <v>60</v>
      </c>
      <c r="B268" s="0" t="n">
        <v>200</v>
      </c>
      <c r="C268" s="0" t="n">
        <v>4000</v>
      </c>
      <c r="D268" s="0" t="n">
        <v>0.05</v>
      </c>
      <c r="E268" s="0" t="s">
        <v>1386</v>
      </c>
    </row>
    <row r="269" customFormat="false" ht="15" hidden="false" customHeight="false" outlineLevel="0" collapsed="false">
      <c r="A269" s="0" t="s">
        <v>60</v>
      </c>
      <c r="B269" s="0" t="n">
        <v>200</v>
      </c>
      <c r="C269" s="0" t="n">
        <v>4000</v>
      </c>
      <c r="D269" s="0" t="n">
        <v>0.05</v>
      </c>
      <c r="E269" s="0" t="s">
        <v>1401</v>
      </c>
    </row>
    <row r="270" customFormat="false" ht="15" hidden="false" customHeight="false" outlineLevel="0" collapsed="false">
      <c r="A270" s="0" t="s">
        <v>60</v>
      </c>
      <c r="B270" s="0" t="n">
        <v>250</v>
      </c>
      <c r="C270" s="0" t="n">
        <v>3800</v>
      </c>
      <c r="D270" s="0" t="n">
        <v>0.0657894736842105</v>
      </c>
      <c r="E270" s="0" t="s">
        <v>1416</v>
      </c>
    </row>
    <row r="271" customFormat="false" ht="15" hidden="false" customHeight="false" outlineLevel="0" collapsed="false">
      <c r="A271" s="0" t="s">
        <v>60</v>
      </c>
      <c r="B271" s="0" t="n">
        <v>250</v>
      </c>
      <c r="C271" s="0" t="n">
        <v>3800</v>
      </c>
      <c r="D271" s="0" t="n">
        <v>0.0657894736842105</v>
      </c>
      <c r="E271" s="0" t="s">
        <v>1434</v>
      </c>
    </row>
    <row r="272" customFormat="false" ht="15" hidden="false" customHeight="false" outlineLevel="0" collapsed="false">
      <c r="A272" s="0" t="s">
        <v>60</v>
      </c>
      <c r="B272" s="0" t="n">
        <v>50</v>
      </c>
      <c r="C272" s="0" t="n">
        <v>3800</v>
      </c>
      <c r="D272" s="0" t="n">
        <v>0.0131578947368421</v>
      </c>
      <c r="E272" s="0" t="s">
        <v>1450</v>
      </c>
    </row>
    <row r="273" customFormat="false" ht="15" hidden="false" customHeight="false" outlineLevel="0" collapsed="false">
      <c r="A273" s="0" t="s">
        <v>60</v>
      </c>
      <c r="B273" s="0" t="n">
        <v>200</v>
      </c>
      <c r="C273" s="0" t="n">
        <v>3800</v>
      </c>
      <c r="D273" s="0" t="n">
        <v>0.0526315789473684</v>
      </c>
      <c r="E273" s="0" t="s">
        <v>1466</v>
      </c>
    </row>
    <row r="274" customFormat="false" ht="15" hidden="false" customHeight="false" outlineLevel="0" collapsed="false">
      <c r="A274" s="0" t="s">
        <v>60</v>
      </c>
      <c r="B274" s="0" t="n">
        <v>250</v>
      </c>
      <c r="C274" s="0" t="n">
        <v>3800</v>
      </c>
      <c r="D274" s="0" t="n">
        <v>0.0657894736842105</v>
      </c>
      <c r="E274" s="0" t="s">
        <v>1481</v>
      </c>
    </row>
    <row r="275" customFormat="false" ht="15" hidden="false" customHeight="false" outlineLevel="0" collapsed="false">
      <c r="A275" s="0" t="s">
        <v>60</v>
      </c>
      <c r="B275" s="0" t="n">
        <v>250</v>
      </c>
      <c r="C275" s="0" t="n">
        <v>3800</v>
      </c>
      <c r="D275" s="0" t="n">
        <v>0.0657894736842105</v>
      </c>
      <c r="E275" s="0" t="s">
        <v>1497</v>
      </c>
    </row>
    <row r="276" customFormat="false" ht="15" hidden="false" customHeight="false" outlineLevel="0" collapsed="false">
      <c r="A276" s="0" t="s">
        <v>60</v>
      </c>
      <c r="B276" s="0" t="n">
        <v>250</v>
      </c>
      <c r="C276" s="0" t="n">
        <v>3800</v>
      </c>
      <c r="D276" s="0" t="n">
        <v>0.0657894736842105</v>
      </c>
      <c r="E276" s="0" t="s">
        <v>1512</v>
      </c>
    </row>
    <row r="277" customFormat="false" ht="15" hidden="false" customHeight="false" outlineLevel="0" collapsed="false">
      <c r="A277" s="0" t="s">
        <v>60</v>
      </c>
      <c r="B277" s="0" t="n">
        <v>50</v>
      </c>
      <c r="C277" s="0" t="n">
        <v>3800</v>
      </c>
      <c r="D277" s="0" t="n">
        <v>0.0131578947368421</v>
      </c>
      <c r="E277" s="0" t="s">
        <v>1529</v>
      </c>
    </row>
    <row r="278" customFormat="false" ht="15" hidden="false" customHeight="false" outlineLevel="0" collapsed="false">
      <c r="A278" s="0" t="s">
        <v>60</v>
      </c>
      <c r="B278" s="0" t="n">
        <v>250</v>
      </c>
      <c r="C278" s="0" t="n">
        <v>3800</v>
      </c>
      <c r="D278" s="0" t="n">
        <v>0.0657894736842105</v>
      </c>
      <c r="E278" s="0" t="s">
        <v>1545</v>
      </c>
    </row>
    <row r="279" customFormat="false" ht="15" hidden="false" customHeight="false" outlineLevel="0" collapsed="false">
      <c r="A279" s="0" t="s">
        <v>60</v>
      </c>
      <c r="B279" s="0" t="n">
        <v>250</v>
      </c>
      <c r="C279" s="0" t="n">
        <v>3800</v>
      </c>
      <c r="D279" s="0" t="n">
        <v>0.0657894736842105</v>
      </c>
      <c r="E279" s="0" t="s">
        <v>1561</v>
      </c>
    </row>
    <row r="280" customFormat="false" ht="15" hidden="false" customHeight="false" outlineLevel="0" collapsed="false">
      <c r="A280" s="0" t="s">
        <v>60</v>
      </c>
      <c r="B280" s="0" t="n">
        <v>200</v>
      </c>
      <c r="C280" s="0" t="n">
        <v>3900</v>
      </c>
      <c r="D280" s="0" t="n">
        <v>0.0512820512820513</v>
      </c>
      <c r="E280" s="0" t="s">
        <v>1609</v>
      </c>
    </row>
    <row r="281" customFormat="false" ht="15" hidden="false" customHeight="false" outlineLevel="0" collapsed="false">
      <c r="A281" s="0" t="s">
        <v>60</v>
      </c>
      <c r="B281" s="0" t="n">
        <v>250</v>
      </c>
      <c r="C281" s="0" t="n">
        <v>3800</v>
      </c>
      <c r="D281" s="0" t="n">
        <v>0.0657894736842105</v>
      </c>
      <c r="E281" s="0" t="s">
        <v>1625</v>
      </c>
    </row>
    <row r="282" customFormat="false" ht="15" hidden="false" customHeight="false" outlineLevel="0" collapsed="false">
      <c r="A282" s="0" t="s">
        <v>60</v>
      </c>
      <c r="B282" s="0" t="n">
        <v>50</v>
      </c>
      <c r="C282" s="0" t="n">
        <v>3800</v>
      </c>
      <c r="D282" s="0" t="n">
        <v>0.0131578947368421</v>
      </c>
      <c r="E282" s="0" t="s">
        <v>1641</v>
      </c>
    </row>
    <row r="283" customFormat="false" ht="15" hidden="false" customHeight="false" outlineLevel="0" collapsed="false">
      <c r="A283" s="0" t="s">
        <v>60</v>
      </c>
      <c r="B283" s="0" t="n">
        <v>250</v>
      </c>
      <c r="C283" s="0" t="n">
        <v>3800</v>
      </c>
      <c r="D283" s="0" t="n">
        <v>0.0657894736842105</v>
      </c>
      <c r="E283" s="0" t="s">
        <v>1682</v>
      </c>
    </row>
    <row r="284" customFormat="false" ht="15" hidden="false" customHeight="false" outlineLevel="0" collapsed="false">
      <c r="A284" s="0" t="s">
        <v>60</v>
      </c>
      <c r="B284" s="0" t="n">
        <v>250</v>
      </c>
      <c r="C284" s="0" t="n">
        <v>3800</v>
      </c>
      <c r="D284" s="0" t="n">
        <v>0.0657894736842105</v>
      </c>
      <c r="E284" s="0" t="s">
        <v>1697</v>
      </c>
    </row>
    <row r="285" customFormat="false" ht="15" hidden="false" customHeight="false" outlineLevel="0" collapsed="false">
      <c r="A285" s="0" t="s">
        <v>60</v>
      </c>
      <c r="B285" s="0" t="n">
        <v>250</v>
      </c>
      <c r="C285" s="0" t="n">
        <v>4000</v>
      </c>
      <c r="D285" s="0" t="n">
        <v>0.0625</v>
      </c>
      <c r="E285" s="0" t="s">
        <v>1715</v>
      </c>
    </row>
    <row r="286" customFormat="false" ht="15" hidden="false" customHeight="false" outlineLevel="0" collapsed="false">
      <c r="A286" s="0" t="s">
        <v>60</v>
      </c>
      <c r="B286" s="0" t="n">
        <v>250</v>
      </c>
      <c r="C286" s="0" t="n">
        <v>3800</v>
      </c>
      <c r="D286" s="0" t="n">
        <v>0.0657894736842105</v>
      </c>
      <c r="E286" s="0" t="s">
        <v>1771</v>
      </c>
    </row>
    <row r="287" customFormat="false" ht="15" hidden="false" customHeight="false" outlineLevel="0" collapsed="false">
      <c r="A287" s="0" t="s">
        <v>60</v>
      </c>
      <c r="B287" s="0" t="n">
        <v>100</v>
      </c>
      <c r="C287" s="0" t="n">
        <v>3800</v>
      </c>
      <c r="D287" s="0" t="n">
        <v>0.0263157894736842</v>
      </c>
      <c r="E287" s="0" t="s">
        <v>1792</v>
      </c>
    </row>
    <row r="288" customFormat="false" ht="15" hidden="false" customHeight="false" outlineLevel="0" collapsed="false">
      <c r="A288" s="0" t="s">
        <v>60</v>
      </c>
      <c r="B288" s="0" t="n">
        <v>100</v>
      </c>
      <c r="C288" s="0" t="n">
        <v>3800</v>
      </c>
      <c r="D288" s="0" t="n">
        <v>0.0263157894736842</v>
      </c>
      <c r="E288" s="0" t="s">
        <v>1808</v>
      </c>
    </row>
    <row r="289" customFormat="false" ht="15" hidden="false" customHeight="false" outlineLevel="0" collapsed="false">
      <c r="A289" s="0" t="s">
        <v>60</v>
      </c>
      <c r="B289" s="0" t="n">
        <v>50</v>
      </c>
      <c r="C289" s="0" t="n">
        <v>4000</v>
      </c>
      <c r="D289" s="0" t="n">
        <v>0.0125</v>
      </c>
      <c r="E289" s="0" t="s">
        <v>1828</v>
      </c>
    </row>
    <row r="290" customFormat="false" ht="15" hidden="false" customHeight="false" outlineLevel="0" collapsed="false">
      <c r="A290" s="0" t="s">
        <v>60</v>
      </c>
      <c r="B290" s="0" t="n">
        <v>50</v>
      </c>
      <c r="C290" s="0" t="n">
        <v>4000</v>
      </c>
      <c r="D290" s="0" t="n">
        <v>0.0125</v>
      </c>
      <c r="E290" s="0" t="s">
        <v>1845</v>
      </c>
    </row>
    <row r="291" customFormat="false" ht="15" hidden="false" customHeight="false" outlineLevel="0" collapsed="false">
      <c r="A291" s="0" t="s">
        <v>60</v>
      </c>
      <c r="B291" s="0" t="n">
        <v>200</v>
      </c>
      <c r="C291" s="0" t="n">
        <v>3800</v>
      </c>
      <c r="D291" s="0" t="n">
        <v>0.0526315789473684</v>
      </c>
      <c r="E291" s="0" t="s">
        <v>1864</v>
      </c>
    </row>
    <row r="292" customFormat="false" ht="15" hidden="false" customHeight="false" outlineLevel="0" collapsed="false">
      <c r="A292" s="0" t="s">
        <v>60</v>
      </c>
      <c r="B292" s="0" t="n">
        <v>200</v>
      </c>
      <c r="C292" s="0" t="n">
        <v>3800</v>
      </c>
      <c r="D292" s="0" t="n">
        <v>0.0526315789473684</v>
      </c>
      <c r="E292" s="0" t="s">
        <v>1881</v>
      </c>
    </row>
    <row r="293" customFormat="false" ht="15" hidden="false" customHeight="false" outlineLevel="0" collapsed="false">
      <c r="A293" s="0" t="s">
        <v>60</v>
      </c>
      <c r="B293" s="0" t="n">
        <v>200</v>
      </c>
      <c r="C293" s="0" t="n">
        <v>3800</v>
      </c>
      <c r="D293" s="0" t="n">
        <v>0.0526315789473684</v>
      </c>
      <c r="E293" s="0" t="s">
        <v>1896</v>
      </c>
    </row>
    <row r="294" customFormat="false" ht="15" hidden="false" customHeight="false" outlineLevel="0" collapsed="false">
      <c r="A294" s="0" t="s">
        <v>60</v>
      </c>
      <c r="B294" s="0" t="n">
        <v>200</v>
      </c>
      <c r="C294" s="0" t="n">
        <v>3800</v>
      </c>
      <c r="D294" s="0" t="n">
        <v>0.0526315789473684</v>
      </c>
      <c r="E294" s="0" t="s">
        <v>1911</v>
      </c>
    </row>
    <row r="295" customFormat="false" ht="15" hidden="false" customHeight="false" outlineLevel="0" collapsed="false">
      <c r="A295" s="0" t="s">
        <v>60</v>
      </c>
      <c r="B295" s="0" t="n">
        <v>200</v>
      </c>
      <c r="C295" s="0" t="n">
        <v>4000</v>
      </c>
      <c r="D295" s="0" t="n">
        <v>0.05</v>
      </c>
      <c r="E295" s="0" t="s">
        <v>1963</v>
      </c>
    </row>
    <row r="296" customFormat="false" ht="15" hidden="false" customHeight="false" outlineLevel="0" collapsed="false">
      <c r="A296" s="0" t="s">
        <v>60</v>
      </c>
      <c r="B296" s="0" t="n">
        <v>50</v>
      </c>
      <c r="C296" s="0" t="n">
        <v>4000</v>
      </c>
      <c r="D296" s="0" t="n">
        <v>0.0125</v>
      </c>
      <c r="E296" s="0" t="s">
        <v>1995</v>
      </c>
    </row>
    <row r="297" customFormat="false" ht="15" hidden="false" customHeight="false" outlineLevel="0" collapsed="false">
      <c r="A297" s="0" t="s">
        <v>60</v>
      </c>
      <c r="B297" s="0" t="n">
        <v>200</v>
      </c>
      <c r="C297" s="0" t="n">
        <v>4000</v>
      </c>
      <c r="D297" s="0" t="n">
        <v>0.05</v>
      </c>
      <c r="E297" s="0" t="s">
        <v>2011</v>
      </c>
    </row>
    <row r="298" customFormat="false" ht="15" hidden="false" customHeight="false" outlineLevel="0" collapsed="false">
      <c r="A298" s="0" t="s">
        <v>60</v>
      </c>
      <c r="B298" s="0" t="n">
        <v>200</v>
      </c>
      <c r="C298" s="0" t="n">
        <v>4000</v>
      </c>
      <c r="D298" s="0" t="n">
        <v>0.05</v>
      </c>
      <c r="E298" s="0" t="s">
        <v>2026</v>
      </c>
    </row>
    <row r="299" customFormat="false" ht="15" hidden="false" customHeight="false" outlineLevel="0" collapsed="false">
      <c r="A299" s="0" t="s">
        <v>60</v>
      </c>
      <c r="B299" s="0" t="n">
        <v>50</v>
      </c>
      <c r="C299" s="0" t="n">
        <v>3800</v>
      </c>
      <c r="D299" s="0" t="n">
        <v>0.0131578947368421</v>
      </c>
      <c r="E299" s="0" t="s">
        <v>2042</v>
      </c>
    </row>
    <row r="300" customFormat="false" ht="15" hidden="false" customHeight="false" outlineLevel="0" collapsed="false">
      <c r="A300" s="0" t="s">
        <v>60</v>
      </c>
      <c r="B300" s="0" t="n">
        <v>200</v>
      </c>
      <c r="C300" s="0" t="n">
        <v>3800</v>
      </c>
      <c r="D300" s="0" t="n">
        <v>0.0526315789473684</v>
      </c>
      <c r="E300" s="0" t="s">
        <v>2074</v>
      </c>
    </row>
    <row r="301" customFormat="false" ht="15" hidden="false" customHeight="false" outlineLevel="0" collapsed="false">
      <c r="A301" s="0" t="s">
        <v>60</v>
      </c>
      <c r="B301" s="0" t="n">
        <v>200</v>
      </c>
      <c r="C301" s="0" t="n">
        <v>4000</v>
      </c>
      <c r="D301" s="0" t="n">
        <v>0.05</v>
      </c>
      <c r="E301" s="0" t="s">
        <v>2089</v>
      </c>
    </row>
    <row r="302" customFormat="false" ht="15" hidden="false" customHeight="false" outlineLevel="0" collapsed="false">
      <c r="A302" s="0" t="s">
        <v>60</v>
      </c>
      <c r="B302" s="0" t="n">
        <v>50</v>
      </c>
      <c r="C302" s="0" t="n">
        <v>4000</v>
      </c>
      <c r="D302" s="0" t="n">
        <v>0.0125</v>
      </c>
      <c r="E302" s="0" t="s">
        <v>2105</v>
      </c>
    </row>
    <row r="303" customFormat="false" ht="15" hidden="false" customHeight="false" outlineLevel="0" collapsed="false">
      <c r="A303" s="0" t="s">
        <v>60</v>
      </c>
      <c r="B303" s="0" t="n">
        <v>500</v>
      </c>
      <c r="C303" s="0" t="n">
        <v>3800</v>
      </c>
      <c r="D303" s="0" t="n">
        <v>0.131578947368421</v>
      </c>
      <c r="E303" s="0" t="s">
        <v>2140</v>
      </c>
    </row>
    <row r="304" customFormat="false" ht="15" hidden="false" customHeight="false" outlineLevel="0" collapsed="false">
      <c r="A304" s="0" t="s">
        <v>60</v>
      </c>
      <c r="B304" s="0" t="n">
        <v>500</v>
      </c>
      <c r="C304" s="0" t="n">
        <v>3800</v>
      </c>
      <c r="D304" s="0" t="n">
        <v>0.131578947368421</v>
      </c>
      <c r="E304" s="0" t="s">
        <v>2155</v>
      </c>
    </row>
    <row r="305" customFormat="false" ht="15" hidden="false" customHeight="false" outlineLevel="0" collapsed="false">
      <c r="A305" s="0" t="s">
        <v>60</v>
      </c>
      <c r="B305" s="0" t="n">
        <v>500</v>
      </c>
      <c r="C305" s="0" t="n">
        <v>3800</v>
      </c>
      <c r="D305" s="0" t="n">
        <v>0.131578947368421</v>
      </c>
      <c r="E305" s="0" t="s">
        <v>2171</v>
      </c>
    </row>
    <row r="306" customFormat="false" ht="15" hidden="false" customHeight="false" outlineLevel="0" collapsed="false">
      <c r="A306" s="0" t="s">
        <v>60</v>
      </c>
      <c r="B306" s="0" t="n">
        <v>500</v>
      </c>
      <c r="C306" s="0" t="n">
        <v>3800</v>
      </c>
      <c r="D306" s="0" t="n">
        <v>0.131578947368421</v>
      </c>
      <c r="E306" s="0" t="s">
        <v>2186</v>
      </c>
    </row>
    <row r="307" customFormat="false" ht="15" hidden="false" customHeight="false" outlineLevel="0" collapsed="false">
      <c r="A307" s="0" t="s">
        <v>60</v>
      </c>
      <c r="B307" s="0" t="n">
        <v>500</v>
      </c>
      <c r="C307" s="0" t="n">
        <v>3800</v>
      </c>
      <c r="D307" s="0" t="n">
        <v>0.131578947368421</v>
      </c>
      <c r="E307" s="0" t="s">
        <v>2201</v>
      </c>
    </row>
    <row r="308" customFormat="false" ht="15" hidden="false" customHeight="false" outlineLevel="0" collapsed="false">
      <c r="A308" s="0" t="s">
        <v>60</v>
      </c>
      <c r="B308" s="0" t="n">
        <v>200</v>
      </c>
      <c r="C308" s="0" t="n">
        <v>3800</v>
      </c>
      <c r="D308" s="0" t="n">
        <v>0.0526315789473684</v>
      </c>
      <c r="E308" s="0" t="s">
        <v>2215</v>
      </c>
    </row>
    <row r="309" customFormat="false" ht="15" hidden="false" customHeight="false" outlineLevel="0" collapsed="false">
      <c r="A309" s="0" t="s">
        <v>60</v>
      </c>
      <c r="B309" s="0" t="n">
        <v>500</v>
      </c>
      <c r="C309" s="0" t="n">
        <v>3800</v>
      </c>
      <c r="D309" s="0" t="n">
        <v>0.131578947368421</v>
      </c>
      <c r="E309" s="0" t="s">
        <v>2232</v>
      </c>
    </row>
    <row r="310" customFormat="false" ht="15" hidden="false" customHeight="false" outlineLevel="0" collapsed="false">
      <c r="A310" s="0" t="s">
        <v>60</v>
      </c>
      <c r="B310" s="0" t="n">
        <v>500</v>
      </c>
      <c r="C310" s="0" t="n">
        <v>3800</v>
      </c>
      <c r="D310" s="0" t="n">
        <v>0.131578947368421</v>
      </c>
      <c r="E310" s="0" t="s">
        <v>2246</v>
      </c>
    </row>
    <row r="311" customFormat="false" ht="15" hidden="false" customHeight="false" outlineLevel="0" collapsed="false">
      <c r="A311" s="0" t="s">
        <v>60</v>
      </c>
      <c r="B311" s="0" t="n">
        <v>500</v>
      </c>
      <c r="C311" s="0" t="n">
        <v>3800</v>
      </c>
      <c r="D311" s="0" t="n">
        <v>0.131578947368421</v>
      </c>
      <c r="E311" s="0" t="s">
        <v>2261</v>
      </c>
    </row>
    <row r="312" customFormat="false" ht="15" hidden="false" customHeight="false" outlineLevel="0" collapsed="false">
      <c r="A312" s="0" t="s">
        <v>60</v>
      </c>
      <c r="B312" s="0" t="n">
        <v>200</v>
      </c>
      <c r="C312" s="0" t="n">
        <v>3800</v>
      </c>
      <c r="D312" s="0" t="n">
        <v>0.0526315789473684</v>
      </c>
      <c r="E312" s="0" t="s">
        <v>2275</v>
      </c>
    </row>
    <row r="313" customFormat="false" ht="15" hidden="false" customHeight="false" outlineLevel="0" collapsed="false">
      <c r="A313" s="0" t="s">
        <v>60</v>
      </c>
      <c r="B313" s="0" t="n">
        <v>500</v>
      </c>
      <c r="C313" s="0" t="n">
        <v>3800</v>
      </c>
      <c r="D313" s="0" t="n">
        <v>0.131578947368421</v>
      </c>
      <c r="E313" s="0" t="s">
        <v>2289</v>
      </c>
    </row>
    <row r="314" customFormat="false" ht="15" hidden="false" customHeight="false" outlineLevel="0" collapsed="false">
      <c r="A314" s="0" t="s">
        <v>60</v>
      </c>
      <c r="B314" s="0" t="n">
        <v>500</v>
      </c>
      <c r="C314" s="0" t="n">
        <v>3800</v>
      </c>
      <c r="D314" s="0" t="n">
        <v>0.131578947368421</v>
      </c>
      <c r="E314" s="0" t="s">
        <v>2303</v>
      </c>
    </row>
    <row r="315" customFormat="false" ht="15" hidden="false" customHeight="false" outlineLevel="0" collapsed="false">
      <c r="A315" s="0" t="s">
        <v>60</v>
      </c>
      <c r="B315" s="0" t="n">
        <v>500</v>
      </c>
      <c r="C315" s="0" t="n">
        <v>3800</v>
      </c>
      <c r="D315" s="0" t="n">
        <v>0.131578947368421</v>
      </c>
      <c r="E315" s="0" t="s">
        <v>2317</v>
      </c>
    </row>
    <row r="316" customFormat="false" ht="15" hidden="false" customHeight="false" outlineLevel="0" collapsed="false">
      <c r="A316" s="0" t="s">
        <v>60</v>
      </c>
      <c r="B316" s="0" t="n">
        <v>200</v>
      </c>
      <c r="C316" s="0" t="n">
        <v>3800</v>
      </c>
      <c r="D316" s="0" t="n">
        <v>0.0526315789473684</v>
      </c>
      <c r="E316" s="0" t="s">
        <v>2369</v>
      </c>
    </row>
    <row r="317" customFormat="false" ht="15" hidden="false" customHeight="false" outlineLevel="0" collapsed="false">
      <c r="A317" s="0" t="s">
        <v>60</v>
      </c>
      <c r="B317" s="0" t="n">
        <v>300</v>
      </c>
      <c r="C317" s="0" t="n">
        <v>3800</v>
      </c>
      <c r="D317" s="0" t="n">
        <v>0.0789473684210526</v>
      </c>
      <c r="E317" s="0" t="s">
        <v>2432</v>
      </c>
    </row>
    <row r="318" customFormat="false" ht="15" hidden="false" customHeight="false" outlineLevel="0" collapsed="false">
      <c r="A318" s="0" t="s">
        <v>60</v>
      </c>
      <c r="B318" s="0" t="n">
        <v>200</v>
      </c>
      <c r="C318" s="0" t="n">
        <v>3800</v>
      </c>
      <c r="D318" s="0" t="n">
        <v>0.0526315789473684</v>
      </c>
      <c r="E318" s="0" t="s">
        <v>2505</v>
      </c>
    </row>
    <row r="319" customFormat="false" ht="15" hidden="false" customHeight="false" outlineLevel="0" collapsed="false">
      <c r="A319" s="0" t="s">
        <v>60</v>
      </c>
      <c r="B319" s="0" t="n">
        <v>200</v>
      </c>
      <c r="C319" s="0" t="n">
        <v>3800</v>
      </c>
      <c r="D319" s="0" t="n">
        <v>0.0526315789473684</v>
      </c>
      <c r="E319" s="0" t="s">
        <v>2518</v>
      </c>
    </row>
    <row r="320" customFormat="false" ht="15" hidden="false" customHeight="false" outlineLevel="0" collapsed="false">
      <c r="A320" s="0" t="s">
        <v>60</v>
      </c>
      <c r="B320" s="0" t="n">
        <v>200</v>
      </c>
      <c r="C320" s="0" t="n">
        <v>3800</v>
      </c>
      <c r="D320" s="0" t="n">
        <v>0.0526315789473684</v>
      </c>
      <c r="E320" s="0" t="s">
        <v>2544</v>
      </c>
    </row>
    <row r="321" customFormat="false" ht="15" hidden="false" customHeight="false" outlineLevel="0" collapsed="false">
      <c r="A321" s="0" t="s">
        <v>60</v>
      </c>
      <c r="B321" s="0" t="n">
        <v>50</v>
      </c>
      <c r="C321" s="0" t="n">
        <v>3800</v>
      </c>
      <c r="D321" s="0" t="n">
        <v>0.0131578947368421</v>
      </c>
      <c r="E321" s="0" t="s">
        <v>2571</v>
      </c>
    </row>
    <row r="322" customFormat="false" ht="15" hidden="false" customHeight="false" outlineLevel="0" collapsed="false">
      <c r="A322" s="0" t="s">
        <v>60</v>
      </c>
      <c r="B322" s="0" t="n">
        <v>200</v>
      </c>
      <c r="C322" s="0" t="n">
        <v>3800</v>
      </c>
      <c r="D322" s="0" t="n">
        <v>0.0526315789473684</v>
      </c>
      <c r="E322" s="0" t="s">
        <v>2603</v>
      </c>
    </row>
    <row r="323" customFormat="false" ht="15" hidden="false" customHeight="false" outlineLevel="0" collapsed="false">
      <c r="A323" s="0" t="s">
        <v>60</v>
      </c>
      <c r="B323" s="0" t="n">
        <v>200</v>
      </c>
      <c r="C323" s="0" t="n">
        <v>3800</v>
      </c>
      <c r="D323" s="0" t="n">
        <v>0.0526315789473684</v>
      </c>
      <c r="E323" s="0" t="s">
        <v>2655</v>
      </c>
    </row>
    <row r="324" customFormat="false" ht="15" hidden="false" customHeight="false" outlineLevel="0" collapsed="false">
      <c r="A324" s="0" t="s">
        <v>60</v>
      </c>
      <c r="B324" s="0" t="n">
        <v>200</v>
      </c>
      <c r="C324" s="0" t="n">
        <v>3800</v>
      </c>
      <c r="D324" s="0" t="n">
        <v>0.0526315789473684</v>
      </c>
      <c r="E324" s="0" t="s">
        <v>2673</v>
      </c>
    </row>
    <row r="325" customFormat="false" ht="15" hidden="false" customHeight="false" outlineLevel="0" collapsed="false">
      <c r="A325" s="0" t="s">
        <v>60</v>
      </c>
      <c r="B325" s="0" t="n">
        <v>200</v>
      </c>
      <c r="C325" s="0" t="n">
        <v>4000</v>
      </c>
      <c r="D325" s="0" t="n">
        <v>0.05</v>
      </c>
      <c r="E325" s="0" t="s">
        <v>2693</v>
      </c>
    </row>
    <row r="326" customFormat="false" ht="15" hidden="false" customHeight="false" outlineLevel="0" collapsed="false">
      <c r="A326" s="0" t="s">
        <v>60</v>
      </c>
      <c r="B326" s="0" t="n">
        <v>200</v>
      </c>
      <c r="C326" s="0" t="n">
        <v>4500</v>
      </c>
      <c r="D326" s="0" t="n">
        <v>0.0444444444444445</v>
      </c>
      <c r="E326" s="0" t="s">
        <v>2711</v>
      </c>
    </row>
    <row r="327" customFormat="false" ht="15" hidden="false" customHeight="false" outlineLevel="0" collapsed="false">
      <c r="A327" s="0" t="s">
        <v>60</v>
      </c>
      <c r="B327" s="0" t="n">
        <v>80</v>
      </c>
      <c r="C327" s="0" t="n">
        <v>3800</v>
      </c>
      <c r="D327" s="0" t="n">
        <v>0.0210526315789474</v>
      </c>
      <c r="E327" s="0" t="s">
        <v>2724</v>
      </c>
    </row>
    <row r="328" customFormat="false" ht="15" hidden="false" customHeight="false" outlineLevel="0" collapsed="false">
      <c r="A328" s="0" t="s">
        <v>60</v>
      </c>
      <c r="B328" s="0" t="n">
        <v>200</v>
      </c>
      <c r="C328" s="0" t="n">
        <v>3800</v>
      </c>
      <c r="D328" s="0" t="n">
        <v>0.0526315789473684</v>
      </c>
      <c r="E328" s="0" t="s">
        <v>2756</v>
      </c>
    </row>
    <row r="329" customFormat="false" ht="15" hidden="false" customHeight="false" outlineLevel="0" collapsed="false">
      <c r="A329" s="0" t="s">
        <v>60</v>
      </c>
      <c r="B329" s="0" t="n">
        <v>200</v>
      </c>
      <c r="C329" s="0" t="n">
        <v>4000</v>
      </c>
      <c r="D329" s="0" t="n">
        <v>0.05</v>
      </c>
      <c r="E329" s="0" t="s">
        <v>2828</v>
      </c>
    </row>
    <row r="330" customFormat="false" ht="15" hidden="false" customHeight="false" outlineLevel="0" collapsed="false">
      <c r="A330" s="0" t="s">
        <v>60</v>
      </c>
      <c r="B330" s="0" t="n">
        <v>200</v>
      </c>
      <c r="C330" s="0" t="n">
        <v>4000</v>
      </c>
      <c r="D330" s="0" t="n">
        <v>0.05</v>
      </c>
      <c r="E330" s="0" t="s">
        <v>2837</v>
      </c>
    </row>
    <row r="331" customFormat="false" ht="15" hidden="false" customHeight="false" outlineLevel="0" collapsed="false">
      <c r="A331" s="0" t="s">
        <v>60</v>
      </c>
      <c r="B331" s="0" t="n">
        <v>200</v>
      </c>
      <c r="C331" s="0" t="n">
        <v>4000</v>
      </c>
      <c r="D331" s="0" t="n">
        <v>0.05</v>
      </c>
      <c r="E331" s="0" t="s">
        <v>2846</v>
      </c>
    </row>
    <row r="332" customFormat="false" ht="15" hidden="false" customHeight="false" outlineLevel="0" collapsed="false">
      <c r="A332" s="0" t="s">
        <v>60</v>
      </c>
      <c r="B332" s="0" t="n">
        <v>200</v>
      </c>
      <c r="C332" s="0" t="n">
        <v>4000</v>
      </c>
      <c r="D332" s="0" t="n">
        <v>0.05</v>
      </c>
      <c r="E332" s="0" t="s">
        <v>2855</v>
      </c>
    </row>
    <row r="333" customFormat="false" ht="15" hidden="false" customHeight="false" outlineLevel="0" collapsed="false">
      <c r="A333" s="0" t="s">
        <v>60</v>
      </c>
      <c r="B333" s="0" t="n">
        <v>200</v>
      </c>
      <c r="C333" s="0" t="n">
        <v>4000</v>
      </c>
      <c r="D333" s="0" t="n">
        <v>0.05</v>
      </c>
      <c r="E333" s="0" t="s">
        <v>2865</v>
      </c>
    </row>
    <row r="334" customFormat="false" ht="15" hidden="false" customHeight="false" outlineLevel="0" collapsed="false">
      <c r="A334" s="0" t="s">
        <v>60</v>
      </c>
      <c r="B334" s="0" t="n">
        <v>200</v>
      </c>
      <c r="C334" s="0" t="n">
        <v>4000</v>
      </c>
      <c r="D334" s="0" t="n">
        <v>0.05</v>
      </c>
      <c r="E334" s="0" t="s">
        <v>2874</v>
      </c>
    </row>
    <row r="335" customFormat="false" ht="15" hidden="false" customHeight="false" outlineLevel="0" collapsed="false">
      <c r="A335" s="0" t="s">
        <v>60</v>
      </c>
      <c r="B335" s="0" t="n">
        <v>200</v>
      </c>
      <c r="C335" s="0" t="n">
        <v>4000</v>
      </c>
      <c r="D335" s="0" t="n">
        <v>0.05</v>
      </c>
      <c r="E335" s="0" t="s">
        <v>2889</v>
      </c>
    </row>
    <row r="336" customFormat="false" ht="15" hidden="false" customHeight="false" outlineLevel="0" collapsed="false">
      <c r="A336" s="0" t="s">
        <v>60</v>
      </c>
      <c r="B336" s="0" t="n">
        <v>200</v>
      </c>
      <c r="C336" s="0" t="n">
        <v>4000</v>
      </c>
      <c r="D336" s="0" t="n">
        <v>0.05</v>
      </c>
      <c r="E336" s="0" t="s">
        <v>2903</v>
      </c>
    </row>
    <row r="337" customFormat="false" ht="15" hidden="false" customHeight="false" outlineLevel="0" collapsed="false">
      <c r="A337" s="0" t="s">
        <v>60</v>
      </c>
      <c r="B337" s="0" t="n">
        <v>1000</v>
      </c>
      <c r="C337" s="0" t="n">
        <v>4000</v>
      </c>
      <c r="D337" s="0" t="n">
        <v>0.25</v>
      </c>
      <c r="E337" s="0" t="s">
        <v>2919</v>
      </c>
    </row>
    <row r="338" customFormat="false" ht="15" hidden="false" customHeight="false" outlineLevel="0" collapsed="false">
      <c r="A338" s="0" t="s">
        <v>60</v>
      </c>
      <c r="B338" s="0" t="n">
        <v>200</v>
      </c>
      <c r="C338" s="0" t="n">
        <v>4000</v>
      </c>
      <c r="D338" s="0" t="n">
        <v>0.05</v>
      </c>
      <c r="E338" s="0" t="s">
        <v>2937</v>
      </c>
    </row>
    <row r="339" customFormat="false" ht="15" hidden="false" customHeight="false" outlineLevel="0" collapsed="false">
      <c r="A339" s="0" t="s">
        <v>60</v>
      </c>
      <c r="B339" s="0" t="n">
        <v>200</v>
      </c>
      <c r="C339" s="0" t="n">
        <v>4000</v>
      </c>
      <c r="D339" s="0" t="n">
        <v>0.05</v>
      </c>
      <c r="E339" s="0" t="s">
        <v>2955</v>
      </c>
    </row>
    <row r="340" customFormat="false" ht="15" hidden="false" customHeight="false" outlineLevel="0" collapsed="false">
      <c r="A340" s="0" t="s">
        <v>60</v>
      </c>
      <c r="B340" s="0" t="n">
        <v>200</v>
      </c>
      <c r="C340" s="0" t="n">
        <v>4000</v>
      </c>
      <c r="D340" s="0" t="n">
        <v>0.05</v>
      </c>
      <c r="E340" s="0" t="s">
        <v>2968</v>
      </c>
    </row>
    <row r="341" customFormat="false" ht="15" hidden="false" customHeight="false" outlineLevel="0" collapsed="false">
      <c r="A341" s="0" t="s">
        <v>60</v>
      </c>
      <c r="B341" s="0" t="n">
        <v>200</v>
      </c>
      <c r="C341" s="0" t="n">
        <v>4000</v>
      </c>
      <c r="D341" s="0" t="n">
        <v>0.05</v>
      </c>
      <c r="E341" s="0" t="s">
        <v>2980</v>
      </c>
    </row>
    <row r="342" customFormat="false" ht="15" hidden="false" customHeight="false" outlineLevel="0" collapsed="false">
      <c r="A342" s="0" t="s">
        <v>60</v>
      </c>
      <c r="B342" s="0" t="n">
        <v>200</v>
      </c>
      <c r="C342" s="0" t="n">
        <v>4000</v>
      </c>
      <c r="D342" s="0" t="n">
        <v>0.05</v>
      </c>
      <c r="E342" s="0" t="s">
        <v>2992</v>
      </c>
    </row>
    <row r="343" customFormat="false" ht="15" hidden="false" customHeight="false" outlineLevel="0" collapsed="false">
      <c r="A343" s="0" t="s">
        <v>60</v>
      </c>
      <c r="B343" s="0" t="n">
        <v>200</v>
      </c>
      <c r="C343" s="0" t="n">
        <v>4000</v>
      </c>
      <c r="D343" s="0" t="n">
        <v>0.05</v>
      </c>
      <c r="E343" s="0" t="s">
        <v>3003</v>
      </c>
    </row>
    <row r="344" customFormat="false" ht="15" hidden="false" customHeight="false" outlineLevel="0" collapsed="false">
      <c r="A344" s="0" t="s">
        <v>60</v>
      </c>
      <c r="B344" s="0" t="n">
        <v>200</v>
      </c>
      <c r="C344" s="0" t="n">
        <v>4000</v>
      </c>
      <c r="D344" s="0" t="n">
        <v>0.05</v>
      </c>
      <c r="E344" s="0" t="s">
        <v>3015</v>
      </c>
    </row>
    <row r="345" customFormat="false" ht="15" hidden="false" customHeight="false" outlineLevel="0" collapsed="false">
      <c r="A345" s="0" t="s">
        <v>60</v>
      </c>
      <c r="B345" s="0" t="n">
        <v>200</v>
      </c>
      <c r="C345" s="0" t="n">
        <v>4000</v>
      </c>
      <c r="D345" s="0" t="n">
        <v>0.05</v>
      </c>
      <c r="E345" s="0" t="s">
        <v>3027</v>
      </c>
    </row>
    <row r="346" customFormat="false" ht="15" hidden="false" customHeight="false" outlineLevel="0" collapsed="false">
      <c r="A346" s="0" t="s">
        <v>60</v>
      </c>
      <c r="B346" s="0" t="n">
        <v>200</v>
      </c>
      <c r="C346" s="0" t="n">
        <v>4000</v>
      </c>
      <c r="D346" s="0" t="n">
        <v>0.05</v>
      </c>
      <c r="E346" s="0" t="s">
        <v>3038</v>
      </c>
    </row>
    <row r="347" customFormat="false" ht="15" hidden="false" customHeight="false" outlineLevel="0" collapsed="false">
      <c r="A347" s="0" t="s">
        <v>60</v>
      </c>
      <c r="B347" s="0" t="n">
        <v>200</v>
      </c>
      <c r="C347" s="0" t="n">
        <v>4000</v>
      </c>
      <c r="D347" s="0" t="n">
        <v>0.05</v>
      </c>
      <c r="E347" s="0" t="s">
        <v>3049</v>
      </c>
    </row>
    <row r="348" customFormat="false" ht="15" hidden="false" customHeight="false" outlineLevel="0" collapsed="false">
      <c r="A348" s="0" t="s">
        <v>60</v>
      </c>
      <c r="B348" s="0" t="n">
        <v>200</v>
      </c>
      <c r="C348" s="0" t="n">
        <v>4000</v>
      </c>
      <c r="D348" s="0" t="n">
        <v>0.05</v>
      </c>
      <c r="E348" s="0" t="s">
        <v>3061</v>
      </c>
    </row>
    <row r="349" customFormat="false" ht="15" hidden="false" customHeight="false" outlineLevel="0" collapsed="false">
      <c r="A349" s="0" t="s">
        <v>60</v>
      </c>
      <c r="B349" s="0" t="n">
        <v>200</v>
      </c>
      <c r="C349" s="0" t="n">
        <v>4000</v>
      </c>
      <c r="D349" s="0" t="n">
        <v>0.05</v>
      </c>
      <c r="E349" s="0" t="s">
        <v>3072</v>
      </c>
    </row>
    <row r="350" customFormat="false" ht="15" hidden="false" customHeight="false" outlineLevel="0" collapsed="false">
      <c r="A350" s="0" t="s">
        <v>60</v>
      </c>
      <c r="B350" s="0" t="n">
        <v>200</v>
      </c>
      <c r="C350" s="0" t="n">
        <v>4000</v>
      </c>
      <c r="D350" s="0" t="n">
        <v>0.05</v>
      </c>
      <c r="E350" s="0" t="s">
        <v>3084</v>
      </c>
    </row>
    <row r="351" customFormat="false" ht="15" hidden="false" customHeight="false" outlineLevel="0" collapsed="false">
      <c r="A351" s="0" t="s">
        <v>60</v>
      </c>
      <c r="B351" s="0" t="n">
        <v>200</v>
      </c>
      <c r="C351" s="0" t="n">
        <v>4000</v>
      </c>
      <c r="D351" s="0" t="n">
        <v>0.05</v>
      </c>
      <c r="E351" s="0" t="s">
        <v>3095</v>
      </c>
    </row>
    <row r="352" customFormat="false" ht="15" hidden="false" customHeight="false" outlineLevel="0" collapsed="false">
      <c r="A352" s="0" t="s">
        <v>60</v>
      </c>
      <c r="B352" s="0" t="n">
        <v>200</v>
      </c>
      <c r="C352" s="0" t="n">
        <v>4000</v>
      </c>
      <c r="D352" s="0" t="n">
        <v>0.05</v>
      </c>
      <c r="E352" s="0" t="s">
        <v>3106</v>
      </c>
    </row>
    <row r="353" customFormat="false" ht="15" hidden="false" customHeight="false" outlineLevel="0" collapsed="false">
      <c r="A353" s="0" t="s">
        <v>60</v>
      </c>
      <c r="B353" s="0" t="n">
        <v>200</v>
      </c>
      <c r="C353" s="0" t="n">
        <v>4000</v>
      </c>
      <c r="D353" s="0" t="n">
        <v>0.05</v>
      </c>
      <c r="E353" s="0" t="s">
        <v>3118</v>
      </c>
    </row>
    <row r="354" customFormat="false" ht="15" hidden="false" customHeight="false" outlineLevel="0" collapsed="false">
      <c r="A354" s="0" t="s">
        <v>60</v>
      </c>
      <c r="B354" s="0" t="n">
        <v>200</v>
      </c>
      <c r="C354" s="0" t="n">
        <v>4000</v>
      </c>
      <c r="D354" s="0" t="n">
        <v>0.05</v>
      </c>
      <c r="E354" s="0" t="s">
        <v>3130</v>
      </c>
    </row>
    <row r="355" customFormat="false" ht="15" hidden="false" customHeight="false" outlineLevel="0" collapsed="false">
      <c r="A355" s="0" t="s">
        <v>60</v>
      </c>
      <c r="B355" s="0" t="n">
        <v>200</v>
      </c>
      <c r="C355" s="0" t="n">
        <v>4000</v>
      </c>
      <c r="D355" s="0" t="n">
        <v>0.05</v>
      </c>
      <c r="E355" s="0" t="s">
        <v>3141</v>
      </c>
    </row>
    <row r="356" customFormat="false" ht="15" hidden="false" customHeight="false" outlineLevel="0" collapsed="false">
      <c r="A356" s="0" t="s">
        <v>60</v>
      </c>
      <c r="B356" s="0" t="n">
        <v>200</v>
      </c>
      <c r="C356" s="0" t="n">
        <v>4000</v>
      </c>
      <c r="D356" s="0" t="n">
        <v>0.05</v>
      </c>
      <c r="E356" s="0" t="s">
        <v>3152</v>
      </c>
    </row>
    <row r="357" customFormat="false" ht="15" hidden="false" customHeight="false" outlineLevel="0" collapsed="false">
      <c r="A357" s="0" t="s">
        <v>60</v>
      </c>
      <c r="B357" s="0" t="n">
        <v>200</v>
      </c>
      <c r="C357" s="0" t="n">
        <v>4000</v>
      </c>
      <c r="D357" s="0" t="n">
        <v>0.05</v>
      </c>
      <c r="E357" s="0" t="s">
        <v>3163</v>
      </c>
    </row>
    <row r="358" customFormat="false" ht="15" hidden="false" customHeight="false" outlineLevel="0" collapsed="false">
      <c r="A358" s="0" t="s">
        <v>60</v>
      </c>
      <c r="B358" s="0" t="n">
        <v>200</v>
      </c>
      <c r="C358" s="0" t="n">
        <v>4000</v>
      </c>
      <c r="D358" s="0" t="n">
        <v>0.05</v>
      </c>
      <c r="E358" s="0" t="s">
        <v>3174</v>
      </c>
    </row>
    <row r="359" customFormat="false" ht="15" hidden="false" customHeight="false" outlineLevel="0" collapsed="false">
      <c r="A359" s="0" t="s">
        <v>60</v>
      </c>
      <c r="B359" s="0" t="n">
        <v>200</v>
      </c>
      <c r="C359" s="0" t="n">
        <v>4000</v>
      </c>
      <c r="D359" s="0" t="n">
        <v>0.05</v>
      </c>
      <c r="E359" s="0" t="s">
        <v>3186</v>
      </c>
    </row>
    <row r="360" customFormat="false" ht="15" hidden="false" customHeight="false" outlineLevel="0" collapsed="false">
      <c r="A360" s="0" t="s">
        <v>60</v>
      </c>
      <c r="B360" s="0" t="n">
        <v>200</v>
      </c>
      <c r="C360" s="0" t="n">
        <v>4000</v>
      </c>
      <c r="D360" s="0" t="n">
        <v>0.05</v>
      </c>
      <c r="E360" s="0" t="s">
        <v>3199</v>
      </c>
    </row>
    <row r="361" customFormat="false" ht="15" hidden="false" customHeight="false" outlineLevel="0" collapsed="false">
      <c r="A361" s="0" t="s">
        <v>60</v>
      </c>
      <c r="B361" s="0" t="n">
        <v>2500</v>
      </c>
      <c r="C361" s="0" t="n">
        <v>4000</v>
      </c>
      <c r="D361" s="0" t="n">
        <v>0.625</v>
      </c>
      <c r="E361" s="0" t="s">
        <v>3210</v>
      </c>
    </row>
    <row r="362" customFormat="false" ht="15" hidden="false" customHeight="false" outlineLevel="0" collapsed="false">
      <c r="A362" s="0" t="s">
        <v>60</v>
      </c>
      <c r="B362" s="0" t="n">
        <v>200</v>
      </c>
      <c r="C362" s="0" t="n">
        <v>4000</v>
      </c>
      <c r="D362" s="0" t="n">
        <v>0.05</v>
      </c>
      <c r="E362" s="0" t="s">
        <v>3222</v>
      </c>
    </row>
    <row r="363" customFormat="false" ht="15" hidden="false" customHeight="false" outlineLevel="0" collapsed="false">
      <c r="A363" s="0" t="s">
        <v>60</v>
      </c>
      <c r="B363" s="0" t="n">
        <v>200</v>
      </c>
      <c r="C363" s="0" t="n">
        <v>4000</v>
      </c>
      <c r="D363" s="0" t="n">
        <v>0.05</v>
      </c>
      <c r="E363" s="0" t="s">
        <v>3233</v>
      </c>
    </row>
    <row r="364" customFormat="false" ht="15" hidden="false" customHeight="false" outlineLevel="0" collapsed="false">
      <c r="A364" s="0" t="s">
        <v>60</v>
      </c>
      <c r="B364" s="0" t="n">
        <v>200</v>
      </c>
      <c r="C364" s="0" t="n">
        <v>4000</v>
      </c>
      <c r="D364" s="0" t="n">
        <v>0.05</v>
      </c>
      <c r="E364" s="0" t="s">
        <v>3244</v>
      </c>
    </row>
    <row r="365" customFormat="false" ht="15" hidden="false" customHeight="false" outlineLevel="0" collapsed="false">
      <c r="A365" s="0" t="s">
        <v>60</v>
      </c>
      <c r="B365" s="0" t="n">
        <v>200</v>
      </c>
      <c r="C365" s="0" t="n">
        <v>4000</v>
      </c>
      <c r="D365" s="0" t="n">
        <v>0.05</v>
      </c>
      <c r="E365" s="0" t="s">
        <v>3258</v>
      </c>
    </row>
    <row r="366" customFormat="false" ht="15" hidden="false" customHeight="false" outlineLevel="0" collapsed="false">
      <c r="A366" s="0" t="s">
        <v>60</v>
      </c>
      <c r="B366" s="0" t="n">
        <v>200</v>
      </c>
      <c r="C366" s="0" t="n">
        <v>4000</v>
      </c>
      <c r="D366" s="0" t="n">
        <v>0.05</v>
      </c>
      <c r="E366" s="0" t="s">
        <v>3271</v>
      </c>
    </row>
    <row r="367" customFormat="false" ht="15" hidden="false" customHeight="false" outlineLevel="0" collapsed="false">
      <c r="A367" s="0" t="s">
        <v>60</v>
      </c>
      <c r="B367" s="0" t="n">
        <v>200</v>
      </c>
      <c r="C367" s="0" t="n">
        <v>4000</v>
      </c>
      <c r="D367" s="0" t="n">
        <v>0.05</v>
      </c>
      <c r="E367" s="0" t="s">
        <v>3289</v>
      </c>
    </row>
    <row r="368" customFormat="false" ht="15" hidden="false" customHeight="false" outlineLevel="0" collapsed="false">
      <c r="A368" s="0" t="s">
        <v>60</v>
      </c>
      <c r="B368" s="0" t="n">
        <v>200</v>
      </c>
      <c r="C368" s="0" t="n">
        <v>4000</v>
      </c>
      <c r="D368" s="0" t="n">
        <v>0.05</v>
      </c>
      <c r="E368" s="0" t="s">
        <v>3309</v>
      </c>
    </row>
    <row r="369" customFormat="false" ht="15" hidden="false" customHeight="false" outlineLevel="0" collapsed="false">
      <c r="A369" s="0" t="s">
        <v>60</v>
      </c>
      <c r="B369" s="0" t="n">
        <v>200</v>
      </c>
      <c r="C369" s="0" t="n">
        <v>4000</v>
      </c>
      <c r="D369" s="0" t="n">
        <v>0.05</v>
      </c>
      <c r="E369" s="0" t="s">
        <v>3326</v>
      </c>
    </row>
    <row r="370" customFormat="false" ht="15" hidden="false" customHeight="false" outlineLevel="0" collapsed="false">
      <c r="A370" s="0" t="s">
        <v>60</v>
      </c>
      <c r="B370" s="0" t="n">
        <v>200</v>
      </c>
      <c r="C370" s="0" t="n">
        <v>4000</v>
      </c>
      <c r="D370" s="0" t="n">
        <v>0.05</v>
      </c>
      <c r="E370" s="0" t="s">
        <v>3341</v>
      </c>
    </row>
    <row r="371" customFormat="false" ht="15" hidden="false" customHeight="false" outlineLevel="0" collapsed="false">
      <c r="A371" s="0" t="s">
        <v>60</v>
      </c>
      <c r="B371" s="0" t="n">
        <v>200</v>
      </c>
      <c r="C371" s="0" t="n">
        <v>3900</v>
      </c>
      <c r="D371" s="0" t="n">
        <v>0.0512820512820513</v>
      </c>
      <c r="E371" s="0" t="s">
        <v>3367</v>
      </c>
    </row>
    <row r="372" customFormat="false" ht="15" hidden="false" customHeight="false" outlineLevel="0" collapsed="false">
      <c r="A372" s="0" t="s">
        <v>60</v>
      </c>
      <c r="B372" s="0" t="n">
        <v>200</v>
      </c>
      <c r="C372" s="0" t="n">
        <v>4000</v>
      </c>
      <c r="D372" s="0" t="n">
        <v>0.05</v>
      </c>
      <c r="E372" s="0" t="s">
        <v>3379</v>
      </c>
    </row>
    <row r="373" customFormat="false" ht="15" hidden="false" customHeight="false" outlineLevel="0" collapsed="false">
      <c r="A373" s="0" t="s">
        <v>60</v>
      </c>
      <c r="B373" s="0" t="n">
        <v>200</v>
      </c>
      <c r="C373" s="0" t="n">
        <v>4500</v>
      </c>
      <c r="D373" s="0" t="n">
        <v>0.0444444444444445</v>
      </c>
      <c r="E373" s="0" t="s">
        <v>3389</v>
      </c>
    </row>
    <row r="374" customFormat="false" ht="15" hidden="false" customHeight="false" outlineLevel="0" collapsed="false">
      <c r="A374" s="0" t="s">
        <v>60</v>
      </c>
      <c r="B374" s="0" t="n">
        <v>200</v>
      </c>
      <c r="C374" s="0" t="n">
        <v>4500</v>
      </c>
      <c r="D374" s="0" t="n">
        <v>0.0444444444444445</v>
      </c>
      <c r="E374" s="0" t="s">
        <v>3398</v>
      </c>
    </row>
    <row r="375" customFormat="false" ht="15" hidden="false" customHeight="false" outlineLevel="0" collapsed="false">
      <c r="A375" s="0" t="s">
        <v>60</v>
      </c>
      <c r="B375" s="0" t="n">
        <v>200</v>
      </c>
      <c r="C375" s="0" t="n">
        <v>4500</v>
      </c>
      <c r="D375" s="0" t="n">
        <v>0.0444444444444445</v>
      </c>
      <c r="E375" s="0" t="s">
        <v>3407</v>
      </c>
    </row>
    <row r="376" customFormat="false" ht="15" hidden="false" customHeight="false" outlineLevel="0" collapsed="false">
      <c r="A376" s="0" t="s">
        <v>60</v>
      </c>
      <c r="B376" s="0" t="n">
        <v>200</v>
      </c>
      <c r="C376" s="0" t="n">
        <v>4500</v>
      </c>
      <c r="D376" s="0" t="n">
        <v>0.0444444444444445</v>
      </c>
      <c r="E376" s="0" t="s">
        <v>3416</v>
      </c>
    </row>
    <row r="377" customFormat="false" ht="15" hidden="false" customHeight="false" outlineLevel="0" collapsed="false">
      <c r="A377" s="0" t="s">
        <v>60</v>
      </c>
      <c r="B377" s="0" t="n">
        <v>200</v>
      </c>
      <c r="C377" s="0" t="n">
        <v>4500</v>
      </c>
      <c r="D377" s="0" t="n">
        <v>0.0444444444444445</v>
      </c>
      <c r="E377" s="0" t="s">
        <v>3426</v>
      </c>
    </row>
    <row r="378" customFormat="false" ht="15" hidden="false" customHeight="false" outlineLevel="0" collapsed="false">
      <c r="A378" s="0" t="s">
        <v>60</v>
      </c>
      <c r="B378" s="0" t="n">
        <v>200</v>
      </c>
      <c r="C378" s="0" t="n">
        <v>4500</v>
      </c>
      <c r="D378" s="0" t="n">
        <v>0.0444444444444445</v>
      </c>
      <c r="E378" s="0" t="s">
        <v>3435</v>
      </c>
    </row>
    <row r="379" customFormat="false" ht="15" hidden="false" customHeight="false" outlineLevel="0" collapsed="false">
      <c r="A379" s="0" t="s">
        <v>62</v>
      </c>
      <c r="B379" s="0" t="n">
        <v>100</v>
      </c>
      <c r="C379" s="0" t="n">
        <v>4000</v>
      </c>
      <c r="D379" s="0" t="n">
        <v>0.025</v>
      </c>
      <c r="E379" s="0" t="s">
        <v>63</v>
      </c>
    </row>
    <row r="380" customFormat="false" ht="15" hidden="false" customHeight="false" outlineLevel="0" collapsed="false">
      <c r="A380" s="0" t="s">
        <v>62</v>
      </c>
      <c r="B380" s="0" t="n">
        <v>3000</v>
      </c>
      <c r="C380" s="0" t="n">
        <v>4000</v>
      </c>
      <c r="D380" s="0" t="n">
        <v>0.75</v>
      </c>
      <c r="E380" s="0" t="s">
        <v>76</v>
      </c>
    </row>
    <row r="381" customFormat="false" ht="15" hidden="false" customHeight="false" outlineLevel="0" collapsed="false">
      <c r="A381" s="0" t="s">
        <v>62</v>
      </c>
      <c r="B381" s="0" t="n">
        <v>50</v>
      </c>
      <c r="C381" s="0" t="n">
        <v>4000</v>
      </c>
      <c r="D381" s="0" t="n">
        <v>0.0125</v>
      </c>
      <c r="E381" s="0" t="s">
        <v>109</v>
      </c>
    </row>
    <row r="382" customFormat="false" ht="15" hidden="false" customHeight="false" outlineLevel="0" collapsed="false">
      <c r="A382" s="0" t="s">
        <v>62</v>
      </c>
      <c r="B382" s="0" t="n">
        <v>11000</v>
      </c>
      <c r="C382" s="0" t="n">
        <v>4000</v>
      </c>
      <c r="D382" s="0" t="n">
        <v>2.75</v>
      </c>
      <c r="E382" s="0" t="s">
        <v>120</v>
      </c>
    </row>
    <row r="383" customFormat="false" ht="15" hidden="false" customHeight="false" outlineLevel="0" collapsed="false">
      <c r="A383" s="0" t="s">
        <v>62</v>
      </c>
      <c r="B383" s="0" t="n">
        <v>100</v>
      </c>
      <c r="C383" s="0" t="n">
        <v>4000</v>
      </c>
      <c r="D383" s="0" t="n">
        <v>0.025</v>
      </c>
      <c r="E383" s="0" t="s">
        <v>137</v>
      </c>
    </row>
    <row r="384" customFormat="false" ht="15" hidden="false" customHeight="false" outlineLevel="0" collapsed="false">
      <c r="A384" s="0" t="s">
        <v>62</v>
      </c>
      <c r="B384" s="0" t="n">
        <v>100</v>
      </c>
      <c r="C384" s="0" t="n">
        <v>4000</v>
      </c>
      <c r="D384" s="0" t="n">
        <v>0.025</v>
      </c>
      <c r="E384" s="0" t="s">
        <v>151</v>
      </c>
    </row>
    <row r="385" customFormat="false" ht="15" hidden="false" customHeight="false" outlineLevel="0" collapsed="false">
      <c r="A385" s="0" t="s">
        <v>62</v>
      </c>
      <c r="B385" s="0" t="n">
        <v>100</v>
      </c>
      <c r="C385" s="0" t="n">
        <v>4000</v>
      </c>
      <c r="D385" s="0" t="n">
        <v>0.025</v>
      </c>
      <c r="E385" s="0" t="s">
        <v>165</v>
      </c>
    </row>
    <row r="386" customFormat="false" ht="15" hidden="false" customHeight="false" outlineLevel="0" collapsed="false">
      <c r="A386" s="0" t="s">
        <v>62</v>
      </c>
      <c r="B386" s="0" t="n">
        <v>500</v>
      </c>
      <c r="C386" s="0" t="n">
        <v>4000</v>
      </c>
      <c r="D386" s="0" t="n">
        <v>0.125</v>
      </c>
      <c r="E386" s="0" t="s">
        <v>179</v>
      </c>
    </row>
    <row r="387" customFormat="false" ht="15" hidden="false" customHeight="false" outlineLevel="0" collapsed="false">
      <c r="A387" s="0" t="s">
        <v>62</v>
      </c>
      <c r="B387" s="0" t="n">
        <v>100</v>
      </c>
      <c r="C387" s="0" t="n">
        <v>4000</v>
      </c>
      <c r="D387" s="0" t="n">
        <v>0.025</v>
      </c>
      <c r="E387" s="0" t="s">
        <v>194</v>
      </c>
    </row>
    <row r="388" customFormat="false" ht="15" hidden="false" customHeight="false" outlineLevel="0" collapsed="false">
      <c r="A388" s="0" t="s">
        <v>62</v>
      </c>
      <c r="B388" s="0" t="n">
        <v>500</v>
      </c>
      <c r="C388" s="0" t="n">
        <v>4000</v>
      </c>
      <c r="D388" s="0" t="n">
        <v>0.125</v>
      </c>
      <c r="E388" s="0" t="s">
        <v>209</v>
      </c>
    </row>
    <row r="389" customFormat="false" ht="15" hidden="false" customHeight="false" outlineLevel="0" collapsed="false">
      <c r="A389" s="0" t="s">
        <v>62</v>
      </c>
      <c r="B389" s="0" t="n">
        <v>100</v>
      </c>
      <c r="C389" s="0" t="n">
        <v>4000</v>
      </c>
      <c r="D389" s="0" t="n">
        <v>0.025</v>
      </c>
      <c r="E389" s="0" t="s">
        <v>307</v>
      </c>
    </row>
    <row r="390" customFormat="false" ht="15" hidden="false" customHeight="false" outlineLevel="0" collapsed="false">
      <c r="A390" s="0" t="s">
        <v>62</v>
      </c>
      <c r="B390" s="0" t="n">
        <v>100</v>
      </c>
      <c r="C390" s="0" t="n">
        <v>4000</v>
      </c>
      <c r="D390" s="0" t="n">
        <v>0.025</v>
      </c>
      <c r="E390" s="0" t="s">
        <v>320</v>
      </c>
    </row>
    <row r="391" customFormat="false" ht="15" hidden="false" customHeight="false" outlineLevel="0" collapsed="false">
      <c r="A391" s="0" t="s">
        <v>62</v>
      </c>
      <c r="B391" s="0" t="n">
        <v>100</v>
      </c>
      <c r="C391" s="0" t="n">
        <v>4000</v>
      </c>
      <c r="D391" s="0" t="n">
        <v>0.025</v>
      </c>
      <c r="E391" s="0" t="s">
        <v>332</v>
      </c>
    </row>
    <row r="392" customFormat="false" ht="15" hidden="false" customHeight="false" outlineLevel="0" collapsed="false">
      <c r="A392" s="0" t="s">
        <v>62</v>
      </c>
      <c r="B392" s="0" t="n">
        <v>50</v>
      </c>
      <c r="C392" s="0" t="n">
        <v>4000</v>
      </c>
      <c r="D392" s="0" t="n">
        <v>0.0125</v>
      </c>
      <c r="E392" s="0" t="s">
        <v>345</v>
      </c>
    </row>
    <row r="393" customFormat="false" ht="15" hidden="false" customHeight="false" outlineLevel="0" collapsed="false">
      <c r="A393" s="0" t="s">
        <v>62</v>
      </c>
      <c r="B393" s="0" t="n">
        <v>100</v>
      </c>
      <c r="C393" s="0" t="n">
        <v>4000</v>
      </c>
      <c r="D393" s="0" t="n">
        <v>0.025</v>
      </c>
      <c r="E393" s="0" t="s">
        <v>371</v>
      </c>
    </row>
    <row r="394" customFormat="false" ht="15" hidden="false" customHeight="false" outlineLevel="0" collapsed="false">
      <c r="A394" s="0" t="s">
        <v>62</v>
      </c>
      <c r="B394" s="0" t="n">
        <v>100</v>
      </c>
      <c r="C394" s="0" t="n">
        <v>4000</v>
      </c>
      <c r="D394" s="0" t="n">
        <v>0.025</v>
      </c>
      <c r="E394" s="0" t="s">
        <v>384</v>
      </c>
    </row>
    <row r="395" customFormat="false" ht="15" hidden="false" customHeight="false" outlineLevel="0" collapsed="false">
      <c r="A395" s="0" t="s">
        <v>62</v>
      </c>
      <c r="B395" s="0" t="n">
        <v>100</v>
      </c>
      <c r="C395" s="0" t="n">
        <v>4000</v>
      </c>
      <c r="D395" s="0" t="n">
        <v>0.025</v>
      </c>
      <c r="E395" s="0" t="s">
        <v>396</v>
      </c>
    </row>
    <row r="396" customFormat="false" ht="15" hidden="false" customHeight="false" outlineLevel="0" collapsed="false">
      <c r="A396" s="0" t="s">
        <v>62</v>
      </c>
      <c r="B396" s="0" t="n">
        <v>100</v>
      </c>
      <c r="C396" s="0" t="n">
        <v>4000</v>
      </c>
      <c r="D396" s="0" t="n">
        <v>0.025</v>
      </c>
      <c r="E396" s="0" t="s">
        <v>421</v>
      </c>
    </row>
    <row r="397" customFormat="false" ht="15" hidden="false" customHeight="false" outlineLevel="0" collapsed="false">
      <c r="A397" s="0" t="s">
        <v>62</v>
      </c>
      <c r="B397" s="0" t="n">
        <v>100</v>
      </c>
      <c r="C397" s="0" t="n">
        <v>4000</v>
      </c>
      <c r="D397" s="0" t="n">
        <v>0.025</v>
      </c>
      <c r="E397" s="0" t="s">
        <v>434</v>
      </c>
    </row>
    <row r="398" customFormat="false" ht="15" hidden="false" customHeight="false" outlineLevel="0" collapsed="false">
      <c r="A398" s="0" t="s">
        <v>62</v>
      </c>
      <c r="B398" s="0" t="n">
        <v>100</v>
      </c>
      <c r="C398" s="0" t="n">
        <v>4000</v>
      </c>
      <c r="D398" s="0" t="n">
        <v>0.025</v>
      </c>
      <c r="E398" s="0" t="s">
        <v>447</v>
      </c>
    </row>
    <row r="399" customFormat="false" ht="15" hidden="false" customHeight="false" outlineLevel="0" collapsed="false">
      <c r="A399" s="0" t="s">
        <v>62</v>
      </c>
      <c r="B399" s="0" t="n">
        <v>100</v>
      </c>
      <c r="C399" s="0" t="n">
        <v>4000</v>
      </c>
      <c r="D399" s="0" t="n">
        <v>0.025</v>
      </c>
      <c r="E399" s="0" t="s">
        <v>484</v>
      </c>
    </row>
    <row r="400" customFormat="false" ht="15" hidden="false" customHeight="false" outlineLevel="0" collapsed="false">
      <c r="A400" s="0" t="s">
        <v>62</v>
      </c>
      <c r="B400" s="0" t="n">
        <v>530</v>
      </c>
      <c r="C400" s="0" t="n">
        <v>4000</v>
      </c>
      <c r="D400" s="0" t="n">
        <v>0.1325</v>
      </c>
      <c r="E400" s="0" t="s">
        <v>497</v>
      </c>
    </row>
    <row r="401" customFormat="false" ht="15" hidden="false" customHeight="false" outlineLevel="0" collapsed="false">
      <c r="A401" s="0" t="s">
        <v>62</v>
      </c>
      <c r="B401" s="0" t="n">
        <v>500</v>
      </c>
      <c r="C401" s="0" t="n">
        <v>4000</v>
      </c>
      <c r="D401" s="0" t="n">
        <v>0.125</v>
      </c>
      <c r="E401" s="0" t="s">
        <v>522</v>
      </c>
    </row>
    <row r="402" customFormat="false" ht="15" hidden="false" customHeight="false" outlineLevel="0" collapsed="false">
      <c r="A402" s="0" t="s">
        <v>62</v>
      </c>
      <c r="B402" s="0" t="n">
        <v>100</v>
      </c>
      <c r="C402" s="0" t="n">
        <v>4000</v>
      </c>
      <c r="D402" s="0" t="n">
        <v>0.025</v>
      </c>
      <c r="E402" s="0" t="s">
        <v>537</v>
      </c>
    </row>
    <row r="403" customFormat="false" ht="15" hidden="false" customHeight="false" outlineLevel="0" collapsed="false">
      <c r="A403" s="0" t="s">
        <v>62</v>
      </c>
      <c r="B403" s="0" t="n">
        <v>100</v>
      </c>
      <c r="C403" s="0" t="n">
        <v>4000</v>
      </c>
      <c r="D403" s="0" t="n">
        <v>0.025</v>
      </c>
      <c r="E403" s="0" t="s">
        <v>551</v>
      </c>
    </row>
    <row r="404" customFormat="false" ht="15" hidden="false" customHeight="false" outlineLevel="0" collapsed="false">
      <c r="A404" s="0" t="s">
        <v>62</v>
      </c>
      <c r="B404" s="0" t="n">
        <v>100</v>
      </c>
      <c r="C404" s="0" t="n">
        <v>4000</v>
      </c>
      <c r="D404" s="0" t="n">
        <v>0.025</v>
      </c>
      <c r="E404" s="0" t="s">
        <v>568</v>
      </c>
    </row>
    <row r="405" customFormat="false" ht="15" hidden="false" customHeight="false" outlineLevel="0" collapsed="false">
      <c r="A405" s="0" t="s">
        <v>62</v>
      </c>
      <c r="B405" s="0" t="n">
        <v>100</v>
      </c>
      <c r="C405" s="0" t="n">
        <v>4000</v>
      </c>
      <c r="D405" s="0" t="n">
        <v>0.025</v>
      </c>
      <c r="E405" s="0" t="s">
        <v>589</v>
      </c>
    </row>
    <row r="406" customFormat="false" ht="15" hidden="false" customHeight="false" outlineLevel="0" collapsed="false">
      <c r="A406" s="0" t="s">
        <v>62</v>
      </c>
      <c r="B406" s="0" t="n">
        <v>100</v>
      </c>
      <c r="C406" s="0" t="n">
        <v>4000</v>
      </c>
      <c r="D406" s="0" t="n">
        <v>0.025</v>
      </c>
      <c r="E406" s="0" t="s">
        <v>606</v>
      </c>
    </row>
    <row r="407" customFormat="false" ht="15" hidden="false" customHeight="false" outlineLevel="0" collapsed="false">
      <c r="A407" s="0" t="s">
        <v>62</v>
      </c>
      <c r="B407" s="0" t="n">
        <v>100</v>
      </c>
      <c r="C407" s="0" t="n">
        <v>4000</v>
      </c>
      <c r="D407" s="0" t="n">
        <v>0.025</v>
      </c>
      <c r="E407" s="0" t="s">
        <v>621</v>
      </c>
    </row>
    <row r="408" customFormat="false" ht="15" hidden="false" customHeight="false" outlineLevel="0" collapsed="false">
      <c r="A408" s="0" t="s">
        <v>62</v>
      </c>
      <c r="B408" s="0" t="n">
        <v>100</v>
      </c>
      <c r="C408" s="0" t="n">
        <v>3800</v>
      </c>
      <c r="D408" s="0" t="n">
        <v>0.0263157894736842</v>
      </c>
      <c r="E408" s="0" t="s">
        <v>632</v>
      </c>
    </row>
    <row r="409" customFormat="false" ht="15" hidden="false" customHeight="false" outlineLevel="0" collapsed="false">
      <c r="A409" s="0" t="s">
        <v>62</v>
      </c>
      <c r="B409" s="0" t="n">
        <v>100</v>
      </c>
      <c r="C409" s="0" t="n">
        <v>3800</v>
      </c>
      <c r="D409" s="0" t="n">
        <v>0.0263157894736842</v>
      </c>
      <c r="E409" s="0" t="s">
        <v>642</v>
      </c>
    </row>
    <row r="410" customFormat="false" ht="15" hidden="false" customHeight="false" outlineLevel="0" collapsed="false">
      <c r="A410" s="0" t="s">
        <v>62</v>
      </c>
      <c r="B410" s="0" t="n">
        <v>100</v>
      </c>
      <c r="C410" s="0" t="n">
        <v>3800</v>
      </c>
      <c r="D410" s="0" t="n">
        <v>0.0263157894736842</v>
      </c>
      <c r="E410" s="0" t="s">
        <v>656</v>
      </c>
    </row>
    <row r="411" customFormat="false" ht="15" hidden="false" customHeight="false" outlineLevel="0" collapsed="false">
      <c r="A411" s="0" t="s">
        <v>62</v>
      </c>
      <c r="B411" s="0" t="n">
        <v>100</v>
      </c>
      <c r="C411" s="0" t="n">
        <v>3800</v>
      </c>
      <c r="D411" s="0" t="n">
        <v>0.0263157894736842</v>
      </c>
      <c r="E411" s="0" t="s">
        <v>666</v>
      </c>
    </row>
    <row r="412" customFormat="false" ht="15" hidden="false" customHeight="false" outlineLevel="0" collapsed="false">
      <c r="A412" s="0" t="s">
        <v>62</v>
      </c>
      <c r="B412" s="0" t="n">
        <v>100</v>
      </c>
      <c r="C412" s="0" t="n">
        <v>3800</v>
      </c>
      <c r="D412" s="0" t="n">
        <v>0.0263157894736842</v>
      </c>
      <c r="E412" s="0" t="s">
        <v>679</v>
      </c>
    </row>
    <row r="413" customFormat="false" ht="15" hidden="false" customHeight="false" outlineLevel="0" collapsed="false">
      <c r="A413" s="0" t="s">
        <v>62</v>
      </c>
      <c r="B413" s="0" t="n">
        <v>100</v>
      </c>
      <c r="C413" s="0" t="n">
        <v>3800</v>
      </c>
      <c r="D413" s="0" t="n">
        <v>0.0263157894736842</v>
      </c>
      <c r="E413" s="0" t="s">
        <v>689</v>
      </c>
    </row>
    <row r="414" customFormat="false" ht="15" hidden="false" customHeight="false" outlineLevel="0" collapsed="false">
      <c r="A414" s="0" t="s">
        <v>62</v>
      </c>
      <c r="B414" s="0" t="n">
        <v>100</v>
      </c>
      <c r="C414" s="0" t="n">
        <v>3800</v>
      </c>
      <c r="D414" s="0" t="n">
        <v>0.0263157894736842</v>
      </c>
      <c r="E414" s="0" t="s">
        <v>700</v>
      </c>
    </row>
    <row r="415" customFormat="false" ht="15" hidden="false" customHeight="false" outlineLevel="0" collapsed="false">
      <c r="A415" s="0" t="s">
        <v>62</v>
      </c>
      <c r="B415" s="0" t="n">
        <v>100</v>
      </c>
      <c r="C415" s="0" t="n">
        <v>3800</v>
      </c>
      <c r="D415" s="0" t="n">
        <v>0.0263157894736842</v>
      </c>
      <c r="E415" s="0" t="s">
        <v>710</v>
      </c>
    </row>
    <row r="416" customFormat="false" ht="15" hidden="false" customHeight="false" outlineLevel="0" collapsed="false">
      <c r="A416" s="0" t="s">
        <v>62</v>
      </c>
      <c r="B416" s="0" t="n">
        <v>100</v>
      </c>
      <c r="C416" s="0" t="n">
        <v>3800</v>
      </c>
      <c r="D416" s="0" t="n">
        <v>0.0263157894736842</v>
      </c>
      <c r="E416" s="0" t="s">
        <v>720</v>
      </c>
    </row>
    <row r="417" customFormat="false" ht="15" hidden="false" customHeight="false" outlineLevel="0" collapsed="false">
      <c r="A417" s="0" t="s">
        <v>62</v>
      </c>
      <c r="B417" s="0" t="n">
        <v>100</v>
      </c>
      <c r="C417" s="0" t="n">
        <v>3800</v>
      </c>
      <c r="D417" s="0" t="n">
        <v>0.0263157894736842</v>
      </c>
      <c r="E417" s="0" t="s">
        <v>730</v>
      </c>
    </row>
    <row r="418" customFormat="false" ht="15" hidden="false" customHeight="false" outlineLevel="0" collapsed="false">
      <c r="A418" s="0" t="s">
        <v>62</v>
      </c>
      <c r="B418" s="0" t="n">
        <v>100</v>
      </c>
      <c r="C418" s="0" t="n">
        <v>3800</v>
      </c>
      <c r="D418" s="0" t="n">
        <v>0.0263157894736842</v>
      </c>
      <c r="E418" s="0" t="s">
        <v>749</v>
      </c>
    </row>
    <row r="419" customFormat="false" ht="15" hidden="false" customHeight="false" outlineLevel="0" collapsed="false">
      <c r="A419" s="0" t="s">
        <v>62</v>
      </c>
      <c r="B419" s="0" t="n">
        <v>100</v>
      </c>
      <c r="C419" s="0" t="n">
        <v>3800</v>
      </c>
      <c r="D419" s="0" t="n">
        <v>0.0263157894736842</v>
      </c>
      <c r="E419" s="0" t="s">
        <v>765</v>
      </c>
    </row>
    <row r="420" customFormat="false" ht="15" hidden="false" customHeight="false" outlineLevel="0" collapsed="false">
      <c r="A420" s="0" t="s">
        <v>62</v>
      </c>
      <c r="B420" s="0" t="n">
        <v>100</v>
      </c>
      <c r="C420" s="0" t="n">
        <v>3800</v>
      </c>
      <c r="D420" s="0" t="n">
        <v>0.0263157894736842</v>
      </c>
      <c r="E420" s="0" t="s">
        <v>780</v>
      </c>
    </row>
    <row r="421" customFormat="false" ht="15" hidden="false" customHeight="false" outlineLevel="0" collapsed="false">
      <c r="A421" s="0" t="s">
        <v>62</v>
      </c>
      <c r="B421" s="0" t="n">
        <v>100</v>
      </c>
      <c r="C421" s="0" t="n">
        <v>3800</v>
      </c>
      <c r="D421" s="0" t="n">
        <v>0.0263157894736842</v>
      </c>
      <c r="E421" s="0" t="s">
        <v>794</v>
      </c>
    </row>
    <row r="422" customFormat="false" ht="15" hidden="false" customHeight="false" outlineLevel="0" collapsed="false">
      <c r="A422" s="0" t="s">
        <v>62</v>
      </c>
      <c r="B422" s="0" t="n">
        <v>100</v>
      </c>
      <c r="C422" s="0" t="n">
        <v>3800</v>
      </c>
      <c r="D422" s="0" t="n">
        <v>0.0263157894736842</v>
      </c>
      <c r="E422" s="0" t="s">
        <v>808</v>
      </c>
    </row>
    <row r="423" customFormat="false" ht="15" hidden="false" customHeight="false" outlineLevel="0" collapsed="false">
      <c r="A423" s="0" t="s">
        <v>62</v>
      </c>
      <c r="B423" s="0" t="n">
        <v>100</v>
      </c>
      <c r="C423" s="0" t="n">
        <v>3800</v>
      </c>
      <c r="D423" s="0" t="n">
        <v>0.0263157894736842</v>
      </c>
      <c r="E423" s="0" t="s">
        <v>822</v>
      </c>
    </row>
    <row r="424" customFormat="false" ht="15" hidden="false" customHeight="false" outlineLevel="0" collapsed="false">
      <c r="A424" s="0" t="s">
        <v>62</v>
      </c>
      <c r="B424" s="0" t="n">
        <v>100</v>
      </c>
      <c r="C424" s="0" t="n">
        <v>3800</v>
      </c>
      <c r="D424" s="0" t="n">
        <v>0.0263157894736842</v>
      </c>
      <c r="E424" s="0" t="s">
        <v>838</v>
      </c>
    </row>
    <row r="425" customFormat="false" ht="15" hidden="false" customHeight="false" outlineLevel="0" collapsed="false">
      <c r="A425" s="0" t="s">
        <v>62</v>
      </c>
      <c r="B425" s="0" t="n">
        <v>100</v>
      </c>
      <c r="C425" s="0" t="n">
        <v>3800</v>
      </c>
      <c r="D425" s="0" t="n">
        <v>0.0263157894736842</v>
      </c>
      <c r="E425" s="0" t="s">
        <v>854</v>
      </c>
    </row>
    <row r="426" customFormat="false" ht="15" hidden="false" customHeight="false" outlineLevel="0" collapsed="false">
      <c r="A426" s="0" t="s">
        <v>62</v>
      </c>
      <c r="B426" s="0" t="n">
        <v>100</v>
      </c>
      <c r="C426" s="0" t="n">
        <v>3800</v>
      </c>
      <c r="D426" s="0" t="n">
        <v>0.0263157894736842</v>
      </c>
      <c r="E426" s="0" t="s">
        <v>870</v>
      </c>
    </row>
    <row r="427" customFormat="false" ht="15" hidden="false" customHeight="false" outlineLevel="0" collapsed="false">
      <c r="A427" s="0" t="s">
        <v>62</v>
      </c>
      <c r="B427" s="0" t="n">
        <v>100</v>
      </c>
      <c r="C427" s="0" t="n">
        <v>3800</v>
      </c>
      <c r="D427" s="0" t="n">
        <v>0.0263157894736842</v>
      </c>
      <c r="E427" s="0" t="s">
        <v>888</v>
      </c>
    </row>
    <row r="428" customFormat="false" ht="15" hidden="false" customHeight="false" outlineLevel="0" collapsed="false">
      <c r="A428" s="0" t="s">
        <v>62</v>
      </c>
      <c r="B428" s="0" t="n">
        <v>100</v>
      </c>
      <c r="C428" s="0" t="n">
        <v>3800</v>
      </c>
      <c r="D428" s="0" t="n">
        <v>0.0263157894736842</v>
      </c>
      <c r="E428" s="0" t="s">
        <v>905</v>
      </c>
    </row>
    <row r="429" customFormat="false" ht="15" hidden="false" customHeight="false" outlineLevel="0" collapsed="false">
      <c r="A429" s="0" t="s">
        <v>62</v>
      </c>
      <c r="B429" s="0" t="n">
        <v>100</v>
      </c>
      <c r="C429" s="0" t="n">
        <v>3800</v>
      </c>
      <c r="D429" s="0" t="n">
        <v>0.0263157894736842</v>
      </c>
      <c r="E429" s="0" t="s">
        <v>933</v>
      </c>
    </row>
    <row r="430" customFormat="false" ht="15" hidden="false" customHeight="false" outlineLevel="0" collapsed="false">
      <c r="A430" s="0" t="s">
        <v>62</v>
      </c>
      <c r="B430" s="0" t="n">
        <v>100</v>
      </c>
      <c r="C430" s="0" t="n">
        <v>3800</v>
      </c>
      <c r="D430" s="0" t="n">
        <v>0.0263157894736842</v>
      </c>
      <c r="E430" s="0" t="s">
        <v>950</v>
      </c>
    </row>
    <row r="431" customFormat="false" ht="15" hidden="false" customHeight="false" outlineLevel="0" collapsed="false">
      <c r="A431" s="0" t="s">
        <v>62</v>
      </c>
      <c r="B431" s="0" t="n">
        <v>100</v>
      </c>
      <c r="C431" s="0" t="n">
        <v>3800</v>
      </c>
      <c r="D431" s="0" t="n">
        <v>0.0263157894736842</v>
      </c>
      <c r="E431" s="0" t="s">
        <v>966</v>
      </c>
    </row>
    <row r="432" customFormat="false" ht="15" hidden="false" customHeight="false" outlineLevel="0" collapsed="false">
      <c r="A432" s="0" t="s">
        <v>62</v>
      </c>
      <c r="B432" s="0" t="n">
        <v>100</v>
      </c>
      <c r="C432" s="0" t="n">
        <v>4000</v>
      </c>
      <c r="D432" s="0" t="n">
        <v>0.025</v>
      </c>
      <c r="E432" s="0" t="s">
        <v>1001</v>
      </c>
    </row>
    <row r="433" customFormat="false" ht="15" hidden="false" customHeight="false" outlineLevel="0" collapsed="false">
      <c r="A433" s="0" t="s">
        <v>62</v>
      </c>
      <c r="B433" s="0" t="n">
        <v>100</v>
      </c>
      <c r="C433" s="0" t="n">
        <v>4000</v>
      </c>
      <c r="D433" s="0" t="n">
        <v>0.025</v>
      </c>
      <c r="E433" s="0" t="s">
        <v>1029</v>
      </c>
    </row>
    <row r="434" customFormat="false" ht="15" hidden="false" customHeight="false" outlineLevel="0" collapsed="false">
      <c r="A434" s="0" t="s">
        <v>62</v>
      </c>
      <c r="B434" s="0" t="n">
        <v>100</v>
      </c>
      <c r="C434" s="0" t="n">
        <v>3800</v>
      </c>
      <c r="D434" s="0" t="n">
        <v>0.0263157894736842</v>
      </c>
      <c r="E434" s="0" t="s">
        <v>1046</v>
      </c>
    </row>
    <row r="435" customFormat="false" ht="15" hidden="false" customHeight="false" outlineLevel="0" collapsed="false">
      <c r="A435" s="0" t="s">
        <v>62</v>
      </c>
      <c r="B435" s="0" t="n">
        <v>100</v>
      </c>
      <c r="C435" s="0" t="n">
        <v>3800</v>
      </c>
      <c r="D435" s="0" t="n">
        <v>0.0263157894736842</v>
      </c>
      <c r="E435" s="0" t="s">
        <v>1060</v>
      </c>
    </row>
    <row r="436" customFormat="false" ht="15" hidden="false" customHeight="false" outlineLevel="0" collapsed="false">
      <c r="A436" s="0" t="s">
        <v>62</v>
      </c>
      <c r="B436" s="0" t="n">
        <v>100</v>
      </c>
      <c r="C436" s="0" t="n">
        <v>3800</v>
      </c>
      <c r="D436" s="0" t="n">
        <v>0.0263157894736842</v>
      </c>
      <c r="E436" s="0" t="s">
        <v>1076</v>
      </c>
    </row>
    <row r="437" customFormat="false" ht="15" hidden="false" customHeight="false" outlineLevel="0" collapsed="false">
      <c r="A437" s="0" t="s">
        <v>62</v>
      </c>
      <c r="B437" s="0" t="n">
        <v>100</v>
      </c>
      <c r="C437" s="0" t="n">
        <v>4000</v>
      </c>
      <c r="D437" s="0" t="n">
        <v>0.025</v>
      </c>
      <c r="E437" s="0" t="s">
        <v>1093</v>
      </c>
    </row>
    <row r="438" customFormat="false" ht="15" hidden="false" customHeight="false" outlineLevel="0" collapsed="false">
      <c r="A438" s="0" t="s">
        <v>62</v>
      </c>
      <c r="B438" s="0" t="n">
        <v>100</v>
      </c>
      <c r="C438" s="0" t="n">
        <v>4000</v>
      </c>
      <c r="D438" s="0" t="n">
        <v>0.025</v>
      </c>
      <c r="E438" s="0" t="s">
        <v>1107</v>
      </c>
    </row>
    <row r="439" customFormat="false" ht="15" hidden="false" customHeight="false" outlineLevel="0" collapsed="false">
      <c r="A439" s="0" t="s">
        <v>62</v>
      </c>
      <c r="B439" s="0" t="n">
        <v>100</v>
      </c>
      <c r="C439" s="0" t="n">
        <v>4000</v>
      </c>
      <c r="D439" s="0" t="n">
        <v>0.025</v>
      </c>
      <c r="E439" s="0" t="s">
        <v>1122</v>
      </c>
    </row>
    <row r="440" customFormat="false" ht="15" hidden="false" customHeight="false" outlineLevel="0" collapsed="false">
      <c r="A440" s="0" t="s">
        <v>62</v>
      </c>
      <c r="B440" s="0" t="n">
        <v>100</v>
      </c>
      <c r="C440" s="0" t="n">
        <v>4000</v>
      </c>
      <c r="D440" s="0" t="n">
        <v>0.025</v>
      </c>
      <c r="E440" s="0" t="s">
        <v>1137</v>
      </c>
    </row>
    <row r="441" customFormat="false" ht="15" hidden="false" customHeight="false" outlineLevel="0" collapsed="false">
      <c r="A441" s="0" t="s">
        <v>62</v>
      </c>
      <c r="B441" s="0" t="n">
        <v>100</v>
      </c>
      <c r="C441" s="0" t="n">
        <v>4000</v>
      </c>
      <c r="D441" s="0" t="n">
        <v>0.025</v>
      </c>
      <c r="E441" s="0" t="s">
        <v>1173</v>
      </c>
    </row>
    <row r="442" customFormat="false" ht="15" hidden="false" customHeight="false" outlineLevel="0" collapsed="false">
      <c r="A442" s="0" t="s">
        <v>62</v>
      </c>
      <c r="B442" s="0" t="n">
        <v>100</v>
      </c>
      <c r="C442" s="0" t="n">
        <v>4000</v>
      </c>
      <c r="D442" s="0" t="n">
        <v>0.025</v>
      </c>
      <c r="E442" s="0" t="s">
        <v>1193</v>
      </c>
    </row>
    <row r="443" customFormat="false" ht="15" hidden="false" customHeight="false" outlineLevel="0" collapsed="false">
      <c r="A443" s="0" t="s">
        <v>62</v>
      </c>
      <c r="B443" s="0" t="n">
        <v>100</v>
      </c>
      <c r="C443" s="0" t="n">
        <v>4000</v>
      </c>
      <c r="D443" s="0" t="n">
        <v>0.025</v>
      </c>
      <c r="E443" s="0" t="s">
        <v>1208</v>
      </c>
    </row>
    <row r="444" customFormat="false" ht="15" hidden="false" customHeight="false" outlineLevel="0" collapsed="false">
      <c r="A444" s="0" t="s">
        <v>62</v>
      </c>
      <c r="B444" s="0" t="n">
        <v>100</v>
      </c>
      <c r="C444" s="0" t="n">
        <v>4000</v>
      </c>
      <c r="D444" s="0" t="n">
        <v>0.025</v>
      </c>
      <c r="E444" s="0" t="s">
        <v>1223</v>
      </c>
    </row>
    <row r="445" customFormat="false" ht="15" hidden="false" customHeight="false" outlineLevel="0" collapsed="false">
      <c r="A445" s="0" t="s">
        <v>62</v>
      </c>
      <c r="B445" s="0" t="n">
        <v>100</v>
      </c>
      <c r="C445" s="0" t="n">
        <v>4000</v>
      </c>
      <c r="D445" s="0" t="n">
        <v>0.025</v>
      </c>
      <c r="E445" s="0" t="s">
        <v>1237</v>
      </c>
    </row>
    <row r="446" customFormat="false" ht="15" hidden="false" customHeight="false" outlineLevel="0" collapsed="false">
      <c r="A446" s="0" t="s">
        <v>62</v>
      </c>
      <c r="B446" s="0" t="n">
        <v>100</v>
      </c>
      <c r="C446" s="0" t="n">
        <v>4000</v>
      </c>
      <c r="D446" s="0" t="n">
        <v>0.025</v>
      </c>
      <c r="E446" s="0" t="s">
        <v>1253</v>
      </c>
    </row>
    <row r="447" customFormat="false" ht="15" hidden="false" customHeight="false" outlineLevel="0" collapsed="false">
      <c r="A447" s="0" t="s">
        <v>62</v>
      </c>
      <c r="B447" s="0" t="n">
        <v>100</v>
      </c>
      <c r="C447" s="0" t="n">
        <v>4000</v>
      </c>
      <c r="D447" s="0" t="n">
        <v>0.025</v>
      </c>
      <c r="E447" s="0" t="s">
        <v>1271</v>
      </c>
    </row>
    <row r="448" customFormat="false" ht="15" hidden="false" customHeight="false" outlineLevel="0" collapsed="false">
      <c r="A448" s="0" t="s">
        <v>62</v>
      </c>
      <c r="B448" s="0" t="n">
        <v>100</v>
      </c>
      <c r="C448" s="0" t="n">
        <v>4000</v>
      </c>
      <c r="D448" s="0" t="n">
        <v>0.025</v>
      </c>
      <c r="E448" s="0" t="s">
        <v>1301</v>
      </c>
    </row>
    <row r="449" customFormat="false" ht="15" hidden="false" customHeight="false" outlineLevel="0" collapsed="false">
      <c r="A449" s="0" t="s">
        <v>62</v>
      </c>
      <c r="B449" s="0" t="n">
        <v>100</v>
      </c>
      <c r="C449" s="0" t="n">
        <v>4000</v>
      </c>
      <c r="D449" s="0" t="n">
        <v>0.025</v>
      </c>
      <c r="E449" s="0" t="s">
        <v>1315</v>
      </c>
    </row>
    <row r="450" customFormat="false" ht="15" hidden="false" customHeight="false" outlineLevel="0" collapsed="false">
      <c r="A450" s="0" t="s">
        <v>62</v>
      </c>
      <c r="B450" s="0" t="n">
        <v>100</v>
      </c>
      <c r="C450" s="0" t="n">
        <v>4000</v>
      </c>
      <c r="D450" s="0" t="n">
        <v>0.025</v>
      </c>
      <c r="E450" s="0" t="s">
        <v>1345</v>
      </c>
    </row>
    <row r="451" customFormat="false" ht="15" hidden="false" customHeight="false" outlineLevel="0" collapsed="false">
      <c r="A451" s="0" t="s">
        <v>62</v>
      </c>
      <c r="B451" s="0" t="n">
        <v>100</v>
      </c>
      <c r="C451" s="0" t="n">
        <v>4000</v>
      </c>
      <c r="D451" s="0" t="n">
        <v>0.025</v>
      </c>
      <c r="E451" s="0" t="s">
        <v>1359</v>
      </c>
    </row>
    <row r="452" customFormat="false" ht="15" hidden="false" customHeight="false" outlineLevel="0" collapsed="false">
      <c r="A452" s="0" t="s">
        <v>62</v>
      </c>
      <c r="B452" s="0" t="n">
        <v>100</v>
      </c>
      <c r="C452" s="0" t="n">
        <v>4000</v>
      </c>
      <c r="D452" s="0" t="n">
        <v>0.025</v>
      </c>
      <c r="E452" s="0" t="s">
        <v>1373</v>
      </c>
    </row>
    <row r="453" customFormat="false" ht="15" hidden="false" customHeight="false" outlineLevel="0" collapsed="false">
      <c r="A453" s="0" t="s">
        <v>62</v>
      </c>
      <c r="B453" s="0" t="n">
        <v>100</v>
      </c>
      <c r="C453" s="0" t="n">
        <v>4000</v>
      </c>
      <c r="D453" s="0" t="n">
        <v>0.025</v>
      </c>
      <c r="E453" s="0" t="s">
        <v>1387</v>
      </c>
    </row>
    <row r="454" customFormat="false" ht="15" hidden="false" customHeight="false" outlineLevel="0" collapsed="false">
      <c r="A454" s="0" t="s">
        <v>62</v>
      </c>
      <c r="B454" s="0" t="n">
        <v>100</v>
      </c>
      <c r="C454" s="0" t="n">
        <v>4000</v>
      </c>
      <c r="D454" s="0" t="n">
        <v>0.025</v>
      </c>
      <c r="E454" s="0" t="s">
        <v>1402</v>
      </c>
    </row>
    <row r="455" customFormat="false" ht="15" hidden="false" customHeight="false" outlineLevel="0" collapsed="false">
      <c r="A455" s="0" t="s">
        <v>62</v>
      </c>
      <c r="B455" s="0" t="n">
        <v>100</v>
      </c>
      <c r="C455" s="0" t="n">
        <v>3800</v>
      </c>
      <c r="D455" s="0" t="n">
        <v>0.0263157894736842</v>
      </c>
      <c r="E455" s="0" t="s">
        <v>1417</v>
      </c>
    </row>
    <row r="456" customFormat="false" ht="15" hidden="false" customHeight="false" outlineLevel="0" collapsed="false">
      <c r="A456" s="0" t="s">
        <v>62</v>
      </c>
      <c r="B456" s="0" t="n">
        <v>100</v>
      </c>
      <c r="C456" s="0" t="n">
        <v>3800</v>
      </c>
      <c r="D456" s="0" t="n">
        <v>0.0263157894736842</v>
      </c>
      <c r="E456" s="0" t="s">
        <v>1435</v>
      </c>
    </row>
    <row r="457" customFormat="false" ht="15" hidden="false" customHeight="false" outlineLevel="0" collapsed="false">
      <c r="A457" s="0" t="s">
        <v>62</v>
      </c>
      <c r="B457" s="0" t="n">
        <v>100</v>
      </c>
      <c r="C457" s="0" t="n">
        <v>3800</v>
      </c>
      <c r="D457" s="0" t="n">
        <v>0.0263157894736842</v>
      </c>
      <c r="E457" s="0" t="s">
        <v>1451</v>
      </c>
    </row>
    <row r="458" customFormat="false" ht="15" hidden="false" customHeight="false" outlineLevel="0" collapsed="false">
      <c r="A458" s="0" t="s">
        <v>62</v>
      </c>
      <c r="B458" s="0" t="n">
        <v>100</v>
      </c>
      <c r="C458" s="0" t="n">
        <v>3800</v>
      </c>
      <c r="D458" s="0" t="n">
        <v>0.0263157894736842</v>
      </c>
      <c r="E458" s="0" t="s">
        <v>1467</v>
      </c>
    </row>
    <row r="459" customFormat="false" ht="15" hidden="false" customHeight="false" outlineLevel="0" collapsed="false">
      <c r="A459" s="0" t="s">
        <v>62</v>
      </c>
      <c r="B459" s="0" t="n">
        <v>100</v>
      </c>
      <c r="C459" s="0" t="n">
        <v>3800</v>
      </c>
      <c r="D459" s="0" t="n">
        <v>0.0263157894736842</v>
      </c>
      <c r="E459" s="0" t="s">
        <v>1482</v>
      </c>
    </row>
    <row r="460" customFormat="false" ht="15" hidden="false" customHeight="false" outlineLevel="0" collapsed="false">
      <c r="A460" s="0" t="s">
        <v>62</v>
      </c>
      <c r="B460" s="0" t="n">
        <v>100</v>
      </c>
      <c r="C460" s="0" t="n">
        <v>3800</v>
      </c>
      <c r="D460" s="0" t="n">
        <v>0.0263157894736842</v>
      </c>
      <c r="E460" s="0" t="s">
        <v>1498</v>
      </c>
    </row>
    <row r="461" customFormat="false" ht="15" hidden="false" customHeight="false" outlineLevel="0" collapsed="false">
      <c r="A461" s="0" t="s">
        <v>62</v>
      </c>
      <c r="B461" s="0" t="n">
        <v>100</v>
      </c>
      <c r="C461" s="0" t="n">
        <v>3800</v>
      </c>
      <c r="D461" s="0" t="n">
        <v>0.0263157894736842</v>
      </c>
      <c r="E461" s="0" t="s">
        <v>1513</v>
      </c>
    </row>
    <row r="462" customFormat="false" ht="15" hidden="false" customHeight="false" outlineLevel="0" collapsed="false">
      <c r="A462" s="0" t="s">
        <v>62</v>
      </c>
      <c r="B462" s="0" t="n">
        <v>100</v>
      </c>
      <c r="C462" s="0" t="n">
        <v>3800</v>
      </c>
      <c r="D462" s="0" t="n">
        <v>0.0263157894736842</v>
      </c>
      <c r="E462" s="0" t="s">
        <v>1530</v>
      </c>
    </row>
    <row r="463" customFormat="false" ht="15" hidden="false" customHeight="false" outlineLevel="0" collapsed="false">
      <c r="A463" s="0" t="s">
        <v>62</v>
      </c>
      <c r="B463" s="0" t="n">
        <v>100</v>
      </c>
      <c r="C463" s="0" t="n">
        <v>3800</v>
      </c>
      <c r="D463" s="0" t="n">
        <v>0.0263157894736842</v>
      </c>
      <c r="E463" s="0" t="s">
        <v>1546</v>
      </c>
    </row>
    <row r="464" customFormat="false" ht="15" hidden="false" customHeight="false" outlineLevel="0" collapsed="false">
      <c r="A464" s="0" t="s">
        <v>62</v>
      </c>
      <c r="B464" s="0" t="n">
        <v>100</v>
      </c>
      <c r="C464" s="0" t="n">
        <v>3800</v>
      </c>
      <c r="D464" s="0" t="n">
        <v>0.0263157894736842</v>
      </c>
      <c r="E464" s="0" t="s">
        <v>1562</v>
      </c>
    </row>
    <row r="465" customFormat="false" ht="15" hidden="false" customHeight="false" outlineLevel="0" collapsed="false">
      <c r="A465" s="0" t="s">
        <v>62</v>
      </c>
      <c r="B465" s="0" t="n">
        <v>100</v>
      </c>
      <c r="C465" s="0" t="n">
        <v>3800</v>
      </c>
      <c r="D465" s="0" t="n">
        <v>0.0263157894736842</v>
      </c>
      <c r="E465" s="0" t="s">
        <v>1626</v>
      </c>
    </row>
    <row r="466" customFormat="false" ht="15" hidden="false" customHeight="false" outlineLevel="0" collapsed="false">
      <c r="A466" s="0" t="s">
        <v>62</v>
      </c>
      <c r="B466" s="0" t="n">
        <v>150</v>
      </c>
      <c r="C466" s="0" t="n">
        <v>3800</v>
      </c>
      <c r="D466" s="0" t="n">
        <v>0.0394736842105263</v>
      </c>
      <c r="E466" s="0" t="s">
        <v>1642</v>
      </c>
    </row>
    <row r="467" customFormat="false" ht="15" hidden="false" customHeight="false" outlineLevel="0" collapsed="false">
      <c r="A467" s="0" t="s">
        <v>62</v>
      </c>
      <c r="B467" s="0" t="n">
        <v>150</v>
      </c>
      <c r="C467" s="0" t="n">
        <v>3800</v>
      </c>
      <c r="D467" s="0" t="n">
        <v>0.0394736842105263</v>
      </c>
      <c r="E467" s="0" t="s">
        <v>1658</v>
      </c>
    </row>
    <row r="468" customFormat="false" ht="15" hidden="false" customHeight="false" outlineLevel="0" collapsed="false">
      <c r="A468" s="0" t="s">
        <v>62</v>
      </c>
      <c r="B468" s="0" t="n">
        <v>100</v>
      </c>
      <c r="C468" s="0" t="n">
        <v>3800</v>
      </c>
      <c r="D468" s="0" t="n">
        <v>0.0263157894736842</v>
      </c>
      <c r="E468" s="0" t="s">
        <v>1683</v>
      </c>
    </row>
    <row r="469" customFormat="false" ht="15" hidden="false" customHeight="false" outlineLevel="0" collapsed="false">
      <c r="A469" s="0" t="s">
        <v>62</v>
      </c>
      <c r="B469" s="0" t="n">
        <v>100</v>
      </c>
      <c r="C469" s="0" t="n">
        <v>3800</v>
      </c>
      <c r="D469" s="0" t="n">
        <v>0.0263157894736842</v>
      </c>
      <c r="E469" s="0" t="s">
        <v>1698</v>
      </c>
    </row>
    <row r="470" customFormat="false" ht="15" hidden="false" customHeight="false" outlineLevel="0" collapsed="false">
      <c r="A470" s="0" t="s">
        <v>62</v>
      </c>
      <c r="B470" s="0" t="n">
        <v>100</v>
      </c>
      <c r="C470" s="0" t="n">
        <v>4000</v>
      </c>
      <c r="D470" s="0" t="n">
        <v>0.025</v>
      </c>
      <c r="E470" s="0" t="s">
        <v>1716</v>
      </c>
    </row>
    <row r="471" customFormat="false" ht="15" hidden="false" customHeight="false" outlineLevel="0" collapsed="false">
      <c r="A471" s="0" t="s">
        <v>62</v>
      </c>
      <c r="B471" s="0" t="n">
        <v>100</v>
      </c>
      <c r="C471" s="0" t="n">
        <v>3800</v>
      </c>
      <c r="D471" s="0" t="n">
        <v>0.0263157894736842</v>
      </c>
      <c r="E471" s="0" t="s">
        <v>1731</v>
      </c>
    </row>
    <row r="472" customFormat="false" ht="15" hidden="false" customHeight="false" outlineLevel="0" collapsed="false">
      <c r="A472" s="0" t="s">
        <v>62</v>
      </c>
      <c r="B472" s="0" t="n">
        <v>500</v>
      </c>
      <c r="C472" s="0" t="n">
        <v>3800</v>
      </c>
      <c r="D472" s="0" t="n">
        <v>0.131578947368421</v>
      </c>
      <c r="E472" s="0" t="s">
        <v>1793</v>
      </c>
    </row>
    <row r="473" customFormat="false" ht="15" hidden="false" customHeight="false" outlineLevel="0" collapsed="false">
      <c r="A473" s="0" t="s">
        <v>62</v>
      </c>
      <c r="B473" s="0" t="n">
        <v>100</v>
      </c>
      <c r="C473" s="0" t="n">
        <v>3800</v>
      </c>
      <c r="D473" s="0" t="n">
        <v>0.0263157894736842</v>
      </c>
      <c r="E473" s="0" t="s">
        <v>1810</v>
      </c>
    </row>
    <row r="474" customFormat="false" ht="15" hidden="false" customHeight="false" outlineLevel="0" collapsed="false">
      <c r="A474" s="0" t="s">
        <v>62</v>
      </c>
      <c r="B474" s="0" t="n">
        <v>100</v>
      </c>
      <c r="C474" s="0" t="n">
        <v>4000</v>
      </c>
      <c r="D474" s="0" t="n">
        <v>0.025</v>
      </c>
      <c r="E474" s="0" t="s">
        <v>1829</v>
      </c>
    </row>
    <row r="475" customFormat="false" ht="15" hidden="false" customHeight="false" outlineLevel="0" collapsed="false">
      <c r="A475" s="0" t="s">
        <v>62</v>
      </c>
      <c r="B475" s="0" t="n">
        <v>100</v>
      </c>
      <c r="C475" s="0" t="n">
        <v>4000</v>
      </c>
      <c r="D475" s="0" t="n">
        <v>0.025</v>
      </c>
      <c r="E475" s="0" t="s">
        <v>1846</v>
      </c>
    </row>
    <row r="476" customFormat="false" ht="15" hidden="false" customHeight="false" outlineLevel="0" collapsed="false">
      <c r="A476" s="0" t="s">
        <v>62</v>
      </c>
      <c r="B476" s="0" t="n">
        <v>100</v>
      </c>
      <c r="C476" s="0" t="n">
        <v>3800</v>
      </c>
      <c r="D476" s="0" t="n">
        <v>0.0263157894736842</v>
      </c>
      <c r="E476" s="0" t="s">
        <v>1865</v>
      </c>
    </row>
    <row r="477" customFormat="false" ht="15" hidden="false" customHeight="false" outlineLevel="0" collapsed="false">
      <c r="A477" s="0" t="s">
        <v>62</v>
      </c>
      <c r="B477" s="0" t="n">
        <v>100</v>
      </c>
      <c r="C477" s="0" t="n">
        <v>3800</v>
      </c>
      <c r="D477" s="0" t="n">
        <v>0.0263157894736842</v>
      </c>
      <c r="E477" s="0" t="s">
        <v>1882</v>
      </c>
    </row>
    <row r="478" customFormat="false" ht="15" hidden="false" customHeight="false" outlineLevel="0" collapsed="false">
      <c r="A478" s="0" t="s">
        <v>62</v>
      </c>
      <c r="B478" s="0" t="n">
        <v>100</v>
      </c>
      <c r="C478" s="0" t="n">
        <v>3800</v>
      </c>
      <c r="D478" s="0" t="n">
        <v>0.0263157894736842</v>
      </c>
      <c r="E478" s="0" t="s">
        <v>1897</v>
      </c>
    </row>
    <row r="479" customFormat="false" ht="15" hidden="false" customHeight="false" outlineLevel="0" collapsed="false">
      <c r="A479" s="0" t="s">
        <v>62</v>
      </c>
      <c r="B479" s="0" t="n">
        <v>100</v>
      </c>
      <c r="C479" s="0" t="n">
        <v>3800</v>
      </c>
      <c r="D479" s="0" t="n">
        <v>0.0263157894736842</v>
      </c>
      <c r="E479" s="0" t="s">
        <v>1912</v>
      </c>
    </row>
    <row r="480" customFormat="false" ht="15" hidden="false" customHeight="false" outlineLevel="0" collapsed="false">
      <c r="A480" s="0" t="s">
        <v>62</v>
      </c>
      <c r="B480" s="0" t="n">
        <v>100</v>
      </c>
      <c r="C480" s="0" t="n">
        <v>4000</v>
      </c>
      <c r="D480" s="0" t="n">
        <v>0.025</v>
      </c>
      <c r="E480" s="0" t="s">
        <v>1933</v>
      </c>
    </row>
    <row r="481" customFormat="false" ht="15" hidden="false" customHeight="false" outlineLevel="0" collapsed="false">
      <c r="A481" s="0" t="s">
        <v>62</v>
      </c>
      <c r="B481" s="0" t="n">
        <v>50</v>
      </c>
      <c r="C481" s="0" t="n">
        <v>4000</v>
      </c>
      <c r="D481" s="0" t="n">
        <v>0.0125</v>
      </c>
      <c r="E481" s="0" t="s">
        <v>1948</v>
      </c>
    </row>
    <row r="482" customFormat="false" ht="15" hidden="false" customHeight="false" outlineLevel="0" collapsed="false">
      <c r="A482" s="0" t="s">
        <v>62</v>
      </c>
      <c r="B482" s="0" t="n">
        <v>100</v>
      </c>
      <c r="C482" s="0" t="n">
        <v>4000</v>
      </c>
      <c r="D482" s="0" t="n">
        <v>0.025</v>
      </c>
      <c r="E482" s="0" t="s">
        <v>1964</v>
      </c>
    </row>
    <row r="483" customFormat="false" ht="15" hidden="false" customHeight="false" outlineLevel="0" collapsed="false">
      <c r="A483" s="0" t="s">
        <v>62</v>
      </c>
      <c r="B483" s="0" t="n">
        <v>100</v>
      </c>
      <c r="C483" s="0" t="n">
        <v>4000</v>
      </c>
      <c r="D483" s="0" t="n">
        <v>0.025</v>
      </c>
      <c r="E483" s="0" t="s">
        <v>1996</v>
      </c>
    </row>
    <row r="484" customFormat="false" ht="15" hidden="false" customHeight="false" outlineLevel="0" collapsed="false">
      <c r="A484" s="0" t="s">
        <v>62</v>
      </c>
      <c r="B484" s="0" t="n">
        <v>100</v>
      </c>
      <c r="C484" s="0" t="n">
        <v>4000</v>
      </c>
      <c r="D484" s="0" t="n">
        <v>0.025</v>
      </c>
      <c r="E484" s="0" t="s">
        <v>2012</v>
      </c>
    </row>
    <row r="485" customFormat="false" ht="15" hidden="false" customHeight="false" outlineLevel="0" collapsed="false">
      <c r="A485" s="0" t="s">
        <v>62</v>
      </c>
      <c r="B485" s="0" t="n">
        <v>100</v>
      </c>
      <c r="C485" s="0" t="n">
        <v>4000</v>
      </c>
      <c r="D485" s="0" t="n">
        <v>0.025</v>
      </c>
      <c r="E485" s="0" t="s">
        <v>2027</v>
      </c>
    </row>
    <row r="486" customFormat="false" ht="15" hidden="false" customHeight="false" outlineLevel="0" collapsed="false">
      <c r="A486" s="0" t="s">
        <v>62</v>
      </c>
      <c r="B486" s="0" t="n">
        <v>50</v>
      </c>
      <c r="C486" s="0" t="n">
        <v>3800</v>
      </c>
      <c r="D486" s="0" t="n">
        <v>0.0131578947368421</v>
      </c>
      <c r="E486" s="0" t="s">
        <v>2043</v>
      </c>
    </row>
    <row r="487" customFormat="false" ht="15" hidden="false" customHeight="false" outlineLevel="0" collapsed="false">
      <c r="A487" s="0" t="s">
        <v>62</v>
      </c>
      <c r="B487" s="0" t="n">
        <v>100</v>
      </c>
      <c r="C487" s="0" t="n">
        <v>3800</v>
      </c>
      <c r="D487" s="0" t="n">
        <v>0.0263157894736842</v>
      </c>
      <c r="E487" s="0" t="s">
        <v>2075</v>
      </c>
    </row>
    <row r="488" customFormat="false" ht="15" hidden="false" customHeight="false" outlineLevel="0" collapsed="false">
      <c r="A488" s="0" t="s">
        <v>62</v>
      </c>
      <c r="B488" s="0" t="n">
        <v>100</v>
      </c>
      <c r="C488" s="0" t="n">
        <v>4000</v>
      </c>
      <c r="D488" s="0" t="n">
        <v>0.025</v>
      </c>
      <c r="E488" s="0" t="s">
        <v>2090</v>
      </c>
    </row>
    <row r="489" customFormat="false" ht="15" hidden="false" customHeight="false" outlineLevel="0" collapsed="false">
      <c r="A489" s="0" t="s">
        <v>62</v>
      </c>
      <c r="B489" s="0" t="n">
        <v>50</v>
      </c>
      <c r="C489" s="0" t="n">
        <v>4000</v>
      </c>
      <c r="D489" s="0" t="n">
        <v>0.0125</v>
      </c>
      <c r="E489" s="0" t="s">
        <v>2106</v>
      </c>
    </row>
    <row r="490" customFormat="false" ht="15" hidden="false" customHeight="false" outlineLevel="0" collapsed="false">
      <c r="A490" s="0" t="s">
        <v>62</v>
      </c>
      <c r="B490" s="0" t="n">
        <v>100</v>
      </c>
      <c r="C490" s="0" t="n">
        <v>4000</v>
      </c>
      <c r="D490" s="0" t="n">
        <v>0.025</v>
      </c>
      <c r="E490" s="0" t="s">
        <v>2124</v>
      </c>
    </row>
    <row r="491" customFormat="false" ht="15" hidden="false" customHeight="false" outlineLevel="0" collapsed="false">
      <c r="A491" s="0" t="s">
        <v>62</v>
      </c>
      <c r="B491" s="0" t="n">
        <v>100</v>
      </c>
      <c r="C491" s="0" t="n">
        <v>3800</v>
      </c>
      <c r="D491" s="0" t="n">
        <v>0.0263157894736842</v>
      </c>
      <c r="E491" s="0" t="s">
        <v>2141</v>
      </c>
    </row>
    <row r="492" customFormat="false" ht="15" hidden="false" customHeight="false" outlineLevel="0" collapsed="false">
      <c r="A492" s="0" t="s">
        <v>62</v>
      </c>
      <c r="B492" s="0" t="n">
        <v>100</v>
      </c>
      <c r="C492" s="0" t="n">
        <v>3800</v>
      </c>
      <c r="D492" s="0" t="n">
        <v>0.0263157894736842</v>
      </c>
      <c r="E492" s="0" t="s">
        <v>2156</v>
      </c>
    </row>
    <row r="493" customFormat="false" ht="15" hidden="false" customHeight="false" outlineLevel="0" collapsed="false">
      <c r="A493" s="0" t="s">
        <v>62</v>
      </c>
      <c r="B493" s="0" t="n">
        <v>100</v>
      </c>
      <c r="C493" s="0" t="n">
        <v>3800</v>
      </c>
      <c r="D493" s="0" t="n">
        <v>0.0263157894736842</v>
      </c>
      <c r="E493" s="0" t="s">
        <v>2172</v>
      </c>
    </row>
    <row r="494" customFormat="false" ht="15" hidden="false" customHeight="false" outlineLevel="0" collapsed="false">
      <c r="A494" s="0" t="s">
        <v>62</v>
      </c>
      <c r="B494" s="0" t="n">
        <v>100</v>
      </c>
      <c r="C494" s="0" t="n">
        <v>3800</v>
      </c>
      <c r="D494" s="0" t="n">
        <v>0.0263157894736842</v>
      </c>
      <c r="E494" s="0" t="s">
        <v>2187</v>
      </c>
    </row>
    <row r="495" customFormat="false" ht="15" hidden="false" customHeight="false" outlineLevel="0" collapsed="false">
      <c r="A495" s="0" t="s">
        <v>62</v>
      </c>
      <c r="B495" s="0" t="n">
        <v>100</v>
      </c>
      <c r="C495" s="0" t="n">
        <v>3800</v>
      </c>
      <c r="D495" s="0" t="n">
        <v>0.0263157894736842</v>
      </c>
      <c r="E495" s="0" t="s">
        <v>2202</v>
      </c>
    </row>
    <row r="496" customFormat="false" ht="15" hidden="false" customHeight="false" outlineLevel="0" collapsed="false">
      <c r="A496" s="0" t="s">
        <v>62</v>
      </c>
      <c r="B496" s="0" t="n">
        <v>100</v>
      </c>
      <c r="C496" s="0" t="n">
        <v>3800</v>
      </c>
      <c r="D496" s="0" t="n">
        <v>0.0263157894736842</v>
      </c>
      <c r="E496" s="0" t="s">
        <v>2216</v>
      </c>
    </row>
    <row r="497" customFormat="false" ht="15" hidden="false" customHeight="false" outlineLevel="0" collapsed="false">
      <c r="A497" s="0" t="s">
        <v>62</v>
      </c>
      <c r="B497" s="0" t="n">
        <v>100</v>
      </c>
      <c r="C497" s="0" t="n">
        <v>3800</v>
      </c>
      <c r="D497" s="0" t="n">
        <v>0.0263157894736842</v>
      </c>
      <c r="E497" s="0" t="s">
        <v>2233</v>
      </c>
    </row>
    <row r="498" customFormat="false" ht="15" hidden="false" customHeight="false" outlineLevel="0" collapsed="false">
      <c r="A498" s="0" t="s">
        <v>62</v>
      </c>
      <c r="B498" s="0" t="n">
        <v>100</v>
      </c>
      <c r="C498" s="0" t="n">
        <v>3800</v>
      </c>
      <c r="D498" s="0" t="n">
        <v>0.0263157894736842</v>
      </c>
      <c r="E498" s="0" t="s">
        <v>2247</v>
      </c>
    </row>
    <row r="499" customFormat="false" ht="15" hidden="false" customHeight="false" outlineLevel="0" collapsed="false">
      <c r="A499" s="0" t="s">
        <v>62</v>
      </c>
      <c r="B499" s="0" t="n">
        <v>100</v>
      </c>
      <c r="C499" s="0" t="n">
        <v>3800</v>
      </c>
      <c r="D499" s="0" t="n">
        <v>0.0263157894736842</v>
      </c>
      <c r="E499" s="0" t="s">
        <v>2262</v>
      </c>
    </row>
    <row r="500" customFormat="false" ht="15" hidden="false" customHeight="false" outlineLevel="0" collapsed="false">
      <c r="A500" s="0" t="s">
        <v>62</v>
      </c>
      <c r="B500" s="0" t="n">
        <v>100</v>
      </c>
      <c r="C500" s="0" t="n">
        <v>3800</v>
      </c>
      <c r="D500" s="0" t="n">
        <v>0.0263157894736842</v>
      </c>
      <c r="E500" s="0" t="s">
        <v>2290</v>
      </c>
    </row>
    <row r="501" customFormat="false" ht="15" hidden="false" customHeight="false" outlineLevel="0" collapsed="false">
      <c r="A501" s="0" t="s">
        <v>62</v>
      </c>
      <c r="B501" s="0" t="n">
        <v>100</v>
      </c>
      <c r="C501" s="0" t="n">
        <v>3800</v>
      </c>
      <c r="D501" s="0" t="n">
        <v>0.0263157894736842</v>
      </c>
      <c r="E501" s="0" t="s">
        <v>2304</v>
      </c>
    </row>
    <row r="502" customFormat="false" ht="15" hidden="false" customHeight="false" outlineLevel="0" collapsed="false">
      <c r="A502" s="0" t="s">
        <v>62</v>
      </c>
      <c r="B502" s="0" t="n">
        <v>60</v>
      </c>
      <c r="C502" s="0" t="n">
        <v>3800</v>
      </c>
      <c r="D502" s="0" t="n">
        <v>0.0157894736842105</v>
      </c>
      <c r="E502" s="0" t="s">
        <v>2318</v>
      </c>
    </row>
    <row r="503" customFormat="false" ht="15" hidden="false" customHeight="false" outlineLevel="0" collapsed="false">
      <c r="A503" s="0" t="s">
        <v>62</v>
      </c>
      <c r="B503" s="0" t="n">
        <v>100</v>
      </c>
      <c r="C503" s="0" t="n">
        <v>3800</v>
      </c>
      <c r="D503" s="0" t="n">
        <v>0.0263157894736842</v>
      </c>
      <c r="E503" s="0" t="s">
        <v>2336</v>
      </c>
    </row>
    <row r="504" customFormat="false" ht="15" hidden="false" customHeight="false" outlineLevel="0" collapsed="false">
      <c r="A504" s="0" t="s">
        <v>62</v>
      </c>
      <c r="B504" s="0" t="n">
        <v>100</v>
      </c>
      <c r="C504" s="0" t="n">
        <v>3800</v>
      </c>
      <c r="D504" s="0" t="n">
        <v>0.0263157894736842</v>
      </c>
      <c r="E504" s="0" t="s">
        <v>2353</v>
      </c>
    </row>
    <row r="505" customFormat="false" ht="15" hidden="false" customHeight="false" outlineLevel="0" collapsed="false">
      <c r="A505" s="0" t="s">
        <v>62</v>
      </c>
      <c r="B505" s="0" t="n">
        <v>100</v>
      </c>
      <c r="C505" s="0" t="n">
        <v>3800</v>
      </c>
      <c r="D505" s="0" t="n">
        <v>0.0263157894736842</v>
      </c>
      <c r="E505" s="0" t="s">
        <v>2370</v>
      </c>
    </row>
    <row r="506" customFormat="false" ht="15" hidden="false" customHeight="false" outlineLevel="0" collapsed="false">
      <c r="A506" s="0" t="s">
        <v>62</v>
      </c>
      <c r="B506" s="0" t="n">
        <v>100</v>
      </c>
      <c r="C506" s="0" t="n">
        <v>3800</v>
      </c>
      <c r="D506" s="0" t="n">
        <v>0.0263157894736842</v>
      </c>
      <c r="E506" s="0" t="s">
        <v>2387</v>
      </c>
    </row>
    <row r="507" customFormat="false" ht="15" hidden="false" customHeight="false" outlineLevel="0" collapsed="false">
      <c r="A507" s="0" t="s">
        <v>62</v>
      </c>
      <c r="B507" s="0" t="n">
        <v>100</v>
      </c>
      <c r="C507" s="0" t="n">
        <v>3800</v>
      </c>
      <c r="D507" s="0" t="n">
        <v>0.0263157894736842</v>
      </c>
      <c r="E507" s="0" t="s">
        <v>2404</v>
      </c>
    </row>
    <row r="508" customFormat="false" ht="15" hidden="false" customHeight="false" outlineLevel="0" collapsed="false">
      <c r="A508" s="0" t="s">
        <v>62</v>
      </c>
      <c r="B508" s="0" t="n">
        <v>100</v>
      </c>
      <c r="C508" s="0" t="n">
        <v>3800</v>
      </c>
      <c r="D508" s="0" t="n">
        <v>0.0263157894736842</v>
      </c>
      <c r="E508" s="0" t="s">
        <v>2419</v>
      </c>
    </row>
    <row r="509" customFormat="false" ht="15" hidden="false" customHeight="false" outlineLevel="0" collapsed="false">
      <c r="A509" s="0" t="s">
        <v>62</v>
      </c>
      <c r="B509" s="0" t="n">
        <v>100</v>
      </c>
      <c r="C509" s="0" t="n">
        <v>3800</v>
      </c>
      <c r="D509" s="0" t="n">
        <v>0.0263157894736842</v>
      </c>
      <c r="E509" s="0" t="s">
        <v>2433</v>
      </c>
    </row>
    <row r="510" customFormat="false" ht="15" hidden="false" customHeight="false" outlineLevel="0" collapsed="false">
      <c r="A510" s="0" t="s">
        <v>62</v>
      </c>
      <c r="B510" s="0" t="n">
        <v>100</v>
      </c>
      <c r="C510" s="0" t="n">
        <v>3800</v>
      </c>
      <c r="D510" s="0" t="n">
        <v>0.0263157894736842</v>
      </c>
      <c r="E510" s="0" t="s">
        <v>2448</v>
      </c>
    </row>
    <row r="511" customFormat="false" ht="15" hidden="false" customHeight="false" outlineLevel="0" collapsed="false">
      <c r="A511" s="0" t="s">
        <v>62</v>
      </c>
      <c r="B511" s="0" t="n">
        <v>60</v>
      </c>
      <c r="C511" s="0" t="n">
        <v>3800</v>
      </c>
      <c r="D511" s="0" t="n">
        <v>0.0157894736842105</v>
      </c>
      <c r="E511" s="0" t="s">
        <v>2473</v>
      </c>
    </row>
    <row r="512" customFormat="false" ht="15" hidden="false" customHeight="false" outlineLevel="0" collapsed="false">
      <c r="A512" s="0" t="s">
        <v>62</v>
      </c>
      <c r="B512" s="0" t="n">
        <v>100</v>
      </c>
      <c r="C512" s="0" t="n">
        <v>3800</v>
      </c>
      <c r="D512" s="0" t="n">
        <v>0.0263157894736842</v>
      </c>
      <c r="E512" s="0" t="s">
        <v>2492</v>
      </c>
    </row>
    <row r="513" customFormat="false" ht="15" hidden="false" customHeight="false" outlineLevel="0" collapsed="false">
      <c r="A513" s="0" t="s">
        <v>62</v>
      </c>
      <c r="B513" s="0" t="n">
        <v>100</v>
      </c>
      <c r="C513" s="0" t="n">
        <v>3800</v>
      </c>
      <c r="D513" s="0" t="n">
        <v>0.0263157894736842</v>
      </c>
      <c r="E513" s="0" t="s">
        <v>2506</v>
      </c>
    </row>
    <row r="514" customFormat="false" ht="15" hidden="false" customHeight="false" outlineLevel="0" collapsed="false">
      <c r="A514" s="0" t="s">
        <v>62</v>
      </c>
      <c r="B514" s="0" t="n">
        <v>100</v>
      </c>
      <c r="C514" s="0" t="n">
        <v>3800</v>
      </c>
      <c r="D514" s="0" t="n">
        <v>0.0263157894736842</v>
      </c>
      <c r="E514" s="0" t="s">
        <v>2519</v>
      </c>
    </row>
    <row r="515" customFormat="false" ht="15" hidden="false" customHeight="false" outlineLevel="0" collapsed="false">
      <c r="A515" s="0" t="s">
        <v>62</v>
      </c>
      <c r="B515" s="0" t="n">
        <v>100</v>
      </c>
      <c r="C515" s="0" t="n">
        <v>3800</v>
      </c>
      <c r="D515" s="0" t="n">
        <v>0.0263157894736842</v>
      </c>
      <c r="E515" s="0" t="s">
        <v>2532</v>
      </c>
    </row>
    <row r="516" customFormat="false" ht="15" hidden="false" customHeight="false" outlineLevel="0" collapsed="false">
      <c r="A516" s="0" t="s">
        <v>62</v>
      </c>
      <c r="B516" s="0" t="n">
        <v>100</v>
      </c>
      <c r="C516" s="0" t="n">
        <v>3800</v>
      </c>
      <c r="D516" s="0" t="n">
        <v>0.0263157894736842</v>
      </c>
      <c r="E516" s="0" t="s">
        <v>2545</v>
      </c>
    </row>
    <row r="517" customFormat="false" ht="15" hidden="false" customHeight="false" outlineLevel="0" collapsed="false">
      <c r="A517" s="0" t="s">
        <v>62</v>
      </c>
      <c r="B517" s="0" t="n">
        <v>100</v>
      </c>
      <c r="C517" s="0" t="n">
        <v>3800</v>
      </c>
      <c r="D517" s="0" t="n">
        <v>0.0263157894736842</v>
      </c>
      <c r="E517" s="0" t="s">
        <v>2585</v>
      </c>
    </row>
    <row r="518" customFormat="false" ht="15" hidden="false" customHeight="false" outlineLevel="0" collapsed="false">
      <c r="A518" s="0" t="s">
        <v>62</v>
      </c>
      <c r="B518" s="0" t="n">
        <v>100</v>
      </c>
      <c r="C518" s="0" t="n">
        <v>3800</v>
      </c>
      <c r="D518" s="0" t="n">
        <v>0.0263157894736842</v>
      </c>
      <c r="E518" s="0" t="s">
        <v>2604</v>
      </c>
    </row>
    <row r="519" customFormat="false" ht="15" hidden="false" customHeight="false" outlineLevel="0" collapsed="false">
      <c r="A519" s="0" t="s">
        <v>62</v>
      </c>
      <c r="B519" s="0" t="n">
        <v>100</v>
      </c>
      <c r="C519" s="0" t="n">
        <v>3800</v>
      </c>
      <c r="D519" s="0" t="n">
        <v>0.0263157894736842</v>
      </c>
      <c r="E519" s="0" t="s">
        <v>2656</v>
      </c>
    </row>
    <row r="520" customFormat="false" ht="15" hidden="false" customHeight="false" outlineLevel="0" collapsed="false">
      <c r="A520" s="0" t="s">
        <v>62</v>
      </c>
      <c r="B520" s="0" t="n">
        <v>100</v>
      </c>
      <c r="C520" s="0" t="n">
        <v>4000</v>
      </c>
      <c r="D520" s="0" t="n">
        <v>0.025</v>
      </c>
      <c r="E520" s="0" t="s">
        <v>2694</v>
      </c>
    </row>
    <row r="521" customFormat="false" ht="15" hidden="false" customHeight="false" outlineLevel="0" collapsed="false">
      <c r="A521" s="0" t="s">
        <v>62</v>
      </c>
      <c r="B521" s="0" t="n">
        <v>100</v>
      </c>
      <c r="C521" s="0" t="n">
        <v>3800</v>
      </c>
      <c r="D521" s="0" t="n">
        <v>0.0263157894736842</v>
      </c>
      <c r="E521" s="0" t="s">
        <v>2757</v>
      </c>
    </row>
    <row r="522" customFormat="false" ht="15" hidden="false" customHeight="false" outlineLevel="0" collapsed="false">
      <c r="A522" s="0" t="s">
        <v>62</v>
      </c>
      <c r="B522" s="0" t="n">
        <v>100</v>
      </c>
      <c r="C522" s="0" t="n">
        <v>4000</v>
      </c>
      <c r="D522" s="0" t="n">
        <v>0.025</v>
      </c>
      <c r="E522" s="0" t="s">
        <v>2770</v>
      </c>
    </row>
    <row r="523" customFormat="false" ht="15" hidden="false" customHeight="false" outlineLevel="0" collapsed="false">
      <c r="A523" s="0" t="s">
        <v>62</v>
      </c>
      <c r="B523" s="0" t="n">
        <v>100</v>
      </c>
      <c r="C523" s="0" t="n">
        <v>4000</v>
      </c>
      <c r="D523" s="0" t="n">
        <v>0.025</v>
      </c>
      <c r="E523" s="0" t="s">
        <v>2785</v>
      </c>
    </row>
    <row r="524" customFormat="false" ht="15" hidden="false" customHeight="false" outlineLevel="0" collapsed="false">
      <c r="A524" s="0" t="s">
        <v>62</v>
      </c>
      <c r="B524" s="0" t="n">
        <v>100</v>
      </c>
      <c r="C524" s="0" t="n">
        <v>4500</v>
      </c>
      <c r="D524" s="0" t="n">
        <v>0.0222222222222222</v>
      </c>
      <c r="E524" s="0" t="s">
        <v>2819</v>
      </c>
    </row>
    <row r="525" customFormat="false" ht="15" hidden="false" customHeight="false" outlineLevel="0" collapsed="false">
      <c r="A525" s="0" t="s">
        <v>62</v>
      </c>
      <c r="B525" s="0" t="n">
        <v>3000</v>
      </c>
      <c r="C525" s="0" t="n">
        <v>4000</v>
      </c>
      <c r="D525" s="0" t="n">
        <v>0.75</v>
      </c>
      <c r="E525" s="0" t="s">
        <v>2829</v>
      </c>
    </row>
    <row r="526" customFormat="false" ht="15" hidden="false" customHeight="false" outlineLevel="0" collapsed="false">
      <c r="A526" s="0" t="s">
        <v>62</v>
      </c>
      <c r="B526" s="0" t="n">
        <v>100</v>
      </c>
      <c r="C526" s="0" t="n">
        <v>4000</v>
      </c>
      <c r="D526" s="0" t="n">
        <v>0.025</v>
      </c>
      <c r="E526" s="0" t="s">
        <v>2838</v>
      </c>
    </row>
    <row r="527" customFormat="false" ht="15" hidden="false" customHeight="false" outlineLevel="0" collapsed="false">
      <c r="A527" s="0" t="s">
        <v>62</v>
      </c>
      <c r="B527" s="0" t="n">
        <v>100</v>
      </c>
      <c r="C527" s="0" t="n">
        <v>4000</v>
      </c>
      <c r="D527" s="0" t="n">
        <v>0.025</v>
      </c>
      <c r="E527" s="0" t="s">
        <v>2847</v>
      </c>
    </row>
    <row r="528" customFormat="false" ht="15" hidden="false" customHeight="false" outlineLevel="0" collapsed="false">
      <c r="A528" s="0" t="s">
        <v>62</v>
      </c>
      <c r="B528" s="0" t="n">
        <v>100</v>
      </c>
      <c r="C528" s="0" t="n">
        <v>4000</v>
      </c>
      <c r="D528" s="0" t="n">
        <v>0.025</v>
      </c>
      <c r="E528" s="0" t="s">
        <v>2856</v>
      </c>
    </row>
    <row r="529" customFormat="false" ht="15" hidden="false" customHeight="false" outlineLevel="0" collapsed="false">
      <c r="A529" s="0" t="s">
        <v>62</v>
      </c>
      <c r="B529" s="0" t="n">
        <v>100</v>
      </c>
      <c r="C529" s="0" t="n">
        <v>4000</v>
      </c>
      <c r="D529" s="0" t="n">
        <v>0.025</v>
      </c>
      <c r="E529" s="0" t="s">
        <v>2866</v>
      </c>
    </row>
    <row r="530" customFormat="false" ht="15" hidden="false" customHeight="false" outlineLevel="0" collapsed="false">
      <c r="A530" s="0" t="s">
        <v>62</v>
      </c>
      <c r="B530" s="0" t="n">
        <v>100</v>
      </c>
      <c r="C530" s="0" t="n">
        <v>4000</v>
      </c>
      <c r="D530" s="0" t="n">
        <v>0.025</v>
      </c>
      <c r="E530" s="0" t="s">
        <v>2875</v>
      </c>
    </row>
    <row r="531" customFormat="false" ht="15" hidden="false" customHeight="false" outlineLevel="0" collapsed="false">
      <c r="A531" s="0" t="s">
        <v>62</v>
      </c>
      <c r="B531" s="0" t="n">
        <v>100</v>
      </c>
      <c r="C531" s="0" t="n">
        <v>4000</v>
      </c>
      <c r="D531" s="0" t="n">
        <v>0.025</v>
      </c>
      <c r="E531" s="0" t="s">
        <v>2890</v>
      </c>
    </row>
    <row r="532" customFormat="false" ht="15" hidden="false" customHeight="false" outlineLevel="0" collapsed="false">
      <c r="A532" s="0" t="s">
        <v>62</v>
      </c>
      <c r="B532" s="0" t="n">
        <v>100</v>
      </c>
      <c r="C532" s="0" t="n">
        <v>4000</v>
      </c>
      <c r="D532" s="0" t="n">
        <v>0.025</v>
      </c>
      <c r="E532" s="0" t="s">
        <v>2904</v>
      </c>
    </row>
    <row r="533" customFormat="false" ht="15" hidden="false" customHeight="false" outlineLevel="0" collapsed="false">
      <c r="A533" s="0" t="s">
        <v>62</v>
      </c>
      <c r="B533" s="0" t="n">
        <v>100</v>
      </c>
      <c r="C533" s="0" t="n">
        <v>4000</v>
      </c>
      <c r="D533" s="0" t="n">
        <v>0.025</v>
      </c>
      <c r="E533" s="0" t="s">
        <v>2920</v>
      </c>
    </row>
    <row r="534" customFormat="false" ht="15" hidden="false" customHeight="false" outlineLevel="0" collapsed="false">
      <c r="A534" s="0" t="s">
        <v>62</v>
      </c>
      <c r="B534" s="0" t="n">
        <v>100</v>
      </c>
      <c r="C534" s="0" t="n">
        <v>4000</v>
      </c>
      <c r="D534" s="0" t="n">
        <v>0.025</v>
      </c>
      <c r="E534" s="0" t="s">
        <v>2938</v>
      </c>
    </row>
    <row r="535" customFormat="false" ht="15" hidden="false" customHeight="false" outlineLevel="0" collapsed="false">
      <c r="A535" s="0" t="s">
        <v>62</v>
      </c>
      <c r="B535" s="0" t="n">
        <v>100</v>
      </c>
      <c r="C535" s="0" t="n">
        <v>4000</v>
      </c>
      <c r="D535" s="0" t="n">
        <v>0.025</v>
      </c>
      <c r="E535" s="0" t="s">
        <v>2956</v>
      </c>
    </row>
    <row r="536" customFormat="false" ht="15" hidden="false" customHeight="false" outlineLevel="0" collapsed="false">
      <c r="A536" s="0" t="s">
        <v>62</v>
      </c>
      <c r="B536" s="0" t="n">
        <v>100</v>
      </c>
      <c r="C536" s="0" t="n">
        <v>4000</v>
      </c>
      <c r="D536" s="0" t="n">
        <v>0.025</v>
      </c>
      <c r="E536" s="0" t="s">
        <v>2969</v>
      </c>
    </row>
    <row r="537" customFormat="false" ht="15" hidden="false" customHeight="false" outlineLevel="0" collapsed="false">
      <c r="A537" s="0" t="s">
        <v>62</v>
      </c>
      <c r="B537" s="0" t="n">
        <v>100</v>
      </c>
      <c r="C537" s="0" t="n">
        <v>4000</v>
      </c>
      <c r="D537" s="0" t="n">
        <v>0.025</v>
      </c>
      <c r="E537" s="0" t="s">
        <v>2981</v>
      </c>
    </row>
    <row r="538" customFormat="false" ht="15" hidden="false" customHeight="false" outlineLevel="0" collapsed="false">
      <c r="A538" s="0" t="s">
        <v>62</v>
      </c>
      <c r="B538" s="0" t="n">
        <v>100</v>
      </c>
      <c r="C538" s="0" t="n">
        <v>4000</v>
      </c>
      <c r="D538" s="0" t="n">
        <v>0.025</v>
      </c>
      <c r="E538" s="0" t="s">
        <v>2993</v>
      </c>
    </row>
    <row r="539" customFormat="false" ht="15" hidden="false" customHeight="false" outlineLevel="0" collapsed="false">
      <c r="A539" s="0" t="s">
        <v>62</v>
      </c>
      <c r="B539" s="0" t="n">
        <v>100</v>
      </c>
      <c r="C539" s="0" t="n">
        <v>4000</v>
      </c>
      <c r="D539" s="0" t="n">
        <v>0.025</v>
      </c>
      <c r="E539" s="0" t="s">
        <v>3004</v>
      </c>
    </row>
    <row r="540" customFormat="false" ht="15" hidden="false" customHeight="false" outlineLevel="0" collapsed="false">
      <c r="A540" s="0" t="s">
        <v>62</v>
      </c>
      <c r="B540" s="0" t="n">
        <v>100</v>
      </c>
      <c r="C540" s="0" t="n">
        <v>4000</v>
      </c>
      <c r="D540" s="0" t="n">
        <v>0.025</v>
      </c>
      <c r="E540" s="0" t="s">
        <v>3016</v>
      </c>
    </row>
    <row r="541" customFormat="false" ht="15" hidden="false" customHeight="false" outlineLevel="0" collapsed="false">
      <c r="A541" s="0" t="s">
        <v>62</v>
      </c>
      <c r="B541" s="0" t="n">
        <v>100</v>
      </c>
      <c r="C541" s="0" t="n">
        <v>4000</v>
      </c>
      <c r="D541" s="0" t="n">
        <v>0.025</v>
      </c>
      <c r="E541" s="0" t="s">
        <v>3028</v>
      </c>
    </row>
    <row r="542" customFormat="false" ht="15" hidden="false" customHeight="false" outlineLevel="0" collapsed="false">
      <c r="A542" s="0" t="s">
        <v>62</v>
      </c>
      <c r="B542" s="0" t="n">
        <v>100</v>
      </c>
      <c r="C542" s="0" t="n">
        <v>4000</v>
      </c>
      <c r="D542" s="0" t="n">
        <v>0.025</v>
      </c>
      <c r="E542" s="0" t="s">
        <v>3039</v>
      </c>
    </row>
    <row r="543" customFormat="false" ht="15" hidden="false" customHeight="false" outlineLevel="0" collapsed="false">
      <c r="A543" s="0" t="s">
        <v>62</v>
      </c>
      <c r="B543" s="0" t="n">
        <v>100</v>
      </c>
      <c r="C543" s="0" t="n">
        <v>4000</v>
      </c>
      <c r="D543" s="0" t="n">
        <v>0.025</v>
      </c>
      <c r="E543" s="0" t="s">
        <v>3050</v>
      </c>
    </row>
    <row r="544" customFormat="false" ht="15" hidden="false" customHeight="false" outlineLevel="0" collapsed="false">
      <c r="A544" s="0" t="s">
        <v>62</v>
      </c>
      <c r="B544" s="0" t="n">
        <v>100</v>
      </c>
      <c r="C544" s="0" t="n">
        <v>4000</v>
      </c>
      <c r="D544" s="0" t="n">
        <v>0.025</v>
      </c>
      <c r="E544" s="0" t="s">
        <v>3062</v>
      </c>
    </row>
    <row r="545" customFormat="false" ht="15" hidden="false" customHeight="false" outlineLevel="0" collapsed="false">
      <c r="A545" s="0" t="s">
        <v>62</v>
      </c>
      <c r="B545" s="0" t="n">
        <v>100</v>
      </c>
      <c r="C545" s="0" t="n">
        <v>4000</v>
      </c>
      <c r="D545" s="0" t="n">
        <v>0.025</v>
      </c>
      <c r="E545" s="0" t="s">
        <v>3073</v>
      </c>
    </row>
    <row r="546" customFormat="false" ht="15" hidden="false" customHeight="false" outlineLevel="0" collapsed="false">
      <c r="A546" s="0" t="s">
        <v>62</v>
      </c>
      <c r="B546" s="0" t="n">
        <v>100</v>
      </c>
      <c r="C546" s="0" t="n">
        <v>4000</v>
      </c>
      <c r="D546" s="0" t="n">
        <v>0.025</v>
      </c>
      <c r="E546" s="0" t="s">
        <v>3085</v>
      </c>
    </row>
    <row r="547" customFormat="false" ht="15" hidden="false" customHeight="false" outlineLevel="0" collapsed="false">
      <c r="A547" s="0" t="s">
        <v>62</v>
      </c>
      <c r="B547" s="0" t="n">
        <v>100</v>
      </c>
      <c r="C547" s="0" t="n">
        <v>4000</v>
      </c>
      <c r="D547" s="0" t="n">
        <v>0.025</v>
      </c>
      <c r="E547" s="0" t="s">
        <v>3096</v>
      </c>
    </row>
    <row r="548" customFormat="false" ht="15" hidden="false" customHeight="false" outlineLevel="0" collapsed="false">
      <c r="A548" s="0" t="s">
        <v>62</v>
      </c>
      <c r="B548" s="0" t="n">
        <v>100</v>
      </c>
      <c r="C548" s="0" t="n">
        <v>4000</v>
      </c>
      <c r="D548" s="0" t="n">
        <v>0.025</v>
      </c>
      <c r="E548" s="0" t="s">
        <v>3107</v>
      </c>
    </row>
    <row r="549" customFormat="false" ht="15" hidden="false" customHeight="false" outlineLevel="0" collapsed="false">
      <c r="A549" s="0" t="s">
        <v>62</v>
      </c>
      <c r="B549" s="0" t="n">
        <v>100</v>
      </c>
      <c r="C549" s="0" t="n">
        <v>4000</v>
      </c>
      <c r="D549" s="0" t="n">
        <v>0.025</v>
      </c>
      <c r="E549" s="0" t="s">
        <v>3119</v>
      </c>
    </row>
    <row r="550" customFormat="false" ht="15" hidden="false" customHeight="false" outlineLevel="0" collapsed="false">
      <c r="A550" s="0" t="s">
        <v>62</v>
      </c>
      <c r="B550" s="0" t="n">
        <v>100</v>
      </c>
      <c r="C550" s="0" t="n">
        <v>4000</v>
      </c>
      <c r="D550" s="0" t="n">
        <v>0.025</v>
      </c>
      <c r="E550" s="0" t="s">
        <v>3131</v>
      </c>
    </row>
    <row r="551" customFormat="false" ht="15" hidden="false" customHeight="false" outlineLevel="0" collapsed="false">
      <c r="A551" s="0" t="s">
        <v>62</v>
      </c>
      <c r="B551" s="0" t="n">
        <v>100</v>
      </c>
      <c r="C551" s="0" t="n">
        <v>4000</v>
      </c>
      <c r="D551" s="0" t="n">
        <v>0.025</v>
      </c>
      <c r="E551" s="0" t="s">
        <v>3142</v>
      </c>
    </row>
    <row r="552" customFormat="false" ht="15" hidden="false" customHeight="false" outlineLevel="0" collapsed="false">
      <c r="A552" s="0" t="s">
        <v>62</v>
      </c>
      <c r="B552" s="0" t="n">
        <v>100</v>
      </c>
      <c r="C552" s="0" t="n">
        <v>4000</v>
      </c>
      <c r="D552" s="0" t="n">
        <v>0.025</v>
      </c>
      <c r="E552" s="0" t="s">
        <v>3153</v>
      </c>
    </row>
    <row r="553" customFormat="false" ht="15" hidden="false" customHeight="false" outlineLevel="0" collapsed="false">
      <c r="A553" s="0" t="s">
        <v>62</v>
      </c>
      <c r="B553" s="0" t="n">
        <v>100</v>
      </c>
      <c r="C553" s="0" t="n">
        <v>4000</v>
      </c>
      <c r="D553" s="0" t="n">
        <v>0.025</v>
      </c>
      <c r="E553" s="0" t="s">
        <v>3164</v>
      </c>
    </row>
    <row r="554" customFormat="false" ht="15" hidden="false" customHeight="false" outlineLevel="0" collapsed="false">
      <c r="A554" s="0" t="s">
        <v>62</v>
      </c>
      <c r="B554" s="0" t="n">
        <v>100</v>
      </c>
      <c r="C554" s="0" t="n">
        <v>4000</v>
      </c>
      <c r="D554" s="0" t="n">
        <v>0.025</v>
      </c>
      <c r="E554" s="0" t="s">
        <v>3175</v>
      </c>
    </row>
    <row r="555" customFormat="false" ht="15" hidden="false" customHeight="false" outlineLevel="0" collapsed="false">
      <c r="A555" s="0" t="s">
        <v>62</v>
      </c>
      <c r="B555" s="0" t="n">
        <v>100</v>
      </c>
      <c r="C555" s="0" t="n">
        <v>4000</v>
      </c>
      <c r="D555" s="0" t="n">
        <v>0.025</v>
      </c>
      <c r="E555" s="0" t="s">
        <v>3187</v>
      </c>
    </row>
    <row r="556" customFormat="false" ht="15" hidden="false" customHeight="false" outlineLevel="0" collapsed="false">
      <c r="A556" s="0" t="s">
        <v>62</v>
      </c>
      <c r="B556" s="0" t="n">
        <v>100</v>
      </c>
      <c r="C556" s="0" t="n">
        <v>4000</v>
      </c>
      <c r="D556" s="0" t="n">
        <v>0.025</v>
      </c>
      <c r="E556" s="0" t="s">
        <v>3200</v>
      </c>
    </row>
    <row r="557" customFormat="false" ht="15" hidden="false" customHeight="false" outlineLevel="0" collapsed="false">
      <c r="A557" s="0" t="s">
        <v>62</v>
      </c>
      <c r="B557" s="0" t="n">
        <v>100</v>
      </c>
      <c r="C557" s="0" t="n">
        <v>4000</v>
      </c>
      <c r="D557" s="0" t="n">
        <v>0.025</v>
      </c>
      <c r="E557" s="0" t="s">
        <v>3211</v>
      </c>
    </row>
    <row r="558" customFormat="false" ht="15" hidden="false" customHeight="false" outlineLevel="0" collapsed="false">
      <c r="A558" s="0" t="s">
        <v>62</v>
      </c>
      <c r="B558" s="0" t="n">
        <v>100</v>
      </c>
      <c r="C558" s="0" t="n">
        <v>4000</v>
      </c>
      <c r="D558" s="0" t="n">
        <v>0.025</v>
      </c>
      <c r="E558" s="0" t="s">
        <v>3223</v>
      </c>
    </row>
    <row r="559" customFormat="false" ht="15" hidden="false" customHeight="false" outlineLevel="0" collapsed="false">
      <c r="A559" s="0" t="s">
        <v>62</v>
      </c>
      <c r="B559" s="0" t="n">
        <v>100</v>
      </c>
      <c r="C559" s="0" t="n">
        <v>4000</v>
      </c>
      <c r="D559" s="0" t="n">
        <v>0.025</v>
      </c>
      <c r="E559" s="0" t="s">
        <v>3234</v>
      </c>
    </row>
    <row r="560" customFormat="false" ht="15" hidden="false" customHeight="false" outlineLevel="0" collapsed="false">
      <c r="A560" s="0" t="s">
        <v>62</v>
      </c>
      <c r="B560" s="0" t="n">
        <v>100</v>
      </c>
      <c r="C560" s="0" t="n">
        <v>4000</v>
      </c>
      <c r="D560" s="0" t="n">
        <v>0.025</v>
      </c>
      <c r="E560" s="0" t="s">
        <v>3245</v>
      </c>
    </row>
    <row r="561" customFormat="false" ht="15" hidden="false" customHeight="false" outlineLevel="0" collapsed="false">
      <c r="A561" s="0" t="s">
        <v>62</v>
      </c>
      <c r="B561" s="0" t="n">
        <v>100</v>
      </c>
      <c r="C561" s="0" t="n">
        <v>4000</v>
      </c>
      <c r="D561" s="0" t="n">
        <v>0.025</v>
      </c>
      <c r="E561" s="0" t="s">
        <v>3259</v>
      </c>
    </row>
    <row r="562" customFormat="false" ht="15" hidden="false" customHeight="false" outlineLevel="0" collapsed="false">
      <c r="A562" s="0" t="s">
        <v>62</v>
      </c>
      <c r="B562" s="0" t="n">
        <v>100</v>
      </c>
      <c r="C562" s="0" t="n">
        <v>4000</v>
      </c>
      <c r="D562" s="0" t="n">
        <v>0.025</v>
      </c>
      <c r="E562" s="0" t="s">
        <v>3272</v>
      </c>
    </row>
    <row r="563" customFormat="false" ht="15" hidden="false" customHeight="false" outlineLevel="0" collapsed="false">
      <c r="A563" s="0" t="s">
        <v>62</v>
      </c>
      <c r="B563" s="0" t="n">
        <v>100</v>
      </c>
      <c r="C563" s="0" t="n">
        <v>4000</v>
      </c>
      <c r="D563" s="0" t="n">
        <v>0.025</v>
      </c>
      <c r="E563" s="0" t="s">
        <v>3290</v>
      </c>
    </row>
    <row r="564" customFormat="false" ht="15" hidden="false" customHeight="false" outlineLevel="0" collapsed="false">
      <c r="A564" s="0" t="s">
        <v>62</v>
      </c>
      <c r="B564" s="0" t="n">
        <v>100</v>
      </c>
      <c r="C564" s="0" t="n">
        <v>4000</v>
      </c>
      <c r="D564" s="0" t="n">
        <v>0.025</v>
      </c>
      <c r="E564" s="0" t="s">
        <v>3310</v>
      </c>
    </row>
    <row r="565" customFormat="false" ht="15" hidden="false" customHeight="false" outlineLevel="0" collapsed="false">
      <c r="A565" s="0" t="s">
        <v>62</v>
      </c>
      <c r="B565" s="0" t="n">
        <v>100</v>
      </c>
      <c r="C565" s="0" t="n">
        <v>4000</v>
      </c>
      <c r="D565" s="0" t="n">
        <v>0.025</v>
      </c>
      <c r="E565" s="0" t="s">
        <v>3327</v>
      </c>
    </row>
    <row r="566" customFormat="false" ht="15" hidden="false" customHeight="false" outlineLevel="0" collapsed="false">
      <c r="A566" s="0" t="s">
        <v>62</v>
      </c>
      <c r="B566" s="0" t="n">
        <v>100</v>
      </c>
      <c r="C566" s="0" t="n">
        <v>4000</v>
      </c>
      <c r="D566" s="0" t="n">
        <v>0.025</v>
      </c>
      <c r="E566" s="0" t="s">
        <v>3342</v>
      </c>
    </row>
    <row r="567" customFormat="false" ht="15" hidden="false" customHeight="false" outlineLevel="0" collapsed="false">
      <c r="A567" s="0" t="s">
        <v>62</v>
      </c>
      <c r="B567" s="0" t="n">
        <v>100</v>
      </c>
      <c r="C567" s="0" t="n">
        <v>3900</v>
      </c>
      <c r="D567" s="0" t="n">
        <v>0.0256410256410256</v>
      </c>
      <c r="E567" s="0" t="s">
        <v>3368</v>
      </c>
    </row>
    <row r="568" customFormat="false" ht="15" hidden="false" customHeight="false" outlineLevel="0" collapsed="false">
      <c r="A568" s="0" t="s">
        <v>62</v>
      </c>
      <c r="B568" s="0" t="n">
        <v>100</v>
      </c>
      <c r="C568" s="0" t="n">
        <v>4000</v>
      </c>
      <c r="D568" s="0" t="n">
        <v>0.025</v>
      </c>
      <c r="E568" s="0" t="s">
        <v>3380</v>
      </c>
    </row>
    <row r="569" customFormat="false" ht="15" hidden="false" customHeight="false" outlineLevel="0" collapsed="false">
      <c r="A569" s="0" t="s">
        <v>62</v>
      </c>
      <c r="B569" s="0" t="n">
        <v>100</v>
      </c>
      <c r="C569" s="0" t="n">
        <v>4500</v>
      </c>
      <c r="D569" s="0" t="n">
        <v>0.0222222222222222</v>
      </c>
      <c r="E569" s="0" t="s">
        <v>3390</v>
      </c>
    </row>
    <row r="570" customFormat="false" ht="15" hidden="false" customHeight="false" outlineLevel="0" collapsed="false">
      <c r="A570" s="0" t="s">
        <v>62</v>
      </c>
      <c r="B570" s="0" t="n">
        <v>100</v>
      </c>
      <c r="C570" s="0" t="n">
        <v>4500</v>
      </c>
      <c r="D570" s="0" t="n">
        <v>0.0222222222222222</v>
      </c>
      <c r="E570" s="0" t="s">
        <v>3399</v>
      </c>
    </row>
    <row r="571" customFormat="false" ht="15" hidden="false" customHeight="false" outlineLevel="0" collapsed="false">
      <c r="A571" s="0" t="s">
        <v>62</v>
      </c>
      <c r="B571" s="0" t="n">
        <v>100</v>
      </c>
      <c r="C571" s="0" t="n">
        <v>4500</v>
      </c>
      <c r="D571" s="0" t="n">
        <v>0.0222222222222222</v>
      </c>
      <c r="E571" s="0" t="s">
        <v>3408</v>
      </c>
    </row>
    <row r="572" customFormat="false" ht="15" hidden="false" customHeight="false" outlineLevel="0" collapsed="false">
      <c r="A572" s="0" t="s">
        <v>62</v>
      </c>
      <c r="B572" s="0" t="n">
        <v>100</v>
      </c>
      <c r="C572" s="0" t="n">
        <v>4500</v>
      </c>
      <c r="D572" s="0" t="n">
        <v>0.0222222222222222</v>
      </c>
      <c r="E572" s="0" t="s">
        <v>3417</v>
      </c>
    </row>
    <row r="573" customFormat="false" ht="15" hidden="false" customHeight="false" outlineLevel="0" collapsed="false">
      <c r="A573" s="0" t="s">
        <v>62</v>
      </c>
      <c r="B573" s="0" t="n">
        <v>100</v>
      </c>
      <c r="C573" s="0" t="n">
        <v>4500</v>
      </c>
      <c r="D573" s="0" t="n">
        <v>0.0222222222222222</v>
      </c>
      <c r="E573" s="0" t="s">
        <v>3427</v>
      </c>
    </row>
    <row r="574" customFormat="false" ht="15" hidden="false" customHeight="false" outlineLevel="0" collapsed="false">
      <c r="A574" s="0" t="s">
        <v>62</v>
      </c>
      <c r="B574" s="0" t="n">
        <v>100</v>
      </c>
      <c r="C574" s="0" t="n">
        <v>4500</v>
      </c>
      <c r="D574" s="0" t="n">
        <v>0.0222222222222222</v>
      </c>
      <c r="E574" s="0" t="s">
        <v>3436</v>
      </c>
    </row>
    <row r="575" customFormat="false" ht="15" hidden="false" customHeight="false" outlineLevel="0" collapsed="false">
      <c r="A575" s="0" t="s">
        <v>64</v>
      </c>
      <c r="B575" s="0" t="n">
        <v>500</v>
      </c>
      <c r="C575" s="0" t="n">
        <v>4000</v>
      </c>
      <c r="D575" s="0" t="n">
        <v>0.125</v>
      </c>
      <c r="E575" s="0" t="s">
        <v>65</v>
      </c>
    </row>
    <row r="576" customFormat="false" ht="15" hidden="false" customHeight="false" outlineLevel="0" collapsed="false">
      <c r="A576" s="0" t="s">
        <v>64</v>
      </c>
      <c r="B576" s="0" t="n">
        <v>500</v>
      </c>
      <c r="C576" s="0" t="n">
        <v>4000</v>
      </c>
      <c r="D576" s="0" t="n">
        <v>0.125</v>
      </c>
      <c r="E576" s="0" t="s">
        <v>77</v>
      </c>
    </row>
    <row r="577" customFormat="false" ht="15" hidden="false" customHeight="false" outlineLevel="0" collapsed="false">
      <c r="A577" s="0" t="s">
        <v>64</v>
      </c>
      <c r="B577" s="0" t="n">
        <v>200</v>
      </c>
      <c r="C577" s="0" t="n">
        <v>4000</v>
      </c>
      <c r="D577" s="0" t="n">
        <v>0.05</v>
      </c>
      <c r="E577" s="0" t="s">
        <v>118</v>
      </c>
    </row>
    <row r="578" customFormat="false" ht="15" hidden="false" customHeight="false" outlineLevel="0" collapsed="false">
      <c r="A578" s="0" t="s">
        <v>64</v>
      </c>
      <c r="B578" s="0" t="n">
        <v>100</v>
      </c>
      <c r="C578" s="0" t="n">
        <v>4000</v>
      </c>
      <c r="D578" s="0" t="n">
        <v>0.025</v>
      </c>
      <c r="E578" s="0" t="s">
        <v>139</v>
      </c>
    </row>
    <row r="579" customFormat="false" ht="15" hidden="false" customHeight="false" outlineLevel="0" collapsed="false">
      <c r="A579" s="0" t="s">
        <v>64</v>
      </c>
      <c r="B579" s="0" t="n">
        <v>50</v>
      </c>
      <c r="C579" s="0" t="n">
        <v>4000</v>
      </c>
      <c r="D579" s="0" t="n">
        <v>0.0125</v>
      </c>
      <c r="E579" s="0" t="s">
        <v>153</v>
      </c>
    </row>
    <row r="580" customFormat="false" ht="15" hidden="false" customHeight="false" outlineLevel="0" collapsed="false">
      <c r="A580" s="0" t="s">
        <v>64</v>
      </c>
      <c r="B580" s="0" t="n">
        <v>500</v>
      </c>
      <c r="C580" s="0" t="n">
        <v>4000</v>
      </c>
      <c r="D580" s="0" t="n">
        <v>0.125</v>
      </c>
      <c r="E580" s="0" t="s">
        <v>168</v>
      </c>
    </row>
    <row r="581" customFormat="false" ht="15" hidden="false" customHeight="false" outlineLevel="0" collapsed="false">
      <c r="A581" s="0" t="s">
        <v>64</v>
      </c>
      <c r="B581" s="0" t="n">
        <v>100</v>
      </c>
      <c r="C581" s="0" t="n">
        <v>4000</v>
      </c>
      <c r="D581" s="0" t="n">
        <v>0.025</v>
      </c>
      <c r="E581" s="0" t="s">
        <v>182</v>
      </c>
    </row>
    <row r="582" customFormat="false" ht="15" hidden="false" customHeight="false" outlineLevel="0" collapsed="false">
      <c r="A582" s="0" t="s">
        <v>64</v>
      </c>
      <c r="B582" s="0" t="n">
        <v>50</v>
      </c>
      <c r="C582" s="0" t="n">
        <v>4000</v>
      </c>
      <c r="D582" s="0" t="n">
        <v>0.0125</v>
      </c>
      <c r="E582" s="0" t="s">
        <v>196</v>
      </c>
    </row>
    <row r="583" customFormat="false" ht="15" hidden="false" customHeight="false" outlineLevel="0" collapsed="false">
      <c r="A583" s="0" t="s">
        <v>64</v>
      </c>
      <c r="B583" s="0" t="n">
        <v>100</v>
      </c>
      <c r="C583" s="0" t="n">
        <v>4000</v>
      </c>
      <c r="D583" s="0" t="n">
        <v>0.025</v>
      </c>
      <c r="E583" s="0" t="s">
        <v>211</v>
      </c>
    </row>
    <row r="584" customFormat="false" ht="15" hidden="false" customHeight="false" outlineLevel="0" collapsed="false">
      <c r="A584" s="0" t="s">
        <v>64</v>
      </c>
      <c r="B584" s="0" t="n">
        <v>500</v>
      </c>
      <c r="C584" s="0" t="n">
        <v>4000</v>
      </c>
      <c r="D584" s="0" t="n">
        <v>0.125</v>
      </c>
      <c r="E584" s="0" t="s">
        <v>225</v>
      </c>
    </row>
    <row r="585" customFormat="false" ht="15" hidden="false" customHeight="false" outlineLevel="0" collapsed="false">
      <c r="A585" s="0" t="s">
        <v>64</v>
      </c>
      <c r="B585" s="0" t="n">
        <v>500</v>
      </c>
      <c r="C585" s="0" t="n">
        <v>4000</v>
      </c>
      <c r="D585" s="0" t="n">
        <v>0.125</v>
      </c>
      <c r="E585" s="0" t="s">
        <v>240</v>
      </c>
    </row>
    <row r="586" customFormat="false" ht="15" hidden="false" customHeight="false" outlineLevel="0" collapsed="false">
      <c r="A586" s="0" t="s">
        <v>64</v>
      </c>
      <c r="B586" s="0" t="n">
        <v>500</v>
      </c>
      <c r="C586" s="0" t="n">
        <v>4000</v>
      </c>
      <c r="D586" s="0" t="n">
        <v>0.125</v>
      </c>
      <c r="E586" s="0" t="s">
        <v>254</v>
      </c>
    </row>
    <row r="587" customFormat="false" ht="15" hidden="false" customHeight="false" outlineLevel="0" collapsed="false">
      <c r="A587" s="0" t="s">
        <v>64</v>
      </c>
      <c r="B587" s="0" t="n">
        <v>500</v>
      </c>
      <c r="C587" s="0" t="n">
        <v>4000</v>
      </c>
      <c r="D587" s="0" t="n">
        <v>0.125</v>
      </c>
      <c r="E587" s="0" t="s">
        <v>267</v>
      </c>
    </row>
    <row r="588" customFormat="false" ht="15" hidden="false" customHeight="false" outlineLevel="0" collapsed="false">
      <c r="A588" s="0" t="s">
        <v>64</v>
      </c>
      <c r="B588" s="0" t="n">
        <v>250</v>
      </c>
      <c r="C588" s="0" t="n">
        <v>4000</v>
      </c>
      <c r="D588" s="0" t="n">
        <v>0.0625</v>
      </c>
      <c r="E588" s="0" t="s">
        <v>280</v>
      </c>
    </row>
    <row r="589" customFormat="false" ht="15" hidden="false" customHeight="false" outlineLevel="0" collapsed="false">
      <c r="A589" s="0" t="s">
        <v>64</v>
      </c>
      <c r="B589" s="0" t="n">
        <v>250</v>
      </c>
      <c r="C589" s="0" t="n">
        <v>4000</v>
      </c>
      <c r="D589" s="0" t="n">
        <v>0.0625</v>
      </c>
      <c r="E589" s="0" t="s">
        <v>293</v>
      </c>
    </row>
    <row r="590" customFormat="false" ht="15" hidden="false" customHeight="false" outlineLevel="0" collapsed="false">
      <c r="A590" s="0" t="s">
        <v>64</v>
      </c>
      <c r="B590" s="0" t="n">
        <v>750</v>
      </c>
      <c r="C590" s="0" t="n">
        <v>4000</v>
      </c>
      <c r="D590" s="0" t="n">
        <v>0.1875</v>
      </c>
      <c r="E590" s="0" t="s">
        <v>308</v>
      </c>
    </row>
    <row r="591" customFormat="false" ht="15" hidden="false" customHeight="false" outlineLevel="0" collapsed="false">
      <c r="A591" s="0" t="s">
        <v>64</v>
      </c>
      <c r="B591" s="0" t="n">
        <v>750</v>
      </c>
      <c r="C591" s="0" t="n">
        <v>4000</v>
      </c>
      <c r="D591" s="0" t="n">
        <v>0.1875</v>
      </c>
      <c r="E591" s="0" t="s">
        <v>321</v>
      </c>
    </row>
    <row r="592" customFormat="false" ht="15" hidden="false" customHeight="false" outlineLevel="0" collapsed="false">
      <c r="A592" s="0" t="s">
        <v>64</v>
      </c>
      <c r="B592" s="0" t="n">
        <v>750</v>
      </c>
      <c r="C592" s="0" t="n">
        <v>4000</v>
      </c>
      <c r="D592" s="0" t="n">
        <v>0.1875</v>
      </c>
      <c r="E592" s="0" t="s">
        <v>333</v>
      </c>
    </row>
    <row r="593" customFormat="false" ht="15" hidden="false" customHeight="false" outlineLevel="0" collapsed="false">
      <c r="A593" s="0" t="s">
        <v>64</v>
      </c>
      <c r="B593" s="0" t="n">
        <v>50</v>
      </c>
      <c r="C593" s="0" t="n">
        <v>4000</v>
      </c>
      <c r="D593" s="0" t="n">
        <v>0.0125</v>
      </c>
      <c r="E593" s="0" t="s">
        <v>346</v>
      </c>
    </row>
    <row r="594" customFormat="false" ht="15" hidden="false" customHeight="false" outlineLevel="0" collapsed="false">
      <c r="A594" s="0" t="s">
        <v>64</v>
      </c>
      <c r="B594" s="0" t="n">
        <v>300</v>
      </c>
      <c r="C594" s="0" t="n">
        <v>4000</v>
      </c>
      <c r="D594" s="0" t="n">
        <v>0.075</v>
      </c>
      <c r="E594" s="0" t="s">
        <v>360</v>
      </c>
    </row>
    <row r="595" customFormat="false" ht="15" hidden="false" customHeight="false" outlineLevel="0" collapsed="false">
      <c r="A595" s="0" t="s">
        <v>64</v>
      </c>
      <c r="B595" s="0" t="n">
        <v>300</v>
      </c>
      <c r="C595" s="0" t="n">
        <v>4000</v>
      </c>
      <c r="D595" s="0" t="n">
        <v>0.075</v>
      </c>
      <c r="E595" s="0" t="s">
        <v>372</v>
      </c>
    </row>
    <row r="596" customFormat="false" ht="15" hidden="false" customHeight="false" outlineLevel="0" collapsed="false">
      <c r="A596" s="0" t="s">
        <v>64</v>
      </c>
      <c r="B596" s="0" t="n">
        <v>750</v>
      </c>
      <c r="C596" s="0" t="n">
        <v>4000</v>
      </c>
      <c r="D596" s="0" t="n">
        <v>0.1875</v>
      </c>
      <c r="E596" s="0" t="s">
        <v>385</v>
      </c>
    </row>
    <row r="597" customFormat="false" ht="15" hidden="false" customHeight="false" outlineLevel="0" collapsed="false">
      <c r="A597" s="0" t="s">
        <v>64</v>
      </c>
      <c r="B597" s="0" t="n">
        <v>750</v>
      </c>
      <c r="C597" s="0" t="n">
        <v>4000</v>
      </c>
      <c r="D597" s="0" t="n">
        <v>0.1875</v>
      </c>
      <c r="E597" s="0" t="s">
        <v>397</v>
      </c>
    </row>
    <row r="598" customFormat="false" ht="15" hidden="false" customHeight="false" outlineLevel="0" collapsed="false">
      <c r="A598" s="0" t="s">
        <v>64</v>
      </c>
      <c r="B598" s="0" t="n">
        <v>250</v>
      </c>
      <c r="C598" s="0" t="n">
        <v>4000</v>
      </c>
      <c r="D598" s="0" t="n">
        <v>0.0625</v>
      </c>
      <c r="E598" s="0" t="s">
        <v>409</v>
      </c>
    </row>
    <row r="599" customFormat="false" ht="15" hidden="false" customHeight="false" outlineLevel="0" collapsed="false">
      <c r="A599" s="0" t="s">
        <v>64</v>
      </c>
      <c r="B599" s="0" t="n">
        <v>750</v>
      </c>
      <c r="C599" s="0" t="n">
        <v>4000</v>
      </c>
      <c r="D599" s="0" t="n">
        <v>0.1875</v>
      </c>
      <c r="E599" s="0" t="s">
        <v>422</v>
      </c>
    </row>
    <row r="600" customFormat="false" ht="15" hidden="false" customHeight="false" outlineLevel="0" collapsed="false">
      <c r="A600" s="0" t="s">
        <v>64</v>
      </c>
      <c r="B600" s="0" t="n">
        <v>750</v>
      </c>
      <c r="C600" s="0" t="n">
        <v>4000</v>
      </c>
      <c r="D600" s="0" t="n">
        <v>0.1875</v>
      </c>
      <c r="E600" s="0" t="s">
        <v>435</v>
      </c>
    </row>
    <row r="601" customFormat="false" ht="15" hidden="false" customHeight="false" outlineLevel="0" collapsed="false">
      <c r="A601" s="0" t="s">
        <v>64</v>
      </c>
      <c r="B601" s="0" t="n">
        <v>50</v>
      </c>
      <c r="C601" s="0" t="n">
        <v>4000</v>
      </c>
      <c r="D601" s="0" t="n">
        <v>0.0125</v>
      </c>
      <c r="E601" s="0" t="s">
        <v>448</v>
      </c>
    </row>
    <row r="602" customFormat="false" ht="15" hidden="false" customHeight="false" outlineLevel="0" collapsed="false">
      <c r="A602" s="0" t="s">
        <v>64</v>
      </c>
      <c r="B602" s="0" t="n">
        <v>750</v>
      </c>
      <c r="C602" s="0" t="n">
        <v>4000</v>
      </c>
      <c r="D602" s="0" t="n">
        <v>0.1875</v>
      </c>
      <c r="E602" s="0" t="s">
        <v>460</v>
      </c>
    </row>
    <row r="603" customFormat="false" ht="15" hidden="false" customHeight="false" outlineLevel="0" collapsed="false">
      <c r="A603" s="0" t="s">
        <v>64</v>
      </c>
      <c r="B603" s="0" t="n">
        <v>750</v>
      </c>
      <c r="C603" s="0" t="n">
        <v>4000</v>
      </c>
      <c r="D603" s="0" t="n">
        <v>0.1875</v>
      </c>
      <c r="E603" s="0" t="s">
        <v>485</v>
      </c>
    </row>
    <row r="604" customFormat="false" ht="15" hidden="false" customHeight="false" outlineLevel="0" collapsed="false">
      <c r="A604" s="0" t="s">
        <v>64</v>
      </c>
      <c r="B604" s="0" t="n">
        <v>50</v>
      </c>
      <c r="C604" s="0" t="n">
        <v>4000</v>
      </c>
      <c r="D604" s="0" t="n">
        <v>0.0125</v>
      </c>
      <c r="E604" s="0" t="s">
        <v>511</v>
      </c>
    </row>
    <row r="605" customFormat="false" ht="15" hidden="false" customHeight="false" outlineLevel="0" collapsed="false">
      <c r="A605" s="0" t="s">
        <v>64</v>
      </c>
      <c r="B605" s="0" t="n">
        <v>50</v>
      </c>
      <c r="C605" s="0" t="n">
        <v>4000</v>
      </c>
      <c r="D605" s="0" t="n">
        <v>0.0125</v>
      </c>
      <c r="E605" s="0" t="s">
        <v>523</v>
      </c>
    </row>
    <row r="606" customFormat="false" ht="15" hidden="false" customHeight="false" outlineLevel="0" collapsed="false">
      <c r="A606" s="0" t="s">
        <v>64</v>
      </c>
      <c r="B606" s="0" t="n">
        <v>750</v>
      </c>
      <c r="C606" s="0" t="n">
        <v>4000</v>
      </c>
      <c r="D606" s="0" t="n">
        <v>0.1875</v>
      </c>
      <c r="E606" s="0" t="s">
        <v>539</v>
      </c>
    </row>
    <row r="607" customFormat="false" ht="15" hidden="false" customHeight="false" outlineLevel="0" collapsed="false">
      <c r="A607" s="0" t="s">
        <v>64</v>
      </c>
      <c r="B607" s="0" t="n">
        <v>750</v>
      </c>
      <c r="C607" s="0" t="n">
        <v>4000</v>
      </c>
      <c r="D607" s="0" t="n">
        <v>0.1875</v>
      </c>
      <c r="E607" s="0" t="s">
        <v>553</v>
      </c>
    </row>
    <row r="608" customFormat="false" ht="15" hidden="false" customHeight="false" outlineLevel="0" collapsed="false">
      <c r="A608" s="0" t="s">
        <v>64</v>
      </c>
      <c r="B608" s="0" t="n">
        <v>750</v>
      </c>
      <c r="C608" s="0" t="n">
        <v>4000</v>
      </c>
      <c r="D608" s="0" t="n">
        <v>0.1875</v>
      </c>
      <c r="E608" s="0" t="s">
        <v>571</v>
      </c>
    </row>
    <row r="609" customFormat="false" ht="15" hidden="false" customHeight="false" outlineLevel="0" collapsed="false">
      <c r="A609" s="0" t="s">
        <v>64</v>
      </c>
      <c r="B609" s="0" t="n">
        <v>750</v>
      </c>
      <c r="C609" s="0" t="n">
        <v>4000</v>
      </c>
      <c r="D609" s="0" t="n">
        <v>0.1875</v>
      </c>
      <c r="E609" s="0" t="s">
        <v>592</v>
      </c>
    </row>
    <row r="610" customFormat="false" ht="15" hidden="false" customHeight="false" outlineLevel="0" collapsed="false">
      <c r="A610" s="0" t="s">
        <v>64</v>
      </c>
      <c r="B610" s="0" t="n">
        <v>750</v>
      </c>
      <c r="C610" s="0" t="n">
        <v>4000</v>
      </c>
      <c r="D610" s="0" t="n">
        <v>0.1875</v>
      </c>
      <c r="E610" s="0" t="s">
        <v>608</v>
      </c>
    </row>
    <row r="611" customFormat="false" ht="15" hidden="false" customHeight="false" outlineLevel="0" collapsed="false">
      <c r="A611" s="0" t="s">
        <v>64</v>
      </c>
      <c r="B611" s="0" t="n">
        <v>750</v>
      </c>
      <c r="C611" s="0" t="n">
        <v>4000</v>
      </c>
      <c r="D611" s="0" t="n">
        <v>0.1875</v>
      </c>
      <c r="E611" s="0" t="s">
        <v>623</v>
      </c>
    </row>
    <row r="612" customFormat="false" ht="15" hidden="false" customHeight="false" outlineLevel="0" collapsed="false">
      <c r="A612" s="0" t="s">
        <v>64</v>
      </c>
      <c r="B612" s="0" t="n">
        <v>500</v>
      </c>
      <c r="C612" s="0" t="n">
        <v>3800</v>
      </c>
      <c r="D612" s="0" t="n">
        <v>0.131578947368421</v>
      </c>
      <c r="E612" s="0" t="s">
        <v>633</v>
      </c>
    </row>
    <row r="613" customFormat="false" ht="15" hidden="false" customHeight="false" outlineLevel="0" collapsed="false">
      <c r="A613" s="0" t="s">
        <v>64</v>
      </c>
      <c r="B613" s="0" t="n">
        <v>500</v>
      </c>
      <c r="C613" s="0" t="n">
        <v>3800</v>
      </c>
      <c r="D613" s="0" t="n">
        <v>0.131578947368421</v>
      </c>
      <c r="E613" s="0" t="s">
        <v>643</v>
      </c>
    </row>
    <row r="614" customFormat="false" ht="15" hidden="false" customHeight="false" outlineLevel="0" collapsed="false">
      <c r="A614" s="0" t="s">
        <v>64</v>
      </c>
      <c r="B614" s="0" t="n">
        <v>500</v>
      </c>
      <c r="C614" s="0" t="n">
        <v>3800</v>
      </c>
      <c r="D614" s="0" t="n">
        <v>0.131578947368421</v>
      </c>
      <c r="E614" s="0" t="s">
        <v>657</v>
      </c>
    </row>
    <row r="615" customFormat="false" ht="15" hidden="false" customHeight="false" outlineLevel="0" collapsed="false">
      <c r="A615" s="0" t="s">
        <v>64</v>
      </c>
      <c r="B615" s="0" t="n">
        <v>500</v>
      </c>
      <c r="C615" s="0" t="n">
        <v>3800</v>
      </c>
      <c r="D615" s="0" t="n">
        <v>0.131578947368421</v>
      </c>
      <c r="E615" s="0" t="s">
        <v>667</v>
      </c>
    </row>
    <row r="616" customFormat="false" ht="15" hidden="false" customHeight="false" outlineLevel="0" collapsed="false">
      <c r="A616" s="0" t="s">
        <v>64</v>
      </c>
      <c r="B616" s="0" t="n">
        <v>500</v>
      </c>
      <c r="C616" s="0" t="n">
        <v>3800</v>
      </c>
      <c r="D616" s="0" t="n">
        <v>0.131578947368421</v>
      </c>
      <c r="E616" s="0" t="s">
        <v>677</v>
      </c>
    </row>
    <row r="617" customFormat="false" ht="15" hidden="false" customHeight="false" outlineLevel="0" collapsed="false">
      <c r="A617" s="0" t="s">
        <v>64</v>
      </c>
      <c r="B617" s="0" t="n">
        <v>500</v>
      </c>
      <c r="C617" s="0" t="n">
        <v>3800</v>
      </c>
      <c r="D617" s="0" t="n">
        <v>0.131578947368421</v>
      </c>
      <c r="E617" s="0" t="s">
        <v>687</v>
      </c>
    </row>
    <row r="618" customFormat="false" ht="15" hidden="false" customHeight="false" outlineLevel="0" collapsed="false">
      <c r="A618" s="0" t="s">
        <v>64</v>
      </c>
      <c r="B618" s="0" t="n">
        <v>500</v>
      </c>
      <c r="C618" s="0" t="n">
        <v>3800</v>
      </c>
      <c r="D618" s="0" t="n">
        <v>0.131578947368421</v>
      </c>
      <c r="E618" s="0" t="s">
        <v>698</v>
      </c>
    </row>
    <row r="619" customFormat="false" ht="15" hidden="false" customHeight="false" outlineLevel="0" collapsed="false">
      <c r="A619" s="0" t="s">
        <v>64</v>
      </c>
      <c r="B619" s="0" t="n">
        <v>500</v>
      </c>
      <c r="C619" s="0" t="n">
        <v>3800</v>
      </c>
      <c r="D619" s="0" t="n">
        <v>0.131578947368421</v>
      </c>
      <c r="E619" s="0" t="s">
        <v>708</v>
      </c>
    </row>
    <row r="620" customFormat="false" ht="15" hidden="false" customHeight="false" outlineLevel="0" collapsed="false">
      <c r="A620" s="0" t="s">
        <v>64</v>
      </c>
      <c r="B620" s="0" t="n">
        <v>500</v>
      </c>
      <c r="C620" s="0" t="n">
        <v>3800</v>
      </c>
      <c r="D620" s="0" t="n">
        <v>0.131578947368421</v>
      </c>
      <c r="E620" s="0" t="s">
        <v>718</v>
      </c>
    </row>
    <row r="621" customFormat="false" ht="15" hidden="false" customHeight="false" outlineLevel="0" collapsed="false">
      <c r="A621" s="0" t="s">
        <v>64</v>
      </c>
      <c r="B621" s="0" t="n">
        <v>500</v>
      </c>
      <c r="C621" s="0" t="n">
        <v>3800</v>
      </c>
      <c r="D621" s="0" t="n">
        <v>0.131578947368421</v>
      </c>
      <c r="E621" s="0" t="s">
        <v>728</v>
      </c>
    </row>
    <row r="622" customFormat="false" ht="15" hidden="false" customHeight="false" outlineLevel="0" collapsed="false">
      <c r="A622" s="0" t="s">
        <v>64</v>
      </c>
      <c r="B622" s="0" t="n">
        <v>70</v>
      </c>
      <c r="C622" s="0" t="n">
        <v>3800</v>
      </c>
      <c r="D622" s="0" t="n">
        <v>0.018421052631579</v>
      </c>
      <c r="E622" s="0" t="s">
        <v>751</v>
      </c>
    </row>
    <row r="623" customFormat="false" ht="15" hidden="false" customHeight="false" outlineLevel="0" collapsed="false">
      <c r="A623" s="0" t="s">
        <v>64</v>
      </c>
      <c r="B623" s="0" t="n">
        <v>70</v>
      </c>
      <c r="C623" s="0" t="n">
        <v>3800</v>
      </c>
      <c r="D623" s="0" t="n">
        <v>0.018421052631579</v>
      </c>
      <c r="E623" s="0" t="s">
        <v>767</v>
      </c>
    </row>
    <row r="624" customFormat="false" ht="15" hidden="false" customHeight="false" outlineLevel="0" collapsed="false">
      <c r="A624" s="0" t="s">
        <v>64</v>
      </c>
      <c r="B624" s="0" t="n">
        <v>750</v>
      </c>
      <c r="C624" s="0" t="n">
        <v>3800</v>
      </c>
      <c r="D624" s="0" t="n">
        <v>0.197368421052632</v>
      </c>
      <c r="E624" s="0" t="s">
        <v>782</v>
      </c>
    </row>
    <row r="625" customFormat="false" ht="15" hidden="false" customHeight="false" outlineLevel="0" collapsed="false">
      <c r="A625" s="0" t="s">
        <v>64</v>
      </c>
      <c r="B625" s="0" t="n">
        <v>250</v>
      </c>
      <c r="C625" s="0" t="n">
        <v>3800</v>
      </c>
      <c r="D625" s="0" t="n">
        <v>0.0657894736842105</v>
      </c>
      <c r="E625" s="0" t="s">
        <v>796</v>
      </c>
    </row>
    <row r="626" customFormat="false" ht="15" hidden="false" customHeight="false" outlineLevel="0" collapsed="false">
      <c r="A626" s="0" t="s">
        <v>64</v>
      </c>
      <c r="B626" s="0" t="n">
        <v>750</v>
      </c>
      <c r="C626" s="0" t="n">
        <v>3800</v>
      </c>
      <c r="D626" s="0" t="n">
        <v>0.197368421052632</v>
      </c>
      <c r="E626" s="0" t="s">
        <v>810</v>
      </c>
    </row>
    <row r="627" customFormat="false" ht="15" hidden="false" customHeight="false" outlineLevel="0" collapsed="false">
      <c r="A627" s="0" t="s">
        <v>64</v>
      </c>
      <c r="B627" s="0" t="n">
        <v>750</v>
      </c>
      <c r="C627" s="0" t="n">
        <v>3800</v>
      </c>
      <c r="D627" s="0" t="n">
        <v>0.197368421052632</v>
      </c>
      <c r="E627" s="0" t="s">
        <v>824</v>
      </c>
    </row>
    <row r="628" customFormat="false" ht="15" hidden="false" customHeight="false" outlineLevel="0" collapsed="false">
      <c r="A628" s="0" t="s">
        <v>64</v>
      </c>
      <c r="B628" s="0" t="n">
        <v>750</v>
      </c>
      <c r="C628" s="0" t="n">
        <v>3800</v>
      </c>
      <c r="D628" s="0" t="n">
        <v>0.197368421052632</v>
      </c>
      <c r="E628" s="0" t="s">
        <v>840</v>
      </c>
    </row>
    <row r="629" customFormat="false" ht="15" hidden="false" customHeight="false" outlineLevel="0" collapsed="false">
      <c r="A629" s="0" t="s">
        <v>64</v>
      </c>
      <c r="B629" s="0" t="n">
        <v>750</v>
      </c>
      <c r="C629" s="0" t="n">
        <v>3800</v>
      </c>
      <c r="D629" s="0" t="n">
        <v>0.197368421052632</v>
      </c>
      <c r="E629" s="0" t="s">
        <v>856</v>
      </c>
    </row>
    <row r="630" customFormat="false" ht="15" hidden="false" customHeight="false" outlineLevel="0" collapsed="false">
      <c r="A630" s="0" t="s">
        <v>64</v>
      </c>
      <c r="B630" s="0" t="n">
        <v>750</v>
      </c>
      <c r="C630" s="0" t="n">
        <v>3800</v>
      </c>
      <c r="D630" s="0" t="n">
        <v>0.197368421052632</v>
      </c>
      <c r="E630" s="0" t="s">
        <v>873</v>
      </c>
    </row>
    <row r="631" customFormat="false" ht="15" hidden="false" customHeight="false" outlineLevel="0" collapsed="false">
      <c r="A631" s="0" t="s">
        <v>64</v>
      </c>
      <c r="B631" s="0" t="n">
        <v>750</v>
      </c>
      <c r="C631" s="0" t="n">
        <v>3800</v>
      </c>
      <c r="D631" s="0" t="n">
        <v>0.197368421052632</v>
      </c>
      <c r="E631" s="0" t="s">
        <v>891</v>
      </c>
    </row>
    <row r="632" customFormat="false" ht="15" hidden="false" customHeight="false" outlineLevel="0" collapsed="false">
      <c r="A632" s="0" t="s">
        <v>64</v>
      </c>
      <c r="B632" s="0" t="n">
        <v>500</v>
      </c>
      <c r="C632" s="0" t="n">
        <v>3800</v>
      </c>
      <c r="D632" s="0" t="n">
        <v>0.131578947368421</v>
      </c>
      <c r="E632" s="0" t="s">
        <v>907</v>
      </c>
    </row>
    <row r="633" customFormat="false" ht="15" hidden="false" customHeight="false" outlineLevel="0" collapsed="false">
      <c r="A633" s="0" t="s">
        <v>64</v>
      </c>
      <c r="B633" s="0" t="n">
        <v>750</v>
      </c>
      <c r="C633" s="0" t="n">
        <v>3800</v>
      </c>
      <c r="D633" s="0" t="n">
        <v>0.197368421052632</v>
      </c>
      <c r="E633" s="0" t="s">
        <v>919</v>
      </c>
    </row>
    <row r="634" customFormat="false" ht="15" hidden="false" customHeight="false" outlineLevel="0" collapsed="false">
      <c r="A634" s="0" t="s">
        <v>64</v>
      </c>
      <c r="B634" s="0" t="n">
        <v>750</v>
      </c>
      <c r="C634" s="0" t="n">
        <v>3800</v>
      </c>
      <c r="D634" s="0" t="n">
        <v>0.197368421052632</v>
      </c>
      <c r="E634" s="0" t="s">
        <v>935</v>
      </c>
    </row>
    <row r="635" customFormat="false" ht="15" hidden="false" customHeight="false" outlineLevel="0" collapsed="false">
      <c r="A635" s="0" t="s">
        <v>64</v>
      </c>
      <c r="B635" s="0" t="n">
        <v>750</v>
      </c>
      <c r="C635" s="0" t="n">
        <v>3800</v>
      </c>
      <c r="D635" s="0" t="n">
        <v>0.197368421052632</v>
      </c>
      <c r="E635" s="0" t="s">
        <v>953</v>
      </c>
    </row>
    <row r="636" customFormat="false" ht="15" hidden="false" customHeight="false" outlineLevel="0" collapsed="false">
      <c r="A636" s="0" t="s">
        <v>64</v>
      </c>
      <c r="B636" s="0" t="n">
        <v>750</v>
      </c>
      <c r="C636" s="0" t="n">
        <v>3800</v>
      </c>
      <c r="D636" s="0" t="n">
        <v>0.197368421052632</v>
      </c>
      <c r="E636" s="0" t="s">
        <v>968</v>
      </c>
    </row>
    <row r="637" customFormat="false" ht="15" hidden="false" customHeight="false" outlineLevel="0" collapsed="false">
      <c r="A637" s="0" t="s">
        <v>64</v>
      </c>
      <c r="B637" s="0" t="n">
        <v>750</v>
      </c>
      <c r="C637" s="0" t="n">
        <v>3800</v>
      </c>
      <c r="D637" s="0" t="n">
        <v>0.197368421052632</v>
      </c>
      <c r="E637" s="0" t="s">
        <v>988</v>
      </c>
    </row>
    <row r="638" customFormat="false" ht="15" hidden="false" customHeight="false" outlineLevel="0" collapsed="false">
      <c r="A638" s="0" t="s">
        <v>64</v>
      </c>
      <c r="B638" s="0" t="n">
        <v>750</v>
      </c>
      <c r="C638" s="0" t="n">
        <v>4000</v>
      </c>
      <c r="D638" s="0" t="n">
        <v>0.1875</v>
      </c>
      <c r="E638" s="0" t="s">
        <v>1003</v>
      </c>
    </row>
    <row r="639" customFormat="false" ht="15" hidden="false" customHeight="false" outlineLevel="0" collapsed="false">
      <c r="A639" s="0" t="s">
        <v>64</v>
      </c>
      <c r="B639" s="0" t="n">
        <v>500</v>
      </c>
      <c r="C639" s="0" t="n">
        <v>4000</v>
      </c>
      <c r="D639" s="0" t="n">
        <v>0.125</v>
      </c>
      <c r="E639" s="0" t="s">
        <v>1015</v>
      </c>
    </row>
    <row r="640" customFormat="false" ht="15" hidden="false" customHeight="false" outlineLevel="0" collapsed="false">
      <c r="A640" s="0" t="s">
        <v>64</v>
      </c>
      <c r="B640" s="0" t="n">
        <v>750</v>
      </c>
      <c r="C640" s="0" t="n">
        <v>4000</v>
      </c>
      <c r="D640" s="0" t="n">
        <v>0.1875</v>
      </c>
      <c r="E640" s="0" t="s">
        <v>1031</v>
      </c>
    </row>
    <row r="641" customFormat="false" ht="15" hidden="false" customHeight="false" outlineLevel="0" collapsed="false">
      <c r="A641" s="0" t="s">
        <v>64</v>
      </c>
      <c r="B641" s="0" t="n">
        <v>750</v>
      </c>
      <c r="C641" s="0" t="n">
        <v>3800</v>
      </c>
      <c r="D641" s="0" t="n">
        <v>0.197368421052632</v>
      </c>
      <c r="E641" s="0" t="s">
        <v>1048</v>
      </c>
    </row>
    <row r="642" customFormat="false" ht="15" hidden="false" customHeight="false" outlineLevel="0" collapsed="false">
      <c r="A642" s="0" t="s">
        <v>64</v>
      </c>
      <c r="B642" s="0" t="n">
        <v>750</v>
      </c>
      <c r="C642" s="0" t="n">
        <v>3800</v>
      </c>
      <c r="D642" s="0" t="n">
        <v>0.197368421052632</v>
      </c>
      <c r="E642" s="0" t="s">
        <v>1063</v>
      </c>
    </row>
    <row r="643" customFormat="false" ht="15" hidden="false" customHeight="false" outlineLevel="0" collapsed="false">
      <c r="A643" s="0" t="s">
        <v>64</v>
      </c>
      <c r="B643" s="0" t="n">
        <v>750</v>
      </c>
      <c r="C643" s="0" t="n">
        <v>3800</v>
      </c>
      <c r="D643" s="0" t="n">
        <v>0.197368421052632</v>
      </c>
      <c r="E643" s="0" t="s">
        <v>1078</v>
      </c>
    </row>
    <row r="644" customFormat="false" ht="15" hidden="false" customHeight="false" outlineLevel="0" collapsed="false">
      <c r="A644" s="0" t="s">
        <v>64</v>
      </c>
      <c r="B644" s="0" t="n">
        <v>500</v>
      </c>
      <c r="C644" s="0" t="n">
        <v>4000</v>
      </c>
      <c r="D644" s="0" t="n">
        <v>0.125</v>
      </c>
      <c r="E644" s="0" t="s">
        <v>1095</v>
      </c>
    </row>
    <row r="645" customFormat="false" ht="15" hidden="false" customHeight="false" outlineLevel="0" collapsed="false">
      <c r="A645" s="0" t="s">
        <v>64</v>
      </c>
      <c r="B645" s="0" t="n">
        <v>750</v>
      </c>
      <c r="C645" s="0" t="n">
        <v>4000</v>
      </c>
      <c r="D645" s="0" t="n">
        <v>0.1875</v>
      </c>
      <c r="E645" s="0" t="s">
        <v>1109</v>
      </c>
    </row>
    <row r="646" customFormat="false" ht="15" hidden="false" customHeight="false" outlineLevel="0" collapsed="false">
      <c r="A646" s="0" t="s">
        <v>64</v>
      </c>
      <c r="B646" s="0" t="n">
        <v>500</v>
      </c>
      <c r="C646" s="0" t="n">
        <v>4000</v>
      </c>
      <c r="D646" s="0" t="n">
        <v>0.125</v>
      </c>
      <c r="E646" s="0" t="s">
        <v>1124</v>
      </c>
    </row>
    <row r="647" customFormat="false" ht="15" hidden="false" customHeight="false" outlineLevel="0" collapsed="false">
      <c r="A647" s="0" t="s">
        <v>64</v>
      </c>
      <c r="B647" s="0" t="n">
        <v>750</v>
      </c>
      <c r="C647" s="0" t="n">
        <v>4000</v>
      </c>
      <c r="D647" s="0" t="n">
        <v>0.1875</v>
      </c>
      <c r="E647" s="0" t="s">
        <v>1140</v>
      </c>
    </row>
    <row r="648" customFormat="false" ht="15" hidden="false" customHeight="false" outlineLevel="0" collapsed="false">
      <c r="A648" s="0" t="s">
        <v>64</v>
      </c>
      <c r="B648" s="0" t="n">
        <v>50</v>
      </c>
      <c r="C648" s="0" t="n">
        <v>4000</v>
      </c>
      <c r="D648" s="0" t="n">
        <v>0.0125</v>
      </c>
      <c r="E648" s="0" t="s">
        <v>1157</v>
      </c>
    </row>
    <row r="649" customFormat="false" ht="15" hidden="false" customHeight="false" outlineLevel="0" collapsed="false">
      <c r="A649" s="0" t="s">
        <v>64</v>
      </c>
      <c r="B649" s="0" t="n">
        <v>750</v>
      </c>
      <c r="C649" s="0" t="n">
        <v>4000</v>
      </c>
      <c r="D649" s="0" t="n">
        <v>0.1875</v>
      </c>
      <c r="E649" s="0" t="s">
        <v>1176</v>
      </c>
    </row>
    <row r="650" customFormat="false" ht="15" hidden="false" customHeight="false" outlineLevel="0" collapsed="false">
      <c r="A650" s="0" t="s">
        <v>64</v>
      </c>
      <c r="B650" s="0" t="n">
        <v>750</v>
      </c>
      <c r="C650" s="0" t="n">
        <v>4000</v>
      </c>
      <c r="D650" s="0" t="n">
        <v>0.1875</v>
      </c>
      <c r="E650" s="0" t="s">
        <v>1195</v>
      </c>
    </row>
    <row r="651" customFormat="false" ht="15" hidden="false" customHeight="false" outlineLevel="0" collapsed="false">
      <c r="A651" s="0" t="s">
        <v>64</v>
      </c>
      <c r="B651" s="0" t="n">
        <v>500</v>
      </c>
      <c r="C651" s="0" t="n">
        <v>4000</v>
      </c>
      <c r="D651" s="0" t="n">
        <v>0.125</v>
      </c>
      <c r="E651" s="0" t="s">
        <v>1210</v>
      </c>
    </row>
    <row r="652" customFormat="false" ht="15" hidden="false" customHeight="false" outlineLevel="0" collapsed="false">
      <c r="A652" s="0" t="s">
        <v>64</v>
      </c>
      <c r="B652" s="0" t="n">
        <v>500</v>
      </c>
      <c r="C652" s="0" t="n">
        <v>4000</v>
      </c>
      <c r="D652" s="0" t="n">
        <v>0.125</v>
      </c>
      <c r="E652" s="0" t="s">
        <v>1239</v>
      </c>
    </row>
    <row r="653" customFormat="false" ht="15" hidden="false" customHeight="false" outlineLevel="0" collapsed="false">
      <c r="A653" s="0" t="s">
        <v>64</v>
      </c>
      <c r="B653" s="0" t="n">
        <v>500</v>
      </c>
      <c r="C653" s="0" t="n">
        <v>4000</v>
      </c>
      <c r="D653" s="0" t="n">
        <v>0.125</v>
      </c>
      <c r="E653" s="0" t="s">
        <v>1256</v>
      </c>
    </row>
    <row r="654" customFormat="false" ht="15" hidden="false" customHeight="false" outlineLevel="0" collapsed="false">
      <c r="A654" s="0" t="s">
        <v>64</v>
      </c>
      <c r="B654" s="0" t="n">
        <v>750</v>
      </c>
      <c r="C654" s="0" t="n">
        <v>4000</v>
      </c>
      <c r="D654" s="0" t="n">
        <v>0.1875</v>
      </c>
      <c r="E654" s="0" t="s">
        <v>1273</v>
      </c>
    </row>
    <row r="655" customFormat="false" ht="15" hidden="false" customHeight="false" outlineLevel="0" collapsed="false">
      <c r="A655" s="0" t="s">
        <v>64</v>
      </c>
      <c r="B655" s="0" t="n">
        <v>750</v>
      </c>
      <c r="C655" s="0" t="n">
        <v>4000</v>
      </c>
      <c r="D655" s="0" t="n">
        <v>0.1875</v>
      </c>
      <c r="E655" s="0" t="s">
        <v>1303</v>
      </c>
    </row>
    <row r="656" customFormat="false" ht="15" hidden="false" customHeight="false" outlineLevel="0" collapsed="false">
      <c r="A656" s="0" t="s">
        <v>64</v>
      </c>
      <c r="B656" s="0" t="n">
        <v>50</v>
      </c>
      <c r="C656" s="0" t="n">
        <v>4000</v>
      </c>
      <c r="D656" s="0" t="n">
        <v>0.0125</v>
      </c>
      <c r="E656" s="0" t="s">
        <v>1333</v>
      </c>
    </row>
    <row r="657" customFormat="false" ht="15" hidden="false" customHeight="false" outlineLevel="0" collapsed="false">
      <c r="A657" s="0" t="s">
        <v>64</v>
      </c>
      <c r="B657" s="0" t="n">
        <v>500</v>
      </c>
      <c r="C657" s="0" t="n">
        <v>4000</v>
      </c>
      <c r="D657" s="0" t="n">
        <v>0.125</v>
      </c>
      <c r="E657" s="0" t="s">
        <v>1347</v>
      </c>
    </row>
    <row r="658" customFormat="false" ht="15" hidden="false" customHeight="false" outlineLevel="0" collapsed="false">
      <c r="A658" s="0" t="s">
        <v>64</v>
      </c>
      <c r="B658" s="0" t="n">
        <v>750</v>
      </c>
      <c r="C658" s="0" t="n">
        <v>4000</v>
      </c>
      <c r="D658" s="0" t="n">
        <v>0.1875</v>
      </c>
      <c r="E658" s="0" t="s">
        <v>1361</v>
      </c>
    </row>
    <row r="659" customFormat="false" ht="15" hidden="false" customHeight="false" outlineLevel="0" collapsed="false">
      <c r="A659" s="0" t="s">
        <v>64</v>
      </c>
      <c r="B659" s="0" t="n">
        <v>500</v>
      </c>
      <c r="C659" s="0" t="n">
        <v>4000</v>
      </c>
      <c r="D659" s="0" t="n">
        <v>0.125</v>
      </c>
      <c r="E659" s="0" t="s">
        <v>1376</v>
      </c>
    </row>
    <row r="660" customFormat="false" ht="15" hidden="false" customHeight="false" outlineLevel="0" collapsed="false">
      <c r="A660" s="0" t="s">
        <v>64</v>
      </c>
      <c r="B660" s="0" t="n">
        <v>750</v>
      </c>
      <c r="C660" s="0" t="n">
        <v>4000</v>
      </c>
      <c r="D660" s="0" t="n">
        <v>0.1875</v>
      </c>
      <c r="E660" s="0" t="s">
        <v>1389</v>
      </c>
    </row>
    <row r="661" customFormat="false" ht="15" hidden="false" customHeight="false" outlineLevel="0" collapsed="false">
      <c r="A661" s="0" t="s">
        <v>64</v>
      </c>
      <c r="B661" s="0" t="n">
        <v>50</v>
      </c>
      <c r="C661" s="0" t="n">
        <v>4000</v>
      </c>
      <c r="D661" s="0" t="n">
        <v>0.0125</v>
      </c>
      <c r="E661" s="0" t="s">
        <v>1404</v>
      </c>
    </row>
    <row r="662" customFormat="false" ht="15" hidden="false" customHeight="false" outlineLevel="0" collapsed="false">
      <c r="A662" s="0" t="s">
        <v>64</v>
      </c>
      <c r="B662" s="0" t="n">
        <v>750</v>
      </c>
      <c r="C662" s="0" t="n">
        <v>3800</v>
      </c>
      <c r="D662" s="0" t="n">
        <v>0.197368421052632</v>
      </c>
      <c r="E662" s="0" t="s">
        <v>1419</v>
      </c>
    </row>
    <row r="663" customFormat="false" ht="15" hidden="false" customHeight="false" outlineLevel="0" collapsed="false">
      <c r="A663" s="0" t="s">
        <v>64</v>
      </c>
      <c r="B663" s="0" t="n">
        <v>750</v>
      </c>
      <c r="C663" s="0" t="n">
        <v>3800</v>
      </c>
      <c r="D663" s="0" t="n">
        <v>0.197368421052632</v>
      </c>
      <c r="E663" s="0" t="s">
        <v>1437</v>
      </c>
    </row>
    <row r="664" customFormat="false" ht="15" hidden="false" customHeight="false" outlineLevel="0" collapsed="false">
      <c r="A664" s="0" t="s">
        <v>64</v>
      </c>
      <c r="B664" s="0" t="n">
        <v>50</v>
      </c>
      <c r="C664" s="0" t="n">
        <v>3800</v>
      </c>
      <c r="D664" s="0" t="n">
        <v>0.0131578947368421</v>
      </c>
      <c r="E664" s="0" t="s">
        <v>1453</v>
      </c>
    </row>
    <row r="665" customFormat="false" ht="15" hidden="false" customHeight="false" outlineLevel="0" collapsed="false">
      <c r="A665" s="0" t="s">
        <v>64</v>
      </c>
      <c r="B665" s="0" t="n">
        <v>500</v>
      </c>
      <c r="C665" s="0" t="n">
        <v>3800</v>
      </c>
      <c r="D665" s="0" t="n">
        <v>0.131578947368421</v>
      </c>
      <c r="E665" s="0" t="s">
        <v>1469</v>
      </c>
    </row>
    <row r="666" customFormat="false" ht="15" hidden="false" customHeight="false" outlineLevel="0" collapsed="false">
      <c r="A666" s="0" t="s">
        <v>64</v>
      </c>
      <c r="B666" s="0" t="n">
        <v>750</v>
      </c>
      <c r="C666" s="0" t="n">
        <v>3800</v>
      </c>
      <c r="D666" s="0" t="n">
        <v>0.197368421052632</v>
      </c>
      <c r="E666" s="0" t="s">
        <v>1484</v>
      </c>
    </row>
    <row r="667" customFormat="false" ht="15" hidden="false" customHeight="false" outlineLevel="0" collapsed="false">
      <c r="A667" s="0" t="s">
        <v>64</v>
      </c>
      <c r="B667" s="0" t="n">
        <v>750</v>
      </c>
      <c r="C667" s="0" t="n">
        <v>3800</v>
      </c>
      <c r="D667" s="0" t="n">
        <v>0.197368421052632</v>
      </c>
      <c r="E667" s="0" t="s">
        <v>1500</v>
      </c>
    </row>
    <row r="668" customFormat="false" ht="15" hidden="false" customHeight="false" outlineLevel="0" collapsed="false">
      <c r="A668" s="0" t="s">
        <v>64</v>
      </c>
      <c r="B668" s="0" t="n">
        <v>50</v>
      </c>
      <c r="C668" s="0" t="n">
        <v>3800</v>
      </c>
      <c r="D668" s="0" t="n">
        <v>0.0131578947368421</v>
      </c>
      <c r="E668" s="0" t="s">
        <v>1515</v>
      </c>
    </row>
    <row r="669" customFormat="false" ht="15" hidden="false" customHeight="false" outlineLevel="0" collapsed="false">
      <c r="A669" s="0" t="s">
        <v>64</v>
      </c>
      <c r="B669" s="0" t="n">
        <v>750</v>
      </c>
      <c r="C669" s="0" t="n">
        <v>3800</v>
      </c>
      <c r="D669" s="0" t="n">
        <v>0.197368421052632</v>
      </c>
      <c r="E669" s="0" t="s">
        <v>1532</v>
      </c>
    </row>
    <row r="670" customFormat="false" ht="15" hidden="false" customHeight="false" outlineLevel="0" collapsed="false">
      <c r="A670" s="0" t="s">
        <v>64</v>
      </c>
      <c r="B670" s="0" t="n">
        <v>750</v>
      </c>
      <c r="C670" s="0" t="n">
        <v>3800</v>
      </c>
      <c r="D670" s="0" t="n">
        <v>0.197368421052632</v>
      </c>
      <c r="E670" s="0" t="s">
        <v>1548</v>
      </c>
    </row>
    <row r="671" customFormat="false" ht="15" hidden="false" customHeight="false" outlineLevel="0" collapsed="false">
      <c r="A671" s="0" t="s">
        <v>64</v>
      </c>
      <c r="B671" s="0" t="n">
        <v>750</v>
      </c>
      <c r="C671" s="0" t="n">
        <v>3800</v>
      </c>
      <c r="D671" s="0" t="n">
        <v>0.197368421052632</v>
      </c>
      <c r="E671" s="0" t="s">
        <v>1564</v>
      </c>
    </row>
    <row r="672" customFormat="false" ht="15" hidden="false" customHeight="false" outlineLevel="0" collapsed="false">
      <c r="A672" s="0" t="s">
        <v>64</v>
      </c>
      <c r="B672" s="0" t="n">
        <v>500</v>
      </c>
      <c r="C672" s="0" t="n">
        <v>3900</v>
      </c>
      <c r="D672" s="0" t="n">
        <v>0.128205128205128</v>
      </c>
      <c r="E672" s="0" t="s">
        <v>1579</v>
      </c>
    </row>
    <row r="673" customFormat="false" ht="15" hidden="false" customHeight="false" outlineLevel="0" collapsed="false">
      <c r="A673" s="0" t="s">
        <v>64</v>
      </c>
      <c r="B673" s="0" t="n">
        <v>500</v>
      </c>
      <c r="C673" s="0" t="n">
        <v>3800</v>
      </c>
      <c r="D673" s="0" t="n">
        <v>0.131578947368421</v>
      </c>
      <c r="E673" s="0" t="s">
        <v>1594</v>
      </c>
    </row>
    <row r="674" customFormat="false" ht="15" hidden="false" customHeight="false" outlineLevel="0" collapsed="false">
      <c r="A674" s="0" t="s">
        <v>64</v>
      </c>
      <c r="B674" s="0" t="n">
        <v>200</v>
      </c>
      <c r="C674" s="0" t="n">
        <v>3900</v>
      </c>
      <c r="D674" s="0" t="n">
        <v>0.0512820512820513</v>
      </c>
      <c r="E674" s="0" t="s">
        <v>1613</v>
      </c>
    </row>
    <row r="675" customFormat="false" ht="15" hidden="false" customHeight="false" outlineLevel="0" collapsed="false">
      <c r="A675" s="0" t="s">
        <v>64</v>
      </c>
      <c r="B675" s="0" t="n">
        <v>500</v>
      </c>
      <c r="C675" s="0" t="n">
        <v>3800</v>
      </c>
      <c r="D675" s="0" t="n">
        <v>0.131578947368421</v>
      </c>
      <c r="E675" s="0" t="s">
        <v>1629</v>
      </c>
    </row>
    <row r="676" customFormat="false" ht="15" hidden="false" customHeight="false" outlineLevel="0" collapsed="false">
      <c r="A676" s="0" t="s">
        <v>64</v>
      </c>
      <c r="B676" s="0" t="n">
        <v>500</v>
      </c>
      <c r="C676" s="0" t="n">
        <v>3800</v>
      </c>
      <c r="D676" s="0" t="n">
        <v>0.131578947368421</v>
      </c>
      <c r="E676" s="0" t="s">
        <v>1644</v>
      </c>
    </row>
    <row r="677" customFormat="false" ht="15" hidden="false" customHeight="false" outlineLevel="0" collapsed="false">
      <c r="A677" s="0" t="s">
        <v>64</v>
      </c>
      <c r="B677" s="0" t="n">
        <v>750</v>
      </c>
      <c r="C677" s="0" t="n">
        <v>3800</v>
      </c>
      <c r="D677" s="0" t="n">
        <v>0.197368421052632</v>
      </c>
      <c r="E677" s="0" t="s">
        <v>1660</v>
      </c>
    </row>
    <row r="678" customFormat="false" ht="15" hidden="false" customHeight="false" outlineLevel="0" collapsed="false">
      <c r="A678" s="0" t="s">
        <v>64</v>
      </c>
      <c r="B678" s="0" t="n">
        <v>500</v>
      </c>
      <c r="C678" s="0" t="n">
        <v>3800</v>
      </c>
      <c r="D678" s="0" t="n">
        <v>0.131578947368421</v>
      </c>
      <c r="E678" s="0" t="s">
        <v>1685</v>
      </c>
    </row>
    <row r="679" customFormat="false" ht="15" hidden="false" customHeight="false" outlineLevel="0" collapsed="false">
      <c r="A679" s="0" t="s">
        <v>64</v>
      </c>
      <c r="B679" s="0" t="n">
        <v>500</v>
      </c>
      <c r="C679" s="0" t="n">
        <v>3800</v>
      </c>
      <c r="D679" s="0" t="n">
        <v>0.131578947368421</v>
      </c>
      <c r="E679" s="0" t="s">
        <v>1700</v>
      </c>
    </row>
    <row r="680" customFormat="false" ht="15" hidden="false" customHeight="false" outlineLevel="0" collapsed="false">
      <c r="A680" s="0" t="s">
        <v>64</v>
      </c>
      <c r="B680" s="0" t="n">
        <v>100</v>
      </c>
      <c r="C680" s="0" t="n">
        <v>4000</v>
      </c>
      <c r="D680" s="0" t="n">
        <v>0.025</v>
      </c>
      <c r="E680" s="0" t="s">
        <v>1718</v>
      </c>
    </row>
    <row r="681" customFormat="false" ht="15" hidden="false" customHeight="false" outlineLevel="0" collapsed="false">
      <c r="A681" s="0" t="s">
        <v>64</v>
      </c>
      <c r="B681" s="0" t="n">
        <v>500</v>
      </c>
      <c r="C681" s="0" t="n">
        <v>3800</v>
      </c>
      <c r="D681" s="0" t="n">
        <v>0.131578947368421</v>
      </c>
      <c r="E681" s="0" t="s">
        <v>1733</v>
      </c>
    </row>
    <row r="682" customFormat="false" ht="15" hidden="false" customHeight="false" outlineLevel="0" collapsed="false">
      <c r="A682" s="0" t="s">
        <v>64</v>
      </c>
      <c r="B682" s="0" t="n">
        <v>50</v>
      </c>
      <c r="C682" s="0" t="n">
        <v>3800</v>
      </c>
      <c r="D682" s="0" t="n">
        <v>0.0131578947368421</v>
      </c>
      <c r="E682" s="0" t="s">
        <v>1755</v>
      </c>
    </row>
    <row r="683" customFormat="false" ht="15" hidden="false" customHeight="false" outlineLevel="0" collapsed="false">
      <c r="A683" s="0" t="s">
        <v>64</v>
      </c>
      <c r="B683" s="0" t="n">
        <v>500</v>
      </c>
      <c r="C683" s="0" t="n">
        <v>3800</v>
      </c>
      <c r="D683" s="0" t="n">
        <v>0.131578947368421</v>
      </c>
      <c r="E683" s="0" t="s">
        <v>1796</v>
      </c>
    </row>
    <row r="684" customFormat="false" ht="15" hidden="false" customHeight="false" outlineLevel="0" collapsed="false">
      <c r="A684" s="0" t="s">
        <v>64</v>
      </c>
      <c r="B684" s="0" t="n">
        <v>500</v>
      </c>
      <c r="C684" s="0" t="n">
        <v>3800</v>
      </c>
      <c r="D684" s="0" t="n">
        <v>0.131578947368421</v>
      </c>
      <c r="E684" s="0" t="s">
        <v>1812</v>
      </c>
    </row>
    <row r="685" customFormat="false" ht="15" hidden="false" customHeight="false" outlineLevel="0" collapsed="false">
      <c r="A685" s="0" t="s">
        <v>64</v>
      </c>
      <c r="B685" s="0" t="n">
        <v>100</v>
      </c>
      <c r="C685" s="0" t="n">
        <v>3800</v>
      </c>
      <c r="D685" s="0" t="n">
        <v>0.0263157894736842</v>
      </c>
      <c r="E685" s="0" t="s">
        <v>1867</v>
      </c>
    </row>
    <row r="686" customFormat="false" ht="15" hidden="false" customHeight="false" outlineLevel="0" collapsed="false">
      <c r="A686" s="0" t="s">
        <v>64</v>
      </c>
      <c r="B686" s="0" t="n">
        <v>750</v>
      </c>
      <c r="C686" s="0" t="n">
        <v>3800</v>
      </c>
      <c r="D686" s="0" t="n">
        <v>0.197368421052632</v>
      </c>
      <c r="E686" s="0" t="s">
        <v>1884</v>
      </c>
    </row>
    <row r="687" customFormat="false" ht="15" hidden="false" customHeight="false" outlineLevel="0" collapsed="false">
      <c r="A687" s="0" t="s">
        <v>64</v>
      </c>
      <c r="B687" s="0" t="n">
        <v>100</v>
      </c>
      <c r="C687" s="0" t="n">
        <v>3800</v>
      </c>
      <c r="D687" s="0" t="n">
        <v>0.0263157894736842</v>
      </c>
      <c r="E687" s="0" t="s">
        <v>1899</v>
      </c>
    </row>
    <row r="688" customFormat="false" ht="15" hidden="false" customHeight="false" outlineLevel="0" collapsed="false">
      <c r="A688" s="0" t="s">
        <v>64</v>
      </c>
      <c r="B688" s="0" t="n">
        <v>750</v>
      </c>
      <c r="C688" s="0" t="n">
        <v>3800</v>
      </c>
      <c r="D688" s="0" t="n">
        <v>0.197368421052632</v>
      </c>
      <c r="E688" s="0" t="s">
        <v>1914</v>
      </c>
    </row>
    <row r="689" customFormat="false" ht="15" hidden="false" customHeight="false" outlineLevel="0" collapsed="false">
      <c r="A689" s="0" t="s">
        <v>64</v>
      </c>
      <c r="B689" s="0" t="n">
        <v>350</v>
      </c>
      <c r="C689" s="0" t="n">
        <v>4000</v>
      </c>
      <c r="D689" s="0" t="n">
        <v>0.0875</v>
      </c>
      <c r="E689" s="0" t="s">
        <v>1935</v>
      </c>
    </row>
    <row r="690" customFormat="false" ht="15" hidden="false" customHeight="false" outlineLevel="0" collapsed="false">
      <c r="A690" s="0" t="s">
        <v>64</v>
      </c>
      <c r="B690" s="0" t="n">
        <v>70</v>
      </c>
      <c r="C690" s="0" t="n">
        <v>4000</v>
      </c>
      <c r="D690" s="0" t="n">
        <v>0.0175</v>
      </c>
      <c r="E690" s="0" t="s">
        <v>1950</v>
      </c>
    </row>
    <row r="691" customFormat="false" ht="15" hidden="false" customHeight="false" outlineLevel="0" collapsed="false">
      <c r="A691" s="0" t="s">
        <v>64</v>
      </c>
      <c r="B691" s="0" t="n">
        <v>750</v>
      </c>
      <c r="C691" s="0" t="n">
        <v>4000</v>
      </c>
      <c r="D691" s="0" t="n">
        <v>0.1875</v>
      </c>
      <c r="E691" s="0" t="s">
        <v>1966</v>
      </c>
    </row>
    <row r="692" customFormat="false" ht="15" hidden="false" customHeight="false" outlineLevel="0" collapsed="false">
      <c r="A692" s="0" t="s">
        <v>64</v>
      </c>
      <c r="B692" s="0" t="n">
        <v>200</v>
      </c>
      <c r="C692" s="0" t="n">
        <v>4000</v>
      </c>
      <c r="D692" s="0" t="n">
        <v>0.05</v>
      </c>
      <c r="E692" s="0" t="s">
        <v>1981</v>
      </c>
    </row>
    <row r="693" customFormat="false" ht="15" hidden="false" customHeight="false" outlineLevel="0" collapsed="false">
      <c r="A693" s="0" t="s">
        <v>64</v>
      </c>
      <c r="B693" s="0" t="n">
        <v>50</v>
      </c>
      <c r="C693" s="0" t="n">
        <v>4000</v>
      </c>
      <c r="D693" s="0" t="n">
        <v>0.0125</v>
      </c>
      <c r="E693" s="0" t="s">
        <v>1998</v>
      </c>
    </row>
    <row r="694" customFormat="false" ht="15" hidden="false" customHeight="false" outlineLevel="0" collapsed="false">
      <c r="A694" s="0" t="s">
        <v>64</v>
      </c>
      <c r="B694" s="0" t="n">
        <v>750</v>
      </c>
      <c r="C694" s="0" t="n">
        <v>4000</v>
      </c>
      <c r="D694" s="0" t="n">
        <v>0.1875</v>
      </c>
      <c r="E694" s="0" t="s">
        <v>2014</v>
      </c>
    </row>
    <row r="695" customFormat="false" ht="15" hidden="false" customHeight="false" outlineLevel="0" collapsed="false">
      <c r="A695" s="0" t="s">
        <v>64</v>
      </c>
      <c r="B695" s="0" t="n">
        <v>200</v>
      </c>
      <c r="C695" s="0" t="n">
        <v>4000</v>
      </c>
      <c r="D695" s="0" t="n">
        <v>0.05</v>
      </c>
      <c r="E695" s="0" t="s">
        <v>2029</v>
      </c>
    </row>
    <row r="696" customFormat="false" ht="15" hidden="false" customHeight="false" outlineLevel="0" collapsed="false">
      <c r="A696" s="0" t="s">
        <v>64</v>
      </c>
      <c r="B696" s="0" t="n">
        <v>70</v>
      </c>
      <c r="C696" s="0" t="n">
        <v>3800</v>
      </c>
      <c r="D696" s="0" t="n">
        <v>0.018421052631579</v>
      </c>
      <c r="E696" s="0" t="s">
        <v>2045</v>
      </c>
    </row>
    <row r="697" customFormat="false" ht="15" hidden="false" customHeight="false" outlineLevel="0" collapsed="false">
      <c r="A697" s="0" t="s">
        <v>64</v>
      </c>
      <c r="B697" s="0" t="n">
        <v>50</v>
      </c>
      <c r="C697" s="0" t="n">
        <v>4000</v>
      </c>
      <c r="D697" s="0" t="n">
        <v>0.0125</v>
      </c>
      <c r="E697" s="0" t="s">
        <v>2061</v>
      </c>
    </row>
    <row r="698" customFormat="false" ht="15" hidden="false" customHeight="false" outlineLevel="0" collapsed="false">
      <c r="A698" s="0" t="s">
        <v>64</v>
      </c>
      <c r="B698" s="0" t="n">
        <v>750</v>
      </c>
      <c r="C698" s="0" t="n">
        <v>3800</v>
      </c>
      <c r="D698" s="0" t="n">
        <v>0.197368421052632</v>
      </c>
      <c r="E698" s="0" t="s">
        <v>2077</v>
      </c>
    </row>
    <row r="699" customFormat="false" ht="15" hidden="false" customHeight="false" outlineLevel="0" collapsed="false">
      <c r="A699" s="0" t="s">
        <v>64</v>
      </c>
      <c r="B699" s="0" t="n">
        <v>550</v>
      </c>
      <c r="C699" s="0" t="n">
        <v>4000</v>
      </c>
      <c r="D699" s="0" t="n">
        <v>0.1375</v>
      </c>
      <c r="E699" s="0" t="s">
        <v>2092</v>
      </c>
    </row>
    <row r="700" customFormat="false" ht="15" hidden="false" customHeight="false" outlineLevel="0" collapsed="false">
      <c r="A700" s="0" t="s">
        <v>64</v>
      </c>
      <c r="B700" s="0" t="n">
        <v>50</v>
      </c>
      <c r="C700" s="0" t="n">
        <v>4000</v>
      </c>
      <c r="D700" s="0" t="n">
        <v>0.0125</v>
      </c>
      <c r="E700" s="0" t="s">
        <v>2108</v>
      </c>
    </row>
    <row r="701" customFormat="false" ht="15" hidden="false" customHeight="false" outlineLevel="0" collapsed="false">
      <c r="A701" s="0" t="s">
        <v>64</v>
      </c>
      <c r="B701" s="0" t="n">
        <v>750</v>
      </c>
      <c r="C701" s="0" t="n">
        <v>4000</v>
      </c>
      <c r="D701" s="0" t="n">
        <v>0.1875</v>
      </c>
      <c r="E701" s="0" t="s">
        <v>2126</v>
      </c>
    </row>
    <row r="702" customFormat="false" ht="15" hidden="false" customHeight="false" outlineLevel="0" collapsed="false">
      <c r="A702" s="0" t="s">
        <v>64</v>
      </c>
      <c r="B702" s="0" t="n">
        <v>750</v>
      </c>
      <c r="C702" s="0" t="n">
        <v>3800</v>
      </c>
      <c r="D702" s="0" t="n">
        <v>0.197368421052632</v>
      </c>
      <c r="E702" s="0" t="s">
        <v>2143</v>
      </c>
    </row>
    <row r="703" customFormat="false" ht="15" hidden="false" customHeight="false" outlineLevel="0" collapsed="false">
      <c r="A703" s="0" t="s">
        <v>64</v>
      </c>
      <c r="B703" s="0" t="n">
        <v>750</v>
      </c>
      <c r="C703" s="0" t="n">
        <v>3800</v>
      </c>
      <c r="D703" s="0" t="n">
        <v>0.197368421052632</v>
      </c>
      <c r="E703" s="0" t="s">
        <v>2158</v>
      </c>
    </row>
    <row r="704" customFormat="false" ht="15" hidden="false" customHeight="false" outlineLevel="0" collapsed="false">
      <c r="A704" s="0" t="s">
        <v>64</v>
      </c>
      <c r="B704" s="0" t="n">
        <v>750</v>
      </c>
      <c r="C704" s="0" t="n">
        <v>3800</v>
      </c>
      <c r="D704" s="0" t="n">
        <v>0.197368421052632</v>
      </c>
      <c r="E704" s="0" t="s">
        <v>2174</v>
      </c>
    </row>
    <row r="705" customFormat="false" ht="15" hidden="false" customHeight="false" outlineLevel="0" collapsed="false">
      <c r="A705" s="0" t="s">
        <v>64</v>
      </c>
      <c r="B705" s="0" t="n">
        <v>750</v>
      </c>
      <c r="C705" s="0" t="n">
        <v>3800</v>
      </c>
      <c r="D705" s="0" t="n">
        <v>0.197368421052632</v>
      </c>
      <c r="E705" s="0" t="s">
        <v>2189</v>
      </c>
    </row>
    <row r="706" customFormat="false" ht="15" hidden="false" customHeight="false" outlineLevel="0" collapsed="false">
      <c r="A706" s="0" t="s">
        <v>64</v>
      </c>
      <c r="B706" s="0" t="n">
        <v>750</v>
      </c>
      <c r="C706" s="0" t="n">
        <v>3800</v>
      </c>
      <c r="D706" s="0" t="n">
        <v>0.197368421052632</v>
      </c>
      <c r="E706" s="0" t="s">
        <v>2204</v>
      </c>
    </row>
    <row r="707" customFormat="false" ht="15" hidden="false" customHeight="false" outlineLevel="0" collapsed="false">
      <c r="A707" s="0" t="s">
        <v>64</v>
      </c>
      <c r="B707" s="0" t="n">
        <v>750</v>
      </c>
      <c r="C707" s="0" t="n">
        <v>3800</v>
      </c>
      <c r="D707" s="0" t="n">
        <v>0.197368421052632</v>
      </c>
      <c r="E707" s="0" t="s">
        <v>2218</v>
      </c>
    </row>
    <row r="708" customFormat="false" ht="15" hidden="false" customHeight="false" outlineLevel="0" collapsed="false">
      <c r="A708" s="0" t="s">
        <v>64</v>
      </c>
      <c r="B708" s="0" t="n">
        <v>400</v>
      </c>
      <c r="C708" s="0" t="n">
        <v>3800</v>
      </c>
      <c r="D708" s="0" t="n">
        <v>0.105263157894737</v>
      </c>
      <c r="E708" s="0" t="s">
        <v>2235</v>
      </c>
    </row>
    <row r="709" customFormat="false" ht="15" hidden="false" customHeight="false" outlineLevel="0" collapsed="false">
      <c r="A709" s="0" t="s">
        <v>64</v>
      </c>
      <c r="B709" s="0" t="n">
        <v>400</v>
      </c>
      <c r="C709" s="0" t="n">
        <v>3800</v>
      </c>
      <c r="D709" s="0" t="n">
        <v>0.105263157894737</v>
      </c>
      <c r="E709" s="0" t="s">
        <v>2249</v>
      </c>
    </row>
    <row r="710" customFormat="false" ht="15" hidden="false" customHeight="false" outlineLevel="0" collapsed="false">
      <c r="A710" s="0" t="s">
        <v>64</v>
      </c>
      <c r="B710" s="0" t="n">
        <v>400</v>
      </c>
      <c r="C710" s="0" t="n">
        <v>3800</v>
      </c>
      <c r="D710" s="0" t="n">
        <v>0.105263157894737</v>
      </c>
      <c r="E710" s="0" t="s">
        <v>2264</v>
      </c>
    </row>
    <row r="711" customFormat="false" ht="15" hidden="false" customHeight="false" outlineLevel="0" collapsed="false">
      <c r="A711" s="0" t="s">
        <v>64</v>
      </c>
      <c r="B711" s="0" t="n">
        <v>500</v>
      </c>
      <c r="C711" s="0" t="n">
        <v>3800</v>
      </c>
      <c r="D711" s="0" t="n">
        <v>0.131578947368421</v>
      </c>
      <c r="E711" s="0" t="s">
        <v>2278</v>
      </c>
    </row>
    <row r="712" customFormat="false" ht="15" hidden="false" customHeight="false" outlineLevel="0" collapsed="false">
      <c r="A712" s="0" t="s">
        <v>64</v>
      </c>
      <c r="B712" s="0" t="n">
        <v>400</v>
      </c>
      <c r="C712" s="0" t="n">
        <v>3800</v>
      </c>
      <c r="D712" s="0" t="n">
        <v>0.105263157894737</v>
      </c>
      <c r="E712" s="0" t="s">
        <v>2292</v>
      </c>
    </row>
    <row r="713" customFormat="false" ht="15" hidden="false" customHeight="false" outlineLevel="0" collapsed="false">
      <c r="A713" s="0" t="s">
        <v>64</v>
      </c>
      <c r="B713" s="0" t="n">
        <v>400</v>
      </c>
      <c r="C713" s="0" t="n">
        <v>3800</v>
      </c>
      <c r="D713" s="0" t="n">
        <v>0.105263157894737</v>
      </c>
      <c r="E713" s="0" t="s">
        <v>2306</v>
      </c>
    </row>
    <row r="714" customFormat="false" ht="15" hidden="false" customHeight="false" outlineLevel="0" collapsed="false">
      <c r="A714" s="0" t="s">
        <v>64</v>
      </c>
      <c r="B714" s="0" t="n">
        <v>400</v>
      </c>
      <c r="C714" s="0" t="n">
        <v>3800</v>
      </c>
      <c r="D714" s="0" t="n">
        <v>0.105263157894737</v>
      </c>
      <c r="E714" s="0" t="s">
        <v>2320</v>
      </c>
    </row>
    <row r="715" customFormat="false" ht="15" hidden="false" customHeight="false" outlineLevel="0" collapsed="false">
      <c r="A715" s="0" t="s">
        <v>64</v>
      </c>
      <c r="B715" s="0" t="n">
        <v>760</v>
      </c>
      <c r="C715" s="0" t="n">
        <v>3800</v>
      </c>
      <c r="D715" s="0" t="n">
        <v>0.2</v>
      </c>
      <c r="E715" s="0" t="s">
        <v>2338</v>
      </c>
    </row>
    <row r="716" customFormat="false" ht="15" hidden="false" customHeight="false" outlineLevel="0" collapsed="false">
      <c r="A716" s="0" t="s">
        <v>64</v>
      </c>
      <c r="B716" s="0" t="n">
        <v>760</v>
      </c>
      <c r="C716" s="0" t="n">
        <v>3800</v>
      </c>
      <c r="D716" s="0" t="n">
        <v>0.2</v>
      </c>
      <c r="E716" s="0" t="s">
        <v>2355</v>
      </c>
    </row>
    <row r="717" customFormat="false" ht="15" hidden="false" customHeight="false" outlineLevel="0" collapsed="false">
      <c r="A717" s="0" t="s">
        <v>64</v>
      </c>
      <c r="B717" s="0" t="n">
        <v>360</v>
      </c>
      <c r="C717" s="0" t="n">
        <v>3800</v>
      </c>
      <c r="D717" s="0" t="n">
        <v>0.0947368421052632</v>
      </c>
      <c r="E717" s="0" t="s">
        <v>2372</v>
      </c>
    </row>
    <row r="718" customFormat="false" ht="15" hidden="false" customHeight="false" outlineLevel="0" collapsed="false">
      <c r="A718" s="0" t="s">
        <v>64</v>
      </c>
      <c r="B718" s="0" t="n">
        <v>500</v>
      </c>
      <c r="C718" s="0" t="n">
        <v>3800</v>
      </c>
      <c r="D718" s="0" t="n">
        <v>0.131578947368421</v>
      </c>
      <c r="E718" s="0" t="s">
        <v>2389</v>
      </c>
    </row>
    <row r="719" customFormat="false" ht="15" hidden="false" customHeight="false" outlineLevel="0" collapsed="false">
      <c r="A719" s="0" t="s">
        <v>64</v>
      </c>
      <c r="B719" s="0" t="n">
        <v>760</v>
      </c>
      <c r="C719" s="0" t="n">
        <v>3800</v>
      </c>
      <c r="D719" s="0" t="n">
        <v>0.2</v>
      </c>
      <c r="E719" s="0" t="s">
        <v>2406</v>
      </c>
    </row>
    <row r="720" customFormat="false" ht="15" hidden="false" customHeight="false" outlineLevel="0" collapsed="false">
      <c r="A720" s="0" t="s">
        <v>64</v>
      </c>
      <c r="B720" s="0" t="n">
        <v>760</v>
      </c>
      <c r="C720" s="0" t="n">
        <v>3800</v>
      </c>
      <c r="D720" s="0" t="n">
        <v>0.2</v>
      </c>
      <c r="E720" s="0" t="s">
        <v>2421</v>
      </c>
    </row>
    <row r="721" customFormat="false" ht="15" hidden="false" customHeight="false" outlineLevel="0" collapsed="false">
      <c r="A721" s="0" t="s">
        <v>64</v>
      </c>
      <c r="B721" s="0" t="n">
        <v>360</v>
      </c>
      <c r="C721" s="0" t="n">
        <v>3800</v>
      </c>
      <c r="D721" s="0" t="n">
        <v>0.0947368421052632</v>
      </c>
      <c r="E721" s="0" t="s">
        <v>2435</v>
      </c>
    </row>
    <row r="722" customFormat="false" ht="15" hidden="false" customHeight="false" outlineLevel="0" collapsed="false">
      <c r="A722" s="0" t="s">
        <v>64</v>
      </c>
      <c r="B722" s="0" t="n">
        <v>760</v>
      </c>
      <c r="C722" s="0" t="n">
        <v>3800</v>
      </c>
      <c r="D722" s="0" t="n">
        <v>0.2</v>
      </c>
      <c r="E722" s="0" t="s">
        <v>2450</v>
      </c>
    </row>
    <row r="723" customFormat="false" ht="15" hidden="false" customHeight="false" outlineLevel="0" collapsed="false">
      <c r="A723" s="0" t="s">
        <v>64</v>
      </c>
      <c r="B723" s="0" t="n">
        <v>750</v>
      </c>
      <c r="C723" s="0" t="n">
        <v>3800</v>
      </c>
      <c r="D723" s="0" t="n">
        <v>0.197368421052632</v>
      </c>
      <c r="E723" s="0" t="s">
        <v>2507</v>
      </c>
    </row>
    <row r="724" customFormat="false" ht="15" hidden="false" customHeight="false" outlineLevel="0" collapsed="false">
      <c r="A724" s="0" t="s">
        <v>64</v>
      </c>
      <c r="B724" s="0" t="n">
        <v>750</v>
      </c>
      <c r="C724" s="0" t="n">
        <v>3800</v>
      </c>
      <c r="D724" s="0" t="n">
        <v>0.197368421052632</v>
      </c>
      <c r="E724" s="0" t="s">
        <v>2520</v>
      </c>
    </row>
    <row r="725" customFormat="false" ht="15" hidden="false" customHeight="false" outlineLevel="0" collapsed="false">
      <c r="A725" s="0" t="s">
        <v>64</v>
      </c>
      <c r="B725" s="0" t="n">
        <v>750</v>
      </c>
      <c r="C725" s="0" t="n">
        <v>3800</v>
      </c>
      <c r="D725" s="0" t="n">
        <v>0.197368421052632</v>
      </c>
      <c r="E725" s="0" t="s">
        <v>2546</v>
      </c>
    </row>
    <row r="726" customFormat="false" ht="15" hidden="false" customHeight="false" outlineLevel="0" collapsed="false">
      <c r="A726" s="0" t="s">
        <v>64</v>
      </c>
      <c r="B726" s="0" t="n">
        <v>50</v>
      </c>
      <c r="C726" s="0" t="n">
        <v>3800</v>
      </c>
      <c r="D726" s="0" t="n">
        <v>0.0131578947368421</v>
      </c>
      <c r="E726" s="0" t="s">
        <v>2570</v>
      </c>
    </row>
    <row r="727" customFormat="false" ht="15" hidden="false" customHeight="false" outlineLevel="0" collapsed="false">
      <c r="A727" s="0" t="s">
        <v>64</v>
      </c>
      <c r="B727" s="0" t="n">
        <v>60</v>
      </c>
      <c r="C727" s="0" t="n">
        <v>3800</v>
      </c>
      <c r="D727" s="0" t="n">
        <v>0.0157894736842105</v>
      </c>
      <c r="E727" s="0" t="s">
        <v>2583</v>
      </c>
    </row>
    <row r="728" customFormat="false" ht="15" hidden="false" customHeight="false" outlineLevel="0" collapsed="false">
      <c r="A728" s="0" t="s">
        <v>64</v>
      </c>
      <c r="B728" s="0" t="n">
        <v>500</v>
      </c>
      <c r="C728" s="0" t="n">
        <v>3800</v>
      </c>
      <c r="D728" s="0" t="n">
        <v>0.131578947368421</v>
      </c>
      <c r="E728" s="0" t="s">
        <v>2658</v>
      </c>
    </row>
    <row r="729" customFormat="false" ht="15" hidden="false" customHeight="false" outlineLevel="0" collapsed="false">
      <c r="A729" s="0" t="s">
        <v>64</v>
      </c>
      <c r="B729" s="0" t="n">
        <v>300</v>
      </c>
      <c r="C729" s="0" t="n">
        <v>3800</v>
      </c>
      <c r="D729" s="0" t="n">
        <v>0.0789473684210526</v>
      </c>
      <c r="E729" s="0" t="s">
        <v>2676</v>
      </c>
    </row>
    <row r="730" customFormat="false" ht="15" hidden="false" customHeight="false" outlineLevel="0" collapsed="false">
      <c r="A730" s="0" t="s">
        <v>64</v>
      </c>
      <c r="B730" s="0" t="n">
        <v>300</v>
      </c>
      <c r="C730" s="0" t="n">
        <v>4000</v>
      </c>
      <c r="D730" s="0" t="n">
        <v>0.075</v>
      </c>
      <c r="E730" s="0" t="s">
        <v>2696</v>
      </c>
    </row>
    <row r="731" customFormat="false" ht="15" hidden="false" customHeight="false" outlineLevel="0" collapsed="false">
      <c r="A731" s="0" t="s">
        <v>64</v>
      </c>
      <c r="B731" s="0" t="n">
        <v>300</v>
      </c>
      <c r="C731" s="0" t="n">
        <v>4500</v>
      </c>
      <c r="D731" s="0" t="n">
        <v>0.0666666666666667</v>
      </c>
      <c r="E731" s="0" t="s">
        <v>2714</v>
      </c>
    </row>
    <row r="732" customFormat="false" ht="15" hidden="false" customHeight="false" outlineLevel="0" collapsed="false">
      <c r="A732" s="0" t="s">
        <v>64</v>
      </c>
      <c r="B732" s="0" t="n">
        <v>300</v>
      </c>
      <c r="C732" s="0" t="n">
        <v>3800</v>
      </c>
      <c r="D732" s="0" t="n">
        <v>0.0789473684210526</v>
      </c>
      <c r="E732" s="0" t="s">
        <v>2759</v>
      </c>
    </row>
    <row r="733" customFormat="false" ht="15" hidden="false" customHeight="false" outlineLevel="0" collapsed="false">
      <c r="A733" s="0" t="s">
        <v>64</v>
      </c>
      <c r="B733" s="0" t="n">
        <v>50</v>
      </c>
      <c r="C733" s="0" t="n">
        <v>4000</v>
      </c>
      <c r="D733" s="0" t="n">
        <v>0.0125</v>
      </c>
      <c r="E733" s="0" t="s">
        <v>2772</v>
      </c>
    </row>
    <row r="734" customFormat="false" ht="15" hidden="false" customHeight="false" outlineLevel="0" collapsed="false">
      <c r="A734" s="0" t="s">
        <v>64</v>
      </c>
      <c r="B734" s="0" t="n">
        <v>50</v>
      </c>
      <c r="C734" s="0" t="n">
        <v>4000</v>
      </c>
      <c r="D734" s="0" t="n">
        <v>0.0125</v>
      </c>
      <c r="E734" s="0" t="s">
        <v>2787</v>
      </c>
    </row>
    <row r="735" customFormat="false" ht="15" hidden="false" customHeight="false" outlineLevel="0" collapsed="false">
      <c r="A735" s="0" t="s">
        <v>64</v>
      </c>
      <c r="B735" s="0" t="n">
        <v>300</v>
      </c>
      <c r="C735" s="0" t="n">
        <v>3800</v>
      </c>
      <c r="D735" s="0" t="n">
        <v>0.0789473684210526</v>
      </c>
      <c r="E735" s="0" t="s">
        <v>2795</v>
      </c>
    </row>
    <row r="736" customFormat="false" ht="15" hidden="false" customHeight="false" outlineLevel="0" collapsed="false">
      <c r="A736" s="0" t="s">
        <v>64</v>
      </c>
      <c r="B736" s="0" t="n">
        <v>750</v>
      </c>
      <c r="C736" s="0" t="n">
        <v>4000</v>
      </c>
      <c r="D736" s="0" t="n">
        <v>0.1875</v>
      </c>
      <c r="E736" s="0" t="s">
        <v>2830</v>
      </c>
    </row>
    <row r="737" customFormat="false" ht="15" hidden="false" customHeight="false" outlineLevel="0" collapsed="false">
      <c r="A737" s="0" t="s">
        <v>64</v>
      </c>
      <c r="B737" s="0" t="n">
        <v>750</v>
      </c>
      <c r="C737" s="0" t="n">
        <v>4000</v>
      </c>
      <c r="D737" s="0" t="n">
        <v>0.1875</v>
      </c>
      <c r="E737" s="0" t="s">
        <v>2839</v>
      </c>
    </row>
    <row r="738" customFormat="false" ht="15" hidden="false" customHeight="false" outlineLevel="0" collapsed="false">
      <c r="A738" s="0" t="s">
        <v>64</v>
      </c>
      <c r="B738" s="0" t="n">
        <v>750</v>
      </c>
      <c r="C738" s="0" t="n">
        <v>4000</v>
      </c>
      <c r="D738" s="0" t="n">
        <v>0.1875</v>
      </c>
      <c r="E738" s="0" t="s">
        <v>2848</v>
      </c>
    </row>
    <row r="739" customFormat="false" ht="15" hidden="false" customHeight="false" outlineLevel="0" collapsed="false">
      <c r="A739" s="0" t="s">
        <v>64</v>
      </c>
      <c r="B739" s="0" t="n">
        <v>750</v>
      </c>
      <c r="C739" s="0" t="n">
        <v>4000</v>
      </c>
      <c r="D739" s="0" t="n">
        <v>0.1875</v>
      </c>
      <c r="E739" s="0" t="s">
        <v>2857</v>
      </c>
    </row>
    <row r="740" customFormat="false" ht="15" hidden="false" customHeight="false" outlineLevel="0" collapsed="false">
      <c r="A740" s="0" t="s">
        <v>64</v>
      </c>
      <c r="B740" s="0" t="n">
        <v>750</v>
      </c>
      <c r="C740" s="0" t="n">
        <v>4000</v>
      </c>
      <c r="D740" s="0" t="n">
        <v>0.1875</v>
      </c>
      <c r="E740" s="0" t="s">
        <v>2864</v>
      </c>
    </row>
    <row r="741" customFormat="false" ht="15" hidden="false" customHeight="false" outlineLevel="0" collapsed="false">
      <c r="A741" s="0" t="s">
        <v>64</v>
      </c>
      <c r="B741" s="0" t="n">
        <v>750</v>
      </c>
      <c r="C741" s="0" t="n">
        <v>4000</v>
      </c>
      <c r="D741" s="0" t="n">
        <v>0.1875</v>
      </c>
      <c r="E741" s="0" t="s">
        <v>2873</v>
      </c>
    </row>
    <row r="742" customFormat="false" ht="15" hidden="false" customHeight="false" outlineLevel="0" collapsed="false">
      <c r="A742" s="0" t="s">
        <v>64</v>
      </c>
      <c r="B742" s="0" t="n">
        <v>750</v>
      </c>
      <c r="C742" s="0" t="n">
        <v>4000</v>
      </c>
      <c r="D742" s="0" t="n">
        <v>0.1875</v>
      </c>
      <c r="E742" s="0" t="s">
        <v>2892</v>
      </c>
    </row>
    <row r="743" customFormat="false" ht="15" hidden="false" customHeight="false" outlineLevel="0" collapsed="false">
      <c r="A743" s="0" t="s">
        <v>64</v>
      </c>
      <c r="B743" s="0" t="n">
        <v>750</v>
      </c>
      <c r="C743" s="0" t="n">
        <v>4000</v>
      </c>
      <c r="D743" s="0" t="n">
        <v>0.1875</v>
      </c>
      <c r="E743" s="0" t="s">
        <v>2906</v>
      </c>
    </row>
    <row r="744" customFormat="false" ht="15" hidden="false" customHeight="false" outlineLevel="0" collapsed="false">
      <c r="A744" s="0" t="s">
        <v>64</v>
      </c>
      <c r="B744" s="0" t="n">
        <v>750</v>
      </c>
      <c r="C744" s="0" t="n">
        <v>4000</v>
      </c>
      <c r="D744" s="0" t="n">
        <v>0.1875</v>
      </c>
      <c r="E744" s="0" t="s">
        <v>2922</v>
      </c>
    </row>
    <row r="745" customFormat="false" ht="15" hidden="false" customHeight="false" outlineLevel="0" collapsed="false">
      <c r="A745" s="0" t="s">
        <v>64</v>
      </c>
      <c r="B745" s="0" t="n">
        <v>750</v>
      </c>
      <c r="C745" s="0" t="n">
        <v>4000</v>
      </c>
      <c r="D745" s="0" t="n">
        <v>0.1875</v>
      </c>
      <c r="E745" s="0" t="s">
        <v>2941</v>
      </c>
    </row>
    <row r="746" customFormat="false" ht="15" hidden="false" customHeight="false" outlineLevel="0" collapsed="false">
      <c r="A746" s="0" t="s">
        <v>64</v>
      </c>
      <c r="B746" s="0" t="n">
        <v>750</v>
      </c>
      <c r="C746" s="0" t="n">
        <v>4000</v>
      </c>
      <c r="D746" s="0" t="n">
        <v>0.1875</v>
      </c>
      <c r="E746" s="0" t="s">
        <v>2958</v>
      </c>
    </row>
    <row r="747" customFormat="false" ht="15" hidden="false" customHeight="false" outlineLevel="0" collapsed="false">
      <c r="A747" s="0" t="s">
        <v>64</v>
      </c>
      <c r="B747" s="0" t="n">
        <v>750</v>
      </c>
      <c r="C747" s="0" t="n">
        <v>4000</v>
      </c>
      <c r="D747" s="0" t="n">
        <v>0.1875</v>
      </c>
      <c r="E747" s="0" t="s">
        <v>2971</v>
      </c>
    </row>
    <row r="748" customFormat="false" ht="15" hidden="false" customHeight="false" outlineLevel="0" collapsed="false">
      <c r="A748" s="0" t="s">
        <v>64</v>
      </c>
      <c r="B748" s="0" t="n">
        <v>750</v>
      </c>
      <c r="C748" s="0" t="n">
        <v>4000</v>
      </c>
      <c r="D748" s="0" t="n">
        <v>0.1875</v>
      </c>
      <c r="E748" s="0" t="s">
        <v>2982</v>
      </c>
    </row>
    <row r="749" customFormat="false" ht="15" hidden="false" customHeight="false" outlineLevel="0" collapsed="false">
      <c r="A749" s="0" t="s">
        <v>64</v>
      </c>
      <c r="B749" s="0" t="n">
        <v>750</v>
      </c>
      <c r="C749" s="0" t="n">
        <v>4000</v>
      </c>
      <c r="D749" s="0" t="n">
        <v>0.1875</v>
      </c>
      <c r="E749" s="0" t="s">
        <v>2994</v>
      </c>
    </row>
    <row r="750" customFormat="false" ht="15" hidden="false" customHeight="false" outlineLevel="0" collapsed="false">
      <c r="A750" s="0" t="s">
        <v>64</v>
      </c>
      <c r="B750" s="0" t="n">
        <v>750</v>
      </c>
      <c r="C750" s="0" t="n">
        <v>4000</v>
      </c>
      <c r="D750" s="0" t="n">
        <v>0.1875</v>
      </c>
      <c r="E750" s="0" t="s">
        <v>3005</v>
      </c>
    </row>
    <row r="751" customFormat="false" ht="15" hidden="false" customHeight="false" outlineLevel="0" collapsed="false">
      <c r="A751" s="0" t="s">
        <v>64</v>
      </c>
      <c r="B751" s="0" t="n">
        <v>750</v>
      </c>
      <c r="C751" s="0" t="n">
        <v>4000</v>
      </c>
      <c r="D751" s="0" t="n">
        <v>0.1875</v>
      </c>
      <c r="E751" s="0" t="s">
        <v>3017</v>
      </c>
    </row>
    <row r="752" customFormat="false" ht="15" hidden="false" customHeight="false" outlineLevel="0" collapsed="false">
      <c r="A752" s="0" t="s">
        <v>64</v>
      </c>
      <c r="B752" s="0" t="n">
        <v>750</v>
      </c>
      <c r="C752" s="0" t="n">
        <v>4000</v>
      </c>
      <c r="D752" s="0" t="n">
        <v>0.1875</v>
      </c>
      <c r="E752" s="0" t="s">
        <v>3029</v>
      </c>
    </row>
    <row r="753" customFormat="false" ht="15" hidden="false" customHeight="false" outlineLevel="0" collapsed="false">
      <c r="A753" s="0" t="s">
        <v>64</v>
      </c>
      <c r="B753" s="0" t="n">
        <v>750</v>
      </c>
      <c r="C753" s="0" t="n">
        <v>4000</v>
      </c>
      <c r="D753" s="0" t="n">
        <v>0.1875</v>
      </c>
      <c r="E753" s="0" t="s">
        <v>3040</v>
      </c>
    </row>
    <row r="754" customFormat="false" ht="15" hidden="false" customHeight="false" outlineLevel="0" collapsed="false">
      <c r="A754" s="0" t="s">
        <v>64</v>
      </c>
      <c r="B754" s="0" t="n">
        <v>750</v>
      </c>
      <c r="C754" s="0" t="n">
        <v>4000</v>
      </c>
      <c r="D754" s="0" t="n">
        <v>0.1875</v>
      </c>
      <c r="E754" s="0" t="s">
        <v>3051</v>
      </c>
    </row>
    <row r="755" customFormat="false" ht="15" hidden="false" customHeight="false" outlineLevel="0" collapsed="false">
      <c r="A755" s="0" t="s">
        <v>64</v>
      </c>
      <c r="B755" s="0" t="n">
        <v>750</v>
      </c>
      <c r="C755" s="0" t="n">
        <v>4000</v>
      </c>
      <c r="D755" s="0" t="n">
        <v>0.1875</v>
      </c>
      <c r="E755" s="0" t="s">
        <v>3063</v>
      </c>
    </row>
    <row r="756" customFormat="false" ht="15" hidden="false" customHeight="false" outlineLevel="0" collapsed="false">
      <c r="A756" s="0" t="s">
        <v>64</v>
      </c>
      <c r="B756" s="0" t="n">
        <v>750</v>
      </c>
      <c r="C756" s="0" t="n">
        <v>4000</v>
      </c>
      <c r="D756" s="0" t="n">
        <v>0.1875</v>
      </c>
      <c r="E756" s="0" t="s">
        <v>3074</v>
      </c>
    </row>
    <row r="757" customFormat="false" ht="15" hidden="false" customHeight="false" outlineLevel="0" collapsed="false">
      <c r="A757" s="0" t="s">
        <v>64</v>
      </c>
      <c r="B757" s="0" t="n">
        <v>750</v>
      </c>
      <c r="C757" s="0" t="n">
        <v>4000</v>
      </c>
      <c r="D757" s="0" t="n">
        <v>0.1875</v>
      </c>
      <c r="E757" s="0" t="s">
        <v>3086</v>
      </c>
    </row>
    <row r="758" customFormat="false" ht="15" hidden="false" customHeight="false" outlineLevel="0" collapsed="false">
      <c r="A758" s="0" t="s">
        <v>64</v>
      </c>
      <c r="B758" s="0" t="n">
        <v>750</v>
      </c>
      <c r="C758" s="0" t="n">
        <v>4000</v>
      </c>
      <c r="D758" s="0" t="n">
        <v>0.1875</v>
      </c>
      <c r="E758" s="0" t="s">
        <v>3097</v>
      </c>
    </row>
    <row r="759" customFormat="false" ht="15" hidden="false" customHeight="false" outlineLevel="0" collapsed="false">
      <c r="A759" s="0" t="s">
        <v>64</v>
      </c>
      <c r="B759" s="0" t="n">
        <v>750</v>
      </c>
      <c r="C759" s="0" t="n">
        <v>4000</v>
      </c>
      <c r="D759" s="0" t="n">
        <v>0.1875</v>
      </c>
      <c r="E759" s="0" t="s">
        <v>3108</v>
      </c>
    </row>
    <row r="760" customFormat="false" ht="15" hidden="false" customHeight="false" outlineLevel="0" collapsed="false">
      <c r="A760" s="0" t="s">
        <v>64</v>
      </c>
      <c r="B760" s="0" t="n">
        <v>750</v>
      </c>
      <c r="C760" s="0" t="n">
        <v>4000</v>
      </c>
      <c r="D760" s="0" t="n">
        <v>0.1875</v>
      </c>
      <c r="E760" s="0" t="s">
        <v>3120</v>
      </c>
    </row>
    <row r="761" customFormat="false" ht="15" hidden="false" customHeight="false" outlineLevel="0" collapsed="false">
      <c r="A761" s="0" t="s">
        <v>64</v>
      </c>
      <c r="B761" s="0" t="n">
        <v>750</v>
      </c>
      <c r="C761" s="0" t="n">
        <v>4000</v>
      </c>
      <c r="D761" s="0" t="n">
        <v>0.1875</v>
      </c>
      <c r="E761" s="0" t="s">
        <v>3132</v>
      </c>
    </row>
    <row r="762" customFormat="false" ht="15" hidden="false" customHeight="false" outlineLevel="0" collapsed="false">
      <c r="A762" s="0" t="s">
        <v>64</v>
      </c>
      <c r="B762" s="0" t="n">
        <v>750</v>
      </c>
      <c r="C762" s="0" t="n">
        <v>4000</v>
      </c>
      <c r="D762" s="0" t="n">
        <v>0.1875</v>
      </c>
      <c r="E762" s="0" t="s">
        <v>3143</v>
      </c>
    </row>
    <row r="763" customFormat="false" ht="15" hidden="false" customHeight="false" outlineLevel="0" collapsed="false">
      <c r="A763" s="0" t="s">
        <v>64</v>
      </c>
      <c r="B763" s="0" t="n">
        <v>750</v>
      </c>
      <c r="C763" s="0" t="n">
        <v>4000</v>
      </c>
      <c r="D763" s="0" t="n">
        <v>0.1875</v>
      </c>
      <c r="E763" s="0" t="s">
        <v>3154</v>
      </c>
    </row>
    <row r="764" customFormat="false" ht="15" hidden="false" customHeight="false" outlineLevel="0" collapsed="false">
      <c r="A764" s="0" t="s">
        <v>64</v>
      </c>
      <c r="B764" s="0" t="n">
        <v>750</v>
      </c>
      <c r="C764" s="0" t="n">
        <v>4000</v>
      </c>
      <c r="D764" s="0" t="n">
        <v>0.1875</v>
      </c>
      <c r="E764" s="0" t="s">
        <v>3165</v>
      </c>
    </row>
    <row r="765" customFormat="false" ht="15" hidden="false" customHeight="false" outlineLevel="0" collapsed="false">
      <c r="A765" s="0" t="s">
        <v>64</v>
      </c>
      <c r="B765" s="0" t="n">
        <v>750</v>
      </c>
      <c r="C765" s="0" t="n">
        <v>4000</v>
      </c>
      <c r="D765" s="0" t="n">
        <v>0.1875</v>
      </c>
      <c r="E765" s="0" t="s">
        <v>3176</v>
      </c>
    </row>
    <row r="766" customFormat="false" ht="15" hidden="false" customHeight="false" outlineLevel="0" collapsed="false">
      <c r="A766" s="0" t="s">
        <v>64</v>
      </c>
      <c r="B766" s="0" t="n">
        <v>750</v>
      </c>
      <c r="C766" s="0" t="n">
        <v>4000</v>
      </c>
      <c r="D766" s="0" t="n">
        <v>0.1875</v>
      </c>
      <c r="E766" s="0" t="s">
        <v>3188</v>
      </c>
    </row>
    <row r="767" customFormat="false" ht="15" hidden="false" customHeight="false" outlineLevel="0" collapsed="false">
      <c r="A767" s="0" t="s">
        <v>64</v>
      </c>
      <c r="B767" s="0" t="n">
        <v>500</v>
      </c>
      <c r="C767" s="0" t="n">
        <v>4000</v>
      </c>
      <c r="D767" s="0" t="n">
        <v>0.125</v>
      </c>
      <c r="E767" s="0" t="s">
        <v>3201</v>
      </c>
    </row>
    <row r="768" customFormat="false" ht="15" hidden="false" customHeight="false" outlineLevel="0" collapsed="false">
      <c r="A768" s="0" t="s">
        <v>64</v>
      </c>
      <c r="B768" s="0" t="n">
        <v>750</v>
      </c>
      <c r="C768" s="0" t="n">
        <v>4000</v>
      </c>
      <c r="D768" s="0" t="n">
        <v>0.1875</v>
      </c>
      <c r="E768" s="0" t="s">
        <v>3212</v>
      </c>
    </row>
    <row r="769" customFormat="false" ht="15" hidden="false" customHeight="false" outlineLevel="0" collapsed="false">
      <c r="A769" s="0" t="s">
        <v>64</v>
      </c>
      <c r="B769" s="0" t="n">
        <v>500</v>
      </c>
      <c r="C769" s="0" t="n">
        <v>4000</v>
      </c>
      <c r="D769" s="0" t="n">
        <v>0.125</v>
      </c>
      <c r="E769" s="0" t="s">
        <v>3224</v>
      </c>
    </row>
    <row r="770" customFormat="false" ht="15" hidden="false" customHeight="false" outlineLevel="0" collapsed="false">
      <c r="A770" s="0" t="s">
        <v>64</v>
      </c>
      <c r="B770" s="0" t="n">
        <v>750</v>
      </c>
      <c r="C770" s="0" t="n">
        <v>4000</v>
      </c>
      <c r="D770" s="0" t="n">
        <v>0.1875</v>
      </c>
      <c r="E770" s="0" t="s">
        <v>3235</v>
      </c>
    </row>
    <row r="771" customFormat="false" ht="15" hidden="false" customHeight="false" outlineLevel="0" collapsed="false">
      <c r="A771" s="0" t="s">
        <v>64</v>
      </c>
      <c r="B771" s="0" t="n">
        <v>750</v>
      </c>
      <c r="C771" s="0" t="n">
        <v>4000</v>
      </c>
      <c r="D771" s="0" t="n">
        <v>0.1875</v>
      </c>
      <c r="E771" s="0" t="s">
        <v>3246</v>
      </c>
    </row>
    <row r="772" customFormat="false" ht="15" hidden="false" customHeight="false" outlineLevel="0" collapsed="false">
      <c r="A772" s="0" t="s">
        <v>64</v>
      </c>
      <c r="B772" s="0" t="n">
        <v>750</v>
      </c>
      <c r="C772" s="0" t="n">
        <v>4000</v>
      </c>
      <c r="D772" s="0" t="n">
        <v>0.1875</v>
      </c>
      <c r="E772" s="0" t="s">
        <v>3261</v>
      </c>
    </row>
    <row r="773" customFormat="false" ht="15" hidden="false" customHeight="false" outlineLevel="0" collapsed="false">
      <c r="A773" s="0" t="s">
        <v>64</v>
      </c>
      <c r="B773" s="0" t="n">
        <v>750</v>
      </c>
      <c r="C773" s="0" t="n">
        <v>4000</v>
      </c>
      <c r="D773" s="0" t="n">
        <v>0.1875</v>
      </c>
      <c r="E773" s="0" t="s">
        <v>3274</v>
      </c>
    </row>
    <row r="774" customFormat="false" ht="15" hidden="false" customHeight="false" outlineLevel="0" collapsed="false">
      <c r="A774" s="0" t="s">
        <v>64</v>
      </c>
      <c r="B774" s="0" t="n">
        <v>750</v>
      </c>
      <c r="C774" s="0" t="n">
        <v>4000</v>
      </c>
      <c r="D774" s="0" t="n">
        <v>0.1875</v>
      </c>
      <c r="E774" s="0" t="s">
        <v>3293</v>
      </c>
    </row>
    <row r="775" customFormat="false" ht="15" hidden="false" customHeight="false" outlineLevel="0" collapsed="false">
      <c r="A775" s="0" t="s">
        <v>64</v>
      </c>
      <c r="B775" s="0" t="n">
        <v>750</v>
      </c>
      <c r="C775" s="0" t="n">
        <v>4000</v>
      </c>
      <c r="D775" s="0" t="n">
        <v>0.1875</v>
      </c>
      <c r="E775" s="0" t="s">
        <v>3313</v>
      </c>
    </row>
    <row r="776" customFormat="false" ht="15" hidden="false" customHeight="false" outlineLevel="0" collapsed="false">
      <c r="A776" s="0" t="s">
        <v>64</v>
      </c>
      <c r="B776" s="0" t="n">
        <v>750</v>
      </c>
      <c r="C776" s="0" t="n">
        <v>4000</v>
      </c>
      <c r="D776" s="0" t="n">
        <v>0.1875</v>
      </c>
      <c r="E776" s="0" t="s">
        <v>3329</v>
      </c>
    </row>
    <row r="777" customFormat="false" ht="15" hidden="false" customHeight="false" outlineLevel="0" collapsed="false">
      <c r="A777" s="0" t="s">
        <v>64</v>
      </c>
      <c r="B777" s="0" t="n">
        <v>750</v>
      </c>
      <c r="C777" s="0" t="n">
        <v>4000</v>
      </c>
      <c r="D777" s="0" t="n">
        <v>0.1875</v>
      </c>
      <c r="E777" s="0" t="s">
        <v>3344</v>
      </c>
    </row>
    <row r="778" customFormat="false" ht="15" hidden="false" customHeight="false" outlineLevel="0" collapsed="false">
      <c r="A778" s="0" t="s">
        <v>64</v>
      </c>
      <c r="B778" s="0" t="n">
        <v>500</v>
      </c>
      <c r="C778" s="0" t="n">
        <v>3900</v>
      </c>
      <c r="D778" s="0" t="n">
        <v>0.128205128205128</v>
      </c>
      <c r="E778" s="0" t="s">
        <v>3369</v>
      </c>
    </row>
    <row r="779" customFormat="false" ht="15" hidden="false" customHeight="false" outlineLevel="0" collapsed="false">
      <c r="A779" s="0" t="s">
        <v>64</v>
      </c>
      <c r="B779" s="0" t="n">
        <v>200</v>
      </c>
      <c r="C779" s="0" t="n">
        <v>4000</v>
      </c>
      <c r="D779" s="0" t="n">
        <v>0.05</v>
      </c>
      <c r="E779" s="0" t="s">
        <v>3381</v>
      </c>
    </row>
    <row r="780" customFormat="false" ht="15" hidden="false" customHeight="false" outlineLevel="0" collapsed="false">
      <c r="A780" s="0" t="s">
        <v>64</v>
      </c>
      <c r="B780" s="0" t="n">
        <v>750</v>
      </c>
      <c r="C780" s="0" t="n">
        <v>4500</v>
      </c>
      <c r="D780" s="0" t="n">
        <v>0.166666666666667</v>
      </c>
      <c r="E780" s="0" t="s">
        <v>3391</v>
      </c>
    </row>
    <row r="781" customFormat="false" ht="15" hidden="false" customHeight="false" outlineLevel="0" collapsed="false">
      <c r="A781" s="0" t="s">
        <v>64</v>
      </c>
      <c r="B781" s="0" t="n">
        <v>750</v>
      </c>
      <c r="C781" s="0" t="n">
        <v>4500</v>
      </c>
      <c r="D781" s="0" t="n">
        <v>0.166666666666667</v>
      </c>
      <c r="E781" s="0" t="s">
        <v>3400</v>
      </c>
    </row>
    <row r="782" customFormat="false" ht="15" hidden="false" customHeight="false" outlineLevel="0" collapsed="false">
      <c r="A782" s="0" t="s">
        <v>64</v>
      </c>
      <c r="B782" s="0" t="n">
        <v>750</v>
      </c>
      <c r="C782" s="0" t="n">
        <v>4500</v>
      </c>
      <c r="D782" s="0" t="n">
        <v>0.166666666666667</v>
      </c>
      <c r="E782" s="0" t="s">
        <v>3409</v>
      </c>
    </row>
    <row r="783" customFormat="false" ht="15" hidden="false" customHeight="false" outlineLevel="0" collapsed="false">
      <c r="A783" s="0" t="s">
        <v>64</v>
      </c>
      <c r="B783" s="0" t="n">
        <v>750</v>
      </c>
      <c r="C783" s="0" t="n">
        <v>4500</v>
      </c>
      <c r="D783" s="0" t="n">
        <v>0.166666666666667</v>
      </c>
      <c r="E783" s="0" t="s">
        <v>3418</v>
      </c>
    </row>
    <row r="784" customFormat="false" ht="15" hidden="false" customHeight="false" outlineLevel="0" collapsed="false">
      <c r="A784" s="0" t="s">
        <v>64</v>
      </c>
      <c r="B784" s="0" t="n">
        <v>750</v>
      </c>
      <c r="C784" s="0" t="n">
        <v>4500</v>
      </c>
      <c r="D784" s="0" t="n">
        <v>0.166666666666667</v>
      </c>
      <c r="E784" s="0" t="s">
        <v>3425</v>
      </c>
    </row>
    <row r="785" customFormat="false" ht="15" hidden="false" customHeight="false" outlineLevel="0" collapsed="false">
      <c r="A785" s="0" t="s">
        <v>64</v>
      </c>
      <c r="B785" s="0" t="n">
        <v>750</v>
      </c>
      <c r="C785" s="0" t="n">
        <v>4500</v>
      </c>
      <c r="D785" s="0" t="n">
        <v>0.166666666666667</v>
      </c>
      <c r="E785" s="0" t="s">
        <v>3434</v>
      </c>
    </row>
    <row r="786" customFormat="false" ht="15" hidden="false" customHeight="false" outlineLevel="0" collapsed="false">
      <c r="A786" s="0" t="s">
        <v>66</v>
      </c>
      <c r="B786" s="0" t="n">
        <v>250</v>
      </c>
      <c r="C786" s="0" t="n">
        <v>4000</v>
      </c>
      <c r="D786" s="0" t="n">
        <v>0.0625</v>
      </c>
      <c r="E786" s="0" t="s">
        <v>67</v>
      </c>
    </row>
    <row r="787" customFormat="false" ht="15" hidden="false" customHeight="false" outlineLevel="0" collapsed="false">
      <c r="A787" s="0" t="s">
        <v>66</v>
      </c>
      <c r="B787" s="0" t="n">
        <v>350</v>
      </c>
      <c r="C787" s="0" t="n">
        <v>4000</v>
      </c>
      <c r="D787" s="0" t="n">
        <v>0.0875</v>
      </c>
      <c r="E787" s="0" t="s">
        <v>78</v>
      </c>
    </row>
    <row r="788" customFormat="false" ht="15" hidden="false" customHeight="false" outlineLevel="0" collapsed="false">
      <c r="A788" s="0" t="s">
        <v>66</v>
      </c>
      <c r="B788" s="0" t="n">
        <v>250</v>
      </c>
      <c r="C788" s="0" t="n">
        <v>4000</v>
      </c>
      <c r="D788" s="0" t="n">
        <v>0.0625</v>
      </c>
      <c r="E788" s="0" t="s">
        <v>88</v>
      </c>
    </row>
    <row r="789" customFormat="false" ht="15" hidden="false" customHeight="false" outlineLevel="0" collapsed="false">
      <c r="A789" s="0" t="s">
        <v>66</v>
      </c>
      <c r="B789" s="0" t="n">
        <v>250</v>
      </c>
      <c r="C789" s="0" t="n">
        <v>4000</v>
      </c>
      <c r="D789" s="0" t="n">
        <v>0.0625</v>
      </c>
      <c r="E789" s="0" t="s">
        <v>99</v>
      </c>
    </row>
    <row r="790" customFormat="false" ht="15" hidden="false" customHeight="false" outlineLevel="0" collapsed="false">
      <c r="A790" s="0" t="s">
        <v>66</v>
      </c>
      <c r="B790" s="0" t="n">
        <v>250</v>
      </c>
      <c r="C790" s="0" t="n">
        <v>4000</v>
      </c>
      <c r="D790" s="0" t="n">
        <v>0.0625</v>
      </c>
      <c r="E790" s="0" t="s">
        <v>110</v>
      </c>
    </row>
    <row r="791" customFormat="false" ht="15" hidden="false" customHeight="false" outlineLevel="0" collapsed="false">
      <c r="A791" s="0" t="s">
        <v>66</v>
      </c>
      <c r="B791" s="0" t="n">
        <v>250</v>
      </c>
      <c r="C791" s="0" t="n">
        <v>4000</v>
      </c>
      <c r="D791" s="0" t="n">
        <v>0.0625</v>
      </c>
      <c r="E791" s="0" t="s">
        <v>122</v>
      </c>
    </row>
    <row r="792" customFormat="false" ht="15" hidden="false" customHeight="false" outlineLevel="0" collapsed="false">
      <c r="A792" s="0" t="s">
        <v>66</v>
      </c>
      <c r="B792" s="0" t="n">
        <v>250</v>
      </c>
      <c r="C792" s="0" t="n">
        <v>4000</v>
      </c>
      <c r="D792" s="0" t="n">
        <v>0.0625</v>
      </c>
      <c r="E792" s="0" t="s">
        <v>138</v>
      </c>
    </row>
    <row r="793" customFormat="false" ht="15" hidden="false" customHeight="false" outlineLevel="0" collapsed="false">
      <c r="A793" s="0" t="s">
        <v>66</v>
      </c>
      <c r="B793" s="0" t="n">
        <v>250</v>
      </c>
      <c r="C793" s="0" t="n">
        <v>4000</v>
      </c>
      <c r="D793" s="0" t="n">
        <v>0.0625</v>
      </c>
      <c r="E793" s="0" t="s">
        <v>152</v>
      </c>
    </row>
    <row r="794" customFormat="false" ht="15" hidden="false" customHeight="false" outlineLevel="0" collapsed="false">
      <c r="A794" s="0" t="s">
        <v>66</v>
      </c>
      <c r="B794" s="0" t="n">
        <v>250</v>
      </c>
      <c r="C794" s="0" t="n">
        <v>4000</v>
      </c>
      <c r="D794" s="0" t="n">
        <v>0.0625</v>
      </c>
      <c r="E794" s="0" t="s">
        <v>166</v>
      </c>
    </row>
    <row r="795" customFormat="false" ht="15" hidden="false" customHeight="false" outlineLevel="0" collapsed="false">
      <c r="A795" s="0" t="s">
        <v>66</v>
      </c>
      <c r="B795" s="0" t="n">
        <v>250</v>
      </c>
      <c r="C795" s="0" t="n">
        <v>4000</v>
      </c>
      <c r="D795" s="0" t="n">
        <v>0.0625</v>
      </c>
      <c r="E795" s="0" t="s">
        <v>180</v>
      </c>
    </row>
    <row r="796" customFormat="false" ht="15" hidden="false" customHeight="false" outlineLevel="0" collapsed="false">
      <c r="A796" s="0" t="s">
        <v>66</v>
      </c>
      <c r="B796" s="0" t="n">
        <v>250</v>
      </c>
      <c r="C796" s="0" t="n">
        <v>4000</v>
      </c>
      <c r="D796" s="0" t="n">
        <v>0.0625</v>
      </c>
      <c r="E796" s="0" t="s">
        <v>195</v>
      </c>
    </row>
    <row r="797" customFormat="false" ht="15" hidden="false" customHeight="false" outlineLevel="0" collapsed="false">
      <c r="A797" s="0" t="s">
        <v>66</v>
      </c>
      <c r="B797" s="0" t="n">
        <v>250</v>
      </c>
      <c r="C797" s="0" t="n">
        <v>4000</v>
      </c>
      <c r="D797" s="0" t="n">
        <v>0.0625</v>
      </c>
      <c r="E797" s="0" t="s">
        <v>210</v>
      </c>
    </row>
    <row r="798" customFormat="false" ht="15" hidden="false" customHeight="false" outlineLevel="0" collapsed="false">
      <c r="A798" s="0" t="s">
        <v>66</v>
      </c>
      <c r="B798" s="0" t="n">
        <v>350</v>
      </c>
      <c r="C798" s="0" t="n">
        <v>4000</v>
      </c>
      <c r="D798" s="0" t="n">
        <v>0.0875</v>
      </c>
      <c r="E798" s="0" t="s">
        <v>226</v>
      </c>
    </row>
    <row r="799" customFormat="false" ht="15" hidden="false" customHeight="false" outlineLevel="0" collapsed="false">
      <c r="A799" s="0" t="s">
        <v>66</v>
      </c>
      <c r="B799" s="0" t="n">
        <v>350</v>
      </c>
      <c r="C799" s="0" t="n">
        <v>4000</v>
      </c>
      <c r="D799" s="0" t="n">
        <v>0.0875</v>
      </c>
      <c r="E799" s="0" t="s">
        <v>241</v>
      </c>
    </row>
    <row r="800" customFormat="false" ht="15" hidden="false" customHeight="false" outlineLevel="0" collapsed="false">
      <c r="A800" s="0" t="s">
        <v>66</v>
      </c>
      <c r="B800" s="0" t="n">
        <v>350</v>
      </c>
      <c r="C800" s="0" t="n">
        <v>4000</v>
      </c>
      <c r="D800" s="0" t="n">
        <v>0.0875</v>
      </c>
      <c r="E800" s="0" t="s">
        <v>255</v>
      </c>
    </row>
    <row r="801" customFormat="false" ht="15" hidden="false" customHeight="false" outlineLevel="0" collapsed="false">
      <c r="A801" s="0" t="s">
        <v>66</v>
      </c>
      <c r="B801" s="0" t="n">
        <v>350</v>
      </c>
      <c r="C801" s="0" t="n">
        <v>4000</v>
      </c>
      <c r="D801" s="0" t="n">
        <v>0.0875</v>
      </c>
      <c r="E801" s="0" t="s">
        <v>268</v>
      </c>
    </row>
    <row r="802" customFormat="false" ht="15" hidden="false" customHeight="false" outlineLevel="0" collapsed="false">
      <c r="A802" s="0" t="s">
        <v>66</v>
      </c>
      <c r="B802" s="0" t="n">
        <v>350</v>
      </c>
      <c r="C802" s="0" t="n">
        <v>4000</v>
      </c>
      <c r="D802" s="0" t="n">
        <v>0.0875</v>
      </c>
      <c r="E802" s="0" t="s">
        <v>281</v>
      </c>
    </row>
    <row r="803" customFormat="false" ht="15" hidden="false" customHeight="false" outlineLevel="0" collapsed="false">
      <c r="A803" s="0" t="s">
        <v>66</v>
      </c>
      <c r="B803" s="0" t="n">
        <v>200</v>
      </c>
      <c r="C803" s="0" t="n">
        <v>4000</v>
      </c>
      <c r="D803" s="0" t="n">
        <v>0.05</v>
      </c>
      <c r="E803" s="0" t="s">
        <v>294</v>
      </c>
    </row>
    <row r="804" customFormat="false" ht="15" hidden="false" customHeight="false" outlineLevel="0" collapsed="false">
      <c r="A804" s="0" t="s">
        <v>66</v>
      </c>
      <c r="B804" s="0" t="n">
        <v>350</v>
      </c>
      <c r="C804" s="0" t="n">
        <v>4000</v>
      </c>
      <c r="D804" s="0" t="n">
        <v>0.0875</v>
      </c>
      <c r="E804" s="0" t="s">
        <v>309</v>
      </c>
    </row>
    <row r="805" customFormat="false" ht="15" hidden="false" customHeight="false" outlineLevel="0" collapsed="false">
      <c r="A805" s="0" t="s">
        <v>66</v>
      </c>
      <c r="B805" s="0" t="n">
        <v>350</v>
      </c>
      <c r="C805" s="0" t="n">
        <v>4000</v>
      </c>
      <c r="D805" s="0" t="n">
        <v>0.0875</v>
      </c>
      <c r="E805" s="0" t="s">
        <v>322</v>
      </c>
    </row>
    <row r="806" customFormat="false" ht="15" hidden="false" customHeight="false" outlineLevel="0" collapsed="false">
      <c r="A806" s="0" t="s">
        <v>66</v>
      </c>
      <c r="B806" s="0" t="n">
        <v>350</v>
      </c>
      <c r="C806" s="0" t="n">
        <v>4000</v>
      </c>
      <c r="D806" s="0" t="n">
        <v>0.0875</v>
      </c>
      <c r="E806" s="0" t="s">
        <v>334</v>
      </c>
    </row>
    <row r="807" customFormat="false" ht="15" hidden="false" customHeight="false" outlineLevel="0" collapsed="false">
      <c r="A807" s="0" t="s">
        <v>66</v>
      </c>
      <c r="B807" s="0" t="n">
        <v>350</v>
      </c>
      <c r="C807" s="0" t="n">
        <v>4000</v>
      </c>
      <c r="D807" s="0" t="n">
        <v>0.0875</v>
      </c>
      <c r="E807" s="0" t="s">
        <v>347</v>
      </c>
    </row>
    <row r="808" customFormat="false" ht="15" hidden="false" customHeight="false" outlineLevel="0" collapsed="false">
      <c r="A808" s="0" t="s">
        <v>66</v>
      </c>
      <c r="B808" s="0" t="n">
        <v>350</v>
      </c>
      <c r="C808" s="0" t="n">
        <v>4000</v>
      </c>
      <c r="D808" s="0" t="n">
        <v>0.0875</v>
      </c>
      <c r="E808" s="0" t="s">
        <v>361</v>
      </c>
    </row>
    <row r="809" customFormat="false" ht="15" hidden="false" customHeight="false" outlineLevel="0" collapsed="false">
      <c r="A809" s="0" t="s">
        <v>66</v>
      </c>
      <c r="B809" s="0" t="n">
        <v>350</v>
      </c>
      <c r="C809" s="0" t="n">
        <v>4000</v>
      </c>
      <c r="D809" s="0" t="n">
        <v>0.0875</v>
      </c>
      <c r="E809" s="0" t="s">
        <v>373</v>
      </c>
    </row>
    <row r="810" customFormat="false" ht="15" hidden="false" customHeight="false" outlineLevel="0" collapsed="false">
      <c r="A810" s="0" t="s">
        <v>66</v>
      </c>
      <c r="B810" s="0" t="n">
        <v>350</v>
      </c>
      <c r="C810" s="0" t="n">
        <v>4000</v>
      </c>
      <c r="D810" s="0" t="n">
        <v>0.0875</v>
      </c>
      <c r="E810" s="0" t="s">
        <v>386</v>
      </c>
    </row>
    <row r="811" customFormat="false" ht="15" hidden="false" customHeight="false" outlineLevel="0" collapsed="false">
      <c r="A811" s="0" t="s">
        <v>66</v>
      </c>
      <c r="B811" s="0" t="n">
        <v>350</v>
      </c>
      <c r="C811" s="0" t="n">
        <v>4000</v>
      </c>
      <c r="D811" s="0" t="n">
        <v>0.0875</v>
      </c>
      <c r="E811" s="0" t="s">
        <v>398</v>
      </c>
    </row>
    <row r="812" customFormat="false" ht="15" hidden="false" customHeight="false" outlineLevel="0" collapsed="false">
      <c r="A812" s="0" t="s">
        <v>66</v>
      </c>
      <c r="B812" s="0" t="n">
        <v>350</v>
      </c>
      <c r="C812" s="0" t="n">
        <v>4000</v>
      </c>
      <c r="D812" s="0" t="n">
        <v>0.0875</v>
      </c>
      <c r="E812" s="0" t="s">
        <v>410</v>
      </c>
    </row>
    <row r="813" customFormat="false" ht="15" hidden="false" customHeight="false" outlineLevel="0" collapsed="false">
      <c r="A813" s="0" t="s">
        <v>66</v>
      </c>
      <c r="B813" s="0" t="n">
        <v>350</v>
      </c>
      <c r="C813" s="0" t="n">
        <v>4000</v>
      </c>
      <c r="D813" s="0" t="n">
        <v>0.0875</v>
      </c>
      <c r="E813" s="0" t="s">
        <v>423</v>
      </c>
    </row>
    <row r="814" customFormat="false" ht="15" hidden="false" customHeight="false" outlineLevel="0" collapsed="false">
      <c r="A814" s="0" t="s">
        <v>66</v>
      </c>
      <c r="B814" s="0" t="n">
        <v>350</v>
      </c>
      <c r="C814" s="0" t="n">
        <v>4000</v>
      </c>
      <c r="D814" s="0" t="n">
        <v>0.0875</v>
      </c>
      <c r="E814" s="0" t="s">
        <v>436</v>
      </c>
    </row>
    <row r="815" customFormat="false" ht="15" hidden="false" customHeight="false" outlineLevel="0" collapsed="false">
      <c r="A815" s="0" t="s">
        <v>66</v>
      </c>
      <c r="B815" s="0" t="n">
        <v>250</v>
      </c>
      <c r="C815" s="0" t="n">
        <v>4000</v>
      </c>
      <c r="D815" s="0" t="n">
        <v>0.0625</v>
      </c>
      <c r="E815" s="0" t="s">
        <v>449</v>
      </c>
    </row>
    <row r="816" customFormat="false" ht="15" hidden="false" customHeight="false" outlineLevel="0" collapsed="false">
      <c r="A816" s="0" t="s">
        <v>66</v>
      </c>
      <c r="B816" s="0" t="n">
        <v>350</v>
      </c>
      <c r="C816" s="0" t="n">
        <v>4000</v>
      </c>
      <c r="D816" s="0" t="n">
        <v>0.0875</v>
      </c>
      <c r="E816" s="0" t="s">
        <v>461</v>
      </c>
    </row>
    <row r="817" customFormat="false" ht="15" hidden="false" customHeight="false" outlineLevel="0" collapsed="false">
      <c r="A817" s="0" t="s">
        <v>66</v>
      </c>
      <c r="B817" s="0" t="n">
        <v>350</v>
      </c>
      <c r="C817" s="0" t="n">
        <v>4000</v>
      </c>
      <c r="D817" s="0" t="n">
        <v>0.0875</v>
      </c>
      <c r="E817" s="0" t="s">
        <v>486</v>
      </c>
    </row>
    <row r="818" customFormat="false" ht="15" hidden="false" customHeight="false" outlineLevel="0" collapsed="false">
      <c r="A818" s="0" t="s">
        <v>66</v>
      </c>
      <c r="B818" s="0" t="n">
        <v>250</v>
      </c>
      <c r="C818" s="0" t="n">
        <v>4000</v>
      </c>
      <c r="D818" s="0" t="n">
        <v>0.0625</v>
      </c>
      <c r="E818" s="0" t="s">
        <v>499</v>
      </c>
    </row>
    <row r="819" customFormat="false" ht="15" hidden="false" customHeight="false" outlineLevel="0" collapsed="false">
      <c r="A819" s="0" t="s">
        <v>66</v>
      </c>
      <c r="B819" s="0" t="n">
        <v>250</v>
      </c>
      <c r="C819" s="0" t="n">
        <v>4000</v>
      </c>
      <c r="D819" s="0" t="n">
        <v>0.0625</v>
      </c>
      <c r="E819" s="0" t="s">
        <v>512</v>
      </c>
    </row>
    <row r="820" customFormat="false" ht="15" hidden="false" customHeight="false" outlineLevel="0" collapsed="false">
      <c r="A820" s="0" t="s">
        <v>66</v>
      </c>
      <c r="B820" s="0" t="n">
        <v>250</v>
      </c>
      <c r="C820" s="0" t="n">
        <v>4000</v>
      </c>
      <c r="D820" s="0" t="n">
        <v>0.0625</v>
      </c>
      <c r="E820" s="0" t="s">
        <v>524</v>
      </c>
    </row>
    <row r="821" customFormat="false" ht="15" hidden="false" customHeight="false" outlineLevel="0" collapsed="false">
      <c r="A821" s="0" t="s">
        <v>66</v>
      </c>
      <c r="B821" s="0" t="n">
        <v>250</v>
      </c>
      <c r="C821" s="0" t="n">
        <v>4000</v>
      </c>
      <c r="D821" s="0" t="n">
        <v>0.0625</v>
      </c>
      <c r="E821" s="0" t="s">
        <v>538</v>
      </c>
    </row>
    <row r="822" customFormat="false" ht="15" hidden="false" customHeight="false" outlineLevel="0" collapsed="false">
      <c r="A822" s="0" t="s">
        <v>66</v>
      </c>
      <c r="B822" s="0" t="n">
        <v>250</v>
      </c>
      <c r="C822" s="0" t="n">
        <v>4000</v>
      </c>
      <c r="D822" s="0" t="n">
        <v>0.0625</v>
      </c>
      <c r="E822" s="0" t="s">
        <v>552</v>
      </c>
    </row>
    <row r="823" customFormat="false" ht="15" hidden="false" customHeight="false" outlineLevel="0" collapsed="false">
      <c r="A823" s="0" t="s">
        <v>66</v>
      </c>
      <c r="B823" s="0" t="n">
        <v>250</v>
      </c>
      <c r="C823" s="0" t="n">
        <v>4000</v>
      </c>
      <c r="D823" s="0" t="n">
        <v>0.0625</v>
      </c>
      <c r="E823" s="0" t="s">
        <v>569</v>
      </c>
    </row>
    <row r="824" customFormat="false" ht="15" hidden="false" customHeight="false" outlineLevel="0" collapsed="false">
      <c r="A824" s="0" t="s">
        <v>66</v>
      </c>
      <c r="B824" s="0" t="n">
        <v>250</v>
      </c>
      <c r="C824" s="0" t="n">
        <v>4000</v>
      </c>
      <c r="D824" s="0" t="n">
        <v>0.0625</v>
      </c>
      <c r="E824" s="0" t="s">
        <v>590</v>
      </c>
    </row>
    <row r="825" customFormat="false" ht="15" hidden="false" customHeight="false" outlineLevel="0" collapsed="false">
      <c r="A825" s="0" t="s">
        <v>66</v>
      </c>
      <c r="B825" s="0" t="n">
        <v>250</v>
      </c>
      <c r="C825" s="0" t="n">
        <v>4000</v>
      </c>
      <c r="D825" s="0" t="n">
        <v>0.0625</v>
      </c>
      <c r="E825" s="0" t="s">
        <v>607</v>
      </c>
    </row>
    <row r="826" customFormat="false" ht="15" hidden="false" customHeight="false" outlineLevel="0" collapsed="false">
      <c r="A826" s="0" t="s">
        <v>66</v>
      </c>
      <c r="B826" s="0" t="n">
        <v>250</v>
      </c>
      <c r="C826" s="0" t="n">
        <v>4000</v>
      </c>
      <c r="D826" s="0" t="n">
        <v>0.0625</v>
      </c>
      <c r="E826" s="0" t="s">
        <v>622</v>
      </c>
    </row>
    <row r="827" customFormat="false" ht="15" hidden="false" customHeight="false" outlineLevel="0" collapsed="false">
      <c r="A827" s="0" t="s">
        <v>66</v>
      </c>
      <c r="B827" s="0" t="n">
        <v>250</v>
      </c>
      <c r="C827" s="0" t="n">
        <v>3800</v>
      </c>
      <c r="D827" s="0" t="n">
        <v>0.0657894736842105</v>
      </c>
      <c r="E827" s="0" t="s">
        <v>634</v>
      </c>
    </row>
    <row r="828" customFormat="false" ht="15" hidden="false" customHeight="false" outlineLevel="0" collapsed="false">
      <c r="A828" s="0" t="s">
        <v>66</v>
      </c>
      <c r="B828" s="0" t="n">
        <v>250</v>
      </c>
      <c r="C828" s="0" t="n">
        <v>3800</v>
      </c>
      <c r="D828" s="0" t="n">
        <v>0.0657894736842105</v>
      </c>
      <c r="E828" s="0" t="s">
        <v>644</v>
      </c>
    </row>
    <row r="829" customFormat="false" ht="15" hidden="false" customHeight="false" outlineLevel="0" collapsed="false">
      <c r="A829" s="0" t="s">
        <v>66</v>
      </c>
      <c r="B829" s="0" t="n">
        <v>250</v>
      </c>
      <c r="C829" s="0" t="n">
        <v>3800</v>
      </c>
      <c r="D829" s="0" t="n">
        <v>0.0657894736842105</v>
      </c>
      <c r="E829" s="0" t="s">
        <v>658</v>
      </c>
    </row>
    <row r="830" customFormat="false" ht="15" hidden="false" customHeight="false" outlineLevel="0" collapsed="false">
      <c r="A830" s="0" t="s">
        <v>66</v>
      </c>
      <c r="B830" s="0" t="n">
        <v>250</v>
      </c>
      <c r="C830" s="0" t="n">
        <v>3800</v>
      </c>
      <c r="D830" s="0" t="n">
        <v>0.0657894736842105</v>
      </c>
      <c r="E830" s="0" t="s">
        <v>668</v>
      </c>
    </row>
    <row r="831" customFormat="false" ht="15" hidden="false" customHeight="false" outlineLevel="0" collapsed="false">
      <c r="A831" s="0" t="s">
        <v>66</v>
      </c>
      <c r="B831" s="0" t="n">
        <v>250</v>
      </c>
      <c r="C831" s="0" t="n">
        <v>3800</v>
      </c>
      <c r="D831" s="0" t="n">
        <v>0.0657894736842105</v>
      </c>
      <c r="E831" s="0" t="s">
        <v>680</v>
      </c>
    </row>
    <row r="832" customFormat="false" ht="15" hidden="false" customHeight="false" outlineLevel="0" collapsed="false">
      <c r="A832" s="0" t="s">
        <v>66</v>
      </c>
      <c r="B832" s="0" t="n">
        <v>300</v>
      </c>
      <c r="C832" s="0" t="n">
        <v>3800</v>
      </c>
      <c r="D832" s="0" t="n">
        <v>0.0789473684210526</v>
      </c>
      <c r="E832" s="0" t="s">
        <v>690</v>
      </c>
    </row>
    <row r="833" customFormat="false" ht="15" hidden="false" customHeight="false" outlineLevel="0" collapsed="false">
      <c r="A833" s="0" t="s">
        <v>66</v>
      </c>
      <c r="B833" s="0" t="n">
        <v>250</v>
      </c>
      <c r="C833" s="0" t="n">
        <v>3800</v>
      </c>
      <c r="D833" s="0" t="n">
        <v>0.0657894736842105</v>
      </c>
      <c r="E833" s="0" t="s">
        <v>701</v>
      </c>
    </row>
    <row r="834" customFormat="false" ht="15" hidden="false" customHeight="false" outlineLevel="0" collapsed="false">
      <c r="A834" s="0" t="s">
        <v>66</v>
      </c>
      <c r="B834" s="0" t="n">
        <v>250</v>
      </c>
      <c r="C834" s="0" t="n">
        <v>3800</v>
      </c>
      <c r="D834" s="0" t="n">
        <v>0.0657894736842105</v>
      </c>
      <c r="E834" s="0" t="s">
        <v>711</v>
      </c>
    </row>
    <row r="835" customFormat="false" ht="15" hidden="false" customHeight="false" outlineLevel="0" collapsed="false">
      <c r="A835" s="0" t="s">
        <v>66</v>
      </c>
      <c r="B835" s="0" t="n">
        <v>250</v>
      </c>
      <c r="C835" s="0" t="n">
        <v>3800</v>
      </c>
      <c r="D835" s="0" t="n">
        <v>0.0657894736842105</v>
      </c>
      <c r="E835" s="0" t="s">
        <v>721</v>
      </c>
    </row>
    <row r="836" customFormat="false" ht="15" hidden="false" customHeight="false" outlineLevel="0" collapsed="false">
      <c r="A836" s="0" t="s">
        <v>66</v>
      </c>
      <c r="B836" s="0" t="n">
        <v>250</v>
      </c>
      <c r="C836" s="0" t="n">
        <v>3800</v>
      </c>
      <c r="D836" s="0" t="n">
        <v>0.0657894736842105</v>
      </c>
      <c r="E836" s="0" t="s">
        <v>731</v>
      </c>
    </row>
    <row r="837" customFormat="false" ht="15" hidden="false" customHeight="false" outlineLevel="0" collapsed="false">
      <c r="A837" s="0" t="s">
        <v>66</v>
      </c>
      <c r="B837" s="0" t="n">
        <v>350</v>
      </c>
      <c r="C837" s="0" t="n">
        <v>3800</v>
      </c>
      <c r="D837" s="0" t="n">
        <v>0.0921052631578947</v>
      </c>
      <c r="E837" s="0" t="s">
        <v>750</v>
      </c>
    </row>
    <row r="838" customFormat="false" ht="15" hidden="false" customHeight="false" outlineLevel="0" collapsed="false">
      <c r="A838" s="0" t="s">
        <v>66</v>
      </c>
      <c r="B838" s="0" t="n">
        <v>250</v>
      </c>
      <c r="C838" s="0" t="n">
        <v>3800</v>
      </c>
      <c r="D838" s="0" t="n">
        <v>0.0657894736842105</v>
      </c>
      <c r="E838" s="0" t="s">
        <v>766</v>
      </c>
    </row>
    <row r="839" customFormat="false" ht="15" hidden="false" customHeight="false" outlineLevel="0" collapsed="false">
      <c r="A839" s="0" t="s">
        <v>66</v>
      </c>
      <c r="B839" s="0" t="n">
        <v>350</v>
      </c>
      <c r="C839" s="0" t="n">
        <v>3800</v>
      </c>
      <c r="D839" s="0" t="n">
        <v>0.0921052631578947</v>
      </c>
      <c r="E839" s="0" t="s">
        <v>781</v>
      </c>
    </row>
    <row r="840" customFormat="false" ht="15" hidden="false" customHeight="false" outlineLevel="0" collapsed="false">
      <c r="A840" s="0" t="s">
        <v>66</v>
      </c>
      <c r="B840" s="0" t="n">
        <v>350</v>
      </c>
      <c r="C840" s="0" t="n">
        <v>3800</v>
      </c>
      <c r="D840" s="0" t="n">
        <v>0.0921052631578947</v>
      </c>
      <c r="E840" s="0" t="s">
        <v>795</v>
      </c>
    </row>
    <row r="841" customFormat="false" ht="15" hidden="false" customHeight="false" outlineLevel="0" collapsed="false">
      <c r="A841" s="0" t="s">
        <v>66</v>
      </c>
      <c r="B841" s="0" t="n">
        <v>350</v>
      </c>
      <c r="C841" s="0" t="n">
        <v>3800</v>
      </c>
      <c r="D841" s="0" t="n">
        <v>0.0921052631578947</v>
      </c>
      <c r="E841" s="0" t="s">
        <v>809</v>
      </c>
    </row>
    <row r="842" customFormat="false" ht="15" hidden="false" customHeight="false" outlineLevel="0" collapsed="false">
      <c r="A842" s="0" t="s">
        <v>66</v>
      </c>
      <c r="B842" s="0" t="n">
        <v>350</v>
      </c>
      <c r="C842" s="0" t="n">
        <v>3800</v>
      </c>
      <c r="D842" s="0" t="n">
        <v>0.0921052631578947</v>
      </c>
      <c r="E842" s="0" t="s">
        <v>823</v>
      </c>
    </row>
    <row r="843" customFormat="false" ht="15" hidden="false" customHeight="false" outlineLevel="0" collapsed="false">
      <c r="A843" s="0" t="s">
        <v>66</v>
      </c>
      <c r="B843" s="0" t="n">
        <v>300</v>
      </c>
      <c r="C843" s="0" t="n">
        <v>3800</v>
      </c>
      <c r="D843" s="0" t="n">
        <v>0.0789473684210526</v>
      </c>
      <c r="E843" s="0" t="s">
        <v>839</v>
      </c>
    </row>
    <row r="844" customFormat="false" ht="15" hidden="false" customHeight="false" outlineLevel="0" collapsed="false">
      <c r="A844" s="0" t="s">
        <v>66</v>
      </c>
      <c r="B844" s="0" t="n">
        <v>300</v>
      </c>
      <c r="C844" s="0" t="n">
        <v>3800</v>
      </c>
      <c r="D844" s="0" t="n">
        <v>0.0789473684210526</v>
      </c>
      <c r="E844" s="0" t="s">
        <v>855</v>
      </c>
    </row>
    <row r="845" customFormat="false" ht="15" hidden="false" customHeight="false" outlineLevel="0" collapsed="false">
      <c r="A845" s="0" t="s">
        <v>66</v>
      </c>
      <c r="B845" s="0" t="n">
        <v>300</v>
      </c>
      <c r="C845" s="0" t="n">
        <v>3800</v>
      </c>
      <c r="D845" s="0" t="n">
        <v>0.0789473684210526</v>
      </c>
      <c r="E845" s="0" t="s">
        <v>871</v>
      </c>
    </row>
    <row r="846" customFormat="false" ht="15" hidden="false" customHeight="false" outlineLevel="0" collapsed="false">
      <c r="A846" s="0" t="s">
        <v>66</v>
      </c>
      <c r="B846" s="0" t="n">
        <v>300</v>
      </c>
      <c r="C846" s="0" t="n">
        <v>3800</v>
      </c>
      <c r="D846" s="0" t="n">
        <v>0.0789473684210526</v>
      </c>
      <c r="E846" s="0" t="s">
        <v>889</v>
      </c>
    </row>
    <row r="847" customFormat="false" ht="15" hidden="false" customHeight="false" outlineLevel="0" collapsed="false">
      <c r="A847" s="0" t="s">
        <v>66</v>
      </c>
      <c r="B847" s="0" t="n">
        <v>300</v>
      </c>
      <c r="C847" s="0" t="n">
        <v>3800</v>
      </c>
      <c r="D847" s="0" t="n">
        <v>0.0789473684210526</v>
      </c>
      <c r="E847" s="0" t="s">
        <v>906</v>
      </c>
    </row>
    <row r="848" customFormat="false" ht="15" hidden="false" customHeight="false" outlineLevel="0" collapsed="false">
      <c r="A848" s="0" t="s">
        <v>66</v>
      </c>
      <c r="B848" s="0" t="n">
        <v>300</v>
      </c>
      <c r="C848" s="0" t="n">
        <v>3800</v>
      </c>
      <c r="D848" s="0" t="n">
        <v>0.0789473684210526</v>
      </c>
      <c r="E848" s="0" t="s">
        <v>918</v>
      </c>
    </row>
    <row r="849" customFormat="false" ht="15" hidden="false" customHeight="false" outlineLevel="0" collapsed="false">
      <c r="A849" s="0" t="s">
        <v>66</v>
      </c>
      <c r="B849" s="0" t="n">
        <v>300</v>
      </c>
      <c r="C849" s="0" t="n">
        <v>3800</v>
      </c>
      <c r="D849" s="0" t="n">
        <v>0.0789473684210526</v>
      </c>
      <c r="E849" s="0" t="s">
        <v>934</v>
      </c>
    </row>
    <row r="850" customFormat="false" ht="15" hidden="false" customHeight="false" outlineLevel="0" collapsed="false">
      <c r="A850" s="0" t="s">
        <v>66</v>
      </c>
      <c r="B850" s="0" t="n">
        <v>300</v>
      </c>
      <c r="C850" s="0" t="n">
        <v>3800</v>
      </c>
      <c r="D850" s="0" t="n">
        <v>0.0789473684210526</v>
      </c>
      <c r="E850" s="0" t="s">
        <v>951</v>
      </c>
    </row>
    <row r="851" customFormat="false" ht="15" hidden="false" customHeight="false" outlineLevel="0" collapsed="false">
      <c r="A851" s="0" t="s">
        <v>66</v>
      </c>
      <c r="B851" s="0" t="n">
        <v>300</v>
      </c>
      <c r="C851" s="0" t="n">
        <v>3800</v>
      </c>
      <c r="D851" s="0" t="n">
        <v>0.0789473684210526</v>
      </c>
      <c r="E851" s="0" t="s">
        <v>967</v>
      </c>
    </row>
    <row r="852" customFormat="false" ht="15" hidden="false" customHeight="false" outlineLevel="0" collapsed="false">
      <c r="A852" s="0" t="s">
        <v>66</v>
      </c>
      <c r="B852" s="0" t="n">
        <v>300</v>
      </c>
      <c r="C852" s="0" t="n">
        <v>3800</v>
      </c>
      <c r="D852" s="0" t="n">
        <v>0.0789473684210526</v>
      </c>
      <c r="E852" s="0" t="s">
        <v>987</v>
      </c>
    </row>
    <row r="853" customFormat="false" ht="15" hidden="false" customHeight="false" outlineLevel="0" collapsed="false">
      <c r="A853" s="0" t="s">
        <v>66</v>
      </c>
      <c r="B853" s="0" t="n">
        <v>300</v>
      </c>
      <c r="C853" s="0" t="n">
        <v>4000</v>
      </c>
      <c r="D853" s="0" t="n">
        <v>0.075</v>
      </c>
      <c r="E853" s="0" t="s">
        <v>1002</v>
      </c>
    </row>
    <row r="854" customFormat="false" ht="15" hidden="false" customHeight="false" outlineLevel="0" collapsed="false">
      <c r="A854" s="0" t="s">
        <v>66</v>
      </c>
      <c r="B854" s="0" t="n">
        <v>300</v>
      </c>
      <c r="C854" s="0" t="n">
        <v>4000</v>
      </c>
      <c r="D854" s="0" t="n">
        <v>0.075</v>
      </c>
      <c r="E854" s="0" t="s">
        <v>1016</v>
      </c>
    </row>
    <row r="855" customFormat="false" ht="15" hidden="false" customHeight="false" outlineLevel="0" collapsed="false">
      <c r="A855" s="0" t="s">
        <v>66</v>
      </c>
      <c r="B855" s="0" t="n">
        <v>300</v>
      </c>
      <c r="C855" s="0" t="n">
        <v>4000</v>
      </c>
      <c r="D855" s="0" t="n">
        <v>0.075</v>
      </c>
      <c r="E855" s="0" t="s">
        <v>1030</v>
      </c>
    </row>
    <row r="856" customFormat="false" ht="15" hidden="false" customHeight="false" outlineLevel="0" collapsed="false">
      <c r="A856" s="0" t="s">
        <v>66</v>
      </c>
      <c r="B856" s="0" t="n">
        <v>300</v>
      </c>
      <c r="C856" s="0" t="n">
        <v>3800</v>
      </c>
      <c r="D856" s="0" t="n">
        <v>0.0789473684210526</v>
      </c>
      <c r="E856" s="0" t="s">
        <v>1047</v>
      </c>
    </row>
    <row r="857" customFormat="false" ht="15" hidden="false" customHeight="false" outlineLevel="0" collapsed="false">
      <c r="A857" s="0" t="s">
        <v>66</v>
      </c>
      <c r="B857" s="0" t="n">
        <v>300</v>
      </c>
      <c r="C857" s="0" t="n">
        <v>3800</v>
      </c>
      <c r="D857" s="0" t="n">
        <v>0.0789473684210526</v>
      </c>
      <c r="E857" s="0" t="s">
        <v>1061</v>
      </c>
    </row>
    <row r="858" customFormat="false" ht="15" hidden="false" customHeight="false" outlineLevel="0" collapsed="false">
      <c r="A858" s="0" t="s">
        <v>66</v>
      </c>
      <c r="B858" s="0" t="n">
        <v>350</v>
      </c>
      <c r="C858" s="0" t="n">
        <v>3800</v>
      </c>
      <c r="D858" s="0" t="n">
        <v>0.0921052631578947</v>
      </c>
      <c r="E858" s="0" t="s">
        <v>1077</v>
      </c>
    </row>
    <row r="859" customFormat="false" ht="15" hidden="false" customHeight="false" outlineLevel="0" collapsed="false">
      <c r="A859" s="0" t="s">
        <v>66</v>
      </c>
      <c r="B859" s="0" t="n">
        <v>250</v>
      </c>
      <c r="C859" s="0" t="n">
        <v>4000</v>
      </c>
      <c r="D859" s="0" t="n">
        <v>0.0625</v>
      </c>
      <c r="E859" s="0" t="s">
        <v>1094</v>
      </c>
    </row>
    <row r="860" customFormat="false" ht="15" hidden="false" customHeight="false" outlineLevel="0" collapsed="false">
      <c r="A860" s="0" t="s">
        <v>66</v>
      </c>
      <c r="B860" s="0" t="n">
        <v>350</v>
      </c>
      <c r="C860" s="0" t="n">
        <v>4000</v>
      </c>
      <c r="D860" s="0" t="n">
        <v>0.0875</v>
      </c>
      <c r="E860" s="0" t="s">
        <v>1108</v>
      </c>
    </row>
    <row r="861" customFormat="false" ht="15" hidden="false" customHeight="false" outlineLevel="0" collapsed="false">
      <c r="A861" s="0" t="s">
        <v>66</v>
      </c>
      <c r="B861" s="0" t="n">
        <v>350</v>
      </c>
      <c r="C861" s="0" t="n">
        <v>4000</v>
      </c>
      <c r="D861" s="0" t="n">
        <v>0.0875</v>
      </c>
      <c r="E861" s="0" t="s">
        <v>1123</v>
      </c>
    </row>
    <row r="862" customFormat="false" ht="15" hidden="false" customHeight="false" outlineLevel="0" collapsed="false">
      <c r="A862" s="0" t="s">
        <v>66</v>
      </c>
      <c r="B862" s="0" t="n">
        <v>350</v>
      </c>
      <c r="C862" s="0" t="n">
        <v>4000</v>
      </c>
      <c r="D862" s="0" t="n">
        <v>0.0875</v>
      </c>
      <c r="E862" s="0" t="s">
        <v>1138</v>
      </c>
    </row>
    <row r="863" customFormat="false" ht="15" hidden="false" customHeight="false" outlineLevel="0" collapsed="false">
      <c r="A863" s="0" t="s">
        <v>66</v>
      </c>
      <c r="B863" s="0" t="n">
        <v>250</v>
      </c>
      <c r="C863" s="0" t="n">
        <v>4000</v>
      </c>
      <c r="D863" s="0" t="n">
        <v>0.0625</v>
      </c>
      <c r="E863" s="0" t="s">
        <v>1155</v>
      </c>
    </row>
    <row r="864" customFormat="false" ht="15" hidden="false" customHeight="false" outlineLevel="0" collapsed="false">
      <c r="A864" s="0" t="s">
        <v>66</v>
      </c>
      <c r="B864" s="0" t="n">
        <v>350</v>
      </c>
      <c r="C864" s="0" t="n">
        <v>4000</v>
      </c>
      <c r="D864" s="0" t="n">
        <v>0.0875</v>
      </c>
      <c r="E864" s="0" t="s">
        <v>1174</v>
      </c>
    </row>
    <row r="865" customFormat="false" ht="15" hidden="false" customHeight="false" outlineLevel="0" collapsed="false">
      <c r="A865" s="0" t="s">
        <v>66</v>
      </c>
      <c r="B865" s="0" t="n">
        <v>350</v>
      </c>
      <c r="C865" s="0" t="n">
        <v>4000</v>
      </c>
      <c r="D865" s="0" t="n">
        <v>0.0875</v>
      </c>
      <c r="E865" s="0" t="s">
        <v>1194</v>
      </c>
    </row>
    <row r="866" customFormat="false" ht="15" hidden="false" customHeight="false" outlineLevel="0" collapsed="false">
      <c r="A866" s="0" t="s">
        <v>66</v>
      </c>
      <c r="B866" s="0" t="n">
        <v>250</v>
      </c>
      <c r="C866" s="0" t="n">
        <v>4000</v>
      </c>
      <c r="D866" s="0" t="n">
        <v>0.0625</v>
      </c>
      <c r="E866" s="0" t="s">
        <v>1209</v>
      </c>
    </row>
    <row r="867" customFormat="false" ht="15" hidden="false" customHeight="false" outlineLevel="0" collapsed="false">
      <c r="A867" s="0" t="s">
        <v>66</v>
      </c>
      <c r="B867" s="0" t="n">
        <v>250</v>
      </c>
      <c r="C867" s="0" t="n">
        <v>4000</v>
      </c>
      <c r="D867" s="0" t="n">
        <v>0.0625</v>
      </c>
      <c r="E867" s="0" t="s">
        <v>1224</v>
      </c>
    </row>
    <row r="868" customFormat="false" ht="15" hidden="false" customHeight="false" outlineLevel="0" collapsed="false">
      <c r="A868" s="0" t="s">
        <v>66</v>
      </c>
      <c r="B868" s="0" t="n">
        <v>100</v>
      </c>
      <c r="C868" s="0" t="n">
        <v>4000</v>
      </c>
      <c r="D868" s="0" t="n">
        <v>0.025</v>
      </c>
      <c r="E868" s="0" t="s">
        <v>1238</v>
      </c>
    </row>
    <row r="869" customFormat="false" ht="15" hidden="false" customHeight="false" outlineLevel="0" collapsed="false">
      <c r="A869" s="0" t="s">
        <v>66</v>
      </c>
      <c r="B869" s="0" t="n">
        <v>250</v>
      </c>
      <c r="C869" s="0" t="n">
        <v>4000</v>
      </c>
      <c r="D869" s="0" t="n">
        <v>0.0625</v>
      </c>
      <c r="E869" s="0" t="s">
        <v>1254</v>
      </c>
    </row>
    <row r="870" customFormat="false" ht="15" hidden="false" customHeight="false" outlineLevel="0" collapsed="false">
      <c r="A870" s="0" t="s">
        <v>66</v>
      </c>
      <c r="B870" s="0" t="n">
        <v>250</v>
      </c>
      <c r="C870" s="0" t="n">
        <v>4000</v>
      </c>
      <c r="D870" s="0" t="n">
        <v>0.0625</v>
      </c>
      <c r="E870" s="0" t="s">
        <v>1272</v>
      </c>
    </row>
    <row r="871" customFormat="false" ht="15" hidden="false" customHeight="false" outlineLevel="0" collapsed="false">
      <c r="A871" s="0" t="s">
        <v>66</v>
      </c>
      <c r="B871" s="0" t="n">
        <v>350</v>
      </c>
      <c r="C871" s="0" t="n">
        <v>4000</v>
      </c>
      <c r="D871" s="0" t="n">
        <v>0.0875</v>
      </c>
      <c r="E871" s="0" t="s">
        <v>1288</v>
      </c>
    </row>
    <row r="872" customFormat="false" ht="15" hidden="false" customHeight="false" outlineLevel="0" collapsed="false">
      <c r="A872" s="0" t="s">
        <v>66</v>
      </c>
      <c r="B872" s="0" t="n">
        <v>300</v>
      </c>
      <c r="C872" s="0" t="n">
        <v>4000</v>
      </c>
      <c r="D872" s="0" t="n">
        <v>0.075</v>
      </c>
      <c r="E872" s="0" t="s">
        <v>1302</v>
      </c>
    </row>
    <row r="873" customFormat="false" ht="15" hidden="false" customHeight="false" outlineLevel="0" collapsed="false">
      <c r="A873" s="0" t="s">
        <v>66</v>
      </c>
      <c r="B873" s="0" t="n">
        <v>350</v>
      </c>
      <c r="C873" s="0" t="n">
        <v>4000</v>
      </c>
      <c r="D873" s="0" t="n">
        <v>0.0875</v>
      </c>
      <c r="E873" s="0" t="s">
        <v>1316</v>
      </c>
    </row>
    <row r="874" customFormat="false" ht="15" hidden="false" customHeight="false" outlineLevel="0" collapsed="false">
      <c r="A874" s="0" t="s">
        <v>66</v>
      </c>
      <c r="B874" s="0" t="n">
        <v>250</v>
      </c>
      <c r="C874" s="0" t="n">
        <v>4000</v>
      </c>
      <c r="D874" s="0" t="n">
        <v>0.0625</v>
      </c>
      <c r="E874" s="0" t="s">
        <v>1332</v>
      </c>
    </row>
    <row r="875" customFormat="false" ht="15" hidden="false" customHeight="false" outlineLevel="0" collapsed="false">
      <c r="A875" s="0" t="s">
        <v>66</v>
      </c>
      <c r="B875" s="0" t="n">
        <v>350</v>
      </c>
      <c r="C875" s="0" t="n">
        <v>4000</v>
      </c>
      <c r="D875" s="0" t="n">
        <v>0.0875</v>
      </c>
      <c r="E875" s="0" t="s">
        <v>1346</v>
      </c>
    </row>
    <row r="876" customFormat="false" ht="15" hidden="false" customHeight="false" outlineLevel="0" collapsed="false">
      <c r="A876" s="0" t="s">
        <v>66</v>
      </c>
      <c r="B876" s="0" t="n">
        <v>250</v>
      </c>
      <c r="C876" s="0" t="n">
        <v>4000</v>
      </c>
      <c r="D876" s="0" t="n">
        <v>0.0625</v>
      </c>
      <c r="E876" s="0" t="s">
        <v>1360</v>
      </c>
    </row>
    <row r="877" customFormat="false" ht="15" hidden="false" customHeight="false" outlineLevel="0" collapsed="false">
      <c r="A877" s="0" t="s">
        <v>66</v>
      </c>
      <c r="B877" s="0" t="n">
        <v>350</v>
      </c>
      <c r="C877" s="0" t="n">
        <v>4000</v>
      </c>
      <c r="D877" s="0" t="n">
        <v>0.0875</v>
      </c>
      <c r="E877" s="0" t="s">
        <v>1374</v>
      </c>
    </row>
    <row r="878" customFormat="false" ht="15" hidden="false" customHeight="false" outlineLevel="0" collapsed="false">
      <c r="A878" s="0" t="s">
        <v>66</v>
      </c>
      <c r="B878" s="0" t="n">
        <v>350</v>
      </c>
      <c r="C878" s="0" t="n">
        <v>4000</v>
      </c>
      <c r="D878" s="0" t="n">
        <v>0.0875</v>
      </c>
      <c r="E878" s="0" t="s">
        <v>1388</v>
      </c>
    </row>
    <row r="879" customFormat="false" ht="15" hidden="false" customHeight="false" outlineLevel="0" collapsed="false">
      <c r="A879" s="0" t="s">
        <v>66</v>
      </c>
      <c r="B879" s="0" t="n">
        <v>250</v>
      </c>
      <c r="C879" s="0" t="n">
        <v>4000</v>
      </c>
      <c r="D879" s="0" t="n">
        <v>0.0625</v>
      </c>
      <c r="E879" s="0" t="s">
        <v>1403</v>
      </c>
    </row>
    <row r="880" customFormat="false" ht="15" hidden="false" customHeight="false" outlineLevel="0" collapsed="false">
      <c r="A880" s="0" t="s">
        <v>66</v>
      </c>
      <c r="B880" s="0" t="n">
        <v>350</v>
      </c>
      <c r="C880" s="0" t="n">
        <v>3800</v>
      </c>
      <c r="D880" s="0" t="n">
        <v>0.0921052631578947</v>
      </c>
      <c r="E880" s="0" t="s">
        <v>1418</v>
      </c>
    </row>
    <row r="881" customFormat="false" ht="15" hidden="false" customHeight="false" outlineLevel="0" collapsed="false">
      <c r="A881" s="0" t="s">
        <v>66</v>
      </c>
      <c r="B881" s="0" t="n">
        <v>350</v>
      </c>
      <c r="C881" s="0" t="n">
        <v>3800</v>
      </c>
      <c r="D881" s="0" t="n">
        <v>0.0921052631578947</v>
      </c>
      <c r="E881" s="0" t="s">
        <v>1436</v>
      </c>
    </row>
    <row r="882" customFormat="false" ht="15" hidden="false" customHeight="false" outlineLevel="0" collapsed="false">
      <c r="A882" s="0" t="s">
        <v>66</v>
      </c>
      <c r="B882" s="0" t="n">
        <v>350</v>
      </c>
      <c r="C882" s="0" t="n">
        <v>3800</v>
      </c>
      <c r="D882" s="0" t="n">
        <v>0.0921052631578947</v>
      </c>
      <c r="E882" s="0" t="s">
        <v>1452</v>
      </c>
    </row>
    <row r="883" customFormat="false" ht="15" hidden="false" customHeight="false" outlineLevel="0" collapsed="false">
      <c r="A883" s="0" t="s">
        <v>66</v>
      </c>
      <c r="B883" s="0" t="n">
        <v>350</v>
      </c>
      <c r="C883" s="0" t="n">
        <v>3800</v>
      </c>
      <c r="D883" s="0" t="n">
        <v>0.0921052631578947</v>
      </c>
      <c r="E883" s="0" t="s">
        <v>1468</v>
      </c>
    </row>
    <row r="884" customFormat="false" ht="15" hidden="false" customHeight="false" outlineLevel="0" collapsed="false">
      <c r="A884" s="0" t="s">
        <v>66</v>
      </c>
      <c r="B884" s="0" t="n">
        <v>350</v>
      </c>
      <c r="C884" s="0" t="n">
        <v>3800</v>
      </c>
      <c r="D884" s="0" t="n">
        <v>0.0921052631578947</v>
      </c>
      <c r="E884" s="0" t="s">
        <v>1483</v>
      </c>
    </row>
    <row r="885" customFormat="false" ht="15" hidden="false" customHeight="false" outlineLevel="0" collapsed="false">
      <c r="A885" s="0" t="s">
        <v>66</v>
      </c>
      <c r="B885" s="0" t="n">
        <v>350</v>
      </c>
      <c r="C885" s="0" t="n">
        <v>3800</v>
      </c>
      <c r="D885" s="0" t="n">
        <v>0.0921052631578947</v>
      </c>
      <c r="E885" s="0" t="s">
        <v>1499</v>
      </c>
    </row>
    <row r="886" customFormat="false" ht="15" hidden="false" customHeight="false" outlineLevel="0" collapsed="false">
      <c r="A886" s="0" t="s">
        <v>66</v>
      </c>
      <c r="B886" s="0" t="n">
        <v>350</v>
      </c>
      <c r="C886" s="0" t="n">
        <v>3800</v>
      </c>
      <c r="D886" s="0" t="n">
        <v>0.0921052631578947</v>
      </c>
      <c r="E886" s="0" t="s">
        <v>1514</v>
      </c>
    </row>
    <row r="887" customFormat="false" ht="15" hidden="false" customHeight="false" outlineLevel="0" collapsed="false">
      <c r="A887" s="0" t="s">
        <v>66</v>
      </c>
      <c r="B887" s="0" t="n">
        <v>350</v>
      </c>
      <c r="C887" s="0" t="n">
        <v>3800</v>
      </c>
      <c r="D887" s="0" t="n">
        <v>0.0921052631578947</v>
      </c>
      <c r="E887" s="0" t="s">
        <v>1531</v>
      </c>
    </row>
    <row r="888" customFormat="false" ht="15" hidden="false" customHeight="false" outlineLevel="0" collapsed="false">
      <c r="A888" s="0" t="s">
        <v>66</v>
      </c>
      <c r="B888" s="0" t="n">
        <v>350</v>
      </c>
      <c r="C888" s="0" t="n">
        <v>3800</v>
      </c>
      <c r="D888" s="0" t="n">
        <v>0.0921052631578947</v>
      </c>
      <c r="E888" s="0" t="s">
        <v>1547</v>
      </c>
    </row>
    <row r="889" customFormat="false" ht="15" hidden="false" customHeight="false" outlineLevel="0" collapsed="false">
      <c r="A889" s="0" t="s">
        <v>66</v>
      </c>
      <c r="B889" s="0" t="n">
        <v>350</v>
      </c>
      <c r="C889" s="0" t="n">
        <v>3800</v>
      </c>
      <c r="D889" s="0" t="n">
        <v>0.0921052631578947</v>
      </c>
      <c r="E889" s="0" t="s">
        <v>1563</v>
      </c>
    </row>
    <row r="890" customFormat="false" ht="15" hidden="false" customHeight="false" outlineLevel="0" collapsed="false">
      <c r="A890" s="0" t="s">
        <v>66</v>
      </c>
      <c r="B890" s="0" t="n">
        <v>350</v>
      </c>
      <c r="C890" s="0" t="n">
        <v>3900</v>
      </c>
      <c r="D890" s="0" t="n">
        <v>0.0897435897435897</v>
      </c>
      <c r="E890" s="0" t="s">
        <v>1578</v>
      </c>
    </row>
    <row r="891" customFormat="false" ht="15" hidden="false" customHeight="false" outlineLevel="0" collapsed="false">
      <c r="A891" s="0" t="s">
        <v>66</v>
      </c>
      <c r="B891" s="0" t="n">
        <v>350</v>
      </c>
      <c r="C891" s="0" t="n">
        <v>3800</v>
      </c>
      <c r="D891" s="0" t="n">
        <v>0.0921052631578947</v>
      </c>
      <c r="E891" s="0" t="s">
        <v>1593</v>
      </c>
    </row>
    <row r="892" customFormat="false" ht="15" hidden="false" customHeight="false" outlineLevel="0" collapsed="false">
      <c r="A892" s="0" t="s">
        <v>66</v>
      </c>
      <c r="B892" s="0" t="n">
        <v>350</v>
      </c>
      <c r="C892" s="0" t="n">
        <v>3900</v>
      </c>
      <c r="D892" s="0" t="n">
        <v>0.0897435897435897</v>
      </c>
      <c r="E892" s="0" t="s">
        <v>1611</v>
      </c>
    </row>
    <row r="893" customFormat="false" ht="15" hidden="false" customHeight="false" outlineLevel="0" collapsed="false">
      <c r="A893" s="0" t="s">
        <v>66</v>
      </c>
      <c r="B893" s="0" t="n">
        <v>350</v>
      </c>
      <c r="C893" s="0" t="n">
        <v>3800</v>
      </c>
      <c r="D893" s="0" t="n">
        <v>0.0921052631578947</v>
      </c>
      <c r="E893" s="0" t="s">
        <v>1627</v>
      </c>
    </row>
    <row r="894" customFormat="false" ht="15" hidden="false" customHeight="false" outlineLevel="0" collapsed="false">
      <c r="A894" s="0" t="s">
        <v>66</v>
      </c>
      <c r="B894" s="0" t="n">
        <v>200</v>
      </c>
      <c r="C894" s="0" t="n">
        <v>3800</v>
      </c>
      <c r="D894" s="0" t="n">
        <v>0.0526315789473684</v>
      </c>
      <c r="E894" s="0" t="s">
        <v>1643</v>
      </c>
    </row>
    <row r="895" customFormat="false" ht="15" hidden="false" customHeight="false" outlineLevel="0" collapsed="false">
      <c r="A895" s="0" t="s">
        <v>66</v>
      </c>
      <c r="B895" s="0" t="n">
        <v>200</v>
      </c>
      <c r="C895" s="0" t="n">
        <v>3800</v>
      </c>
      <c r="D895" s="0" t="n">
        <v>0.0526315789473684</v>
      </c>
      <c r="E895" s="0" t="s">
        <v>1659</v>
      </c>
    </row>
    <row r="896" customFormat="false" ht="15" hidden="false" customHeight="false" outlineLevel="0" collapsed="false">
      <c r="A896" s="0" t="s">
        <v>66</v>
      </c>
      <c r="B896" s="0" t="n">
        <v>350</v>
      </c>
      <c r="C896" s="0" t="n">
        <v>3800</v>
      </c>
      <c r="D896" s="0" t="n">
        <v>0.0921052631578947</v>
      </c>
      <c r="E896" s="0" t="s">
        <v>1684</v>
      </c>
    </row>
    <row r="897" customFormat="false" ht="15" hidden="false" customHeight="false" outlineLevel="0" collapsed="false">
      <c r="A897" s="0" t="s">
        <v>66</v>
      </c>
      <c r="B897" s="0" t="n">
        <v>350</v>
      </c>
      <c r="C897" s="0" t="n">
        <v>3800</v>
      </c>
      <c r="D897" s="0" t="n">
        <v>0.0921052631578947</v>
      </c>
      <c r="E897" s="0" t="s">
        <v>1699</v>
      </c>
    </row>
    <row r="898" customFormat="false" ht="15" hidden="false" customHeight="false" outlineLevel="0" collapsed="false">
      <c r="A898" s="0" t="s">
        <v>66</v>
      </c>
      <c r="B898" s="0" t="n">
        <v>500</v>
      </c>
      <c r="C898" s="0" t="n">
        <v>4000</v>
      </c>
      <c r="D898" s="0" t="n">
        <v>0.125</v>
      </c>
      <c r="E898" s="0" t="s">
        <v>1717</v>
      </c>
    </row>
    <row r="899" customFormat="false" ht="15" hidden="false" customHeight="false" outlineLevel="0" collapsed="false">
      <c r="A899" s="0" t="s">
        <v>66</v>
      </c>
      <c r="B899" s="0" t="n">
        <v>350</v>
      </c>
      <c r="C899" s="0" t="n">
        <v>3800</v>
      </c>
      <c r="D899" s="0" t="n">
        <v>0.0921052631578947</v>
      </c>
      <c r="E899" s="0" t="s">
        <v>1732</v>
      </c>
    </row>
    <row r="900" customFormat="false" ht="15" hidden="false" customHeight="false" outlineLevel="0" collapsed="false">
      <c r="A900" s="0" t="s">
        <v>66</v>
      </c>
      <c r="B900" s="0" t="n">
        <v>350</v>
      </c>
      <c r="C900" s="0" t="n">
        <v>3800</v>
      </c>
      <c r="D900" s="0" t="n">
        <v>0.0921052631578947</v>
      </c>
      <c r="E900" s="0" t="s">
        <v>1754</v>
      </c>
    </row>
    <row r="901" customFormat="false" ht="15" hidden="false" customHeight="false" outlineLevel="0" collapsed="false">
      <c r="A901" s="0" t="s">
        <v>66</v>
      </c>
      <c r="B901" s="0" t="n">
        <v>350</v>
      </c>
      <c r="C901" s="0" t="n">
        <v>3800</v>
      </c>
      <c r="D901" s="0" t="n">
        <v>0.0921052631578947</v>
      </c>
      <c r="E901" s="0" t="s">
        <v>1774</v>
      </c>
    </row>
    <row r="902" customFormat="false" ht="15" hidden="false" customHeight="false" outlineLevel="0" collapsed="false">
      <c r="A902" s="0" t="s">
        <v>66</v>
      </c>
      <c r="B902" s="0" t="n">
        <v>100</v>
      </c>
      <c r="C902" s="0" t="n">
        <v>3800</v>
      </c>
      <c r="D902" s="0" t="n">
        <v>0.0263157894736842</v>
      </c>
      <c r="E902" s="0" t="s">
        <v>1795</v>
      </c>
    </row>
    <row r="903" customFormat="false" ht="15" hidden="false" customHeight="false" outlineLevel="0" collapsed="false">
      <c r="A903" s="0" t="s">
        <v>66</v>
      </c>
      <c r="B903" s="0" t="n">
        <v>250</v>
      </c>
      <c r="C903" s="0" t="n">
        <v>3800</v>
      </c>
      <c r="D903" s="0" t="n">
        <v>0.0657894736842105</v>
      </c>
      <c r="E903" s="0" t="s">
        <v>1811</v>
      </c>
    </row>
    <row r="904" customFormat="false" ht="15" hidden="false" customHeight="false" outlineLevel="0" collapsed="false">
      <c r="A904" s="0" t="s">
        <v>66</v>
      </c>
      <c r="B904" s="0" t="n">
        <v>250</v>
      </c>
      <c r="C904" s="0" t="n">
        <v>4000</v>
      </c>
      <c r="D904" s="0" t="n">
        <v>0.0625</v>
      </c>
      <c r="E904" s="0" t="s">
        <v>1830</v>
      </c>
    </row>
    <row r="905" customFormat="false" ht="15" hidden="false" customHeight="false" outlineLevel="0" collapsed="false">
      <c r="A905" s="0" t="s">
        <v>66</v>
      </c>
      <c r="B905" s="0" t="n">
        <v>250</v>
      </c>
      <c r="C905" s="0" t="n">
        <v>4000</v>
      </c>
      <c r="D905" s="0" t="n">
        <v>0.0625</v>
      </c>
      <c r="E905" s="0" t="s">
        <v>1847</v>
      </c>
    </row>
    <row r="906" customFormat="false" ht="15" hidden="false" customHeight="false" outlineLevel="0" collapsed="false">
      <c r="A906" s="0" t="s">
        <v>66</v>
      </c>
      <c r="B906" s="0" t="n">
        <v>350</v>
      </c>
      <c r="C906" s="0" t="n">
        <v>3800</v>
      </c>
      <c r="D906" s="0" t="n">
        <v>0.0921052631578947</v>
      </c>
      <c r="E906" s="0" t="s">
        <v>1866</v>
      </c>
    </row>
    <row r="907" customFormat="false" ht="15" hidden="false" customHeight="false" outlineLevel="0" collapsed="false">
      <c r="A907" s="0" t="s">
        <v>66</v>
      </c>
      <c r="B907" s="0" t="n">
        <v>350</v>
      </c>
      <c r="C907" s="0" t="n">
        <v>3800</v>
      </c>
      <c r="D907" s="0" t="n">
        <v>0.0921052631578947</v>
      </c>
      <c r="E907" s="0" t="s">
        <v>1883</v>
      </c>
    </row>
    <row r="908" customFormat="false" ht="15" hidden="false" customHeight="false" outlineLevel="0" collapsed="false">
      <c r="A908" s="0" t="s">
        <v>66</v>
      </c>
      <c r="B908" s="0" t="n">
        <v>350</v>
      </c>
      <c r="C908" s="0" t="n">
        <v>3800</v>
      </c>
      <c r="D908" s="0" t="n">
        <v>0.0921052631578947</v>
      </c>
      <c r="E908" s="0" t="s">
        <v>1898</v>
      </c>
    </row>
    <row r="909" customFormat="false" ht="15" hidden="false" customHeight="false" outlineLevel="0" collapsed="false">
      <c r="A909" s="0" t="s">
        <v>66</v>
      </c>
      <c r="B909" s="0" t="n">
        <v>350</v>
      </c>
      <c r="C909" s="0" t="n">
        <v>3800</v>
      </c>
      <c r="D909" s="0" t="n">
        <v>0.0921052631578947</v>
      </c>
      <c r="E909" s="0" t="s">
        <v>1913</v>
      </c>
    </row>
    <row r="910" customFormat="false" ht="15" hidden="false" customHeight="false" outlineLevel="0" collapsed="false">
      <c r="A910" s="0" t="s">
        <v>66</v>
      </c>
      <c r="B910" s="0" t="n">
        <v>350</v>
      </c>
      <c r="C910" s="0" t="n">
        <v>4000</v>
      </c>
      <c r="D910" s="0" t="n">
        <v>0.0875</v>
      </c>
      <c r="E910" s="0" t="s">
        <v>1934</v>
      </c>
    </row>
    <row r="911" customFormat="false" ht="15" hidden="false" customHeight="false" outlineLevel="0" collapsed="false">
      <c r="A911" s="0" t="s">
        <v>66</v>
      </c>
      <c r="B911" s="0" t="n">
        <v>250</v>
      </c>
      <c r="C911" s="0" t="n">
        <v>4000</v>
      </c>
      <c r="D911" s="0" t="n">
        <v>0.0625</v>
      </c>
      <c r="E911" s="0" t="s">
        <v>1949</v>
      </c>
    </row>
    <row r="912" customFormat="false" ht="15" hidden="false" customHeight="false" outlineLevel="0" collapsed="false">
      <c r="A912" s="0" t="s">
        <v>66</v>
      </c>
      <c r="B912" s="0" t="n">
        <v>350</v>
      </c>
      <c r="C912" s="0" t="n">
        <v>4000</v>
      </c>
      <c r="D912" s="0" t="n">
        <v>0.0875</v>
      </c>
      <c r="E912" s="0" t="s">
        <v>1965</v>
      </c>
    </row>
    <row r="913" customFormat="false" ht="15" hidden="false" customHeight="false" outlineLevel="0" collapsed="false">
      <c r="A913" s="0" t="s">
        <v>66</v>
      </c>
      <c r="B913" s="0" t="n">
        <v>350</v>
      </c>
      <c r="C913" s="0" t="n">
        <v>4000</v>
      </c>
      <c r="D913" s="0" t="n">
        <v>0.0875</v>
      </c>
      <c r="E913" s="0" t="s">
        <v>1980</v>
      </c>
    </row>
    <row r="914" customFormat="false" ht="15" hidden="false" customHeight="false" outlineLevel="0" collapsed="false">
      <c r="A914" s="0" t="s">
        <v>66</v>
      </c>
      <c r="B914" s="0" t="n">
        <v>350</v>
      </c>
      <c r="C914" s="0" t="n">
        <v>4000</v>
      </c>
      <c r="D914" s="0" t="n">
        <v>0.0875</v>
      </c>
      <c r="E914" s="0" t="s">
        <v>1997</v>
      </c>
    </row>
    <row r="915" customFormat="false" ht="15" hidden="false" customHeight="false" outlineLevel="0" collapsed="false">
      <c r="A915" s="0" t="s">
        <v>66</v>
      </c>
      <c r="B915" s="0" t="n">
        <v>350</v>
      </c>
      <c r="C915" s="0" t="n">
        <v>4000</v>
      </c>
      <c r="D915" s="0" t="n">
        <v>0.0875</v>
      </c>
      <c r="E915" s="0" t="s">
        <v>2013</v>
      </c>
    </row>
    <row r="916" customFormat="false" ht="15" hidden="false" customHeight="false" outlineLevel="0" collapsed="false">
      <c r="A916" s="0" t="s">
        <v>66</v>
      </c>
      <c r="B916" s="0" t="n">
        <v>350</v>
      </c>
      <c r="C916" s="0" t="n">
        <v>4000</v>
      </c>
      <c r="D916" s="0" t="n">
        <v>0.0875</v>
      </c>
      <c r="E916" s="0" t="s">
        <v>2028</v>
      </c>
    </row>
    <row r="917" customFormat="false" ht="15" hidden="false" customHeight="false" outlineLevel="0" collapsed="false">
      <c r="A917" s="0" t="s">
        <v>66</v>
      </c>
      <c r="B917" s="0" t="n">
        <v>250</v>
      </c>
      <c r="C917" s="0" t="n">
        <v>3800</v>
      </c>
      <c r="D917" s="0" t="n">
        <v>0.0657894736842105</v>
      </c>
      <c r="E917" s="0" t="s">
        <v>2044</v>
      </c>
    </row>
    <row r="918" customFormat="false" ht="15" hidden="false" customHeight="false" outlineLevel="0" collapsed="false">
      <c r="A918" s="0" t="s">
        <v>66</v>
      </c>
      <c r="B918" s="0" t="n">
        <v>350</v>
      </c>
      <c r="C918" s="0" t="n">
        <v>4000</v>
      </c>
      <c r="D918" s="0" t="n">
        <v>0.0875</v>
      </c>
      <c r="E918" s="0" t="s">
        <v>2060</v>
      </c>
    </row>
    <row r="919" customFormat="false" ht="15" hidden="false" customHeight="false" outlineLevel="0" collapsed="false">
      <c r="A919" s="0" t="s">
        <v>66</v>
      </c>
      <c r="B919" s="0" t="n">
        <v>350</v>
      </c>
      <c r="C919" s="0" t="n">
        <v>3800</v>
      </c>
      <c r="D919" s="0" t="n">
        <v>0.0921052631578947</v>
      </c>
      <c r="E919" s="0" t="s">
        <v>2076</v>
      </c>
    </row>
    <row r="920" customFormat="false" ht="15" hidden="false" customHeight="false" outlineLevel="0" collapsed="false">
      <c r="A920" s="0" t="s">
        <v>66</v>
      </c>
      <c r="B920" s="0" t="n">
        <v>350</v>
      </c>
      <c r="C920" s="0" t="n">
        <v>4000</v>
      </c>
      <c r="D920" s="0" t="n">
        <v>0.0875</v>
      </c>
      <c r="E920" s="0" t="s">
        <v>2091</v>
      </c>
    </row>
    <row r="921" customFormat="false" ht="15" hidden="false" customHeight="false" outlineLevel="0" collapsed="false">
      <c r="A921" s="0" t="s">
        <v>66</v>
      </c>
      <c r="B921" s="0" t="n">
        <v>250</v>
      </c>
      <c r="C921" s="0" t="n">
        <v>4000</v>
      </c>
      <c r="D921" s="0" t="n">
        <v>0.0625</v>
      </c>
      <c r="E921" s="0" t="s">
        <v>2107</v>
      </c>
    </row>
    <row r="922" customFormat="false" ht="15" hidden="false" customHeight="false" outlineLevel="0" collapsed="false">
      <c r="A922" s="0" t="s">
        <v>66</v>
      </c>
      <c r="B922" s="0" t="n">
        <v>250</v>
      </c>
      <c r="C922" s="0" t="n">
        <v>4000</v>
      </c>
      <c r="D922" s="0" t="n">
        <v>0.0625</v>
      </c>
      <c r="E922" s="0" t="s">
        <v>2125</v>
      </c>
    </row>
    <row r="923" customFormat="false" ht="15" hidden="false" customHeight="false" outlineLevel="0" collapsed="false">
      <c r="A923" s="0" t="s">
        <v>66</v>
      </c>
      <c r="B923" s="0" t="n">
        <v>250</v>
      </c>
      <c r="C923" s="0" t="n">
        <v>3800</v>
      </c>
      <c r="D923" s="0" t="n">
        <v>0.0657894736842105</v>
      </c>
      <c r="E923" s="0" t="s">
        <v>2142</v>
      </c>
    </row>
    <row r="924" customFormat="false" ht="15" hidden="false" customHeight="false" outlineLevel="0" collapsed="false">
      <c r="A924" s="0" t="s">
        <v>66</v>
      </c>
      <c r="B924" s="0" t="n">
        <v>250</v>
      </c>
      <c r="C924" s="0" t="n">
        <v>3800</v>
      </c>
      <c r="D924" s="0" t="n">
        <v>0.0657894736842105</v>
      </c>
      <c r="E924" s="0" t="s">
        <v>2157</v>
      </c>
    </row>
    <row r="925" customFormat="false" ht="15" hidden="false" customHeight="false" outlineLevel="0" collapsed="false">
      <c r="A925" s="0" t="s">
        <v>66</v>
      </c>
      <c r="B925" s="0" t="n">
        <v>250</v>
      </c>
      <c r="C925" s="0" t="n">
        <v>3800</v>
      </c>
      <c r="D925" s="0" t="n">
        <v>0.0657894736842105</v>
      </c>
      <c r="E925" s="0" t="s">
        <v>2173</v>
      </c>
    </row>
    <row r="926" customFormat="false" ht="15" hidden="false" customHeight="false" outlineLevel="0" collapsed="false">
      <c r="A926" s="0" t="s">
        <v>66</v>
      </c>
      <c r="B926" s="0" t="n">
        <v>250</v>
      </c>
      <c r="C926" s="0" t="n">
        <v>3800</v>
      </c>
      <c r="D926" s="0" t="n">
        <v>0.0657894736842105</v>
      </c>
      <c r="E926" s="0" t="s">
        <v>2188</v>
      </c>
    </row>
    <row r="927" customFormat="false" ht="15" hidden="false" customHeight="false" outlineLevel="0" collapsed="false">
      <c r="A927" s="0" t="s">
        <v>66</v>
      </c>
      <c r="B927" s="0" t="n">
        <v>250</v>
      </c>
      <c r="C927" s="0" t="n">
        <v>3800</v>
      </c>
      <c r="D927" s="0" t="n">
        <v>0.0657894736842105</v>
      </c>
      <c r="E927" s="0" t="s">
        <v>2203</v>
      </c>
    </row>
    <row r="928" customFormat="false" ht="15" hidden="false" customHeight="false" outlineLevel="0" collapsed="false">
      <c r="A928" s="0" t="s">
        <v>66</v>
      </c>
      <c r="B928" s="0" t="n">
        <v>250</v>
      </c>
      <c r="C928" s="0" t="n">
        <v>3800</v>
      </c>
      <c r="D928" s="0" t="n">
        <v>0.0657894736842105</v>
      </c>
      <c r="E928" s="0" t="s">
        <v>2217</v>
      </c>
    </row>
    <row r="929" customFormat="false" ht="15" hidden="false" customHeight="false" outlineLevel="0" collapsed="false">
      <c r="A929" s="0" t="s">
        <v>66</v>
      </c>
      <c r="B929" s="0" t="n">
        <v>350</v>
      </c>
      <c r="C929" s="0" t="n">
        <v>3800</v>
      </c>
      <c r="D929" s="0" t="n">
        <v>0.0921052631578947</v>
      </c>
      <c r="E929" s="0" t="s">
        <v>2234</v>
      </c>
    </row>
    <row r="930" customFormat="false" ht="15" hidden="false" customHeight="false" outlineLevel="0" collapsed="false">
      <c r="A930" s="0" t="s">
        <v>66</v>
      </c>
      <c r="B930" s="0" t="n">
        <v>350</v>
      </c>
      <c r="C930" s="0" t="n">
        <v>3800</v>
      </c>
      <c r="D930" s="0" t="n">
        <v>0.0921052631578947</v>
      </c>
      <c r="E930" s="0" t="s">
        <v>2248</v>
      </c>
    </row>
    <row r="931" customFormat="false" ht="15" hidden="false" customHeight="false" outlineLevel="0" collapsed="false">
      <c r="A931" s="0" t="s">
        <v>66</v>
      </c>
      <c r="B931" s="0" t="n">
        <v>350</v>
      </c>
      <c r="C931" s="0" t="n">
        <v>3800</v>
      </c>
      <c r="D931" s="0" t="n">
        <v>0.0921052631578947</v>
      </c>
      <c r="E931" s="0" t="s">
        <v>2263</v>
      </c>
    </row>
    <row r="932" customFormat="false" ht="15" hidden="false" customHeight="false" outlineLevel="0" collapsed="false">
      <c r="A932" s="0" t="s">
        <v>66</v>
      </c>
      <c r="B932" s="0" t="n">
        <v>350</v>
      </c>
      <c r="C932" s="0" t="n">
        <v>3800</v>
      </c>
      <c r="D932" s="0" t="n">
        <v>0.0921052631578947</v>
      </c>
      <c r="E932" s="0" t="s">
        <v>2277</v>
      </c>
    </row>
    <row r="933" customFormat="false" ht="15" hidden="false" customHeight="false" outlineLevel="0" collapsed="false">
      <c r="A933" s="0" t="s">
        <v>66</v>
      </c>
      <c r="B933" s="0" t="n">
        <v>350</v>
      </c>
      <c r="C933" s="0" t="n">
        <v>3800</v>
      </c>
      <c r="D933" s="0" t="n">
        <v>0.0921052631578947</v>
      </c>
      <c r="E933" s="0" t="s">
        <v>2291</v>
      </c>
    </row>
    <row r="934" customFormat="false" ht="15" hidden="false" customHeight="false" outlineLevel="0" collapsed="false">
      <c r="A934" s="0" t="s">
        <v>66</v>
      </c>
      <c r="B934" s="0" t="n">
        <v>100</v>
      </c>
      <c r="C934" s="0" t="n">
        <v>3800</v>
      </c>
      <c r="D934" s="0" t="n">
        <v>0.0263157894736842</v>
      </c>
      <c r="E934" s="0" t="s">
        <v>2305</v>
      </c>
    </row>
    <row r="935" customFormat="false" ht="15" hidden="false" customHeight="false" outlineLevel="0" collapsed="false">
      <c r="A935" s="0" t="s">
        <v>66</v>
      </c>
      <c r="B935" s="0" t="n">
        <v>100</v>
      </c>
      <c r="C935" s="0" t="n">
        <v>3800</v>
      </c>
      <c r="D935" s="0" t="n">
        <v>0.0263157894736842</v>
      </c>
      <c r="E935" s="0" t="s">
        <v>2319</v>
      </c>
    </row>
    <row r="936" customFormat="false" ht="15" hidden="false" customHeight="false" outlineLevel="0" collapsed="false">
      <c r="A936" s="0" t="s">
        <v>66</v>
      </c>
      <c r="B936" s="0" t="n">
        <v>100</v>
      </c>
      <c r="C936" s="0" t="n">
        <v>3800</v>
      </c>
      <c r="D936" s="0" t="n">
        <v>0.0263157894736842</v>
      </c>
      <c r="E936" s="0" t="s">
        <v>2337</v>
      </c>
    </row>
    <row r="937" customFormat="false" ht="15" hidden="false" customHeight="false" outlineLevel="0" collapsed="false">
      <c r="A937" s="0" t="s">
        <v>66</v>
      </c>
      <c r="B937" s="0" t="n">
        <v>100</v>
      </c>
      <c r="C937" s="0" t="n">
        <v>3800</v>
      </c>
      <c r="D937" s="0" t="n">
        <v>0.0263157894736842</v>
      </c>
      <c r="E937" s="0" t="s">
        <v>2354</v>
      </c>
    </row>
    <row r="938" customFormat="false" ht="15" hidden="false" customHeight="false" outlineLevel="0" collapsed="false">
      <c r="A938" s="0" t="s">
        <v>66</v>
      </c>
      <c r="B938" s="0" t="n">
        <v>100</v>
      </c>
      <c r="C938" s="0" t="n">
        <v>3800</v>
      </c>
      <c r="D938" s="0" t="n">
        <v>0.0263157894736842</v>
      </c>
      <c r="E938" s="0" t="s">
        <v>2371</v>
      </c>
    </row>
    <row r="939" customFormat="false" ht="15" hidden="false" customHeight="false" outlineLevel="0" collapsed="false">
      <c r="A939" s="0" t="s">
        <v>66</v>
      </c>
      <c r="B939" s="0" t="n">
        <v>100</v>
      </c>
      <c r="C939" s="0" t="n">
        <v>3800</v>
      </c>
      <c r="D939" s="0" t="n">
        <v>0.0263157894736842</v>
      </c>
      <c r="E939" s="0" t="s">
        <v>2388</v>
      </c>
    </row>
    <row r="940" customFormat="false" ht="15" hidden="false" customHeight="false" outlineLevel="0" collapsed="false">
      <c r="A940" s="0" t="s">
        <v>66</v>
      </c>
      <c r="B940" s="0" t="n">
        <v>100</v>
      </c>
      <c r="C940" s="0" t="n">
        <v>3800</v>
      </c>
      <c r="D940" s="0" t="n">
        <v>0.0263157894736842</v>
      </c>
      <c r="E940" s="0" t="s">
        <v>2405</v>
      </c>
    </row>
    <row r="941" customFormat="false" ht="15" hidden="false" customHeight="false" outlineLevel="0" collapsed="false">
      <c r="A941" s="0" t="s">
        <v>66</v>
      </c>
      <c r="B941" s="0" t="n">
        <v>100</v>
      </c>
      <c r="C941" s="0" t="n">
        <v>3800</v>
      </c>
      <c r="D941" s="0" t="n">
        <v>0.0263157894736842</v>
      </c>
      <c r="E941" s="0" t="s">
        <v>2420</v>
      </c>
    </row>
    <row r="942" customFormat="false" ht="15" hidden="false" customHeight="false" outlineLevel="0" collapsed="false">
      <c r="A942" s="0" t="s">
        <v>66</v>
      </c>
      <c r="B942" s="0" t="n">
        <v>100</v>
      </c>
      <c r="C942" s="0" t="n">
        <v>3800</v>
      </c>
      <c r="D942" s="0" t="n">
        <v>0.0263157894736842</v>
      </c>
      <c r="E942" s="0" t="s">
        <v>2434</v>
      </c>
    </row>
    <row r="943" customFormat="false" ht="15" hidden="false" customHeight="false" outlineLevel="0" collapsed="false">
      <c r="A943" s="0" t="s">
        <v>66</v>
      </c>
      <c r="B943" s="0" t="n">
        <v>100</v>
      </c>
      <c r="C943" s="0" t="n">
        <v>3800</v>
      </c>
      <c r="D943" s="0" t="n">
        <v>0.0263157894736842</v>
      </c>
      <c r="E943" s="0" t="s">
        <v>2449</v>
      </c>
    </row>
    <row r="944" customFormat="false" ht="15" hidden="false" customHeight="false" outlineLevel="0" collapsed="false">
      <c r="A944" s="0" t="s">
        <v>66</v>
      </c>
      <c r="B944" s="0" t="n">
        <v>300</v>
      </c>
      <c r="C944" s="0" t="n">
        <v>3800</v>
      </c>
      <c r="D944" s="0" t="n">
        <v>0.0789473684210526</v>
      </c>
      <c r="E944" s="0" t="s">
        <v>2474</v>
      </c>
    </row>
    <row r="945" customFormat="false" ht="15" hidden="false" customHeight="false" outlineLevel="0" collapsed="false">
      <c r="A945" s="0" t="s">
        <v>66</v>
      </c>
      <c r="B945" s="0" t="n">
        <v>300</v>
      </c>
      <c r="C945" s="0" t="n">
        <v>3800</v>
      </c>
      <c r="D945" s="0" t="n">
        <v>0.0789473684210526</v>
      </c>
      <c r="E945" s="0" t="s">
        <v>2493</v>
      </c>
    </row>
    <row r="946" customFormat="false" ht="15" hidden="false" customHeight="false" outlineLevel="0" collapsed="false">
      <c r="A946" s="0" t="s">
        <v>66</v>
      </c>
      <c r="B946" s="0" t="n">
        <v>250</v>
      </c>
      <c r="C946" s="0" t="n">
        <v>3800</v>
      </c>
      <c r="D946" s="0" t="n">
        <v>0.0657894736842105</v>
      </c>
      <c r="E946" s="0" t="s">
        <v>2508</v>
      </c>
    </row>
    <row r="947" customFormat="false" ht="15" hidden="false" customHeight="false" outlineLevel="0" collapsed="false">
      <c r="A947" s="0" t="s">
        <v>66</v>
      </c>
      <c r="B947" s="0" t="n">
        <v>250</v>
      </c>
      <c r="C947" s="0" t="n">
        <v>3800</v>
      </c>
      <c r="D947" s="0" t="n">
        <v>0.0657894736842105</v>
      </c>
      <c r="E947" s="0" t="s">
        <v>2521</v>
      </c>
    </row>
    <row r="948" customFormat="false" ht="15" hidden="false" customHeight="false" outlineLevel="0" collapsed="false">
      <c r="A948" s="0" t="s">
        <v>66</v>
      </c>
      <c r="B948" s="0" t="n">
        <v>350</v>
      </c>
      <c r="C948" s="0" t="n">
        <v>3800</v>
      </c>
      <c r="D948" s="0" t="n">
        <v>0.0921052631578947</v>
      </c>
      <c r="E948" s="0" t="s">
        <v>2534</v>
      </c>
    </row>
    <row r="949" customFormat="false" ht="15" hidden="false" customHeight="false" outlineLevel="0" collapsed="false">
      <c r="A949" s="0" t="s">
        <v>66</v>
      </c>
      <c r="B949" s="0" t="n">
        <v>250</v>
      </c>
      <c r="C949" s="0" t="n">
        <v>3800</v>
      </c>
      <c r="D949" s="0" t="n">
        <v>0.0657894736842105</v>
      </c>
      <c r="E949" s="0" t="s">
        <v>2547</v>
      </c>
    </row>
    <row r="950" customFormat="false" ht="15" hidden="false" customHeight="false" outlineLevel="0" collapsed="false">
      <c r="A950" s="0" t="s">
        <v>66</v>
      </c>
      <c r="B950" s="0" t="n">
        <v>500</v>
      </c>
      <c r="C950" s="0" t="n">
        <v>3800</v>
      </c>
      <c r="D950" s="0" t="n">
        <v>0.131578947368421</v>
      </c>
      <c r="E950" s="0" t="s">
        <v>2560</v>
      </c>
    </row>
    <row r="951" customFormat="false" ht="15" hidden="false" customHeight="false" outlineLevel="0" collapsed="false">
      <c r="A951" s="0" t="s">
        <v>66</v>
      </c>
      <c r="B951" s="0" t="n">
        <v>250</v>
      </c>
      <c r="C951" s="0" t="n">
        <v>3800</v>
      </c>
      <c r="D951" s="0" t="n">
        <v>0.0657894736842105</v>
      </c>
      <c r="E951" s="0" t="s">
        <v>2574</v>
      </c>
    </row>
    <row r="952" customFormat="false" ht="15" hidden="false" customHeight="false" outlineLevel="0" collapsed="false">
      <c r="A952" s="0" t="s">
        <v>66</v>
      </c>
      <c r="B952" s="0" t="n">
        <v>350</v>
      </c>
      <c r="C952" s="0" t="n">
        <v>3800</v>
      </c>
      <c r="D952" s="0" t="n">
        <v>0.0921052631578947</v>
      </c>
      <c r="E952" s="0" t="s">
        <v>2586</v>
      </c>
    </row>
    <row r="953" customFormat="false" ht="15" hidden="false" customHeight="false" outlineLevel="0" collapsed="false">
      <c r="A953" s="0" t="s">
        <v>66</v>
      </c>
      <c r="B953" s="0" t="n">
        <v>250</v>
      </c>
      <c r="C953" s="0" t="n">
        <v>3800</v>
      </c>
      <c r="D953" s="0" t="n">
        <v>0.0657894736842105</v>
      </c>
      <c r="E953" s="0" t="s">
        <v>2606</v>
      </c>
    </row>
    <row r="954" customFormat="false" ht="15" hidden="false" customHeight="false" outlineLevel="0" collapsed="false">
      <c r="A954" s="0" t="s">
        <v>66</v>
      </c>
      <c r="B954" s="0" t="n">
        <v>350</v>
      </c>
      <c r="C954" s="0" t="n">
        <v>3800</v>
      </c>
      <c r="D954" s="0" t="n">
        <v>0.0921052631578947</v>
      </c>
      <c r="E954" s="0" t="s">
        <v>2624</v>
      </c>
    </row>
    <row r="955" customFormat="false" ht="15" hidden="false" customHeight="false" outlineLevel="0" collapsed="false">
      <c r="A955" s="0" t="s">
        <v>66</v>
      </c>
      <c r="B955" s="0" t="n">
        <v>350</v>
      </c>
      <c r="C955" s="0" t="n">
        <v>3800</v>
      </c>
      <c r="D955" s="0" t="n">
        <v>0.0921052631578947</v>
      </c>
      <c r="E955" s="0" t="s">
        <v>2638</v>
      </c>
    </row>
    <row r="956" customFormat="false" ht="15" hidden="false" customHeight="false" outlineLevel="0" collapsed="false">
      <c r="A956" s="0" t="s">
        <v>66</v>
      </c>
      <c r="B956" s="0" t="n">
        <v>250</v>
      </c>
      <c r="C956" s="0" t="n">
        <v>3800</v>
      </c>
      <c r="D956" s="0" t="n">
        <v>0.0657894736842105</v>
      </c>
      <c r="E956" s="0" t="s">
        <v>2657</v>
      </c>
    </row>
    <row r="957" customFormat="false" ht="15" hidden="false" customHeight="false" outlineLevel="0" collapsed="false">
      <c r="A957" s="0" t="s">
        <v>66</v>
      </c>
      <c r="B957" s="0" t="n">
        <v>250</v>
      </c>
      <c r="C957" s="0" t="n">
        <v>3800</v>
      </c>
      <c r="D957" s="0" t="n">
        <v>0.0657894736842105</v>
      </c>
      <c r="E957" s="0" t="s">
        <v>2675</v>
      </c>
    </row>
    <row r="958" customFormat="false" ht="15" hidden="false" customHeight="false" outlineLevel="0" collapsed="false">
      <c r="A958" s="0" t="s">
        <v>66</v>
      </c>
      <c r="B958" s="0" t="n">
        <v>250</v>
      </c>
      <c r="C958" s="0" t="n">
        <v>4000</v>
      </c>
      <c r="D958" s="0" t="n">
        <v>0.0625</v>
      </c>
      <c r="E958" s="0" t="s">
        <v>2695</v>
      </c>
    </row>
    <row r="959" customFormat="false" ht="15" hidden="false" customHeight="false" outlineLevel="0" collapsed="false">
      <c r="A959" s="0" t="s">
        <v>66</v>
      </c>
      <c r="B959" s="0" t="n">
        <v>250</v>
      </c>
      <c r="C959" s="0" t="n">
        <v>4500</v>
      </c>
      <c r="D959" s="0" t="n">
        <v>0.0555555555555556</v>
      </c>
      <c r="E959" s="0" t="s">
        <v>2713</v>
      </c>
    </row>
    <row r="960" customFormat="false" ht="15" hidden="false" customHeight="false" outlineLevel="0" collapsed="false">
      <c r="A960" s="0" t="s">
        <v>66</v>
      </c>
      <c r="B960" s="0" t="n">
        <v>500</v>
      </c>
      <c r="C960" s="0" t="n">
        <v>3800</v>
      </c>
      <c r="D960" s="0" t="n">
        <v>0.131578947368421</v>
      </c>
      <c r="E960" s="0" t="s">
        <v>2727</v>
      </c>
    </row>
    <row r="961" customFormat="false" ht="15" hidden="false" customHeight="false" outlineLevel="0" collapsed="false">
      <c r="A961" s="0" t="s">
        <v>66</v>
      </c>
      <c r="B961" s="0" t="n">
        <v>250</v>
      </c>
      <c r="C961" s="0" t="n">
        <v>3800</v>
      </c>
      <c r="D961" s="0" t="n">
        <v>0.0657894736842105</v>
      </c>
      <c r="E961" s="0" t="s">
        <v>2758</v>
      </c>
    </row>
    <row r="962" customFormat="false" ht="15" hidden="false" customHeight="false" outlineLevel="0" collapsed="false">
      <c r="A962" s="0" t="s">
        <v>66</v>
      </c>
      <c r="B962" s="0" t="n">
        <v>250</v>
      </c>
      <c r="C962" s="0" t="n">
        <v>4000</v>
      </c>
      <c r="D962" s="0" t="n">
        <v>0.0625</v>
      </c>
      <c r="E962" s="0" t="s">
        <v>2771</v>
      </c>
    </row>
    <row r="963" customFormat="false" ht="15" hidden="false" customHeight="false" outlineLevel="0" collapsed="false">
      <c r="A963" s="0" t="s">
        <v>66</v>
      </c>
      <c r="B963" s="0" t="n">
        <v>250</v>
      </c>
      <c r="C963" s="0" t="n">
        <v>4000</v>
      </c>
      <c r="D963" s="0" t="n">
        <v>0.0625</v>
      </c>
      <c r="E963" s="0" t="s">
        <v>2786</v>
      </c>
    </row>
    <row r="964" customFormat="false" ht="15" hidden="false" customHeight="false" outlineLevel="0" collapsed="false">
      <c r="A964" s="0" t="s">
        <v>66</v>
      </c>
      <c r="B964" s="0" t="n">
        <v>250</v>
      </c>
      <c r="C964" s="0" t="n">
        <v>3800</v>
      </c>
      <c r="D964" s="0" t="n">
        <v>0.0657894736842105</v>
      </c>
      <c r="E964" s="0" t="s">
        <v>2794</v>
      </c>
    </row>
    <row r="965" customFormat="false" ht="15" hidden="false" customHeight="false" outlineLevel="0" collapsed="false">
      <c r="A965" s="0" t="s">
        <v>66</v>
      </c>
      <c r="B965" s="0" t="n">
        <v>500</v>
      </c>
      <c r="C965" s="0" t="n">
        <v>4500</v>
      </c>
      <c r="D965" s="0" t="n">
        <v>0.111111111111111</v>
      </c>
      <c r="E965" s="0" t="s">
        <v>2803</v>
      </c>
    </row>
    <row r="966" customFormat="false" ht="15" hidden="false" customHeight="false" outlineLevel="0" collapsed="false">
      <c r="A966" s="0" t="s">
        <v>66</v>
      </c>
      <c r="B966" s="0" t="n">
        <v>500</v>
      </c>
      <c r="C966" s="0" t="n">
        <v>4500</v>
      </c>
      <c r="D966" s="0" t="n">
        <v>0.111111111111111</v>
      </c>
      <c r="E966" s="0" t="s">
        <v>2812</v>
      </c>
    </row>
    <row r="967" customFormat="false" ht="15" hidden="false" customHeight="false" outlineLevel="0" collapsed="false">
      <c r="A967" s="0" t="s">
        <v>66</v>
      </c>
      <c r="B967" s="0" t="n">
        <v>750</v>
      </c>
      <c r="C967" s="0" t="n">
        <v>4500</v>
      </c>
      <c r="D967" s="0" t="n">
        <v>0.166666666666667</v>
      </c>
      <c r="E967" s="0" t="s">
        <v>2820</v>
      </c>
    </row>
    <row r="968" customFormat="false" ht="15" hidden="false" customHeight="false" outlineLevel="0" collapsed="false">
      <c r="A968" s="0" t="s">
        <v>66</v>
      </c>
      <c r="B968" s="0" t="n">
        <v>250</v>
      </c>
      <c r="C968" s="0" t="n">
        <v>4000</v>
      </c>
      <c r="D968" s="0" t="n">
        <v>0.0625</v>
      </c>
      <c r="E968" s="0" t="s">
        <v>2831</v>
      </c>
    </row>
    <row r="969" customFormat="false" ht="15" hidden="false" customHeight="false" outlineLevel="0" collapsed="false">
      <c r="A969" s="0" t="s">
        <v>66</v>
      </c>
      <c r="B969" s="0" t="n">
        <v>250</v>
      </c>
      <c r="C969" s="0" t="n">
        <v>4000</v>
      </c>
      <c r="D969" s="0" t="n">
        <v>0.0625</v>
      </c>
      <c r="E969" s="0" t="s">
        <v>2840</v>
      </c>
    </row>
    <row r="970" customFormat="false" ht="15" hidden="false" customHeight="false" outlineLevel="0" collapsed="false">
      <c r="A970" s="0" t="s">
        <v>66</v>
      </c>
      <c r="B970" s="0" t="n">
        <v>250</v>
      </c>
      <c r="C970" s="0" t="n">
        <v>4000</v>
      </c>
      <c r="D970" s="0" t="n">
        <v>0.0625</v>
      </c>
      <c r="E970" s="0" t="s">
        <v>2849</v>
      </c>
    </row>
    <row r="971" customFormat="false" ht="15" hidden="false" customHeight="false" outlineLevel="0" collapsed="false">
      <c r="A971" s="0" t="s">
        <v>66</v>
      </c>
      <c r="B971" s="0" t="n">
        <v>250</v>
      </c>
      <c r="C971" s="0" t="n">
        <v>4000</v>
      </c>
      <c r="D971" s="0" t="n">
        <v>0.0625</v>
      </c>
      <c r="E971" s="0" t="s">
        <v>2858</v>
      </c>
    </row>
    <row r="972" customFormat="false" ht="15" hidden="false" customHeight="false" outlineLevel="0" collapsed="false">
      <c r="A972" s="0" t="s">
        <v>66</v>
      </c>
      <c r="B972" s="0" t="n">
        <v>250</v>
      </c>
      <c r="C972" s="0" t="n">
        <v>4000</v>
      </c>
      <c r="D972" s="0" t="n">
        <v>0.0625</v>
      </c>
      <c r="E972" s="0" t="s">
        <v>2867</v>
      </c>
    </row>
    <row r="973" customFormat="false" ht="15" hidden="false" customHeight="false" outlineLevel="0" collapsed="false">
      <c r="A973" s="0" t="s">
        <v>66</v>
      </c>
      <c r="B973" s="0" t="n">
        <v>250</v>
      </c>
      <c r="C973" s="0" t="n">
        <v>4000</v>
      </c>
      <c r="D973" s="0" t="n">
        <v>0.0625</v>
      </c>
      <c r="E973" s="0" t="s">
        <v>2876</v>
      </c>
    </row>
    <row r="974" customFormat="false" ht="15" hidden="false" customHeight="false" outlineLevel="0" collapsed="false">
      <c r="A974" s="0" t="s">
        <v>66</v>
      </c>
      <c r="B974" s="0" t="n">
        <v>250</v>
      </c>
      <c r="C974" s="0" t="n">
        <v>4000</v>
      </c>
      <c r="D974" s="0" t="n">
        <v>0.0625</v>
      </c>
      <c r="E974" s="0" t="s">
        <v>2891</v>
      </c>
    </row>
    <row r="975" customFormat="false" ht="15" hidden="false" customHeight="false" outlineLevel="0" collapsed="false">
      <c r="A975" s="0" t="s">
        <v>66</v>
      </c>
      <c r="B975" s="0" t="n">
        <v>250</v>
      </c>
      <c r="C975" s="0" t="n">
        <v>4000</v>
      </c>
      <c r="D975" s="0" t="n">
        <v>0.0625</v>
      </c>
      <c r="E975" s="0" t="s">
        <v>2905</v>
      </c>
    </row>
    <row r="976" customFormat="false" ht="15" hidden="false" customHeight="false" outlineLevel="0" collapsed="false">
      <c r="A976" s="0" t="s">
        <v>66</v>
      </c>
      <c r="B976" s="0" t="n">
        <v>250</v>
      </c>
      <c r="C976" s="0" t="n">
        <v>4000</v>
      </c>
      <c r="D976" s="0" t="n">
        <v>0.0625</v>
      </c>
      <c r="E976" s="0" t="s">
        <v>2921</v>
      </c>
    </row>
    <row r="977" customFormat="false" ht="15" hidden="false" customHeight="false" outlineLevel="0" collapsed="false">
      <c r="A977" s="0" t="s">
        <v>66</v>
      </c>
      <c r="B977" s="0" t="n">
        <v>250</v>
      </c>
      <c r="C977" s="0" t="n">
        <v>4000</v>
      </c>
      <c r="D977" s="0" t="n">
        <v>0.0625</v>
      </c>
      <c r="E977" s="0" t="s">
        <v>2939</v>
      </c>
    </row>
    <row r="978" customFormat="false" ht="15" hidden="false" customHeight="false" outlineLevel="0" collapsed="false">
      <c r="A978" s="0" t="s">
        <v>66</v>
      </c>
      <c r="B978" s="0" t="n">
        <v>250</v>
      </c>
      <c r="C978" s="0" t="n">
        <v>4000</v>
      </c>
      <c r="D978" s="0" t="n">
        <v>0.0625</v>
      </c>
      <c r="E978" s="0" t="s">
        <v>2957</v>
      </c>
    </row>
    <row r="979" customFormat="false" ht="15" hidden="false" customHeight="false" outlineLevel="0" collapsed="false">
      <c r="A979" s="0" t="s">
        <v>66</v>
      </c>
      <c r="B979" s="0" t="n">
        <v>250</v>
      </c>
      <c r="C979" s="0" t="n">
        <v>4000</v>
      </c>
      <c r="D979" s="0" t="n">
        <v>0.0625</v>
      </c>
      <c r="E979" s="0" t="s">
        <v>2970</v>
      </c>
    </row>
    <row r="980" customFormat="false" ht="15" hidden="false" customHeight="false" outlineLevel="0" collapsed="false">
      <c r="A980" s="0" t="s">
        <v>66</v>
      </c>
      <c r="B980" s="0" t="n">
        <v>350</v>
      </c>
      <c r="C980" s="0" t="n">
        <v>4000</v>
      </c>
      <c r="D980" s="0" t="n">
        <v>0.0875</v>
      </c>
      <c r="E980" s="0" t="s">
        <v>2983</v>
      </c>
    </row>
    <row r="981" customFormat="false" ht="15" hidden="false" customHeight="false" outlineLevel="0" collapsed="false">
      <c r="A981" s="0" t="s">
        <v>66</v>
      </c>
      <c r="B981" s="0" t="n">
        <v>350</v>
      </c>
      <c r="C981" s="0" t="n">
        <v>4000</v>
      </c>
      <c r="D981" s="0" t="n">
        <v>0.0875</v>
      </c>
      <c r="E981" s="0" t="s">
        <v>2995</v>
      </c>
    </row>
    <row r="982" customFormat="false" ht="15" hidden="false" customHeight="false" outlineLevel="0" collapsed="false">
      <c r="A982" s="0" t="s">
        <v>66</v>
      </c>
      <c r="B982" s="0" t="n">
        <v>350</v>
      </c>
      <c r="C982" s="0" t="n">
        <v>4000</v>
      </c>
      <c r="D982" s="0" t="n">
        <v>0.0875</v>
      </c>
      <c r="E982" s="0" t="s">
        <v>3006</v>
      </c>
    </row>
    <row r="983" customFormat="false" ht="15" hidden="false" customHeight="false" outlineLevel="0" collapsed="false">
      <c r="A983" s="0" t="s">
        <v>66</v>
      </c>
      <c r="B983" s="0" t="n">
        <v>350</v>
      </c>
      <c r="C983" s="0" t="n">
        <v>4000</v>
      </c>
      <c r="D983" s="0" t="n">
        <v>0.0875</v>
      </c>
      <c r="E983" s="0" t="s">
        <v>3018</v>
      </c>
    </row>
    <row r="984" customFormat="false" ht="15" hidden="false" customHeight="false" outlineLevel="0" collapsed="false">
      <c r="A984" s="0" t="s">
        <v>66</v>
      </c>
      <c r="B984" s="0" t="n">
        <v>350</v>
      </c>
      <c r="C984" s="0" t="n">
        <v>4000</v>
      </c>
      <c r="D984" s="0" t="n">
        <v>0.0875</v>
      </c>
      <c r="E984" s="0" t="s">
        <v>3030</v>
      </c>
    </row>
    <row r="985" customFormat="false" ht="15" hidden="false" customHeight="false" outlineLevel="0" collapsed="false">
      <c r="A985" s="0" t="s">
        <v>66</v>
      </c>
      <c r="B985" s="0" t="n">
        <v>350</v>
      </c>
      <c r="C985" s="0" t="n">
        <v>4000</v>
      </c>
      <c r="D985" s="0" t="n">
        <v>0.0875</v>
      </c>
      <c r="E985" s="0" t="s">
        <v>3041</v>
      </c>
    </row>
    <row r="986" customFormat="false" ht="15" hidden="false" customHeight="false" outlineLevel="0" collapsed="false">
      <c r="A986" s="0" t="s">
        <v>66</v>
      </c>
      <c r="B986" s="0" t="n">
        <v>350</v>
      </c>
      <c r="C986" s="0" t="n">
        <v>4000</v>
      </c>
      <c r="D986" s="0" t="n">
        <v>0.0875</v>
      </c>
      <c r="E986" s="0" t="s">
        <v>3052</v>
      </c>
    </row>
    <row r="987" customFormat="false" ht="15" hidden="false" customHeight="false" outlineLevel="0" collapsed="false">
      <c r="A987" s="0" t="s">
        <v>66</v>
      </c>
      <c r="B987" s="0" t="n">
        <v>350</v>
      </c>
      <c r="C987" s="0" t="n">
        <v>4000</v>
      </c>
      <c r="D987" s="0" t="n">
        <v>0.0875</v>
      </c>
      <c r="E987" s="0" t="s">
        <v>3064</v>
      </c>
    </row>
    <row r="988" customFormat="false" ht="15" hidden="false" customHeight="false" outlineLevel="0" collapsed="false">
      <c r="A988" s="0" t="s">
        <v>66</v>
      </c>
      <c r="B988" s="0" t="n">
        <v>350</v>
      </c>
      <c r="C988" s="0" t="n">
        <v>4000</v>
      </c>
      <c r="D988" s="0" t="n">
        <v>0.0875</v>
      </c>
      <c r="E988" s="0" t="s">
        <v>3075</v>
      </c>
    </row>
    <row r="989" customFormat="false" ht="15" hidden="false" customHeight="false" outlineLevel="0" collapsed="false">
      <c r="A989" s="0" t="s">
        <v>66</v>
      </c>
      <c r="B989" s="0" t="n">
        <v>350</v>
      </c>
      <c r="C989" s="0" t="n">
        <v>4000</v>
      </c>
      <c r="D989" s="0" t="n">
        <v>0.0875</v>
      </c>
      <c r="E989" s="0" t="s">
        <v>3087</v>
      </c>
    </row>
    <row r="990" customFormat="false" ht="15" hidden="false" customHeight="false" outlineLevel="0" collapsed="false">
      <c r="A990" s="0" t="s">
        <v>66</v>
      </c>
      <c r="B990" s="0" t="n">
        <v>350</v>
      </c>
      <c r="C990" s="0" t="n">
        <v>4000</v>
      </c>
      <c r="D990" s="0" t="n">
        <v>0.0875</v>
      </c>
      <c r="E990" s="0" t="s">
        <v>3098</v>
      </c>
    </row>
    <row r="991" customFormat="false" ht="15" hidden="false" customHeight="false" outlineLevel="0" collapsed="false">
      <c r="A991" s="0" t="s">
        <v>66</v>
      </c>
      <c r="B991" s="0" t="n">
        <v>350</v>
      </c>
      <c r="C991" s="0" t="n">
        <v>4000</v>
      </c>
      <c r="D991" s="0" t="n">
        <v>0.0875</v>
      </c>
      <c r="E991" s="0" t="s">
        <v>3109</v>
      </c>
    </row>
    <row r="992" customFormat="false" ht="15" hidden="false" customHeight="false" outlineLevel="0" collapsed="false">
      <c r="A992" s="0" t="s">
        <v>66</v>
      </c>
      <c r="B992" s="0" t="n">
        <v>350</v>
      </c>
      <c r="C992" s="0" t="n">
        <v>4000</v>
      </c>
      <c r="D992" s="0" t="n">
        <v>0.0875</v>
      </c>
      <c r="E992" s="0" t="s">
        <v>3121</v>
      </c>
    </row>
    <row r="993" customFormat="false" ht="15" hidden="false" customHeight="false" outlineLevel="0" collapsed="false">
      <c r="A993" s="0" t="s">
        <v>66</v>
      </c>
      <c r="B993" s="0" t="n">
        <v>350</v>
      </c>
      <c r="C993" s="0" t="n">
        <v>4000</v>
      </c>
      <c r="D993" s="0" t="n">
        <v>0.0875</v>
      </c>
      <c r="E993" s="0" t="s">
        <v>3133</v>
      </c>
    </row>
    <row r="994" customFormat="false" ht="15" hidden="false" customHeight="false" outlineLevel="0" collapsed="false">
      <c r="A994" s="0" t="s">
        <v>66</v>
      </c>
      <c r="B994" s="0" t="n">
        <v>350</v>
      </c>
      <c r="C994" s="0" t="n">
        <v>4000</v>
      </c>
      <c r="D994" s="0" t="n">
        <v>0.0875</v>
      </c>
      <c r="E994" s="0" t="s">
        <v>3144</v>
      </c>
    </row>
    <row r="995" customFormat="false" ht="15" hidden="false" customHeight="false" outlineLevel="0" collapsed="false">
      <c r="A995" s="0" t="s">
        <v>66</v>
      </c>
      <c r="B995" s="0" t="n">
        <v>350</v>
      </c>
      <c r="C995" s="0" t="n">
        <v>4000</v>
      </c>
      <c r="D995" s="0" t="n">
        <v>0.0875</v>
      </c>
      <c r="E995" s="0" t="s">
        <v>3155</v>
      </c>
    </row>
    <row r="996" customFormat="false" ht="15" hidden="false" customHeight="false" outlineLevel="0" collapsed="false">
      <c r="A996" s="0" t="s">
        <v>66</v>
      </c>
      <c r="B996" s="0" t="n">
        <v>350</v>
      </c>
      <c r="C996" s="0" t="n">
        <v>4000</v>
      </c>
      <c r="D996" s="0" t="n">
        <v>0.0875</v>
      </c>
      <c r="E996" s="0" t="s">
        <v>3166</v>
      </c>
    </row>
    <row r="997" customFormat="false" ht="15" hidden="false" customHeight="false" outlineLevel="0" collapsed="false">
      <c r="A997" s="0" t="s">
        <v>66</v>
      </c>
      <c r="B997" s="0" t="n">
        <v>350</v>
      </c>
      <c r="C997" s="0" t="n">
        <v>4000</v>
      </c>
      <c r="D997" s="0" t="n">
        <v>0.0875</v>
      </c>
      <c r="E997" s="0" t="s">
        <v>3177</v>
      </c>
    </row>
    <row r="998" customFormat="false" ht="15" hidden="false" customHeight="false" outlineLevel="0" collapsed="false">
      <c r="A998" s="0" t="s">
        <v>66</v>
      </c>
      <c r="B998" s="0" t="n">
        <v>350</v>
      </c>
      <c r="C998" s="0" t="n">
        <v>4000</v>
      </c>
      <c r="D998" s="0" t="n">
        <v>0.0875</v>
      </c>
      <c r="E998" s="0" t="s">
        <v>3189</v>
      </c>
    </row>
    <row r="999" customFormat="false" ht="15" hidden="false" customHeight="false" outlineLevel="0" collapsed="false">
      <c r="A999" s="0" t="s">
        <v>66</v>
      </c>
      <c r="B999" s="0" t="n">
        <v>350</v>
      </c>
      <c r="C999" s="0" t="n">
        <v>4000</v>
      </c>
      <c r="D999" s="0" t="n">
        <v>0.0875</v>
      </c>
      <c r="E999" s="0" t="s">
        <v>3202</v>
      </c>
    </row>
    <row r="1000" customFormat="false" ht="15" hidden="false" customHeight="false" outlineLevel="0" collapsed="false">
      <c r="A1000" s="0" t="s">
        <v>66</v>
      </c>
      <c r="B1000" s="0" t="n">
        <v>350</v>
      </c>
      <c r="C1000" s="0" t="n">
        <v>4000</v>
      </c>
      <c r="D1000" s="0" t="n">
        <v>0.0875</v>
      </c>
      <c r="E1000" s="0" t="s">
        <v>3213</v>
      </c>
    </row>
    <row r="1001" customFormat="false" ht="15" hidden="false" customHeight="false" outlineLevel="0" collapsed="false">
      <c r="A1001" s="0" t="s">
        <v>66</v>
      </c>
      <c r="B1001" s="0" t="n">
        <v>350</v>
      </c>
      <c r="C1001" s="0" t="n">
        <v>4000</v>
      </c>
      <c r="D1001" s="0" t="n">
        <v>0.0875</v>
      </c>
      <c r="E1001" s="0" t="s">
        <v>3225</v>
      </c>
    </row>
    <row r="1002" customFormat="false" ht="15" hidden="false" customHeight="false" outlineLevel="0" collapsed="false">
      <c r="A1002" s="0" t="s">
        <v>66</v>
      </c>
      <c r="B1002" s="0" t="n">
        <v>350</v>
      </c>
      <c r="C1002" s="0" t="n">
        <v>4000</v>
      </c>
      <c r="D1002" s="0" t="n">
        <v>0.0875</v>
      </c>
      <c r="E1002" s="0" t="s">
        <v>3236</v>
      </c>
    </row>
    <row r="1003" customFormat="false" ht="15" hidden="false" customHeight="false" outlineLevel="0" collapsed="false">
      <c r="A1003" s="0" t="s">
        <v>66</v>
      </c>
      <c r="B1003" s="0" t="n">
        <v>350</v>
      </c>
      <c r="C1003" s="0" t="n">
        <v>4000</v>
      </c>
      <c r="D1003" s="0" t="n">
        <v>0.0875</v>
      </c>
      <c r="E1003" s="0" t="s">
        <v>3247</v>
      </c>
    </row>
    <row r="1004" customFormat="false" ht="15" hidden="false" customHeight="false" outlineLevel="0" collapsed="false">
      <c r="A1004" s="0" t="s">
        <v>66</v>
      </c>
      <c r="B1004" s="0" t="n">
        <v>250</v>
      </c>
      <c r="C1004" s="0" t="n">
        <v>4000</v>
      </c>
      <c r="D1004" s="0" t="n">
        <v>0.0625</v>
      </c>
      <c r="E1004" s="0" t="s">
        <v>3260</v>
      </c>
    </row>
    <row r="1005" customFormat="false" ht="15" hidden="false" customHeight="false" outlineLevel="0" collapsed="false">
      <c r="A1005" s="0" t="s">
        <v>66</v>
      </c>
      <c r="B1005" s="0" t="n">
        <v>250</v>
      </c>
      <c r="C1005" s="0" t="n">
        <v>4000</v>
      </c>
      <c r="D1005" s="0" t="n">
        <v>0.0625</v>
      </c>
      <c r="E1005" s="0" t="s">
        <v>3273</v>
      </c>
    </row>
    <row r="1006" customFormat="false" ht="15" hidden="false" customHeight="false" outlineLevel="0" collapsed="false">
      <c r="A1006" s="0" t="s">
        <v>66</v>
      </c>
      <c r="B1006" s="0" t="n">
        <v>250</v>
      </c>
      <c r="C1006" s="0" t="n">
        <v>4000</v>
      </c>
      <c r="D1006" s="0" t="n">
        <v>0.0625</v>
      </c>
      <c r="E1006" s="0" t="s">
        <v>3291</v>
      </c>
    </row>
    <row r="1007" customFormat="false" ht="15" hidden="false" customHeight="false" outlineLevel="0" collapsed="false">
      <c r="A1007" s="0" t="s">
        <v>66</v>
      </c>
      <c r="B1007" s="0" t="n">
        <v>250</v>
      </c>
      <c r="C1007" s="0" t="n">
        <v>4000</v>
      </c>
      <c r="D1007" s="0" t="n">
        <v>0.0625</v>
      </c>
      <c r="E1007" s="0" t="s">
        <v>3311</v>
      </c>
    </row>
    <row r="1008" customFormat="false" ht="15" hidden="false" customHeight="false" outlineLevel="0" collapsed="false">
      <c r="A1008" s="0" t="s">
        <v>66</v>
      </c>
      <c r="B1008" s="0" t="n">
        <v>250</v>
      </c>
      <c r="C1008" s="0" t="n">
        <v>4000</v>
      </c>
      <c r="D1008" s="0" t="n">
        <v>0.0625</v>
      </c>
      <c r="E1008" s="0" t="s">
        <v>3328</v>
      </c>
    </row>
    <row r="1009" customFormat="false" ht="15" hidden="false" customHeight="false" outlineLevel="0" collapsed="false">
      <c r="A1009" s="0" t="s">
        <v>66</v>
      </c>
      <c r="B1009" s="0" t="n">
        <v>250</v>
      </c>
      <c r="C1009" s="0" t="n">
        <v>4000</v>
      </c>
      <c r="D1009" s="0" t="n">
        <v>0.0625</v>
      </c>
      <c r="E1009" s="0" t="s">
        <v>3343</v>
      </c>
    </row>
    <row r="1010" customFormat="false" ht="15" hidden="false" customHeight="false" outlineLevel="0" collapsed="false">
      <c r="A1010" s="0" t="s">
        <v>66</v>
      </c>
      <c r="B1010" s="0" t="n">
        <v>300</v>
      </c>
      <c r="C1010" s="0" t="n">
        <v>3900</v>
      </c>
      <c r="D1010" s="0" t="n">
        <v>0.0769230769230769</v>
      </c>
      <c r="E1010" s="0" t="s">
        <v>3370</v>
      </c>
    </row>
    <row r="1011" customFormat="false" ht="15" hidden="false" customHeight="false" outlineLevel="0" collapsed="false">
      <c r="A1011" s="0" t="s">
        <v>66</v>
      </c>
      <c r="B1011" s="0" t="n">
        <v>300</v>
      </c>
      <c r="C1011" s="0" t="n">
        <v>4000</v>
      </c>
      <c r="D1011" s="0" t="n">
        <v>0.075</v>
      </c>
      <c r="E1011" s="0" t="s">
        <v>3382</v>
      </c>
    </row>
    <row r="1012" customFormat="false" ht="15" hidden="false" customHeight="false" outlineLevel="0" collapsed="false">
      <c r="A1012" s="0" t="s">
        <v>66</v>
      </c>
      <c r="B1012" s="0" t="n">
        <v>250</v>
      </c>
      <c r="C1012" s="0" t="n">
        <v>4500</v>
      </c>
      <c r="D1012" s="0" t="n">
        <v>0.0555555555555556</v>
      </c>
      <c r="E1012" s="0" t="s">
        <v>3392</v>
      </c>
    </row>
    <row r="1013" customFormat="false" ht="15" hidden="false" customHeight="false" outlineLevel="0" collapsed="false">
      <c r="A1013" s="0" t="s">
        <v>66</v>
      </c>
      <c r="B1013" s="0" t="n">
        <v>250</v>
      </c>
      <c r="C1013" s="0" t="n">
        <v>4500</v>
      </c>
      <c r="D1013" s="0" t="n">
        <v>0.0555555555555556</v>
      </c>
      <c r="E1013" s="0" t="s">
        <v>3401</v>
      </c>
    </row>
    <row r="1014" customFormat="false" ht="15" hidden="false" customHeight="false" outlineLevel="0" collapsed="false">
      <c r="A1014" s="0" t="s">
        <v>66</v>
      </c>
      <c r="B1014" s="0" t="n">
        <v>250</v>
      </c>
      <c r="C1014" s="0" t="n">
        <v>4500</v>
      </c>
      <c r="D1014" s="0" t="n">
        <v>0.0555555555555556</v>
      </c>
      <c r="E1014" s="0" t="s">
        <v>3410</v>
      </c>
    </row>
    <row r="1015" customFormat="false" ht="15" hidden="false" customHeight="false" outlineLevel="0" collapsed="false">
      <c r="A1015" s="0" t="s">
        <v>66</v>
      </c>
      <c r="B1015" s="0" t="n">
        <v>250</v>
      </c>
      <c r="C1015" s="0" t="n">
        <v>4500</v>
      </c>
      <c r="D1015" s="0" t="n">
        <v>0.0555555555555556</v>
      </c>
      <c r="E1015" s="0" t="s">
        <v>3419</v>
      </c>
    </row>
    <row r="1016" customFormat="false" ht="15" hidden="false" customHeight="false" outlineLevel="0" collapsed="false">
      <c r="A1016" s="0" t="s">
        <v>66</v>
      </c>
      <c r="B1016" s="0" t="n">
        <v>250</v>
      </c>
      <c r="C1016" s="0" t="n">
        <v>4500</v>
      </c>
      <c r="D1016" s="0" t="n">
        <v>0.0555555555555556</v>
      </c>
      <c r="E1016" s="0" t="s">
        <v>3428</v>
      </c>
    </row>
    <row r="1017" customFormat="false" ht="15" hidden="false" customHeight="false" outlineLevel="0" collapsed="false">
      <c r="A1017" s="0" t="s">
        <v>66</v>
      </c>
      <c r="B1017" s="0" t="n">
        <v>250</v>
      </c>
      <c r="C1017" s="0" t="n">
        <v>4500</v>
      </c>
      <c r="D1017" s="0" t="n">
        <v>0.0555555555555556</v>
      </c>
      <c r="E1017" s="0" t="s">
        <v>3437</v>
      </c>
    </row>
    <row r="1018" customFormat="false" ht="15" hidden="false" customHeight="false" outlineLevel="0" collapsed="false">
      <c r="A1018" s="0" t="s">
        <v>735</v>
      </c>
      <c r="B1018" s="0" t="n">
        <v>8740</v>
      </c>
      <c r="C1018" s="0" t="n">
        <v>3800</v>
      </c>
      <c r="D1018" s="0" t="n">
        <v>2.3</v>
      </c>
      <c r="E1018" s="0" t="s">
        <v>736</v>
      </c>
    </row>
    <row r="1019" customFormat="false" ht="15" hidden="false" customHeight="false" outlineLevel="0" collapsed="false">
      <c r="A1019" s="0" t="s">
        <v>740</v>
      </c>
      <c r="B1019" s="0" t="n">
        <v>2500</v>
      </c>
      <c r="C1019" s="0" t="n">
        <v>3800</v>
      </c>
      <c r="D1019" s="0" t="n">
        <v>0.657894736842105</v>
      </c>
      <c r="E1019" s="0" t="s">
        <v>741</v>
      </c>
    </row>
    <row r="1020" customFormat="false" ht="15" hidden="false" customHeight="false" outlineLevel="0" collapsed="false">
      <c r="A1020" s="0" t="s">
        <v>740</v>
      </c>
      <c r="B1020" s="0" t="n">
        <v>2500</v>
      </c>
      <c r="C1020" s="0" t="n">
        <v>3800</v>
      </c>
      <c r="D1020" s="0" t="n">
        <v>0.657894736842105</v>
      </c>
      <c r="E1020" s="0" t="s">
        <v>758</v>
      </c>
    </row>
    <row r="1021" customFormat="false" ht="15" hidden="false" customHeight="false" outlineLevel="0" collapsed="false">
      <c r="A1021" s="0" t="s">
        <v>740</v>
      </c>
      <c r="B1021" s="0" t="n">
        <v>3000</v>
      </c>
      <c r="C1021" s="0" t="n">
        <v>3800</v>
      </c>
      <c r="D1021" s="0" t="n">
        <v>0.789473684210526</v>
      </c>
      <c r="E1021" s="0" t="s">
        <v>980</v>
      </c>
    </row>
    <row r="1022" customFormat="false" ht="15" hidden="false" customHeight="false" outlineLevel="0" collapsed="false">
      <c r="A1022" s="0" t="s">
        <v>740</v>
      </c>
      <c r="B1022" s="0" t="n">
        <v>3000</v>
      </c>
      <c r="C1022" s="0" t="n">
        <v>3900</v>
      </c>
      <c r="D1022" s="0" t="n">
        <v>0.769230769230769</v>
      </c>
      <c r="E1022" s="0" t="s">
        <v>1572</v>
      </c>
    </row>
    <row r="1023" customFormat="false" ht="15" hidden="false" customHeight="false" outlineLevel="0" collapsed="false">
      <c r="A1023" s="0" t="s">
        <v>740</v>
      </c>
      <c r="B1023" s="0" t="n">
        <v>4000</v>
      </c>
      <c r="C1023" s="0" t="n">
        <v>3800</v>
      </c>
      <c r="D1023" s="0" t="n">
        <v>1.05263157894737</v>
      </c>
      <c r="E1023" s="0" t="s">
        <v>1585</v>
      </c>
    </row>
    <row r="1024" customFormat="false" ht="15" hidden="false" customHeight="false" outlineLevel="0" collapsed="false">
      <c r="A1024" s="0" t="s">
        <v>740</v>
      </c>
      <c r="B1024" s="0" t="n">
        <v>1800</v>
      </c>
      <c r="C1024" s="0" t="n">
        <v>3900</v>
      </c>
      <c r="D1024" s="0" t="n">
        <v>0.461538461538462</v>
      </c>
      <c r="E1024" s="0" t="s">
        <v>1604</v>
      </c>
    </row>
    <row r="1025" customFormat="false" ht="15" hidden="false" customHeight="false" outlineLevel="0" collapsed="false">
      <c r="A1025" s="0" t="s">
        <v>740</v>
      </c>
      <c r="B1025" s="0" t="n">
        <v>1500</v>
      </c>
      <c r="C1025" s="0" t="n">
        <v>3800</v>
      </c>
      <c r="D1025" s="0" t="n">
        <v>0.394736842105263</v>
      </c>
      <c r="E1025" s="0" t="s">
        <v>1619</v>
      </c>
    </row>
    <row r="1026" customFormat="false" ht="15" hidden="false" customHeight="false" outlineLevel="0" collapsed="false">
      <c r="A1026" s="0" t="s">
        <v>740</v>
      </c>
      <c r="B1026" s="0" t="n">
        <v>3500</v>
      </c>
      <c r="C1026" s="0" t="n">
        <v>3800</v>
      </c>
      <c r="D1026" s="0" t="n">
        <v>0.921052631578947</v>
      </c>
      <c r="E1026" s="0" t="s">
        <v>1635</v>
      </c>
    </row>
    <row r="1027" customFormat="false" ht="15" hidden="false" customHeight="false" outlineLevel="0" collapsed="false">
      <c r="A1027" s="0" t="s">
        <v>740</v>
      </c>
      <c r="B1027" s="0" t="n">
        <v>3000</v>
      </c>
      <c r="C1027" s="0" t="n">
        <v>3800</v>
      </c>
      <c r="D1027" s="0" t="n">
        <v>0.789473684210526</v>
      </c>
      <c r="E1027" s="0" t="s">
        <v>1676</v>
      </c>
    </row>
    <row r="1028" customFormat="false" ht="15" hidden="false" customHeight="false" outlineLevel="0" collapsed="false">
      <c r="A1028" s="0" t="s">
        <v>740</v>
      </c>
      <c r="B1028" s="0" t="n">
        <v>3000</v>
      </c>
      <c r="C1028" s="0" t="n">
        <v>3800</v>
      </c>
      <c r="D1028" s="0" t="n">
        <v>0.789473684210526</v>
      </c>
      <c r="E1028" s="0" t="s">
        <v>1691</v>
      </c>
    </row>
    <row r="1029" customFormat="false" ht="15" hidden="false" customHeight="false" outlineLevel="0" collapsed="false">
      <c r="A1029" s="0" t="s">
        <v>740</v>
      </c>
      <c r="B1029" s="0" t="n">
        <v>1200</v>
      </c>
      <c r="C1029" s="0" t="n">
        <v>4000</v>
      </c>
      <c r="D1029" s="0" t="n">
        <v>0.3</v>
      </c>
      <c r="E1029" s="0" t="s">
        <v>1707</v>
      </c>
    </row>
    <row r="1030" customFormat="false" ht="15" hidden="false" customHeight="false" outlineLevel="0" collapsed="false">
      <c r="A1030" s="0" t="s">
        <v>740</v>
      </c>
      <c r="B1030" s="0" t="n">
        <v>1300</v>
      </c>
      <c r="C1030" s="0" t="n">
        <v>3800</v>
      </c>
      <c r="D1030" s="0" t="n">
        <v>0.342105263157895</v>
      </c>
      <c r="E1030" s="0" t="s">
        <v>1724</v>
      </c>
    </row>
    <row r="1031" customFormat="false" ht="15" hidden="false" customHeight="false" outlineLevel="0" collapsed="false">
      <c r="A1031" s="0" t="s">
        <v>740</v>
      </c>
      <c r="B1031" s="0" t="n">
        <v>1500</v>
      </c>
      <c r="C1031" s="0" t="n">
        <v>3800</v>
      </c>
      <c r="D1031" s="0" t="n">
        <v>0.394736842105263</v>
      </c>
      <c r="E1031" s="0" t="s">
        <v>1742</v>
      </c>
    </row>
    <row r="1032" customFormat="false" ht="15" hidden="false" customHeight="false" outlineLevel="0" collapsed="false">
      <c r="A1032" s="0" t="s">
        <v>740</v>
      </c>
      <c r="B1032" s="0" t="n">
        <v>1300</v>
      </c>
      <c r="C1032" s="0" t="n">
        <v>3800</v>
      </c>
      <c r="D1032" s="0" t="n">
        <v>0.342105263157895</v>
      </c>
      <c r="E1032" s="0" t="s">
        <v>1763</v>
      </c>
    </row>
    <row r="1033" customFormat="false" ht="15" hidden="false" customHeight="false" outlineLevel="0" collapsed="false">
      <c r="A1033" s="0" t="s">
        <v>740</v>
      </c>
      <c r="B1033" s="0" t="n">
        <v>3000</v>
      </c>
      <c r="C1033" s="0" t="n">
        <v>3800</v>
      </c>
      <c r="D1033" s="0" t="n">
        <v>0.789473684210526</v>
      </c>
      <c r="E1033" s="0" t="s">
        <v>1782</v>
      </c>
    </row>
    <row r="1034" customFormat="false" ht="15" hidden="false" customHeight="false" outlineLevel="0" collapsed="false">
      <c r="A1034" s="0" t="s">
        <v>740</v>
      </c>
      <c r="B1034" s="0" t="n">
        <v>2000</v>
      </c>
      <c r="C1034" s="0" t="n">
        <v>3800</v>
      </c>
      <c r="D1034" s="0" t="n">
        <v>0.526315789473684</v>
      </c>
      <c r="E1034" s="0" t="s">
        <v>1801</v>
      </c>
    </row>
    <row r="1035" customFormat="false" ht="15" hidden="false" customHeight="false" outlineLevel="0" collapsed="false">
      <c r="A1035" s="0" t="s">
        <v>740</v>
      </c>
      <c r="B1035" s="0" t="n">
        <v>2500</v>
      </c>
      <c r="C1035" s="0" t="n">
        <v>3800</v>
      </c>
      <c r="D1035" s="0" t="n">
        <v>0.657894736842105</v>
      </c>
      <c r="E1035" s="0" t="s">
        <v>2362</v>
      </c>
    </row>
    <row r="1036" customFormat="false" ht="15" hidden="false" customHeight="false" outlineLevel="0" collapsed="false">
      <c r="A1036" s="0" t="s">
        <v>828</v>
      </c>
      <c r="B1036" s="0" t="n">
        <v>25840</v>
      </c>
      <c r="C1036" s="0" t="n">
        <v>3800</v>
      </c>
      <c r="D1036" s="0" t="n">
        <v>6.8</v>
      </c>
      <c r="E1036" s="0" t="s">
        <v>829</v>
      </c>
    </row>
    <row r="1037" customFormat="false" ht="15" hidden="false" customHeight="false" outlineLevel="0" collapsed="false">
      <c r="A1037" s="0" t="s">
        <v>828</v>
      </c>
      <c r="B1037" s="0" t="n">
        <v>19836</v>
      </c>
      <c r="C1037" s="0" t="n">
        <v>3800</v>
      </c>
      <c r="D1037" s="0" t="n">
        <v>5.22</v>
      </c>
      <c r="E1037" s="0" t="s">
        <v>842</v>
      </c>
    </row>
    <row r="1038" customFormat="false" ht="15" hidden="false" customHeight="false" outlineLevel="0" collapsed="false">
      <c r="A1038" s="0" t="s">
        <v>828</v>
      </c>
      <c r="B1038" s="0" t="n">
        <v>22800</v>
      </c>
      <c r="C1038" s="0" t="n">
        <v>3800</v>
      </c>
      <c r="D1038" s="0" t="n">
        <v>6</v>
      </c>
      <c r="E1038" s="0" t="s">
        <v>858</v>
      </c>
    </row>
    <row r="1039" customFormat="false" ht="15" hidden="false" customHeight="false" outlineLevel="0" collapsed="false">
      <c r="A1039" s="0" t="s">
        <v>828</v>
      </c>
      <c r="B1039" s="0" t="n">
        <v>16530</v>
      </c>
      <c r="C1039" s="0" t="n">
        <v>3800</v>
      </c>
      <c r="D1039" s="0" t="n">
        <v>4.35</v>
      </c>
      <c r="E1039" s="0" t="s">
        <v>877</v>
      </c>
    </row>
    <row r="1040" customFormat="false" ht="15" hidden="false" customHeight="false" outlineLevel="0" collapsed="false">
      <c r="A1040" s="0" t="s">
        <v>828</v>
      </c>
      <c r="B1040" s="0" t="n">
        <v>30400</v>
      </c>
      <c r="C1040" s="0" t="n">
        <v>3800</v>
      </c>
      <c r="D1040" s="0" t="n">
        <v>8</v>
      </c>
      <c r="E1040" s="0" t="s">
        <v>895</v>
      </c>
    </row>
    <row r="1041" customFormat="false" ht="15" hidden="false" customHeight="false" outlineLevel="0" collapsed="false">
      <c r="A1041" s="0" t="s">
        <v>828</v>
      </c>
      <c r="B1041" s="0" t="n">
        <v>7600</v>
      </c>
      <c r="C1041" s="0" t="n">
        <v>3800</v>
      </c>
      <c r="D1041" s="0" t="n">
        <v>2</v>
      </c>
      <c r="E1041" s="0" t="s">
        <v>909</v>
      </c>
    </row>
    <row r="1042" customFormat="false" ht="15" hidden="false" customHeight="false" outlineLevel="0" collapsed="false">
      <c r="A1042" s="0" t="s">
        <v>828</v>
      </c>
      <c r="B1042" s="0" t="n">
        <v>27360</v>
      </c>
      <c r="C1042" s="0" t="n">
        <v>3800</v>
      </c>
      <c r="D1042" s="0" t="n">
        <v>7.2</v>
      </c>
      <c r="E1042" s="0" t="s">
        <v>922</v>
      </c>
    </row>
    <row r="1043" customFormat="false" ht="15" hidden="false" customHeight="false" outlineLevel="0" collapsed="false">
      <c r="A1043" s="0" t="s">
        <v>828</v>
      </c>
      <c r="B1043" s="0" t="n">
        <v>22800</v>
      </c>
      <c r="C1043" s="0" t="n">
        <v>3800</v>
      </c>
      <c r="D1043" s="0" t="n">
        <v>6</v>
      </c>
      <c r="E1043" s="0" t="s">
        <v>937</v>
      </c>
    </row>
    <row r="1044" customFormat="false" ht="15" hidden="false" customHeight="false" outlineLevel="0" collapsed="false">
      <c r="A1044" s="0" t="s">
        <v>828</v>
      </c>
      <c r="B1044" s="0" t="n">
        <v>30400</v>
      </c>
      <c r="C1044" s="0" t="n">
        <v>3800</v>
      </c>
      <c r="D1044" s="0" t="n">
        <v>8</v>
      </c>
      <c r="E1044" s="0" t="s">
        <v>957</v>
      </c>
    </row>
    <row r="1045" customFormat="false" ht="15" hidden="false" customHeight="false" outlineLevel="0" collapsed="false">
      <c r="A1045" s="0" t="s">
        <v>828</v>
      </c>
      <c r="B1045" s="0" t="n">
        <v>13200</v>
      </c>
      <c r="C1045" s="0" t="n">
        <v>4000</v>
      </c>
      <c r="D1045" s="0" t="n">
        <v>3.3</v>
      </c>
      <c r="E1045" s="0" t="s">
        <v>992</v>
      </c>
    </row>
    <row r="1046" customFormat="false" ht="15" hidden="false" customHeight="false" outlineLevel="0" collapsed="false">
      <c r="A1046" s="0" t="s">
        <v>828</v>
      </c>
      <c r="B1046" s="0" t="n">
        <v>7200</v>
      </c>
      <c r="C1046" s="0" t="n">
        <v>4000</v>
      </c>
      <c r="D1046" s="0" t="n">
        <v>1.8</v>
      </c>
      <c r="E1046" s="0" t="s">
        <v>1006</v>
      </c>
    </row>
    <row r="1047" customFormat="false" ht="15" hidden="false" customHeight="false" outlineLevel="0" collapsed="false">
      <c r="A1047" s="0" t="s">
        <v>828</v>
      </c>
      <c r="B1047" s="0" t="n">
        <v>15000</v>
      </c>
      <c r="C1047" s="0" t="n">
        <v>4000</v>
      </c>
      <c r="D1047" s="0" t="n">
        <v>3.75</v>
      </c>
      <c r="E1047" s="0" t="s">
        <v>1020</v>
      </c>
    </row>
    <row r="1048" customFormat="false" ht="15" hidden="false" customHeight="false" outlineLevel="0" collapsed="false">
      <c r="A1048" s="0" t="s">
        <v>828</v>
      </c>
      <c r="B1048" s="0" t="n">
        <v>13875</v>
      </c>
      <c r="C1048" s="0" t="n">
        <v>3800</v>
      </c>
      <c r="D1048" s="0" t="n">
        <v>3.65131578947368</v>
      </c>
      <c r="E1048" s="0" t="s">
        <v>2424</v>
      </c>
    </row>
    <row r="1049" customFormat="false" ht="15" hidden="false" customHeight="false" outlineLevel="0" collapsed="false">
      <c r="A1049" s="0" t="s">
        <v>4015</v>
      </c>
      <c r="B1049" s="0" t="n">
        <v>41800</v>
      </c>
      <c r="C1049" s="0" t="n">
        <v>3800</v>
      </c>
      <c r="D1049" s="0" t="n">
        <v>11</v>
      </c>
      <c r="E1049" s="0" t="s">
        <v>974</v>
      </c>
    </row>
    <row r="1050" customFormat="false" ht="15" hidden="false" customHeight="false" outlineLevel="0" collapsed="false">
      <c r="A1050" s="0" t="s">
        <v>978</v>
      </c>
      <c r="B1050" s="0" t="n">
        <v>2800</v>
      </c>
      <c r="C1050" s="0" t="n">
        <v>3800</v>
      </c>
      <c r="D1050" s="0" t="n">
        <v>0.736842105263158</v>
      </c>
      <c r="E1050" s="0" t="s">
        <v>979</v>
      </c>
    </row>
    <row r="1051" customFormat="false" ht="15" hidden="false" customHeight="false" outlineLevel="0" collapsed="false">
      <c r="A1051" s="0" t="s">
        <v>1035</v>
      </c>
      <c r="B1051" s="0" t="n">
        <v>16720</v>
      </c>
      <c r="C1051" s="0" t="n">
        <v>3800</v>
      </c>
      <c r="D1051" s="0" t="n">
        <v>4.4</v>
      </c>
      <c r="E1051" s="0" t="s">
        <v>1036</v>
      </c>
    </row>
    <row r="1052" customFormat="false" ht="15" hidden="false" customHeight="false" outlineLevel="0" collapsed="false">
      <c r="A1052" s="0" t="s">
        <v>1035</v>
      </c>
      <c r="B1052" s="0" t="n">
        <v>13680</v>
      </c>
      <c r="C1052" s="0" t="n">
        <v>3800</v>
      </c>
      <c r="D1052" s="0" t="n">
        <v>3.6</v>
      </c>
      <c r="E1052" s="0" t="s">
        <v>1050</v>
      </c>
    </row>
    <row r="1053" customFormat="false" ht="15" hidden="false" customHeight="false" outlineLevel="0" collapsed="false">
      <c r="A1053" s="0" t="s">
        <v>1035</v>
      </c>
      <c r="B1053" s="0" t="n">
        <v>18240</v>
      </c>
      <c r="C1053" s="0" t="n">
        <v>3800</v>
      </c>
      <c r="D1053" s="0" t="n">
        <v>4.8</v>
      </c>
      <c r="E1053" s="0" t="s">
        <v>1067</v>
      </c>
    </row>
    <row r="1054" customFormat="false" ht="15" hidden="false" customHeight="false" outlineLevel="0" collapsed="false">
      <c r="A1054" s="0" t="s">
        <v>1428</v>
      </c>
      <c r="B1054" s="0" t="n">
        <v>800</v>
      </c>
      <c r="C1054" s="0" t="n">
        <v>3800</v>
      </c>
      <c r="D1054" s="0" t="n">
        <v>0.210526315789474</v>
      </c>
      <c r="E1054" s="0" t="s">
        <v>1429</v>
      </c>
    </row>
    <row r="1055" customFormat="false" ht="15" hidden="false" customHeight="false" outlineLevel="0" collapsed="false">
      <c r="A1055" s="0" t="s">
        <v>1428</v>
      </c>
      <c r="B1055" s="0" t="n">
        <v>800</v>
      </c>
      <c r="C1055" s="0" t="n">
        <v>3800</v>
      </c>
      <c r="D1055" s="0" t="n">
        <v>0.210526315789474</v>
      </c>
      <c r="E1055" s="0" t="s">
        <v>1461</v>
      </c>
    </row>
    <row r="1056" customFormat="false" ht="15" hidden="false" customHeight="false" outlineLevel="0" collapsed="false">
      <c r="A1056" s="0" t="s">
        <v>1428</v>
      </c>
      <c r="B1056" s="0" t="n">
        <v>800</v>
      </c>
      <c r="C1056" s="0" t="n">
        <v>3800</v>
      </c>
      <c r="D1056" s="0" t="n">
        <v>0.210526315789474</v>
      </c>
      <c r="E1056" s="0" t="s">
        <v>1475</v>
      </c>
    </row>
    <row r="1057" customFormat="false" ht="15" hidden="false" customHeight="false" outlineLevel="0" collapsed="false">
      <c r="A1057" s="0" t="s">
        <v>1428</v>
      </c>
      <c r="B1057" s="0" t="n">
        <v>800</v>
      </c>
      <c r="C1057" s="0" t="n">
        <v>3800</v>
      </c>
      <c r="D1057" s="0" t="n">
        <v>0.210526315789474</v>
      </c>
      <c r="E1057" s="0" t="s">
        <v>1491</v>
      </c>
    </row>
    <row r="1058" customFormat="false" ht="15" hidden="false" customHeight="false" outlineLevel="0" collapsed="false">
      <c r="A1058" s="0" t="s">
        <v>1428</v>
      </c>
      <c r="B1058" s="0" t="n">
        <v>800</v>
      </c>
      <c r="C1058" s="0" t="n">
        <v>3800</v>
      </c>
      <c r="D1058" s="0" t="n">
        <v>0.210526315789474</v>
      </c>
      <c r="E1058" s="0" t="s">
        <v>1506</v>
      </c>
    </row>
    <row r="1059" customFormat="false" ht="15" hidden="false" customHeight="false" outlineLevel="0" collapsed="false">
      <c r="A1059" s="0" t="s">
        <v>1428</v>
      </c>
      <c r="B1059" s="0" t="n">
        <v>800</v>
      </c>
      <c r="C1059" s="0" t="n">
        <v>3800</v>
      </c>
      <c r="D1059" s="0" t="n">
        <v>0.210526315789474</v>
      </c>
      <c r="E1059" s="0" t="s">
        <v>1523</v>
      </c>
    </row>
    <row r="1060" customFormat="false" ht="15" hidden="false" customHeight="false" outlineLevel="0" collapsed="false">
      <c r="A1060" s="0" t="s">
        <v>1428</v>
      </c>
      <c r="B1060" s="0" t="n">
        <v>800</v>
      </c>
      <c r="C1060" s="0" t="n">
        <v>3800</v>
      </c>
      <c r="D1060" s="0" t="n">
        <v>0.210526315789474</v>
      </c>
      <c r="E1060" s="0" t="s">
        <v>1539</v>
      </c>
    </row>
    <row r="1061" customFormat="false" ht="15" hidden="false" customHeight="false" outlineLevel="0" collapsed="false">
      <c r="A1061" s="0" t="s">
        <v>1428</v>
      </c>
      <c r="B1061" s="0" t="n">
        <v>800</v>
      </c>
      <c r="C1061" s="0" t="n">
        <v>3800</v>
      </c>
      <c r="D1061" s="0" t="n">
        <v>0.210526315789474</v>
      </c>
      <c r="E1061" s="0" t="s">
        <v>1555</v>
      </c>
    </row>
    <row r="1062" customFormat="false" ht="15" hidden="false" customHeight="false" outlineLevel="0" collapsed="false">
      <c r="A1062" s="0" t="s">
        <v>1428</v>
      </c>
      <c r="B1062" s="0" t="n">
        <v>500</v>
      </c>
      <c r="C1062" s="0" t="n">
        <v>4000</v>
      </c>
      <c r="D1062" s="0" t="n">
        <v>0.125</v>
      </c>
      <c r="E1062" s="0" t="s">
        <v>1714</v>
      </c>
    </row>
    <row r="1063" customFormat="false" ht="15" hidden="false" customHeight="false" outlineLevel="0" collapsed="false">
      <c r="A1063" s="0" t="s">
        <v>1428</v>
      </c>
      <c r="B1063" s="0" t="n">
        <v>500</v>
      </c>
      <c r="C1063" s="0" t="n">
        <v>4000</v>
      </c>
      <c r="D1063" s="0" t="n">
        <v>0.125</v>
      </c>
      <c r="E1063" s="0" t="s">
        <v>1827</v>
      </c>
    </row>
    <row r="1064" customFormat="false" ht="15" hidden="false" customHeight="false" outlineLevel="0" collapsed="false">
      <c r="A1064" s="0" t="s">
        <v>1428</v>
      </c>
      <c r="B1064" s="0" t="n">
        <v>500</v>
      </c>
      <c r="C1064" s="0" t="n">
        <v>4000</v>
      </c>
      <c r="D1064" s="0" t="n">
        <v>0.125</v>
      </c>
      <c r="E1064" s="0" t="s">
        <v>1844</v>
      </c>
    </row>
    <row r="1065" customFormat="false" ht="15" hidden="false" customHeight="false" outlineLevel="0" collapsed="false">
      <c r="A1065" s="0" t="s">
        <v>1428</v>
      </c>
      <c r="B1065" s="0" t="n">
        <v>800</v>
      </c>
      <c r="C1065" s="0" t="n">
        <v>4000</v>
      </c>
      <c r="D1065" s="0" t="n">
        <v>0.2</v>
      </c>
      <c r="E1065" s="0" t="s">
        <v>2004</v>
      </c>
    </row>
    <row r="1066" customFormat="false" ht="15" hidden="false" customHeight="false" outlineLevel="0" collapsed="false">
      <c r="A1066" s="0" t="s">
        <v>1428</v>
      </c>
      <c r="B1066" s="0" t="n">
        <v>1000</v>
      </c>
      <c r="C1066" s="0" t="n">
        <v>4000</v>
      </c>
      <c r="D1066" s="0" t="n">
        <v>0.25</v>
      </c>
      <c r="E1066" s="0" t="s">
        <v>2020</v>
      </c>
    </row>
    <row r="1067" customFormat="false" ht="15" hidden="false" customHeight="false" outlineLevel="0" collapsed="false">
      <c r="A1067" s="0" t="s">
        <v>1428</v>
      </c>
      <c r="B1067" s="0" t="n">
        <v>800</v>
      </c>
      <c r="C1067" s="0" t="n">
        <v>3800</v>
      </c>
      <c r="D1067" s="0" t="n">
        <v>0.210526315789474</v>
      </c>
      <c r="E1067" s="0" t="s">
        <v>2035</v>
      </c>
    </row>
    <row r="1068" customFormat="false" ht="15" hidden="false" customHeight="false" outlineLevel="0" collapsed="false">
      <c r="A1068" s="0" t="s">
        <v>1428</v>
      </c>
      <c r="B1068" s="0" t="n">
        <v>600</v>
      </c>
      <c r="C1068" s="0" t="n">
        <v>4000</v>
      </c>
      <c r="D1068" s="0" t="n">
        <v>0.15</v>
      </c>
      <c r="E1068" s="0" t="s">
        <v>2052</v>
      </c>
    </row>
    <row r="1069" customFormat="false" ht="15" hidden="false" customHeight="false" outlineLevel="0" collapsed="false">
      <c r="A1069" s="0" t="s">
        <v>1428</v>
      </c>
      <c r="B1069" s="0" t="n">
        <v>800</v>
      </c>
      <c r="C1069" s="0" t="n">
        <v>3800</v>
      </c>
      <c r="D1069" s="0" t="n">
        <v>0.210526315789474</v>
      </c>
      <c r="E1069" s="0" t="s">
        <v>2068</v>
      </c>
    </row>
    <row r="1070" customFormat="false" ht="15" hidden="false" customHeight="false" outlineLevel="0" collapsed="false">
      <c r="A1070" s="0" t="s">
        <v>1428</v>
      </c>
      <c r="B1070" s="0" t="n">
        <v>1000</v>
      </c>
      <c r="C1070" s="0" t="n">
        <v>4000</v>
      </c>
      <c r="D1070" s="0" t="n">
        <v>0.25</v>
      </c>
      <c r="E1070" s="0" t="s">
        <v>2083</v>
      </c>
    </row>
    <row r="1071" customFormat="false" ht="15" hidden="false" customHeight="false" outlineLevel="0" collapsed="false">
      <c r="A1071" s="0" t="s">
        <v>1428</v>
      </c>
      <c r="B1071" s="0" t="n">
        <v>500</v>
      </c>
      <c r="C1071" s="0" t="n">
        <v>4000</v>
      </c>
      <c r="D1071" s="0" t="n">
        <v>0.125</v>
      </c>
      <c r="E1071" s="0" t="s">
        <v>2099</v>
      </c>
    </row>
    <row r="1072" customFormat="false" ht="15" hidden="false" customHeight="false" outlineLevel="0" collapsed="false">
      <c r="A1072" s="0" t="s">
        <v>1428</v>
      </c>
      <c r="B1072" s="0" t="n">
        <v>800</v>
      </c>
      <c r="C1072" s="0" t="n">
        <v>4000</v>
      </c>
      <c r="D1072" s="0" t="n">
        <v>0.2</v>
      </c>
      <c r="E1072" s="0" t="s">
        <v>2117</v>
      </c>
    </row>
    <row r="1073" customFormat="false" ht="15" hidden="false" customHeight="false" outlineLevel="0" collapsed="false">
      <c r="A1073" s="0" t="s">
        <v>1428</v>
      </c>
      <c r="B1073" s="0" t="n">
        <v>1100</v>
      </c>
      <c r="C1073" s="0" t="n">
        <v>3800</v>
      </c>
      <c r="D1073" s="0" t="n">
        <v>0.289473684210526</v>
      </c>
      <c r="E1073" s="0" t="s">
        <v>2224</v>
      </c>
    </row>
    <row r="1074" customFormat="false" ht="15" hidden="false" customHeight="false" outlineLevel="0" collapsed="false">
      <c r="A1074" s="0" t="s">
        <v>1428</v>
      </c>
      <c r="B1074" s="0" t="n">
        <v>2000</v>
      </c>
      <c r="C1074" s="0" t="n">
        <v>3800</v>
      </c>
      <c r="D1074" s="0" t="n">
        <v>0.526315789473684</v>
      </c>
      <c r="E1074" s="0" t="s">
        <v>2239</v>
      </c>
    </row>
    <row r="1075" customFormat="false" ht="15" hidden="false" customHeight="false" outlineLevel="0" collapsed="false">
      <c r="A1075" s="0" t="s">
        <v>1428</v>
      </c>
      <c r="B1075" s="0" t="n">
        <v>1300</v>
      </c>
      <c r="C1075" s="0" t="n">
        <v>3800</v>
      </c>
      <c r="D1075" s="0" t="n">
        <v>0.342105263157895</v>
      </c>
      <c r="E1075" s="0" t="s">
        <v>2253</v>
      </c>
    </row>
    <row r="1076" customFormat="false" ht="15" hidden="false" customHeight="false" outlineLevel="0" collapsed="false">
      <c r="A1076" s="0" t="s">
        <v>1428</v>
      </c>
      <c r="B1076" s="0" t="n">
        <v>1000</v>
      </c>
      <c r="C1076" s="0" t="n">
        <v>3800</v>
      </c>
      <c r="D1076" s="0" t="n">
        <v>0.263157894736842</v>
      </c>
      <c r="E1076" s="0" t="s">
        <v>2268</v>
      </c>
    </row>
    <row r="1077" customFormat="false" ht="15" hidden="false" customHeight="false" outlineLevel="0" collapsed="false">
      <c r="A1077" s="0" t="s">
        <v>1428</v>
      </c>
      <c r="B1077" s="0" t="n">
        <v>1500</v>
      </c>
      <c r="C1077" s="0" t="n">
        <v>3800</v>
      </c>
      <c r="D1077" s="0" t="n">
        <v>0.394736842105263</v>
      </c>
      <c r="E1077" s="0" t="s">
        <v>2282</v>
      </c>
    </row>
    <row r="1078" customFormat="false" ht="15" hidden="false" customHeight="false" outlineLevel="0" collapsed="false">
      <c r="A1078" s="0" t="s">
        <v>1428</v>
      </c>
      <c r="B1078" s="0" t="n">
        <v>2000</v>
      </c>
      <c r="C1078" s="0" t="n">
        <v>3800</v>
      </c>
      <c r="D1078" s="0" t="n">
        <v>0.526315789473684</v>
      </c>
      <c r="E1078" s="0" t="s">
        <v>2296</v>
      </c>
    </row>
    <row r="1079" customFormat="false" ht="15" hidden="false" customHeight="false" outlineLevel="0" collapsed="false">
      <c r="A1079" s="0" t="s">
        <v>1428</v>
      </c>
      <c r="B1079" s="0" t="n">
        <v>1000</v>
      </c>
      <c r="C1079" s="0" t="n">
        <v>3800</v>
      </c>
      <c r="D1079" s="0" t="n">
        <v>0.263157894736842</v>
      </c>
      <c r="E1079" s="0" t="s">
        <v>2308</v>
      </c>
    </row>
    <row r="1080" customFormat="false" ht="15" hidden="false" customHeight="false" outlineLevel="0" collapsed="false">
      <c r="A1080" s="0" t="s">
        <v>1428</v>
      </c>
      <c r="B1080" s="0" t="n">
        <v>1000</v>
      </c>
      <c r="C1080" s="0" t="n">
        <v>3800</v>
      </c>
      <c r="D1080" s="0" t="n">
        <v>0.263157894736842</v>
      </c>
      <c r="E1080" s="0" t="s">
        <v>2379</v>
      </c>
    </row>
    <row r="1081" customFormat="false" ht="15" hidden="false" customHeight="false" outlineLevel="0" collapsed="false">
      <c r="A1081" s="0" t="s">
        <v>1428</v>
      </c>
      <c r="B1081" s="0" t="n">
        <v>1400</v>
      </c>
      <c r="C1081" s="0" t="n">
        <v>3800</v>
      </c>
      <c r="D1081" s="0" t="n">
        <v>0.368421052631579</v>
      </c>
      <c r="E1081" s="0" t="s">
        <v>2395</v>
      </c>
    </row>
    <row r="1082" customFormat="false" ht="15" hidden="false" customHeight="false" outlineLevel="0" collapsed="false">
      <c r="A1082" s="0" t="s">
        <v>1428</v>
      </c>
      <c r="B1082" s="0" t="n">
        <v>1400</v>
      </c>
      <c r="C1082" s="0" t="n">
        <v>3800</v>
      </c>
      <c r="D1082" s="0" t="n">
        <v>0.368421052631579</v>
      </c>
      <c r="E1082" s="0" t="s">
        <v>2441</v>
      </c>
    </row>
    <row r="1083" customFormat="false" ht="15" hidden="false" customHeight="false" outlineLevel="0" collapsed="false">
      <c r="A1083" s="0" t="s">
        <v>1428</v>
      </c>
      <c r="B1083" s="0" t="n">
        <v>200</v>
      </c>
      <c r="C1083" s="0" t="n">
        <v>3700</v>
      </c>
      <c r="D1083" s="0" t="n">
        <v>0.0540540540540541</v>
      </c>
      <c r="E1083" s="0" t="s">
        <v>3357</v>
      </c>
    </row>
    <row r="1084" customFormat="false" ht="15" hidden="false" customHeight="false" outlineLevel="0" collapsed="false">
      <c r="A1084" s="0" t="s">
        <v>1567</v>
      </c>
      <c r="B1084" s="0" t="n">
        <v>17550</v>
      </c>
      <c r="C1084" s="0" t="n">
        <v>3900</v>
      </c>
      <c r="D1084" s="0" t="n">
        <v>4.5</v>
      </c>
      <c r="E1084" s="0" t="s">
        <v>1568</v>
      </c>
    </row>
    <row r="1085" customFormat="false" ht="15" hidden="false" customHeight="false" outlineLevel="0" collapsed="false">
      <c r="A1085" s="0" t="s">
        <v>1567</v>
      </c>
      <c r="B1085" s="0" t="n">
        <v>28500</v>
      </c>
      <c r="C1085" s="0" t="n">
        <v>3800</v>
      </c>
      <c r="D1085" s="0" t="n">
        <v>7.5</v>
      </c>
      <c r="E1085" s="0" t="s">
        <v>1581</v>
      </c>
    </row>
    <row r="1086" customFormat="false" ht="15" hidden="false" customHeight="false" outlineLevel="0" collapsed="false">
      <c r="A1086" s="0" t="s">
        <v>1567</v>
      </c>
      <c r="B1086" s="0" t="n">
        <v>29250</v>
      </c>
      <c r="C1086" s="0" t="n">
        <v>3900</v>
      </c>
      <c r="D1086" s="0" t="n">
        <v>7.5</v>
      </c>
      <c r="E1086" s="0" t="s">
        <v>1597</v>
      </c>
    </row>
    <row r="1087" customFormat="false" ht="15" hidden="false" customHeight="false" outlineLevel="0" collapsed="false">
      <c r="A1087" s="0" t="s">
        <v>1567</v>
      </c>
      <c r="B1087" s="0" t="n">
        <v>20900</v>
      </c>
      <c r="C1087" s="0" t="n">
        <v>3800</v>
      </c>
      <c r="D1087" s="0" t="n">
        <v>5.5</v>
      </c>
      <c r="E1087" s="0" t="s">
        <v>1615</v>
      </c>
    </row>
    <row r="1088" customFormat="false" ht="15" hidden="false" customHeight="false" outlineLevel="0" collapsed="false">
      <c r="A1088" s="0" t="s">
        <v>1567</v>
      </c>
      <c r="B1088" s="0" t="n">
        <v>20520</v>
      </c>
      <c r="C1088" s="0" t="n">
        <v>3800</v>
      </c>
      <c r="D1088" s="0" t="n">
        <v>5.4</v>
      </c>
      <c r="E1088" s="0" t="s">
        <v>1631</v>
      </c>
    </row>
    <row r="1089" customFormat="false" ht="15" hidden="false" customHeight="false" outlineLevel="0" collapsed="false">
      <c r="A1089" s="0" t="s">
        <v>1567</v>
      </c>
      <c r="B1089" s="0" t="n">
        <v>12540</v>
      </c>
      <c r="C1089" s="0" t="n">
        <v>3800</v>
      </c>
      <c r="D1089" s="0" t="n">
        <v>3.3</v>
      </c>
      <c r="E1089" s="0" t="s">
        <v>1646</v>
      </c>
    </row>
    <row r="1090" customFormat="false" ht="15" hidden="false" customHeight="false" outlineLevel="0" collapsed="false">
      <c r="A1090" s="0" t="s">
        <v>1567</v>
      </c>
      <c r="B1090" s="0" t="n">
        <v>18000</v>
      </c>
      <c r="C1090" s="0" t="n">
        <v>3800</v>
      </c>
      <c r="D1090" s="0" t="n">
        <v>4.73684210526316</v>
      </c>
      <c r="E1090" s="0" t="s">
        <v>2358</v>
      </c>
    </row>
    <row r="1091" customFormat="false" ht="15" hidden="false" customHeight="false" outlineLevel="0" collapsed="false">
      <c r="A1091" s="0" t="s">
        <v>1601</v>
      </c>
      <c r="B1091" s="0" t="n">
        <v>12025</v>
      </c>
      <c r="C1091" s="0" t="n">
        <v>3900</v>
      </c>
      <c r="D1091" s="0" t="n">
        <v>3.08333333333333</v>
      </c>
      <c r="E1091" s="0" t="s">
        <v>1602</v>
      </c>
    </row>
    <row r="1092" customFormat="false" ht="15" hidden="false" customHeight="false" outlineLevel="0" collapsed="false">
      <c r="A1092" s="0" t="s">
        <v>1671</v>
      </c>
      <c r="B1092" s="0" t="n">
        <v>13680</v>
      </c>
      <c r="C1092" s="0" t="n">
        <v>3800</v>
      </c>
      <c r="D1092" s="0" t="n">
        <v>3.6</v>
      </c>
      <c r="E1092" s="0" t="s">
        <v>1672</v>
      </c>
    </row>
    <row r="1093" customFormat="false" ht="15" hidden="false" customHeight="false" outlineLevel="0" collapsed="false">
      <c r="A1093" s="0" t="s">
        <v>1671</v>
      </c>
      <c r="B1093" s="0" t="n">
        <v>11400</v>
      </c>
      <c r="C1093" s="0" t="n">
        <v>3800</v>
      </c>
      <c r="D1093" s="0" t="n">
        <v>3</v>
      </c>
      <c r="E1093" s="0" t="s">
        <v>1687</v>
      </c>
    </row>
    <row r="1094" customFormat="false" ht="15" hidden="false" customHeight="false" outlineLevel="0" collapsed="false">
      <c r="A1094" s="0" t="s">
        <v>1671</v>
      </c>
      <c r="B1094" s="0" t="n">
        <v>8640</v>
      </c>
      <c r="C1094" s="0" t="n">
        <v>4000</v>
      </c>
      <c r="D1094" s="0" t="n">
        <v>2.16</v>
      </c>
      <c r="E1094" s="0" t="s">
        <v>1703</v>
      </c>
    </row>
    <row r="1095" customFormat="false" ht="15" hidden="false" customHeight="false" outlineLevel="0" collapsed="false">
      <c r="A1095" s="0" t="s">
        <v>1671</v>
      </c>
      <c r="B1095" s="0" t="n">
        <v>15200</v>
      </c>
      <c r="C1095" s="0" t="n">
        <v>3800</v>
      </c>
      <c r="D1095" s="0" t="n">
        <v>4</v>
      </c>
      <c r="E1095" s="0" t="s">
        <v>1720</v>
      </c>
    </row>
    <row r="1096" customFormat="false" ht="15" hidden="false" customHeight="false" outlineLevel="0" collapsed="false">
      <c r="A1096" s="0" t="s">
        <v>1671</v>
      </c>
      <c r="B1096" s="0" t="n">
        <v>12920</v>
      </c>
      <c r="C1096" s="0" t="n">
        <v>3800</v>
      </c>
      <c r="D1096" s="0" t="n">
        <v>3.4</v>
      </c>
      <c r="E1096" s="0" t="s">
        <v>1736</v>
      </c>
    </row>
    <row r="1097" customFormat="false" ht="15" hidden="false" customHeight="false" outlineLevel="0" collapsed="false">
      <c r="A1097" s="0" t="s">
        <v>1671</v>
      </c>
      <c r="B1097" s="0" t="n">
        <v>15200</v>
      </c>
      <c r="C1097" s="0" t="n">
        <v>3800</v>
      </c>
      <c r="D1097" s="0" t="n">
        <v>4</v>
      </c>
      <c r="E1097" s="0" t="s">
        <v>1758</v>
      </c>
    </row>
    <row r="1098" customFormat="false" ht="15" hidden="false" customHeight="false" outlineLevel="0" collapsed="false">
      <c r="A1098" s="0" t="s">
        <v>1671</v>
      </c>
      <c r="B1098" s="0" t="n">
        <v>15200</v>
      </c>
      <c r="C1098" s="0" t="n">
        <v>3800</v>
      </c>
      <c r="D1098" s="0" t="n">
        <v>4</v>
      </c>
      <c r="E1098" s="0" t="s">
        <v>1777</v>
      </c>
    </row>
    <row r="1099" customFormat="false" ht="15" hidden="false" customHeight="false" outlineLevel="0" collapsed="false">
      <c r="A1099" s="0" t="s">
        <v>1671</v>
      </c>
      <c r="B1099" s="0" t="n">
        <v>12920</v>
      </c>
      <c r="C1099" s="0" t="n">
        <v>3800</v>
      </c>
      <c r="D1099" s="0" t="n">
        <v>3.4</v>
      </c>
      <c r="E1099" s="0" t="s">
        <v>1798</v>
      </c>
    </row>
    <row r="1100" customFormat="false" ht="15" hidden="false" customHeight="false" outlineLevel="0" collapsed="false">
      <c r="A1100" s="0" t="s">
        <v>1767</v>
      </c>
      <c r="B1100" s="0" t="n">
        <v>500</v>
      </c>
      <c r="C1100" s="0" t="n">
        <v>3800</v>
      </c>
      <c r="D1100" s="0" t="n">
        <v>0.131578947368421</v>
      </c>
      <c r="E1100" s="0" t="s">
        <v>1768</v>
      </c>
    </row>
    <row r="1101" customFormat="false" ht="15" hidden="false" customHeight="false" outlineLevel="0" collapsed="false">
      <c r="A1101" s="0" t="s">
        <v>4016</v>
      </c>
      <c r="B1101" s="0" t="n">
        <v>2400</v>
      </c>
      <c r="C1101" s="0" t="n">
        <v>4000</v>
      </c>
      <c r="D1101" s="0" t="n">
        <v>0.6</v>
      </c>
      <c r="E1101" s="0" t="s">
        <v>1817</v>
      </c>
    </row>
    <row r="1102" customFormat="false" ht="15" hidden="false" customHeight="false" outlineLevel="0" collapsed="false">
      <c r="A1102" s="0" t="s">
        <v>4016</v>
      </c>
      <c r="B1102" s="0" t="n">
        <v>2880</v>
      </c>
      <c r="C1102" s="0" t="n">
        <v>4000</v>
      </c>
      <c r="D1102" s="0" t="n">
        <v>0.72</v>
      </c>
      <c r="E1102" s="0" t="s">
        <v>1834</v>
      </c>
    </row>
    <row r="1103" customFormat="false" ht="15" hidden="false" customHeight="false" outlineLevel="0" collapsed="false">
      <c r="A1103" s="0" t="s">
        <v>1823</v>
      </c>
      <c r="B1103" s="0" t="n">
        <v>1000</v>
      </c>
      <c r="C1103" s="0" t="n">
        <v>4000</v>
      </c>
      <c r="D1103" s="0" t="n">
        <v>0.25</v>
      </c>
      <c r="E1103" s="0" t="s">
        <v>1824</v>
      </c>
    </row>
    <row r="1104" customFormat="false" ht="15" hidden="false" customHeight="false" outlineLevel="0" collapsed="false">
      <c r="A1104" s="0" t="s">
        <v>1823</v>
      </c>
      <c r="B1104" s="0" t="n">
        <v>1000</v>
      </c>
      <c r="C1104" s="0" t="n">
        <v>4000</v>
      </c>
      <c r="D1104" s="0" t="n">
        <v>0.25</v>
      </c>
      <c r="E1104" s="0" t="s">
        <v>1841</v>
      </c>
    </row>
    <row r="1105" customFormat="false" ht="15" hidden="false" customHeight="false" outlineLevel="0" collapsed="false">
      <c r="A1105" s="0" t="s">
        <v>2334</v>
      </c>
      <c r="B1105" s="0" t="n">
        <v>100</v>
      </c>
      <c r="C1105" s="0" t="n">
        <v>3800</v>
      </c>
      <c r="D1105" s="0" t="n">
        <v>0.0263157894736842</v>
      </c>
      <c r="E1105" s="0" t="s">
        <v>2335</v>
      </c>
    </row>
    <row r="1106" customFormat="false" ht="15" hidden="false" customHeight="false" outlineLevel="0" collapsed="false">
      <c r="A1106" s="0" t="s">
        <v>2334</v>
      </c>
      <c r="B1106" s="0" t="n">
        <v>100</v>
      </c>
      <c r="C1106" s="0" t="n">
        <v>3800</v>
      </c>
      <c r="D1106" s="0" t="n">
        <v>0.0263157894736842</v>
      </c>
      <c r="E1106" s="0" t="s">
        <v>2403</v>
      </c>
    </row>
    <row r="1107" customFormat="false" ht="15" hidden="false" customHeight="false" outlineLevel="0" collapsed="false">
      <c r="A1107" s="0" t="s">
        <v>2334</v>
      </c>
      <c r="B1107" s="0" t="n">
        <v>100</v>
      </c>
      <c r="C1107" s="0" t="n">
        <v>3800</v>
      </c>
      <c r="D1107" s="0" t="n">
        <v>0.0263157894736842</v>
      </c>
      <c r="E1107" s="0" t="s">
        <v>2418</v>
      </c>
    </row>
    <row r="1108" customFormat="false" ht="15" hidden="false" customHeight="false" outlineLevel="0" collapsed="false">
      <c r="A1108" s="0" t="s">
        <v>2334</v>
      </c>
      <c r="B1108" s="0" t="n">
        <v>100</v>
      </c>
      <c r="C1108" s="0" t="n">
        <v>3800</v>
      </c>
      <c r="D1108" s="0" t="n">
        <v>0.0263157894736842</v>
      </c>
      <c r="E1108" s="0" t="s">
        <v>2447</v>
      </c>
    </row>
    <row r="1109" customFormat="false" ht="15" hidden="false" customHeight="false" outlineLevel="0" collapsed="false">
      <c r="A1109" s="0" t="s">
        <v>2572</v>
      </c>
      <c r="B1109" s="0" t="n">
        <v>500</v>
      </c>
      <c r="C1109" s="0" t="n">
        <v>3800</v>
      </c>
      <c r="D1109" s="0" t="n">
        <v>0.131578947368421</v>
      </c>
      <c r="E1109" s="0" t="s">
        <v>2573</v>
      </c>
    </row>
    <row r="1110" customFormat="false" ht="15" hidden="false" customHeight="false" outlineLevel="0" collapsed="false">
      <c r="A1110" s="0" t="s">
        <v>2589</v>
      </c>
      <c r="B1110" s="0" t="n">
        <v>7296</v>
      </c>
      <c r="C1110" s="0" t="n">
        <v>3800</v>
      </c>
      <c r="D1110" s="0" t="n">
        <v>1.92</v>
      </c>
      <c r="E1110" s="0" t="s">
        <v>2590</v>
      </c>
    </row>
    <row r="1111" customFormat="false" ht="15" hidden="false" customHeight="false" outlineLevel="0" collapsed="false">
      <c r="A1111" s="0" t="s">
        <v>2592</v>
      </c>
      <c r="B1111" s="0" t="n">
        <v>1900</v>
      </c>
      <c r="C1111" s="0" t="n">
        <v>3800</v>
      </c>
      <c r="D1111" s="0" t="n">
        <v>0.5</v>
      </c>
      <c r="E1111" s="0" t="s">
        <v>2593</v>
      </c>
    </row>
    <row r="1112" customFormat="false" ht="15" hidden="false" customHeight="false" outlineLevel="0" collapsed="false">
      <c r="A1112" s="0" t="s">
        <v>2592</v>
      </c>
      <c r="B1112" s="0" t="n">
        <v>1050</v>
      </c>
      <c r="C1112" s="0" t="n">
        <v>3800</v>
      </c>
      <c r="D1112" s="0" t="n">
        <v>0.276315789473684</v>
      </c>
      <c r="E1112" s="0" t="s">
        <v>2646</v>
      </c>
    </row>
    <row r="1113" customFormat="false" ht="15" hidden="false" customHeight="false" outlineLevel="0" collapsed="false">
      <c r="A1113" s="0" t="s">
        <v>2592</v>
      </c>
      <c r="B1113" s="0" t="n">
        <v>3000</v>
      </c>
      <c r="C1113" s="0" t="n">
        <v>3800</v>
      </c>
      <c r="D1113" s="0" t="n">
        <v>0.789473684210526</v>
      </c>
      <c r="E1113" s="0" t="s">
        <v>2664</v>
      </c>
    </row>
    <row r="1114" customFormat="false" ht="15" hidden="false" customHeight="false" outlineLevel="0" collapsed="false">
      <c r="A1114" s="0" t="s">
        <v>2592</v>
      </c>
      <c r="B1114" s="0" t="n">
        <v>4000</v>
      </c>
      <c r="C1114" s="0" t="n">
        <v>4000</v>
      </c>
      <c r="D1114" s="0" t="n">
        <v>1</v>
      </c>
      <c r="E1114" s="0" t="s">
        <v>2682</v>
      </c>
    </row>
    <row r="1115" customFormat="false" ht="15" hidden="false" customHeight="false" outlineLevel="0" collapsed="false">
      <c r="A1115" s="0" t="s">
        <v>2592</v>
      </c>
      <c r="B1115" s="0" t="n">
        <v>4000</v>
      </c>
      <c r="C1115" s="0" t="n">
        <v>4500</v>
      </c>
      <c r="D1115" s="0" t="n">
        <v>0.888888888888889</v>
      </c>
      <c r="E1115" s="0" t="s">
        <v>2702</v>
      </c>
    </row>
    <row r="1116" customFormat="false" ht="15" hidden="false" customHeight="false" outlineLevel="0" collapsed="false">
      <c r="A1116" s="0" t="s">
        <v>2592</v>
      </c>
      <c r="B1116" s="0" t="n">
        <v>3000</v>
      </c>
      <c r="C1116" s="0" t="n">
        <v>3800</v>
      </c>
      <c r="D1116" s="0" t="n">
        <v>0.789473684210526</v>
      </c>
      <c r="E1116" s="0" t="s">
        <v>2720</v>
      </c>
    </row>
    <row r="1117" customFormat="false" ht="15" hidden="false" customHeight="false" outlineLevel="0" collapsed="false">
      <c r="A1117" s="0" t="s">
        <v>2592</v>
      </c>
      <c r="B1117" s="0" t="n">
        <v>2400</v>
      </c>
      <c r="C1117" s="0" t="n">
        <v>3800</v>
      </c>
      <c r="D1117" s="0" t="n">
        <v>0.631578947368421</v>
      </c>
      <c r="E1117" s="0" t="s">
        <v>2733</v>
      </c>
    </row>
    <row r="1118" customFormat="false" ht="15" hidden="false" customHeight="false" outlineLevel="0" collapsed="false">
      <c r="A1118" s="0" t="s">
        <v>2592</v>
      </c>
      <c r="B1118" s="0" t="n">
        <v>2500</v>
      </c>
      <c r="C1118" s="0" t="n">
        <v>3800</v>
      </c>
      <c r="D1118" s="0" t="n">
        <v>0.657894736842105</v>
      </c>
      <c r="E1118" s="0" t="s">
        <v>2749</v>
      </c>
    </row>
    <row r="1119" customFormat="false" ht="15" hidden="false" customHeight="false" outlineLevel="0" collapsed="false">
      <c r="A1119" s="0" t="s">
        <v>2592</v>
      </c>
      <c r="B1119" s="0" t="n">
        <v>2000</v>
      </c>
      <c r="C1119" s="0" t="n">
        <v>4000</v>
      </c>
      <c r="D1119" s="0" t="n">
        <v>0.5</v>
      </c>
      <c r="E1119" s="0" t="s">
        <v>2765</v>
      </c>
    </row>
    <row r="1120" customFormat="false" ht="15" hidden="false" customHeight="false" outlineLevel="0" collapsed="false">
      <c r="A1120" s="0" t="s">
        <v>2592</v>
      </c>
      <c r="B1120" s="0" t="n">
        <v>2800</v>
      </c>
      <c r="C1120" s="0" t="n">
        <v>4000</v>
      </c>
      <c r="D1120" s="0" t="n">
        <v>0.7</v>
      </c>
      <c r="E1120" s="0" t="s">
        <v>2778</v>
      </c>
    </row>
    <row r="1121" customFormat="false" ht="15" hidden="false" customHeight="false" outlineLevel="0" collapsed="false">
      <c r="A1121" s="0" t="s">
        <v>2612</v>
      </c>
      <c r="B1121" s="0" t="n">
        <v>1615</v>
      </c>
      <c r="C1121" s="0" t="n">
        <v>3800</v>
      </c>
      <c r="D1121" s="0" t="n">
        <v>0.425</v>
      </c>
      <c r="E1121" s="0" t="s">
        <v>2613</v>
      </c>
    </row>
    <row r="1122" customFormat="false" ht="15" hidden="false" customHeight="false" outlineLevel="0" collapsed="false">
      <c r="A1122" s="0" t="s">
        <v>2612</v>
      </c>
      <c r="B1122" s="0" t="n">
        <v>380</v>
      </c>
      <c r="C1122" s="0" t="n">
        <v>3800</v>
      </c>
      <c r="D1122" s="0" t="n">
        <v>0.1</v>
      </c>
      <c r="E1122" s="0" t="s">
        <v>2630</v>
      </c>
    </row>
    <row r="1123" customFormat="false" ht="15" hidden="false" customHeight="false" outlineLevel="0" collapsed="false">
      <c r="A1123" s="0" t="s">
        <v>2627</v>
      </c>
      <c r="B1123" s="0" t="n">
        <v>1266.66666666667</v>
      </c>
      <c r="C1123" s="0" t="n">
        <v>3800</v>
      </c>
      <c r="D1123" s="0" t="n">
        <v>0.333333333333333</v>
      </c>
      <c r="E1123" s="0" t="s">
        <v>2628</v>
      </c>
    </row>
    <row r="1124" customFormat="false" ht="15" hidden="false" customHeight="false" outlineLevel="0" collapsed="false">
      <c r="A1124" s="0" t="s">
        <v>2642</v>
      </c>
      <c r="B1124" s="0" t="n">
        <v>21280</v>
      </c>
      <c r="C1124" s="0" t="n">
        <v>3800</v>
      </c>
      <c r="D1124" s="0" t="n">
        <v>5.6</v>
      </c>
      <c r="E1124" s="0" t="s">
        <v>2643</v>
      </c>
    </row>
    <row r="1125" customFormat="false" ht="15" hidden="false" customHeight="false" outlineLevel="0" collapsed="false">
      <c r="A1125" s="0" t="s">
        <v>2642</v>
      </c>
      <c r="B1125" s="0" t="n">
        <v>32400</v>
      </c>
      <c r="C1125" s="0" t="n">
        <v>4000</v>
      </c>
      <c r="D1125" s="0" t="n">
        <v>8.1</v>
      </c>
      <c r="E1125" s="0" t="s">
        <v>2679</v>
      </c>
    </row>
    <row r="1126" customFormat="false" ht="15" hidden="false" customHeight="false" outlineLevel="0" collapsed="false">
      <c r="A1126" s="0" t="s">
        <v>2642</v>
      </c>
      <c r="B1126" s="0" t="n">
        <v>9880</v>
      </c>
      <c r="C1126" s="0" t="n">
        <v>3800</v>
      </c>
      <c r="D1126" s="0" t="n">
        <v>2.6</v>
      </c>
      <c r="E1126" s="0" t="s">
        <v>2717</v>
      </c>
    </row>
    <row r="1127" customFormat="false" ht="15" hidden="false" customHeight="false" outlineLevel="0" collapsed="false">
      <c r="A1127" s="0" t="s">
        <v>2653</v>
      </c>
      <c r="B1127" s="0" t="n">
        <v>300</v>
      </c>
      <c r="C1127" s="0" t="n">
        <v>3800</v>
      </c>
      <c r="D1127" s="0" t="n">
        <v>0.0789473684210526</v>
      </c>
      <c r="E1127" s="0" t="s">
        <v>2654</v>
      </c>
    </row>
    <row r="1128" customFormat="false" ht="15" hidden="false" customHeight="false" outlineLevel="0" collapsed="false">
      <c r="A1128" s="0" t="s">
        <v>2653</v>
      </c>
      <c r="B1128" s="0" t="n">
        <v>500</v>
      </c>
      <c r="C1128" s="0" t="n">
        <v>3800</v>
      </c>
      <c r="D1128" s="0" t="n">
        <v>0.131578947368421</v>
      </c>
      <c r="E1128" s="0" t="s">
        <v>2723</v>
      </c>
    </row>
    <row r="1129" customFormat="false" ht="15" hidden="false" customHeight="false" outlineLevel="0" collapsed="false">
      <c r="A1129" s="0" t="s">
        <v>2653</v>
      </c>
      <c r="B1129" s="0" t="n">
        <v>1000</v>
      </c>
      <c r="C1129" s="0" t="n">
        <v>4000</v>
      </c>
      <c r="D1129" s="0" t="n">
        <v>0.25</v>
      </c>
      <c r="E1129" s="0" t="s">
        <v>2767</v>
      </c>
    </row>
    <row r="1130" customFormat="false" ht="15" hidden="false" customHeight="false" outlineLevel="0" collapsed="false">
      <c r="A1130" s="0" t="s">
        <v>2653</v>
      </c>
      <c r="B1130" s="0" t="n">
        <v>500</v>
      </c>
      <c r="C1130" s="0" t="n">
        <v>4000</v>
      </c>
      <c r="D1130" s="0" t="n">
        <v>0.125</v>
      </c>
      <c r="E1130" s="0" t="s">
        <v>2784</v>
      </c>
    </row>
    <row r="1131" customFormat="false" ht="15" hidden="false" customHeight="false" outlineLevel="0" collapsed="false">
      <c r="A1131" s="0" t="s">
        <v>2660</v>
      </c>
      <c r="B1131" s="0" t="n">
        <v>16511</v>
      </c>
      <c r="C1131" s="0" t="n">
        <v>3800</v>
      </c>
      <c r="D1131" s="0" t="n">
        <v>4.345</v>
      </c>
      <c r="E1131" s="0" t="s">
        <v>2661</v>
      </c>
    </row>
    <row r="1132" customFormat="false" ht="15" hidden="false" customHeight="false" outlineLevel="0" collapsed="false">
      <c r="A1132" s="0" t="s">
        <v>2698</v>
      </c>
      <c r="B1132" s="0" t="n">
        <v>15795</v>
      </c>
      <c r="C1132" s="0" t="n">
        <v>4500</v>
      </c>
      <c r="D1132" s="0" t="n">
        <v>3.51</v>
      </c>
      <c r="E1132" s="0" t="s">
        <v>2699</v>
      </c>
    </row>
    <row r="1133" customFormat="false" ht="15" hidden="false" customHeight="false" outlineLevel="0" collapsed="false">
      <c r="A1133" s="0" t="s">
        <v>2698</v>
      </c>
      <c r="B1133" s="0" t="n">
        <v>7904</v>
      </c>
      <c r="C1133" s="0" t="n">
        <v>3800</v>
      </c>
      <c r="D1133" s="0" t="n">
        <v>2.08</v>
      </c>
      <c r="E1133" s="0" t="s">
        <v>2730</v>
      </c>
    </row>
    <row r="1134" customFormat="false" ht="15" hidden="false" customHeight="false" outlineLevel="0" collapsed="false">
      <c r="A1134" s="0" t="s">
        <v>2698</v>
      </c>
      <c r="B1134" s="0" t="n">
        <v>14820</v>
      </c>
      <c r="C1134" s="0" t="n">
        <v>3800</v>
      </c>
      <c r="D1134" s="0" t="n">
        <v>3.9</v>
      </c>
      <c r="E1134" s="0" t="s">
        <v>2746</v>
      </c>
    </row>
    <row r="1135" customFormat="false" ht="15" hidden="false" customHeight="false" outlineLevel="0" collapsed="false">
      <c r="A1135" s="0" t="s">
        <v>2698</v>
      </c>
      <c r="B1135" s="0" t="n">
        <v>10400</v>
      </c>
      <c r="C1135" s="0" t="n">
        <v>4000</v>
      </c>
      <c r="D1135" s="0" t="n">
        <v>2.6</v>
      </c>
      <c r="E1135" s="0" t="s">
        <v>2762</v>
      </c>
    </row>
    <row r="1136" customFormat="false" ht="15" hidden="false" customHeight="false" outlineLevel="0" collapsed="false">
      <c r="A1136" s="0" t="s">
        <v>2698</v>
      </c>
      <c r="B1136" s="0" t="n">
        <v>21000</v>
      </c>
      <c r="C1136" s="0" t="n">
        <v>4000</v>
      </c>
      <c r="D1136" s="0" t="n">
        <v>5.25</v>
      </c>
      <c r="E1136" s="0" t="s">
        <v>2775</v>
      </c>
    </row>
    <row r="1137" customFormat="false" ht="15" hidden="false" customHeight="false" outlineLevel="0" collapsed="false">
      <c r="A1137" s="0" t="s">
        <v>2698</v>
      </c>
      <c r="B1137" s="0" t="n">
        <v>14820</v>
      </c>
      <c r="C1137" s="0" t="n">
        <v>3800</v>
      </c>
      <c r="D1137" s="0" t="n">
        <v>3.9</v>
      </c>
      <c r="E1137" s="0" t="s">
        <v>2790</v>
      </c>
    </row>
    <row r="1138" customFormat="false" ht="15" hidden="false" customHeight="false" outlineLevel="0" collapsed="false">
      <c r="A1138" s="0" t="s">
        <v>4017</v>
      </c>
      <c r="B1138" s="0" t="n">
        <v>500</v>
      </c>
      <c r="C1138" s="0" t="n">
        <v>3800</v>
      </c>
      <c r="D1138" s="0" t="n">
        <v>0.131578947368421</v>
      </c>
      <c r="E1138" s="0" t="s">
        <v>2726</v>
      </c>
    </row>
    <row r="1139" customFormat="false" ht="15" hidden="false" customHeight="false" outlineLevel="0" collapsed="false">
      <c r="A1139" s="0" t="s">
        <v>2798</v>
      </c>
      <c r="B1139" s="0" t="n">
        <v>3150</v>
      </c>
      <c r="C1139" s="0" t="n">
        <v>4500</v>
      </c>
      <c r="D1139" s="0" t="n">
        <v>0.7</v>
      </c>
      <c r="E1139" s="0" t="s">
        <v>2799</v>
      </c>
    </row>
    <row r="1140" customFormat="false" ht="15" hidden="false" customHeight="false" outlineLevel="0" collapsed="false">
      <c r="A1140" s="0" t="s">
        <v>2798</v>
      </c>
      <c r="B1140" s="0" t="n">
        <v>12150</v>
      </c>
      <c r="C1140" s="0" t="n">
        <v>4500</v>
      </c>
      <c r="D1140" s="0" t="n">
        <v>2.7</v>
      </c>
      <c r="E1140" s="0" t="s">
        <v>2805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4018</v>
      </c>
      <c r="B1" s="0" t="s">
        <v>4019</v>
      </c>
      <c r="C1" s="0" t="s">
        <v>4014</v>
      </c>
      <c r="D1" s="0" t="s">
        <v>4020</v>
      </c>
      <c r="E1" s="0" t="s">
        <v>49</v>
      </c>
    </row>
    <row r="2" customFormat="false" ht="15" hidden="false" customHeight="false" outlineLevel="0" collapsed="false">
      <c r="A2" s="0" t="s">
        <v>56</v>
      </c>
      <c r="B2" s="0" t="n">
        <v>700</v>
      </c>
      <c r="C2" s="0" t="n">
        <v>4000</v>
      </c>
      <c r="D2" s="0" t="n">
        <v>0.175</v>
      </c>
      <c r="E2" s="0" t="s">
        <v>57</v>
      </c>
    </row>
    <row r="3" customFormat="false" ht="15" hidden="false" customHeight="false" outlineLevel="0" collapsed="false">
      <c r="A3" s="0" t="s">
        <v>56</v>
      </c>
      <c r="B3" s="0" t="n">
        <v>700</v>
      </c>
      <c r="C3" s="0" t="n">
        <v>4000</v>
      </c>
      <c r="D3" s="0" t="n">
        <v>0.175</v>
      </c>
      <c r="E3" s="0" t="s">
        <v>73</v>
      </c>
    </row>
    <row r="4" customFormat="false" ht="15" hidden="false" customHeight="false" outlineLevel="0" collapsed="false">
      <c r="A4" s="0" t="s">
        <v>56</v>
      </c>
      <c r="B4" s="0" t="n">
        <v>500</v>
      </c>
      <c r="C4" s="0" t="n">
        <v>4000</v>
      </c>
      <c r="D4" s="0" t="n">
        <v>0.125</v>
      </c>
      <c r="E4" s="0" t="s">
        <v>83</v>
      </c>
    </row>
    <row r="5" customFormat="false" ht="15" hidden="false" customHeight="false" outlineLevel="0" collapsed="false">
      <c r="A5" s="0" t="s">
        <v>56</v>
      </c>
      <c r="B5" s="0" t="n">
        <v>700</v>
      </c>
      <c r="C5" s="0" t="n">
        <v>4000</v>
      </c>
      <c r="D5" s="0" t="n">
        <v>0.175</v>
      </c>
      <c r="E5" s="0" t="s">
        <v>93</v>
      </c>
    </row>
    <row r="6" customFormat="false" ht="15" hidden="false" customHeight="false" outlineLevel="0" collapsed="false">
      <c r="A6" s="0" t="s">
        <v>56</v>
      </c>
      <c r="B6" s="0" t="n">
        <v>300</v>
      </c>
      <c r="C6" s="0" t="n">
        <v>4000</v>
      </c>
      <c r="D6" s="0" t="n">
        <v>0.075</v>
      </c>
      <c r="E6" s="0" t="s">
        <v>104</v>
      </c>
    </row>
    <row r="7" customFormat="false" ht="15" hidden="false" customHeight="false" outlineLevel="0" collapsed="false">
      <c r="A7" s="0" t="s">
        <v>56</v>
      </c>
      <c r="B7" s="0" t="n">
        <v>700</v>
      </c>
      <c r="C7" s="0" t="n">
        <v>4000</v>
      </c>
      <c r="D7" s="0" t="n">
        <v>0.175</v>
      </c>
      <c r="E7" s="0" t="s">
        <v>116</v>
      </c>
    </row>
    <row r="8" customFormat="false" ht="15" hidden="false" customHeight="false" outlineLevel="0" collapsed="false">
      <c r="A8" s="0" t="s">
        <v>56</v>
      </c>
      <c r="B8" s="0" t="n">
        <v>700</v>
      </c>
      <c r="C8" s="0" t="n">
        <v>4000</v>
      </c>
      <c r="D8" s="0" t="n">
        <v>0.175</v>
      </c>
      <c r="E8" s="0" t="s">
        <v>126</v>
      </c>
    </row>
    <row r="9" customFormat="false" ht="15" hidden="false" customHeight="false" outlineLevel="0" collapsed="false">
      <c r="A9" s="0" t="s">
        <v>56</v>
      </c>
      <c r="B9" s="0" t="n">
        <v>700</v>
      </c>
      <c r="C9" s="0" t="n">
        <v>4000</v>
      </c>
      <c r="D9" s="0" t="n">
        <v>0.175</v>
      </c>
      <c r="E9" s="0" t="s">
        <v>144</v>
      </c>
    </row>
    <row r="10" customFormat="false" ht="15" hidden="false" customHeight="false" outlineLevel="0" collapsed="false">
      <c r="A10" s="0" t="s">
        <v>56</v>
      </c>
      <c r="B10" s="0" t="n">
        <v>700</v>
      </c>
      <c r="C10" s="0" t="n">
        <v>4000</v>
      </c>
      <c r="D10" s="0" t="n">
        <v>0.175</v>
      </c>
      <c r="E10" s="0" t="s">
        <v>156</v>
      </c>
    </row>
    <row r="11" customFormat="false" ht="15" hidden="false" customHeight="false" outlineLevel="0" collapsed="false">
      <c r="A11" s="0" t="s">
        <v>56</v>
      </c>
      <c r="B11" s="0" t="n">
        <v>700</v>
      </c>
      <c r="C11" s="0" t="n">
        <v>4000</v>
      </c>
      <c r="D11" s="0" t="n">
        <v>0.175</v>
      </c>
      <c r="E11" s="0" t="s">
        <v>171</v>
      </c>
    </row>
    <row r="12" customFormat="false" ht="15" hidden="false" customHeight="false" outlineLevel="0" collapsed="false">
      <c r="A12" s="0" t="s">
        <v>56</v>
      </c>
      <c r="B12" s="0" t="n">
        <v>700</v>
      </c>
      <c r="C12" s="0" t="n">
        <v>4000</v>
      </c>
      <c r="D12" s="0" t="n">
        <v>0.175</v>
      </c>
      <c r="E12" s="0" t="s">
        <v>187</v>
      </c>
    </row>
    <row r="13" customFormat="false" ht="15" hidden="false" customHeight="false" outlineLevel="0" collapsed="false">
      <c r="A13" s="0" t="s">
        <v>56</v>
      </c>
      <c r="B13" s="0" t="n">
        <v>700</v>
      </c>
      <c r="C13" s="0" t="n">
        <v>4000</v>
      </c>
      <c r="D13" s="0" t="n">
        <v>0.175</v>
      </c>
      <c r="E13" s="0" t="s">
        <v>201</v>
      </c>
    </row>
    <row r="14" customFormat="false" ht="15" hidden="false" customHeight="false" outlineLevel="0" collapsed="false">
      <c r="A14" s="0" t="s">
        <v>56</v>
      </c>
      <c r="B14" s="0" t="n">
        <v>300</v>
      </c>
      <c r="C14" s="0" t="n">
        <v>4000</v>
      </c>
      <c r="D14" s="0" t="n">
        <v>0.075</v>
      </c>
      <c r="E14" s="0" t="s">
        <v>216</v>
      </c>
    </row>
    <row r="15" customFormat="false" ht="15" hidden="false" customHeight="false" outlineLevel="0" collapsed="false">
      <c r="A15" s="0" t="s">
        <v>56</v>
      </c>
      <c r="B15" s="0" t="n">
        <v>300</v>
      </c>
      <c r="C15" s="0" t="n">
        <v>4000</v>
      </c>
      <c r="D15" s="0" t="n">
        <v>0.075</v>
      </c>
      <c r="E15" s="0" t="s">
        <v>231</v>
      </c>
    </row>
    <row r="16" customFormat="false" ht="15" hidden="false" customHeight="false" outlineLevel="0" collapsed="false">
      <c r="A16" s="0" t="s">
        <v>56</v>
      </c>
      <c r="B16" s="0" t="n">
        <v>700</v>
      </c>
      <c r="C16" s="0" t="n">
        <v>4000</v>
      </c>
      <c r="D16" s="0" t="n">
        <v>0.175</v>
      </c>
      <c r="E16" s="0" t="s">
        <v>246</v>
      </c>
    </row>
    <row r="17" customFormat="false" ht="15" hidden="false" customHeight="false" outlineLevel="0" collapsed="false">
      <c r="A17" s="0" t="s">
        <v>56</v>
      </c>
      <c r="B17" s="0" t="n">
        <v>300</v>
      </c>
      <c r="C17" s="0" t="n">
        <v>4000</v>
      </c>
      <c r="D17" s="0" t="n">
        <v>0.075</v>
      </c>
      <c r="E17" s="0" t="s">
        <v>260</v>
      </c>
    </row>
    <row r="18" customFormat="false" ht="15" hidden="false" customHeight="false" outlineLevel="0" collapsed="false">
      <c r="A18" s="0" t="s">
        <v>56</v>
      </c>
      <c r="B18" s="0" t="n">
        <v>500</v>
      </c>
      <c r="C18" s="0" t="n">
        <v>4000</v>
      </c>
      <c r="D18" s="0" t="n">
        <v>0.125</v>
      </c>
      <c r="E18" s="0" t="s">
        <v>273</v>
      </c>
    </row>
    <row r="19" customFormat="false" ht="15" hidden="false" customHeight="false" outlineLevel="0" collapsed="false">
      <c r="A19" s="0" t="s">
        <v>56</v>
      </c>
      <c r="B19" s="0" t="n">
        <v>700</v>
      </c>
      <c r="C19" s="0" t="n">
        <v>4000</v>
      </c>
      <c r="D19" s="0" t="n">
        <v>0.175</v>
      </c>
      <c r="E19" s="0" t="s">
        <v>286</v>
      </c>
    </row>
    <row r="20" customFormat="false" ht="15" hidden="false" customHeight="false" outlineLevel="0" collapsed="false">
      <c r="A20" s="0" t="s">
        <v>56</v>
      </c>
      <c r="B20" s="0" t="n">
        <v>1000</v>
      </c>
      <c r="C20" s="0" t="n">
        <v>4000</v>
      </c>
      <c r="D20" s="0" t="n">
        <v>0.25</v>
      </c>
      <c r="E20" s="0" t="s">
        <v>299</v>
      </c>
    </row>
    <row r="21" customFormat="false" ht="15" hidden="false" customHeight="false" outlineLevel="0" collapsed="false">
      <c r="A21" s="0" t="s">
        <v>56</v>
      </c>
      <c r="B21" s="0" t="n">
        <v>1000</v>
      </c>
      <c r="C21" s="0" t="n">
        <v>4000</v>
      </c>
      <c r="D21" s="0" t="n">
        <v>0.25</v>
      </c>
      <c r="E21" s="0" t="s">
        <v>313</v>
      </c>
    </row>
    <row r="22" customFormat="false" ht="15" hidden="false" customHeight="false" outlineLevel="0" collapsed="false">
      <c r="A22" s="0" t="s">
        <v>56</v>
      </c>
      <c r="B22" s="0" t="n">
        <v>1000</v>
      </c>
      <c r="C22" s="0" t="n">
        <v>4000</v>
      </c>
      <c r="D22" s="0" t="n">
        <v>0.25</v>
      </c>
      <c r="E22" s="0" t="s">
        <v>326</v>
      </c>
    </row>
    <row r="23" customFormat="false" ht="15" hidden="false" customHeight="false" outlineLevel="0" collapsed="false">
      <c r="A23" s="0" t="s">
        <v>56</v>
      </c>
      <c r="B23" s="0" t="n">
        <v>700</v>
      </c>
      <c r="C23" s="0" t="n">
        <v>4000</v>
      </c>
      <c r="D23" s="0" t="n">
        <v>0.175</v>
      </c>
      <c r="E23" s="0" t="s">
        <v>338</v>
      </c>
    </row>
    <row r="24" customFormat="false" ht="15" hidden="false" customHeight="false" outlineLevel="0" collapsed="false">
      <c r="A24" s="0" t="s">
        <v>56</v>
      </c>
      <c r="B24" s="0" t="n">
        <v>700</v>
      </c>
      <c r="C24" s="0" t="n">
        <v>4000</v>
      </c>
      <c r="D24" s="0" t="n">
        <v>0.175</v>
      </c>
      <c r="E24" s="0" t="s">
        <v>352</v>
      </c>
    </row>
    <row r="25" customFormat="false" ht="15" hidden="false" customHeight="false" outlineLevel="0" collapsed="false">
      <c r="A25" s="0" t="s">
        <v>56</v>
      </c>
      <c r="B25" s="0" t="n">
        <v>700</v>
      </c>
      <c r="C25" s="0" t="n">
        <v>4000</v>
      </c>
      <c r="D25" s="0" t="n">
        <v>0.175</v>
      </c>
      <c r="E25" s="0" t="s">
        <v>365</v>
      </c>
    </row>
    <row r="26" customFormat="false" ht="15" hidden="false" customHeight="false" outlineLevel="0" collapsed="false">
      <c r="A26" s="0" t="s">
        <v>56</v>
      </c>
      <c r="B26" s="0" t="n">
        <v>700</v>
      </c>
      <c r="C26" s="0" t="n">
        <v>4000</v>
      </c>
      <c r="D26" s="0" t="n">
        <v>0.175</v>
      </c>
      <c r="E26" s="0" t="s">
        <v>377</v>
      </c>
    </row>
    <row r="27" customFormat="false" ht="15" hidden="false" customHeight="false" outlineLevel="0" collapsed="false">
      <c r="A27" s="0" t="s">
        <v>56</v>
      </c>
      <c r="B27" s="0" t="n">
        <v>700</v>
      </c>
      <c r="C27" s="0" t="n">
        <v>4000</v>
      </c>
      <c r="D27" s="0" t="n">
        <v>0.175</v>
      </c>
      <c r="E27" s="0" t="s">
        <v>390</v>
      </c>
    </row>
    <row r="28" customFormat="false" ht="15" hidden="false" customHeight="false" outlineLevel="0" collapsed="false">
      <c r="A28" s="0" t="s">
        <v>56</v>
      </c>
      <c r="B28" s="0" t="n">
        <v>700</v>
      </c>
      <c r="C28" s="0" t="n">
        <v>4000</v>
      </c>
      <c r="D28" s="0" t="n">
        <v>0.175</v>
      </c>
      <c r="E28" s="0" t="s">
        <v>402</v>
      </c>
    </row>
    <row r="29" customFormat="false" ht="15" hidden="false" customHeight="false" outlineLevel="0" collapsed="false">
      <c r="A29" s="0" t="s">
        <v>56</v>
      </c>
      <c r="B29" s="0" t="n">
        <v>700</v>
      </c>
      <c r="C29" s="0" t="n">
        <v>4000</v>
      </c>
      <c r="D29" s="0" t="n">
        <v>0.175</v>
      </c>
      <c r="E29" s="0" t="s">
        <v>414</v>
      </c>
    </row>
    <row r="30" customFormat="false" ht="15" hidden="false" customHeight="false" outlineLevel="0" collapsed="false">
      <c r="A30" s="0" t="s">
        <v>56</v>
      </c>
      <c r="B30" s="0" t="n">
        <v>700</v>
      </c>
      <c r="C30" s="0" t="n">
        <v>4000</v>
      </c>
      <c r="D30" s="0" t="n">
        <v>0.175</v>
      </c>
      <c r="E30" s="0" t="s">
        <v>427</v>
      </c>
    </row>
    <row r="31" customFormat="false" ht="15" hidden="false" customHeight="false" outlineLevel="0" collapsed="false">
      <c r="A31" s="0" t="s">
        <v>56</v>
      </c>
      <c r="B31" s="0" t="n">
        <v>700</v>
      </c>
      <c r="C31" s="0" t="n">
        <v>4000</v>
      </c>
      <c r="D31" s="0" t="n">
        <v>0.175</v>
      </c>
      <c r="E31" s="0" t="s">
        <v>440</v>
      </c>
    </row>
    <row r="32" customFormat="false" ht="15" hidden="false" customHeight="false" outlineLevel="0" collapsed="false">
      <c r="A32" s="0" t="s">
        <v>56</v>
      </c>
      <c r="B32" s="0" t="n">
        <v>700</v>
      </c>
      <c r="C32" s="0" t="n">
        <v>4000</v>
      </c>
      <c r="D32" s="0" t="n">
        <v>0.175</v>
      </c>
      <c r="E32" s="0" t="s">
        <v>452</v>
      </c>
    </row>
    <row r="33" customFormat="false" ht="15" hidden="false" customHeight="false" outlineLevel="0" collapsed="false">
      <c r="A33" s="0" t="s">
        <v>56</v>
      </c>
      <c r="B33" s="0" t="n">
        <v>700</v>
      </c>
      <c r="C33" s="0" t="n">
        <v>4000</v>
      </c>
      <c r="D33" s="0" t="n">
        <v>0.175</v>
      </c>
      <c r="E33" s="0" t="s">
        <v>465</v>
      </c>
    </row>
    <row r="34" customFormat="false" ht="15" hidden="false" customHeight="false" outlineLevel="0" collapsed="false">
      <c r="A34" s="0" t="s">
        <v>56</v>
      </c>
      <c r="B34" s="0" t="n">
        <v>700</v>
      </c>
      <c r="C34" s="0" t="n">
        <v>4000</v>
      </c>
      <c r="D34" s="0" t="n">
        <v>0.175</v>
      </c>
      <c r="E34" s="0" t="s">
        <v>477</v>
      </c>
    </row>
    <row r="35" customFormat="false" ht="15" hidden="false" customHeight="false" outlineLevel="0" collapsed="false">
      <c r="A35" s="0" t="s">
        <v>56</v>
      </c>
      <c r="B35" s="0" t="n">
        <v>700</v>
      </c>
      <c r="C35" s="0" t="n">
        <v>4000</v>
      </c>
      <c r="D35" s="0" t="n">
        <v>0.175</v>
      </c>
      <c r="E35" s="0" t="s">
        <v>490</v>
      </c>
    </row>
    <row r="36" customFormat="false" ht="15" hidden="false" customHeight="false" outlineLevel="0" collapsed="false">
      <c r="A36" s="0" t="s">
        <v>56</v>
      </c>
      <c r="B36" s="0" t="n">
        <v>700</v>
      </c>
      <c r="C36" s="0" t="n">
        <v>4000</v>
      </c>
      <c r="D36" s="0" t="n">
        <v>0.175</v>
      </c>
      <c r="E36" s="0" t="s">
        <v>502</v>
      </c>
    </row>
    <row r="37" customFormat="false" ht="15" hidden="false" customHeight="false" outlineLevel="0" collapsed="false">
      <c r="A37" s="0" t="s">
        <v>56</v>
      </c>
      <c r="B37" s="0" t="n">
        <v>1400</v>
      </c>
      <c r="C37" s="0" t="n">
        <v>4000</v>
      </c>
      <c r="D37" s="0" t="n">
        <v>0.35</v>
      </c>
      <c r="E37" s="0" t="s">
        <v>515</v>
      </c>
    </row>
    <row r="38" customFormat="false" ht="15" hidden="false" customHeight="false" outlineLevel="0" collapsed="false">
      <c r="A38" s="0" t="s">
        <v>56</v>
      </c>
      <c r="B38" s="0" t="n">
        <v>1000</v>
      </c>
      <c r="C38" s="0" t="n">
        <v>4000</v>
      </c>
      <c r="D38" s="0" t="n">
        <v>0.25</v>
      </c>
      <c r="E38" s="0" t="s">
        <v>528</v>
      </c>
    </row>
    <row r="39" customFormat="false" ht="15" hidden="false" customHeight="false" outlineLevel="0" collapsed="false">
      <c r="A39" s="0" t="s">
        <v>56</v>
      </c>
      <c r="B39" s="0" t="n">
        <v>1000</v>
      </c>
      <c r="C39" s="0" t="n">
        <v>4000</v>
      </c>
      <c r="D39" s="0" t="n">
        <v>0.25</v>
      </c>
      <c r="E39" s="0" t="s">
        <v>542</v>
      </c>
    </row>
    <row r="40" customFormat="false" ht="15" hidden="false" customHeight="false" outlineLevel="0" collapsed="false">
      <c r="A40" s="0" t="s">
        <v>56</v>
      </c>
      <c r="B40" s="0" t="n">
        <v>500</v>
      </c>
      <c r="C40" s="0" t="n">
        <v>4000</v>
      </c>
      <c r="D40" s="0" t="n">
        <v>0.125</v>
      </c>
      <c r="E40" s="0" t="s">
        <v>557</v>
      </c>
    </row>
    <row r="41" customFormat="false" ht="15" hidden="false" customHeight="false" outlineLevel="0" collapsed="false">
      <c r="A41" s="0" t="s">
        <v>56</v>
      </c>
      <c r="B41" s="0" t="n">
        <v>1000</v>
      </c>
      <c r="C41" s="0" t="n">
        <v>4000</v>
      </c>
      <c r="D41" s="0" t="n">
        <v>0.25</v>
      </c>
      <c r="E41" s="0" t="s">
        <v>577</v>
      </c>
    </row>
    <row r="42" customFormat="false" ht="15" hidden="false" customHeight="false" outlineLevel="0" collapsed="false">
      <c r="A42" s="0" t="s">
        <v>56</v>
      </c>
      <c r="B42" s="0" t="n">
        <v>700</v>
      </c>
      <c r="C42" s="0" t="n">
        <v>4000</v>
      </c>
      <c r="D42" s="0" t="n">
        <v>0.175</v>
      </c>
      <c r="E42" s="0" t="s">
        <v>598</v>
      </c>
    </row>
    <row r="43" customFormat="false" ht="15" hidden="false" customHeight="false" outlineLevel="0" collapsed="false">
      <c r="A43" s="0" t="s">
        <v>56</v>
      </c>
      <c r="B43" s="0" t="n">
        <v>500</v>
      </c>
      <c r="C43" s="0" t="n">
        <v>4000</v>
      </c>
      <c r="D43" s="0" t="n">
        <v>0.125</v>
      </c>
      <c r="E43" s="0" t="s">
        <v>612</v>
      </c>
    </row>
    <row r="44" customFormat="false" ht="15" hidden="false" customHeight="false" outlineLevel="0" collapsed="false">
      <c r="A44" s="0" t="s">
        <v>56</v>
      </c>
      <c r="B44" s="0" t="n">
        <v>500</v>
      </c>
      <c r="C44" s="0" t="n">
        <v>3800</v>
      </c>
      <c r="D44" s="0" t="n">
        <v>0.131578947368421</v>
      </c>
      <c r="E44" s="0" t="s">
        <v>629</v>
      </c>
    </row>
    <row r="45" customFormat="false" ht="15" hidden="false" customHeight="false" outlineLevel="0" collapsed="false">
      <c r="A45" s="0" t="s">
        <v>56</v>
      </c>
      <c r="B45" s="0" t="n">
        <v>500</v>
      </c>
      <c r="C45" s="0" t="n">
        <v>3800</v>
      </c>
      <c r="D45" s="0" t="n">
        <v>0.131578947368421</v>
      </c>
      <c r="E45" s="0" t="s">
        <v>639</v>
      </c>
    </row>
    <row r="46" customFormat="false" ht="15" hidden="false" customHeight="false" outlineLevel="0" collapsed="false">
      <c r="A46" s="0" t="s">
        <v>56</v>
      </c>
      <c r="B46" s="0" t="n">
        <v>500</v>
      </c>
      <c r="C46" s="0" t="n">
        <v>3800</v>
      </c>
      <c r="D46" s="0" t="n">
        <v>0.131578947368421</v>
      </c>
      <c r="E46" s="0" t="s">
        <v>651</v>
      </c>
    </row>
    <row r="47" customFormat="false" ht="15" hidden="false" customHeight="false" outlineLevel="0" collapsed="false">
      <c r="A47" s="0" t="s">
        <v>56</v>
      </c>
      <c r="B47" s="0" t="n">
        <v>500</v>
      </c>
      <c r="C47" s="0" t="n">
        <v>3800</v>
      </c>
      <c r="D47" s="0" t="n">
        <v>0.131578947368421</v>
      </c>
      <c r="E47" s="0" t="s">
        <v>663</v>
      </c>
    </row>
    <row r="48" customFormat="false" ht="15" hidden="false" customHeight="false" outlineLevel="0" collapsed="false">
      <c r="A48" s="0" t="s">
        <v>56</v>
      </c>
      <c r="B48" s="0" t="n">
        <v>500</v>
      </c>
      <c r="C48" s="0" t="n">
        <v>3800</v>
      </c>
      <c r="D48" s="0" t="n">
        <v>0.131578947368421</v>
      </c>
      <c r="E48" s="0" t="s">
        <v>673</v>
      </c>
    </row>
    <row r="49" customFormat="false" ht="15" hidden="false" customHeight="false" outlineLevel="0" collapsed="false">
      <c r="A49" s="0" t="s">
        <v>56</v>
      </c>
      <c r="B49" s="0" t="n">
        <v>500</v>
      </c>
      <c r="C49" s="0" t="n">
        <v>3800</v>
      </c>
      <c r="D49" s="0" t="n">
        <v>0.131578947368421</v>
      </c>
      <c r="E49" s="0" t="s">
        <v>685</v>
      </c>
    </row>
    <row r="50" customFormat="false" ht="15" hidden="false" customHeight="false" outlineLevel="0" collapsed="false">
      <c r="A50" s="0" t="s">
        <v>56</v>
      </c>
      <c r="B50" s="0" t="n">
        <v>500</v>
      </c>
      <c r="C50" s="0" t="n">
        <v>3800</v>
      </c>
      <c r="D50" s="0" t="n">
        <v>0.131578947368421</v>
      </c>
      <c r="E50" s="0" t="s">
        <v>696</v>
      </c>
    </row>
    <row r="51" customFormat="false" ht="15" hidden="false" customHeight="false" outlineLevel="0" collapsed="false">
      <c r="A51" s="0" t="s">
        <v>56</v>
      </c>
      <c r="B51" s="0" t="n">
        <v>500</v>
      </c>
      <c r="C51" s="0" t="n">
        <v>3800</v>
      </c>
      <c r="D51" s="0" t="n">
        <v>0.131578947368421</v>
      </c>
      <c r="E51" s="0" t="s">
        <v>706</v>
      </c>
    </row>
    <row r="52" customFormat="false" ht="15" hidden="false" customHeight="false" outlineLevel="0" collapsed="false">
      <c r="A52" s="0" t="s">
        <v>56</v>
      </c>
      <c r="B52" s="0" t="n">
        <v>500</v>
      </c>
      <c r="C52" s="0" t="n">
        <v>3800</v>
      </c>
      <c r="D52" s="0" t="n">
        <v>0.131578947368421</v>
      </c>
      <c r="E52" s="0" t="s">
        <v>716</v>
      </c>
    </row>
    <row r="53" customFormat="false" ht="15" hidden="false" customHeight="false" outlineLevel="0" collapsed="false">
      <c r="A53" s="0" t="s">
        <v>56</v>
      </c>
      <c r="B53" s="0" t="n">
        <v>500</v>
      </c>
      <c r="C53" s="0" t="n">
        <v>3800</v>
      </c>
      <c r="D53" s="0" t="n">
        <v>0.131578947368421</v>
      </c>
      <c r="E53" s="0" t="s">
        <v>726</v>
      </c>
    </row>
    <row r="54" customFormat="false" ht="15" hidden="false" customHeight="false" outlineLevel="0" collapsed="false">
      <c r="A54" s="0" t="s">
        <v>56</v>
      </c>
      <c r="B54" s="0" t="n">
        <v>500</v>
      </c>
      <c r="C54" s="0" t="n">
        <v>3800</v>
      </c>
      <c r="D54" s="0" t="n">
        <v>0.131578947368421</v>
      </c>
      <c r="E54" s="0" t="s">
        <v>738</v>
      </c>
    </row>
    <row r="55" customFormat="false" ht="15" hidden="false" customHeight="false" outlineLevel="0" collapsed="false">
      <c r="A55" s="0" t="s">
        <v>56</v>
      </c>
      <c r="B55" s="0" t="n">
        <v>700</v>
      </c>
      <c r="C55" s="0" t="n">
        <v>3800</v>
      </c>
      <c r="D55" s="0" t="n">
        <v>0.18421052631579</v>
      </c>
      <c r="E55" s="0" t="s">
        <v>756</v>
      </c>
    </row>
    <row r="56" customFormat="false" ht="15" hidden="false" customHeight="false" outlineLevel="0" collapsed="false">
      <c r="A56" s="0" t="s">
        <v>56</v>
      </c>
      <c r="B56" s="0" t="n">
        <v>1000</v>
      </c>
      <c r="C56" s="0" t="n">
        <v>3800</v>
      </c>
      <c r="D56" s="0" t="n">
        <v>0.263157894736842</v>
      </c>
      <c r="E56" s="0" t="s">
        <v>773</v>
      </c>
    </row>
    <row r="57" customFormat="false" ht="15" hidden="false" customHeight="false" outlineLevel="0" collapsed="false">
      <c r="A57" s="0" t="s">
        <v>56</v>
      </c>
      <c r="B57" s="0" t="n">
        <v>700</v>
      </c>
      <c r="C57" s="0" t="n">
        <v>3800</v>
      </c>
      <c r="D57" s="0" t="n">
        <v>0.18421052631579</v>
      </c>
      <c r="E57" s="0" t="s">
        <v>786</v>
      </c>
    </row>
    <row r="58" customFormat="false" ht="15" hidden="false" customHeight="false" outlineLevel="0" collapsed="false">
      <c r="A58" s="0" t="s">
        <v>56</v>
      </c>
      <c r="B58" s="0" t="n">
        <v>1000</v>
      </c>
      <c r="C58" s="0" t="n">
        <v>3800</v>
      </c>
      <c r="D58" s="0" t="n">
        <v>0.263157894736842</v>
      </c>
      <c r="E58" s="0" t="s">
        <v>800</v>
      </c>
    </row>
    <row r="59" customFormat="false" ht="15" hidden="false" customHeight="false" outlineLevel="0" collapsed="false">
      <c r="A59" s="0" t="s">
        <v>56</v>
      </c>
      <c r="B59" s="0" t="n">
        <v>1000</v>
      </c>
      <c r="C59" s="0" t="n">
        <v>3800</v>
      </c>
      <c r="D59" s="0" t="n">
        <v>0.263157894736842</v>
      </c>
      <c r="E59" s="0" t="s">
        <v>814</v>
      </c>
    </row>
    <row r="60" customFormat="false" ht="15" hidden="false" customHeight="false" outlineLevel="0" collapsed="false">
      <c r="A60" s="0" t="s">
        <v>56</v>
      </c>
      <c r="B60" s="0" t="n">
        <v>1000</v>
      </c>
      <c r="C60" s="0" t="n">
        <v>3800</v>
      </c>
      <c r="D60" s="0" t="n">
        <v>0.263157894736842</v>
      </c>
      <c r="E60" s="0" t="s">
        <v>831</v>
      </c>
    </row>
    <row r="61" customFormat="false" ht="15" hidden="false" customHeight="false" outlineLevel="0" collapsed="false">
      <c r="A61" s="0" t="s">
        <v>56</v>
      </c>
      <c r="B61" s="0" t="n">
        <v>700</v>
      </c>
      <c r="C61" s="0" t="n">
        <v>3800</v>
      </c>
      <c r="D61" s="0" t="n">
        <v>0.18421052631579</v>
      </c>
      <c r="E61" s="0" t="s">
        <v>844</v>
      </c>
    </row>
    <row r="62" customFormat="false" ht="15" hidden="false" customHeight="false" outlineLevel="0" collapsed="false">
      <c r="A62" s="0" t="s">
        <v>56</v>
      </c>
      <c r="B62" s="0" t="n">
        <v>1000</v>
      </c>
      <c r="C62" s="0" t="n">
        <v>3800</v>
      </c>
      <c r="D62" s="0" t="n">
        <v>0.263157894736842</v>
      </c>
      <c r="E62" s="0" t="s">
        <v>860</v>
      </c>
    </row>
    <row r="63" customFormat="false" ht="15" hidden="false" customHeight="false" outlineLevel="0" collapsed="false">
      <c r="A63" s="0" t="s">
        <v>56</v>
      </c>
      <c r="B63" s="0" t="n">
        <v>700</v>
      </c>
      <c r="C63" s="0" t="n">
        <v>3800</v>
      </c>
      <c r="D63" s="0" t="n">
        <v>0.18421052631579</v>
      </c>
      <c r="E63" s="0" t="s">
        <v>879</v>
      </c>
    </row>
    <row r="64" customFormat="false" ht="15" hidden="false" customHeight="false" outlineLevel="0" collapsed="false">
      <c r="A64" s="0" t="s">
        <v>56</v>
      </c>
      <c r="B64" s="0" t="n">
        <v>700</v>
      </c>
      <c r="C64" s="0" t="n">
        <v>3800</v>
      </c>
      <c r="D64" s="0" t="n">
        <v>0.18421052631579</v>
      </c>
      <c r="E64" s="0" t="s">
        <v>897</v>
      </c>
    </row>
    <row r="65" customFormat="false" ht="15" hidden="false" customHeight="false" outlineLevel="0" collapsed="false">
      <c r="A65" s="0" t="s">
        <v>56</v>
      </c>
      <c r="B65" s="0" t="n">
        <v>700</v>
      </c>
      <c r="C65" s="0" t="n">
        <v>3800</v>
      </c>
      <c r="D65" s="0" t="n">
        <v>0.18421052631579</v>
      </c>
      <c r="E65" s="0" t="s">
        <v>911</v>
      </c>
    </row>
    <row r="66" customFormat="false" ht="15" hidden="false" customHeight="false" outlineLevel="0" collapsed="false">
      <c r="A66" s="0" t="s">
        <v>56</v>
      </c>
      <c r="B66" s="0" t="n">
        <v>700</v>
      </c>
      <c r="C66" s="0" t="n">
        <v>3800</v>
      </c>
      <c r="D66" s="0" t="n">
        <v>0.18421052631579</v>
      </c>
      <c r="E66" s="0" t="s">
        <v>924</v>
      </c>
    </row>
    <row r="67" customFormat="false" ht="15" hidden="false" customHeight="false" outlineLevel="0" collapsed="false">
      <c r="A67" s="0" t="s">
        <v>56</v>
      </c>
      <c r="B67" s="0" t="n">
        <v>700</v>
      </c>
      <c r="C67" s="0" t="n">
        <v>3800</v>
      </c>
      <c r="D67" s="0" t="n">
        <v>0.18421052631579</v>
      </c>
      <c r="E67" s="0" t="s">
        <v>938</v>
      </c>
    </row>
    <row r="68" customFormat="false" ht="15" hidden="false" customHeight="false" outlineLevel="0" collapsed="false">
      <c r="A68" s="0" t="s">
        <v>56</v>
      </c>
      <c r="B68" s="0" t="n">
        <v>700</v>
      </c>
      <c r="C68" s="0" t="n">
        <v>3800</v>
      </c>
      <c r="D68" s="0" t="n">
        <v>0.18421052631579</v>
      </c>
      <c r="E68" s="0" t="s">
        <v>958</v>
      </c>
    </row>
    <row r="69" customFormat="false" ht="15" hidden="false" customHeight="false" outlineLevel="0" collapsed="false">
      <c r="A69" s="0" t="s">
        <v>56</v>
      </c>
      <c r="B69" s="0" t="n">
        <v>700</v>
      </c>
      <c r="C69" s="0" t="n">
        <v>3800</v>
      </c>
      <c r="D69" s="0" t="n">
        <v>0.18421052631579</v>
      </c>
      <c r="E69" s="0" t="s">
        <v>976</v>
      </c>
    </row>
    <row r="70" customFormat="false" ht="15" hidden="false" customHeight="false" outlineLevel="0" collapsed="false">
      <c r="A70" s="0" t="s">
        <v>56</v>
      </c>
      <c r="B70" s="0" t="n">
        <v>7000</v>
      </c>
      <c r="C70" s="0" t="n">
        <v>4000</v>
      </c>
      <c r="D70" s="0" t="n">
        <v>1.75</v>
      </c>
      <c r="E70" s="0" t="s">
        <v>994</v>
      </c>
    </row>
    <row r="71" customFormat="false" ht="15" hidden="false" customHeight="false" outlineLevel="0" collapsed="false">
      <c r="A71" s="0" t="s">
        <v>56</v>
      </c>
      <c r="B71" s="0" t="n">
        <v>700</v>
      </c>
      <c r="C71" s="0" t="n">
        <v>4000</v>
      </c>
      <c r="D71" s="0" t="n">
        <v>0.175</v>
      </c>
      <c r="E71" s="0" t="s">
        <v>1008</v>
      </c>
    </row>
    <row r="72" customFormat="false" ht="15" hidden="false" customHeight="false" outlineLevel="0" collapsed="false">
      <c r="A72" s="0" t="s">
        <v>56</v>
      </c>
      <c r="B72" s="0" t="n">
        <v>1000</v>
      </c>
      <c r="C72" s="0" t="n">
        <v>4000</v>
      </c>
      <c r="D72" s="0" t="n">
        <v>0.25</v>
      </c>
      <c r="E72" s="0" t="s">
        <v>1022</v>
      </c>
    </row>
    <row r="73" customFormat="false" ht="15" hidden="false" customHeight="false" outlineLevel="0" collapsed="false">
      <c r="A73" s="0" t="s">
        <v>56</v>
      </c>
      <c r="B73" s="0" t="n">
        <v>500</v>
      </c>
      <c r="C73" s="0" t="n">
        <v>3800</v>
      </c>
      <c r="D73" s="0" t="n">
        <v>0.131578947368421</v>
      </c>
      <c r="E73" s="0" t="s">
        <v>1038</v>
      </c>
    </row>
    <row r="74" customFormat="false" ht="15" hidden="false" customHeight="false" outlineLevel="0" collapsed="false">
      <c r="A74" s="0" t="s">
        <v>56</v>
      </c>
      <c r="B74" s="0" t="n">
        <v>500</v>
      </c>
      <c r="C74" s="0" t="n">
        <v>3800</v>
      </c>
      <c r="D74" s="0" t="n">
        <v>0.131578947368421</v>
      </c>
      <c r="E74" s="0" t="s">
        <v>1052</v>
      </c>
    </row>
    <row r="75" customFormat="false" ht="15" hidden="false" customHeight="false" outlineLevel="0" collapsed="false">
      <c r="A75" s="0" t="s">
        <v>56</v>
      </c>
      <c r="B75" s="0" t="n">
        <v>500</v>
      </c>
      <c r="C75" s="0" t="n">
        <v>3800</v>
      </c>
      <c r="D75" s="0" t="n">
        <v>0.131578947368421</v>
      </c>
      <c r="E75" s="0" t="s">
        <v>1068</v>
      </c>
    </row>
    <row r="76" customFormat="false" ht="15" hidden="false" customHeight="false" outlineLevel="0" collapsed="false">
      <c r="A76" s="0" t="s">
        <v>56</v>
      </c>
      <c r="B76" s="0" t="n">
        <v>500</v>
      </c>
      <c r="C76" s="0" t="n">
        <v>4000</v>
      </c>
      <c r="D76" s="0" t="n">
        <v>0.125</v>
      </c>
      <c r="E76" s="0" t="s">
        <v>1085</v>
      </c>
    </row>
    <row r="77" customFormat="false" ht="15" hidden="false" customHeight="false" outlineLevel="0" collapsed="false">
      <c r="A77" s="0" t="s">
        <v>56</v>
      </c>
      <c r="B77" s="0" t="n">
        <v>700</v>
      </c>
      <c r="C77" s="0" t="n">
        <v>4000</v>
      </c>
      <c r="D77" s="0" t="n">
        <v>0.175</v>
      </c>
      <c r="E77" s="0" t="s">
        <v>1099</v>
      </c>
    </row>
    <row r="78" customFormat="false" ht="15" hidden="false" customHeight="false" outlineLevel="0" collapsed="false">
      <c r="A78" s="0" t="s">
        <v>56</v>
      </c>
      <c r="B78" s="0" t="n">
        <v>700</v>
      </c>
      <c r="C78" s="0" t="n">
        <v>4000</v>
      </c>
      <c r="D78" s="0" t="n">
        <v>0.175</v>
      </c>
      <c r="E78" s="0" t="s">
        <v>1114</v>
      </c>
    </row>
    <row r="79" customFormat="false" ht="15" hidden="false" customHeight="false" outlineLevel="0" collapsed="false">
      <c r="A79" s="0" t="s">
        <v>56</v>
      </c>
      <c r="B79" s="0" t="n">
        <v>700</v>
      </c>
      <c r="C79" s="0" t="n">
        <v>4000</v>
      </c>
      <c r="D79" s="0" t="n">
        <v>0.175</v>
      </c>
      <c r="E79" s="0" t="s">
        <v>1128</v>
      </c>
    </row>
    <row r="80" customFormat="false" ht="15" hidden="false" customHeight="false" outlineLevel="0" collapsed="false">
      <c r="A80" s="0" t="s">
        <v>56</v>
      </c>
      <c r="B80" s="0" t="n">
        <v>500</v>
      </c>
      <c r="C80" s="0" t="n">
        <v>4000</v>
      </c>
      <c r="D80" s="0" t="n">
        <v>0.125</v>
      </c>
      <c r="E80" s="0" t="s">
        <v>1146</v>
      </c>
    </row>
    <row r="81" customFormat="false" ht="15" hidden="false" customHeight="false" outlineLevel="0" collapsed="false">
      <c r="A81" s="0" t="s">
        <v>56</v>
      </c>
      <c r="B81" s="0" t="n">
        <v>700</v>
      </c>
      <c r="C81" s="0" t="n">
        <v>4000</v>
      </c>
      <c r="D81" s="0" t="n">
        <v>0.175</v>
      </c>
      <c r="E81" s="0" t="s">
        <v>1162</v>
      </c>
    </row>
    <row r="82" customFormat="false" ht="15" hidden="false" customHeight="false" outlineLevel="0" collapsed="false">
      <c r="A82" s="0" t="s">
        <v>56</v>
      </c>
      <c r="B82" s="0" t="n">
        <v>700</v>
      </c>
      <c r="C82" s="0" t="n">
        <v>4000</v>
      </c>
      <c r="D82" s="0" t="n">
        <v>0.175</v>
      </c>
      <c r="E82" s="0" t="s">
        <v>1182</v>
      </c>
    </row>
    <row r="83" customFormat="false" ht="15" hidden="false" customHeight="false" outlineLevel="0" collapsed="false">
      <c r="A83" s="0" t="s">
        <v>56</v>
      </c>
      <c r="B83" s="0" t="n">
        <v>500</v>
      </c>
      <c r="C83" s="0" t="n">
        <v>4000</v>
      </c>
      <c r="D83" s="0" t="n">
        <v>0.125</v>
      </c>
      <c r="E83" s="0" t="s">
        <v>1200</v>
      </c>
    </row>
    <row r="84" customFormat="false" ht="15" hidden="false" customHeight="false" outlineLevel="0" collapsed="false">
      <c r="A84" s="0" t="s">
        <v>56</v>
      </c>
      <c r="B84" s="0" t="n">
        <v>700</v>
      </c>
      <c r="C84" s="0" t="n">
        <v>4000</v>
      </c>
      <c r="D84" s="0" t="n">
        <v>0.175</v>
      </c>
      <c r="E84" s="0" t="s">
        <v>1214</v>
      </c>
    </row>
    <row r="85" customFormat="false" ht="15" hidden="false" customHeight="false" outlineLevel="0" collapsed="false">
      <c r="A85" s="0" t="s">
        <v>56</v>
      </c>
      <c r="B85" s="0" t="n">
        <v>700</v>
      </c>
      <c r="C85" s="0" t="n">
        <v>4000</v>
      </c>
      <c r="D85" s="0" t="n">
        <v>0.175</v>
      </c>
      <c r="E85" s="0" t="s">
        <v>1229</v>
      </c>
    </row>
    <row r="86" customFormat="false" ht="15" hidden="false" customHeight="false" outlineLevel="0" collapsed="false">
      <c r="A86" s="0" t="s">
        <v>56</v>
      </c>
      <c r="B86" s="0" t="n">
        <v>700</v>
      </c>
      <c r="C86" s="0" t="n">
        <v>4000</v>
      </c>
      <c r="D86" s="0" t="n">
        <v>0.175</v>
      </c>
      <c r="E86" s="0" t="s">
        <v>1243</v>
      </c>
    </row>
    <row r="87" customFormat="false" ht="15" hidden="false" customHeight="false" outlineLevel="0" collapsed="false">
      <c r="A87" s="0" t="s">
        <v>56</v>
      </c>
      <c r="B87" s="0" t="n">
        <v>700</v>
      </c>
      <c r="C87" s="0" t="n">
        <v>4000</v>
      </c>
      <c r="D87" s="0" t="n">
        <v>0.175</v>
      </c>
      <c r="E87" s="0" t="s">
        <v>1261</v>
      </c>
    </row>
    <row r="88" customFormat="false" ht="15" hidden="false" customHeight="false" outlineLevel="0" collapsed="false">
      <c r="A88" s="0" t="s">
        <v>56</v>
      </c>
      <c r="B88" s="0" t="n">
        <v>700</v>
      </c>
      <c r="C88" s="0" t="n">
        <v>4000</v>
      </c>
      <c r="D88" s="0" t="n">
        <v>0.175</v>
      </c>
      <c r="E88" s="0" t="s">
        <v>1277</v>
      </c>
    </row>
    <row r="89" customFormat="false" ht="15" hidden="false" customHeight="false" outlineLevel="0" collapsed="false">
      <c r="A89" s="0" t="s">
        <v>56</v>
      </c>
      <c r="B89" s="0" t="n">
        <v>700</v>
      </c>
      <c r="C89" s="0" t="n">
        <v>4000</v>
      </c>
      <c r="D89" s="0" t="n">
        <v>0.175</v>
      </c>
      <c r="E89" s="0" t="s">
        <v>1294</v>
      </c>
    </row>
    <row r="90" customFormat="false" ht="15" hidden="false" customHeight="false" outlineLevel="0" collapsed="false">
      <c r="A90" s="0" t="s">
        <v>56</v>
      </c>
      <c r="B90" s="0" t="n">
        <v>700</v>
      </c>
      <c r="C90" s="0" t="n">
        <v>4000</v>
      </c>
      <c r="D90" s="0" t="n">
        <v>0.175</v>
      </c>
      <c r="E90" s="0" t="s">
        <v>1307</v>
      </c>
    </row>
    <row r="91" customFormat="false" ht="15" hidden="false" customHeight="false" outlineLevel="0" collapsed="false">
      <c r="A91" s="0" t="s">
        <v>56</v>
      </c>
      <c r="B91" s="0" t="n">
        <v>1000</v>
      </c>
      <c r="C91" s="0" t="n">
        <v>4000</v>
      </c>
      <c r="D91" s="0" t="n">
        <v>0.25</v>
      </c>
      <c r="E91" s="0" t="s">
        <v>1321</v>
      </c>
    </row>
    <row r="92" customFormat="false" ht="15" hidden="false" customHeight="false" outlineLevel="0" collapsed="false">
      <c r="A92" s="0" t="s">
        <v>56</v>
      </c>
      <c r="B92" s="0" t="n">
        <v>1400</v>
      </c>
      <c r="C92" s="0" t="n">
        <v>4000</v>
      </c>
      <c r="D92" s="0" t="n">
        <v>0.35</v>
      </c>
      <c r="E92" s="0" t="s">
        <v>1337</v>
      </c>
    </row>
    <row r="93" customFormat="false" ht="15" hidden="false" customHeight="false" outlineLevel="0" collapsed="false">
      <c r="A93" s="0" t="s">
        <v>56</v>
      </c>
      <c r="B93" s="0" t="n">
        <v>1500</v>
      </c>
      <c r="C93" s="0" t="n">
        <v>4000</v>
      </c>
      <c r="D93" s="0" t="n">
        <v>0.375</v>
      </c>
      <c r="E93" s="0" t="s">
        <v>1351</v>
      </c>
    </row>
    <row r="94" customFormat="false" ht="15" hidden="false" customHeight="false" outlineLevel="0" collapsed="false">
      <c r="A94" s="0" t="s">
        <v>56</v>
      </c>
      <c r="B94" s="0" t="n">
        <v>700</v>
      </c>
      <c r="C94" s="0" t="n">
        <v>4000</v>
      </c>
      <c r="D94" s="0" t="n">
        <v>0.175</v>
      </c>
      <c r="E94" s="0" t="s">
        <v>1365</v>
      </c>
    </row>
    <row r="95" customFormat="false" ht="15" hidden="false" customHeight="false" outlineLevel="0" collapsed="false">
      <c r="A95" s="0" t="s">
        <v>56</v>
      </c>
      <c r="B95" s="0" t="n">
        <v>700</v>
      </c>
      <c r="C95" s="0" t="n">
        <v>4000</v>
      </c>
      <c r="D95" s="0" t="n">
        <v>0.175</v>
      </c>
      <c r="E95" s="0" t="s">
        <v>1379</v>
      </c>
    </row>
    <row r="96" customFormat="false" ht="15" hidden="false" customHeight="false" outlineLevel="0" collapsed="false">
      <c r="A96" s="0" t="s">
        <v>56</v>
      </c>
      <c r="B96" s="0" t="n">
        <v>700</v>
      </c>
      <c r="C96" s="0" t="n">
        <v>4000</v>
      </c>
      <c r="D96" s="0" t="n">
        <v>0.175</v>
      </c>
      <c r="E96" s="0" t="s">
        <v>1392</v>
      </c>
    </row>
    <row r="97" customFormat="false" ht="15" hidden="false" customHeight="false" outlineLevel="0" collapsed="false">
      <c r="A97" s="0" t="s">
        <v>56</v>
      </c>
      <c r="B97" s="0" t="n">
        <v>700</v>
      </c>
      <c r="C97" s="0" t="n">
        <v>3800</v>
      </c>
      <c r="D97" s="0" t="n">
        <v>0.18421052631579</v>
      </c>
      <c r="E97" s="0" t="s">
        <v>1410</v>
      </c>
    </row>
    <row r="98" customFormat="false" ht="15" hidden="false" customHeight="false" outlineLevel="0" collapsed="false">
      <c r="A98" s="0" t="s">
        <v>56</v>
      </c>
      <c r="B98" s="0" t="n">
        <v>500</v>
      </c>
      <c r="C98" s="0" t="n">
        <v>3800</v>
      </c>
      <c r="D98" s="0" t="n">
        <v>0.131578947368421</v>
      </c>
      <c r="E98" s="0" t="s">
        <v>1424</v>
      </c>
    </row>
    <row r="99" customFormat="false" ht="15" hidden="false" customHeight="false" outlineLevel="0" collapsed="false">
      <c r="A99" s="0" t="s">
        <v>56</v>
      </c>
      <c r="B99" s="0" t="n">
        <v>700</v>
      </c>
      <c r="C99" s="0" t="n">
        <v>3800</v>
      </c>
      <c r="D99" s="0" t="n">
        <v>0.18421052631579</v>
      </c>
      <c r="E99" s="0" t="s">
        <v>1442</v>
      </c>
    </row>
    <row r="100" customFormat="false" ht="15" hidden="false" customHeight="false" outlineLevel="0" collapsed="false">
      <c r="A100" s="0" t="s">
        <v>56</v>
      </c>
      <c r="B100" s="0" t="n">
        <v>500</v>
      </c>
      <c r="C100" s="0" t="n">
        <v>3800</v>
      </c>
      <c r="D100" s="0" t="n">
        <v>0.131578947368421</v>
      </c>
      <c r="E100" s="0" t="s">
        <v>1458</v>
      </c>
    </row>
    <row r="101" customFormat="false" ht="15" hidden="false" customHeight="false" outlineLevel="0" collapsed="false">
      <c r="A101" s="0" t="s">
        <v>56</v>
      </c>
      <c r="B101" s="0" t="n">
        <v>1000</v>
      </c>
      <c r="C101" s="0" t="n">
        <v>3800</v>
      </c>
      <c r="D101" s="0" t="n">
        <v>0.263157894736842</v>
      </c>
      <c r="E101" s="0" t="s">
        <v>1472</v>
      </c>
    </row>
    <row r="102" customFormat="false" ht="15" hidden="false" customHeight="false" outlineLevel="0" collapsed="false">
      <c r="A102" s="0" t="s">
        <v>56</v>
      </c>
      <c r="B102" s="0" t="n">
        <v>1000</v>
      </c>
      <c r="C102" s="0" t="n">
        <v>3800</v>
      </c>
      <c r="D102" s="0" t="n">
        <v>0.263157894736842</v>
      </c>
      <c r="E102" s="0" t="s">
        <v>1488</v>
      </c>
    </row>
    <row r="103" customFormat="false" ht="15" hidden="false" customHeight="false" outlineLevel="0" collapsed="false">
      <c r="A103" s="0" t="s">
        <v>56</v>
      </c>
      <c r="B103" s="0" t="n">
        <v>1000</v>
      </c>
      <c r="C103" s="0" t="n">
        <v>3800</v>
      </c>
      <c r="D103" s="0" t="n">
        <v>0.263157894736842</v>
      </c>
      <c r="E103" s="0" t="s">
        <v>1503</v>
      </c>
    </row>
    <row r="104" customFormat="false" ht="15" hidden="false" customHeight="false" outlineLevel="0" collapsed="false">
      <c r="A104" s="0" t="s">
        <v>56</v>
      </c>
      <c r="B104" s="0" t="n">
        <v>700</v>
      </c>
      <c r="C104" s="0" t="n">
        <v>3800</v>
      </c>
      <c r="D104" s="0" t="n">
        <v>0.18421052631579</v>
      </c>
      <c r="E104" s="0" t="s">
        <v>1519</v>
      </c>
    </row>
    <row r="105" customFormat="false" ht="15" hidden="false" customHeight="false" outlineLevel="0" collapsed="false">
      <c r="A105" s="0" t="s">
        <v>56</v>
      </c>
      <c r="B105" s="0" t="n">
        <v>1000</v>
      </c>
      <c r="C105" s="0" t="n">
        <v>3800</v>
      </c>
      <c r="D105" s="0" t="n">
        <v>0.263157894736842</v>
      </c>
      <c r="E105" s="0" t="s">
        <v>1535</v>
      </c>
    </row>
    <row r="106" customFormat="false" ht="15" hidden="false" customHeight="false" outlineLevel="0" collapsed="false">
      <c r="A106" s="0" t="s">
        <v>56</v>
      </c>
      <c r="B106" s="0" t="n">
        <v>1400</v>
      </c>
      <c r="C106" s="0" t="n">
        <v>3800</v>
      </c>
      <c r="D106" s="0" t="n">
        <v>0.368421052631579</v>
      </c>
      <c r="E106" s="0" t="s">
        <v>1551</v>
      </c>
    </row>
    <row r="107" customFormat="false" ht="15" hidden="false" customHeight="false" outlineLevel="0" collapsed="false">
      <c r="A107" s="0" t="s">
        <v>56</v>
      </c>
      <c r="B107" s="0" t="n">
        <v>700</v>
      </c>
      <c r="C107" s="0" t="n">
        <v>3900</v>
      </c>
      <c r="D107" s="0" t="n">
        <v>0.17948717948718</v>
      </c>
      <c r="E107" s="0" t="s">
        <v>1570</v>
      </c>
    </row>
    <row r="108" customFormat="false" ht="15" hidden="false" customHeight="false" outlineLevel="0" collapsed="false">
      <c r="A108" s="0" t="s">
        <v>56</v>
      </c>
      <c r="B108" s="0" t="n">
        <v>700</v>
      </c>
      <c r="C108" s="0" t="n">
        <v>3800</v>
      </c>
      <c r="D108" s="0" t="n">
        <v>0.18421052631579</v>
      </c>
      <c r="E108" s="0" t="s">
        <v>1583</v>
      </c>
    </row>
    <row r="109" customFormat="false" ht="15" hidden="false" customHeight="false" outlineLevel="0" collapsed="false">
      <c r="A109" s="0" t="s">
        <v>56</v>
      </c>
      <c r="B109" s="0" t="n">
        <v>1500</v>
      </c>
      <c r="C109" s="0" t="n">
        <v>3900</v>
      </c>
      <c r="D109" s="0" t="n">
        <v>0.384615384615385</v>
      </c>
      <c r="E109" s="0" t="s">
        <v>1599</v>
      </c>
    </row>
    <row r="110" customFormat="false" ht="15" hidden="false" customHeight="false" outlineLevel="0" collapsed="false">
      <c r="A110" s="0" t="s">
        <v>56</v>
      </c>
      <c r="B110" s="0" t="n">
        <v>700</v>
      </c>
      <c r="C110" s="0" t="n">
        <v>3800</v>
      </c>
      <c r="D110" s="0" t="n">
        <v>0.18421052631579</v>
      </c>
      <c r="E110" s="0" t="s">
        <v>1617</v>
      </c>
    </row>
    <row r="111" customFormat="false" ht="15" hidden="false" customHeight="false" outlineLevel="0" collapsed="false">
      <c r="A111" s="0" t="s">
        <v>56</v>
      </c>
      <c r="B111" s="0" t="n">
        <v>700</v>
      </c>
      <c r="C111" s="0" t="n">
        <v>3800</v>
      </c>
      <c r="D111" s="0" t="n">
        <v>0.18421052631579</v>
      </c>
      <c r="E111" s="0" t="s">
        <v>1633</v>
      </c>
    </row>
    <row r="112" customFormat="false" ht="15" hidden="false" customHeight="false" outlineLevel="0" collapsed="false">
      <c r="A112" s="0" t="s">
        <v>56</v>
      </c>
      <c r="B112" s="0" t="n">
        <v>700</v>
      </c>
      <c r="C112" s="0" t="n">
        <v>3800</v>
      </c>
      <c r="D112" s="0" t="n">
        <v>0.18421052631579</v>
      </c>
      <c r="E112" s="0" t="s">
        <v>1648</v>
      </c>
    </row>
    <row r="113" customFormat="false" ht="15" hidden="false" customHeight="false" outlineLevel="0" collapsed="false">
      <c r="A113" s="0" t="s">
        <v>56</v>
      </c>
      <c r="B113" s="0" t="n">
        <v>700</v>
      </c>
      <c r="C113" s="0" t="n">
        <v>3800</v>
      </c>
      <c r="D113" s="0" t="n">
        <v>0.18421052631579</v>
      </c>
      <c r="E113" s="0" t="s">
        <v>1674</v>
      </c>
    </row>
    <row r="114" customFormat="false" ht="15" hidden="false" customHeight="false" outlineLevel="0" collapsed="false">
      <c r="A114" s="0" t="s">
        <v>56</v>
      </c>
      <c r="B114" s="0" t="n">
        <v>700</v>
      </c>
      <c r="C114" s="0" t="n">
        <v>3800</v>
      </c>
      <c r="D114" s="0" t="n">
        <v>0.18421052631579</v>
      </c>
      <c r="E114" s="0" t="s">
        <v>1689</v>
      </c>
    </row>
    <row r="115" customFormat="false" ht="15" hidden="false" customHeight="false" outlineLevel="0" collapsed="false">
      <c r="A115" s="0" t="s">
        <v>56</v>
      </c>
      <c r="B115" s="0" t="n">
        <v>500</v>
      </c>
      <c r="C115" s="0" t="n">
        <v>4000</v>
      </c>
      <c r="D115" s="0" t="n">
        <v>0.125</v>
      </c>
      <c r="E115" s="0" t="s">
        <v>1705</v>
      </c>
    </row>
    <row r="116" customFormat="false" ht="15" hidden="false" customHeight="false" outlineLevel="0" collapsed="false">
      <c r="A116" s="0" t="s">
        <v>56</v>
      </c>
      <c r="B116" s="0" t="n">
        <v>700</v>
      </c>
      <c r="C116" s="0" t="n">
        <v>3800</v>
      </c>
      <c r="D116" s="0" t="n">
        <v>0.18421052631579</v>
      </c>
      <c r="E116" s="0" t="s">
        <v>1722</v>
      </c>
    </row>
    <row r="117" customFormat="false" ht="15" hidden="false" customHeight="false" outlineLevel="0" collapsed="false">
      <c r="A117" s="0" t="s">
        <v>56</v>
      </c>
      <c r="B117" s="0" t="n">
        <v>700</v>
      </c>
      <c r="C117" s="0" t="n">
        <v>3800</v>
      </c>
      <c r="D117" s="0" t="n">
        <v>0.18421052631579</v>
      </c>
      <c r="E117" s="0" t="s">
        <v>1740</v>
      </c>
    </row>
    <row r="118" customFormat="false" ht="15" hidden="false" customHeight="false" outlineLevel="0" collapsed="false">
      <c r="A118" s="0" t="s">
        <v>56</v>
      </c>
      <c r="B118" s="0" t="n">
        <v>700</v>
      </c>
      <c r="C118" s="0" t="n">
        <v>3800</v>
      </c>
      <c r="D118" s="0" t="n">
        <v>0.18421052631579</v>
      </c>
      <c r="E118" s="0" t="s">
        <v>1761</v>
      </c>
    </row>
    <row r="119" customFormat="false" ht="15" hidden="false" customHeight="false" outlineLevel="0" collapsed="false">
      <c r="A119" s="0" t="s">
        <v>56</v>
      </c>
      <c r="B119" s="0" t="n">
        <v>700</v>
      </c>
      <c r="C119" s="0" t="n">
        <v>3800</v>
      </c>
      <c r="D119" s="0" t="n">
        <v>0.18421052631579</v>
      </c>
      <c r="E119" s="0" t="s">
        <v>1779</v>
      </c>
    </row>
    <row r="120" customFormat="false" ht="15" hidden="false" customHeight="false" outlineLevel="0" collapsed="false">
      <c r="A120" s="0" t="s">
        <v>56</v>
      </c>
      <c r="B120" s="0" t="n">
        <v>1000</v>
      </c>
      <c r="C120" s="0" t="n">
        <v>3800</v>
      </c>
      <c r="D120" s="0" t="n">
        <v>0.263157894736842</v>
      </c>
      <c r="E120" s="0" t="s">
        <v>1799</v>
      </c>
    </row>
    <row r="121" customFormat="false" ht="15" hidden="false" customHeight="false" outlineLevel="0" collapsed="false">
      <c r="A121" s="0" t="s">
        <v>56</v>
      </c>
      <c r="B121" s="0" t="n">
        <v>700</v>
      </c>
      <c r="C121" s="0" t="n">
        <v>4000</v>
      </c>
      <c r="D121" s="0" t="n">
        <v>0.175</v>
      </c>
      <c r="E121" s="0" t="s">
        <v>1819</v>
      </c>
    </row>
    <row r="122" customFormat="false" ht="15" hidden="false" customHeight="false" outlineLevel="0" collapsed="false">
      <c r="A122" s="0" t="s">
        <v>56</v>
      </c>
      <c r="B122" s="0" t="n">
        <v>700</v>
      </c>
      <c r="C122" s="0" t="n">
        <v>4000</v>
      </c>
      <c r="D122" s="0" t="n">
        <v>0.175</v>
      </c>
      <c r="E122" s="0" t="s">
        <v>1836</v>
      </c>
    </row>
    <row r="123" customFormat="false" ht="15" hidden="false" customHeight="false" outlineLevel="0" collapsed="false">
      <c r="A123" s="0" t="s">
        <v>56</v>
      </c>
      <c r="B123" s="0" t="n">
        <v>1000</v>
      </c>
      <c r="C123" s="0" t="n">
        <v>3800</v>
      </c>
      <c r="D123" s="0" t="n">
        <v>0.263157894736842</v>
      </c>
      <c r="E123" s="0" t="s">
        <v>1853</v>
      </c>
    </row>
    <row r="124" customFormat="false" ht="15" hidden="false" customHeight="false" outlineLevel="0" collapsed="false">
      <c r="A124" s="0" t="s">
        <v>56</v>
      </c>
      <c r="B124" s="0" t="n">
        <v>1000</v>
      </c>
      <c r="C124" s="0" t="n">
        <v>3800</v>
      </c>
      <c r="D124" s="0" t="n">
        <v>0.263157894736842</v>
      </c>
      <c r="E124" s="0" t="s">
        <v>1873</v>
      </c>
    </row>
    <row r="125" customFormat="false" ht="15" hidden="false" customHeight="false" outlineLevel="0" collapsed="false">
      <c r="A125" s="0" t="s">
        <v>56</v>
      </c>
      <c r="B125" s="0" t="n">
        <v>1000</v>
      </c>
      <c r="C125" s="0" t="n">
        <v>3800</v>
      </c>
      <c r="D125" s="0" t="n">
        <v>0.263157894736842</v>
      </c>
      <c r="E125" s="0" t="s">
        <v>1888</v>
      </c>
    </row>
    <row r="126" customFormat="false" ht="15" hidden="false" customHeight="false" outlineLevel="0" collapsed="false">
      <c r="A126" s="0" t="s">
        <v>56</v>
      </c>
      <c r="B126" s="0" t="n">
        <v>1000</v>
      </c>
      <c r="C126" s="0" t="n">
        <v>3800</v>
      </c>
      <c r="D126" s="0" t="n">
        <v>0.263157894736842</v>
      </c>
      <c r="E126" s="0" t="s">
        <v>1903</v>
      </c>
    </row>
    <row r="127" customFormat="false" ht="15" hidden="false" customHeight="false" outlineLevel="0" collapsed="false">
      <c r="A127" s="0" t="s">
        <v>56</v>
      </c>
      <c r="B127" s="0" t="n">
        <v>700</v>
      </c>
      <c r="C127" s="0" t="n">
        <v>4000</v>
      </c>
      <c r="D127" s="0" t="n">
        <v>0.175</v>
      </c>
      <c r="E127" s="0" t="s">
        <v>1923</v>
      </c>
    </row>
    <row r="128" customFormat="false" ht="15" hidden="false" customHeight="false" outlineLevel="0" collapsed="false">
      <c r="A128" s="0" t="s">
        <v>56</v>
      </c>
      <c r="B128" s="0" t="n">
        <v>700</v>
      </c>
      <c r="C128" s="0" t="n">
        <v>4000</v>
      </c>
      <c r="D128" s="0" t="n">
        <v>0.175</v>
      </c>
      <c r="E128" s="0" t="s">
        <v>1939</v>
      </c>
    </row>
    <row r="129" customFormat="false" ht="15" hidden="false" customHeight="false" outlineLevel="0" collapsed="false">
      <c r="A129" s="0" t="s">
        <v>56</v>
      </c>
      <c r="B129" s="0" t="n">
        <v>700</v>
      </c>
      <c r="C129" s="0" t="n">
        <v>4000</v>
      </c>
      <c r="D129" s="0" t="n">
        <v>0.175</v>
      </c>
      <c r="E129" s="0" t="s">
        <v>1954</v>
      </c>
    </row>
    <row r="130" customFormat="false" ht="15" hidden="false" customHeight="false" outlineLevel="0" collapsed="false">
      <c r="A130" s="0" t="s">
        <v>56</v>
      </c>
      <c r="B130" s="0" t="n">
        <v>500</v>
      </c>
      <c r="C130" s="0" t="n">
        <v>4000</v>
      </c>
      <c r="D130" s="0" t="n">
        <v>0.125</v>
      </c>
      <c r="E130" s="0" t="s">
        <v>1970</v>
      </c>
    </row>
    <row r="131" customFormat="false" ht="15" hidden="false" customHeight="false" outlineLevel="0" collapsed="false">
      <c r="A131" s="0" t="s">
        <v>56</v>
      </c>
      <c r="B131" s="0" t="n">
        <v>700</v>
      </c>
      <c r="C131" s="0" t="n">
        <v>4000</v>
      </c>
      <c r="D131" s="0" t="n">
        <v>0.175</v>
      </c>
      <c r="E131" s="0" t="s">
        <v>1986</v>
      </c>
    </row>
    <row r="132" customFormat="false" ht="15" hidden="false" customHeight="false" outlineLevel="0" collapsed="false">
      <c r="A132" s="0" t="s">
        <v>56</v>
      </c>
      <c r="B132" s="0" t="n">
        <v>1000</v>
      </c>
      <c r="C132" s="0" t="n">
        <v>4000</v>
      </c>
      <c r="D132" s="0" t="n">
        <v>0.25</v>
      </c>
      <c r="E132" s="0" t="s">
        <v>2002</v>
      </c>
    </row>
    <row r="133" customFormat="false" ht="15" hidden="false" customHeight="false" outlineLevel="0" collapsed="false">
      <c r="A133" s="0" t="s">
        <v>56</v>
      </c>
      <c r="B133" s="0" t="n">
        <v>1000</v>
      </c>
      <c r="C133" s="0" t="n">
        <v>4000</v>
      </c>
      <c r="D133" s="0" t="n">
        <v>0.25</v>
      </c>
      <c r="E133" s="0" t="s">
        <v>2018</v>
      </c>
    </row>
    <row r="134" customFormat="false" ht="15" hidden="false" customHeight="false" outlineLevel="0" collapsed="false">
      <c r="A134" s="0" t="s">
        <v>56</v>
      </c>
      <c r="B134" s="0" t="n">
        <v>700</v>
      </c>
      <c r="C134" s="0" t="n">
        <v>3800</v>
      </c>
      <c r="D134" s="0" t="n">
        <v>0.18421052631579</v>
      </c>
      <c r="E134" s="0" t="s">
        <v>2033</v>
      </c>
    </row>
    <row r="135" customFormat="false" ht="15" hidden="false" customHeight="false" outlineLevel="0" collapsed="false">
      <c r="A135" s="0" t="s">
        <v>56</v>
      </c>
      <c r="B135" s="0" t="n">
        <v>700</v>
      </c>
      <c r="C135" s="0" t="n">
        <v>4000</v>
      </c>
      <c r="D135" s="0" t="n">
        <v>0.175</v>
      </c>
      <c r="E135" s="0" t="s">
        <v>2050</v>
      </c>
    </row>
    <row r="136" customFormat="false" ht="15" hidden="false" customHeight="false" outlineLevel="0" collapsed="false">
      <c r="A136" s="0" t="s">
        <v>56</v>
      </c>
      <c r="B136" s="0" t="n">
        <v>1000</v>
      </c>
      <c r="C136" s="0" t="n">
        <v>3800</v>
      </c>
      <c r="D136" s="0" t="n">
        <v>0.263157894736842</v>
      </c>
      <c r="E136" s="0" t="s">
        <v>2066</v>
      </c>
    </row>
    <row r="137" customFormat="false" ht="15" hidden="false" customHeight="false" outlineLevel="0" collapsed="false">
      <c r="A137" s="0" t="s">
        <v>56</v>
      </c>
      <c r="B137" s="0" t="n">
        <v>700</v>
      </c>
      <c r="C137" s="0" t="n">
        <v>4000</v>
      </c>
      <c r="D137" s="0" t="n">
        <v>0.175</v>
      </c>
      <c r="E137" s="0" t="s">
        <v>2081</v>
      </c>
    </row>
    <row r="138" customFormat="false" ht="15" hidden="false" customHeight="false" outlineLevel="0" collapsed="false">
      <c r="A138" s="0" t="s">
        <v>56</v>
      </c>
      <c r="B138" s="0" t="n">
        <v>700</v>
      </c>
      <c r="C138" s="0" t="n">
        <v>4000</v>
      </c>
      <c r="D138" s="0" t="n">
        <v>0.175</v>
      </c>
      <c r="E138" s="0" t="s">
        <v>2096</v>
      </c>
    </row>
    <row r="139" customFormat="false" ht="15" hidden="false" customHeight="false" outlineLevel="0" collapsed="false">
      <c r="A139" s="0" t="s">
        <v>56</v>
      </c>
      <c r="B139" s="0" t="n">
        <v>700</v>
      </c>
      <c r="C139" s="0" t="n">
        <v>4000</v>
      </c>
      <c r="D139" s="0" t="n">
        <v>0.175</v>
      </c>
      <c r="E139" s="0" t="s">
        <v>2113</v>
      </c>
    </row>
    <row r="140" customFormat="false" ht="15" hidden="false" customHeight="false" outlineLevel="0" collapsed="false">
      <c r="A140" s="0" t="s">
        <v>56</v>
      </c>
      <c r="B140" s="0" t="n">
        <v>1000</v>
      </c>
      <c r="C140" s="0" t="n">
        <v>3800</v>
      </c>
      <c r="D140" s="0" t="n">
        <v>0.263157894736842</v>
      </c>
      <c r="E140" s="0" t="s">
        <v>2132</v>
      </c>
    </row>
    <row r="141" customFormat="false" ht="15" hidden="false" customHeight="false" outlineLevel="0" collapsed="false">
      <c r="A141" s="0" t="s">
        <v>56</v>
      </c>
      <c r="B141" s="0" t="n">
        <v>1000</v>
      </c>
      <c r="C141" s="0" t="n">
        <v>3800</v>
      </c>
      <c r="D141" s="0" t="n">
        <v>0.263157894736842</v>
      </c>
      <c r="E141" s="0" t="s">
        <v>2147</v>
      </c>
    </row>
    <row r="142" customFormat="false" ht="15" hidden="false" customHeight="false" outlineLevel="0" collapsed="false">
      <c r="A142" s="0" t="s">
        <v>56</v>
      </c>
      <c r="B142" s="0" t="n">
        <v>1000</v>
      </c>
      <c r="C142" s="0" t="n">
        <v>3800</v>
      </c>
      <c r="D142" s="0" t="n">
        <v>0.263157894736842</v>
      </c>
      <c r="E142" s="0" t="s">
        <v>2162</v>
      </c>
    </row>
    <row r="143" customFormat="false" ht="15" hidden="false" customHeight="false" outlineLevel="0" collapsed="false">
      <c r="A143" s="0" t="s">
        <v>56</v>
      </c>
      <c r="B143" s="0" t="n">
        <v>1000</v>
      </c>
      <c r="C143" s="0" t="n">
        <v>3800</v>
      </c>
      <c r="D143" s="0" t="n">
        <v>0.263157894736842</v>
      </c>
      <c r="E143" s="0" t="s">
        <v>2179</v>
      </c>
    </row>
    <row r="144" customFormat="false" ht="15" hidden="false" customHeight="false" outlineLevel="0" collapsed="false">
      <c r="A144" s="0" t="s">
        <v>56</v>
      </c>
      <c r="B144" s="0" t="n">
        <v>1000</v>
      </c>
      <c r="C144" s="0" t="n">
        <v>3800</v>
      </c>
      <c r="D144" s="0" t="n">
        <v>0.263157894736842</v>
      </c>
      <c r="E144" s="0" t="s">
        <v>2193</v>
      </c>
    </row>
    <row r="145" customFormat="false" ht="15" hidden="false" customHeight="false" outlineLevel="0" collapsed="false">
      <c r="A145" s="0" t="s">
        <v>56</v>
      </c>
      <c r="B145" s="0" t="n">
        <v>1000</v>
      </c>
      <c r="C145" s="0" t="n">
        <v>3800</v>
      </c>
      <c r="D145" s="0" t="n">
        <v>0.263157894736842</v>
      </c>
      <c r="E145" s="0" t="s">
        <v>2208</v>
      </c>
    </row>
    <row r="146" customFormat="false" ht="15" hidden="false" customHeight="false" outlineLevel="0" collapsed="false">
      <c r="A146" s="0" t="s">
        <v>56</v>
      </c>
      <c r="B146" s="0" t="n">
        <v>700</v>
      </c>
      <c r="C146" s="0" t="n">
        <v>3800</v>
      </c>
      <c r="D146" s="0" t="n">
        <v>0.18421052631579</v>
      </c>
      <c r="E146" s="0" t="s">
        <v>2226</v>
      </c>
    </row>
    <row r="147" customFormat="false" ht="15" hidden="false" customHeight="false" outlineLevel="0" collapsed="false">
      <c r="A147" s="0" t="s">
        <v>56</v>
      </c>
      <c r="B147" s="0" t="n">
        <v>700</v>
      </c>
      <c r="C147" s="0" t="n">
        <v>3800</v>
      </c>
      <c r="D147" s="0" t="n">
        <v>0.18421052631579</v>
      </c>
      <c r="E147" s="0" t="s">
        <v>2240</v>
      </c>
    </row>
    <row r="148" customFormat="false" ht="15" hidden="false" customHeight="false" outlineLevel="0" collapsed="false">
      <c r="A148" s="0" t="s">
        <v>56</v>
      </c>
      <c r="B148" s="0" t="n">
        <v>700</v>
      </c>
      <c r="C148" s="0" t="n">
        <v>3800</v>
      </c>
      <c r="D148" s="0" t="n">
        <v>0.18421052631579</v>
      </c>
      <c r="E148" s="0" t="s">
        <v>2255</v>
      </c>
    </row>
    <row r="149" customFormat="false" ht="15" hidden="false" customHeight="false" outlineLevel="0" collapsed="false">
      <c r="A149" s="0" t="s">
        <v>56</v>
      </c>
      <c r="B149" s="0" t="n">
        <v>500</v>
      </c>
      <c r="C149" s="0" t="n">
        <v>3800</v>
      </c>
      <c r="D149" s="0" t="n">
        <v>0.131578947368421</v>
      </c>
      <c r="E149" s="0" t="s">
        <v>2269</v>
      </c>
    </row>
    <row r="150" customFormat="false" ht="15" hidden="false" customHeight="false" outlineLevel="0" collapsed="false">
      <c r="A150" s="0" t="s">
        <v>56</v>
      </c>
      <c r="B150" s="0" t="n">
        <v>700</v>
      </c>
      <c r="C150" s="0" t="n">
        <v>3800</v>
      </c>
      <c r="D150" s="0" t="n">
        <v>0.18421052631579</v>
      </c>
      <c r="E150" s="0" t="s">
        <v>2283</v>
      </c>
    </row>
    <row r="151" customFormat="false" ht="15" hidden="false" customHeight="false" outlineLevel="0" collapsed="false">
      <c r="A151" s="0" t="s">
        <v>56</v>
      </c>
      <c r="B151" s="0" t="n">
        <v>700</v>
      </c>
      <c r="C151" s="0" t="n">
        <v>3800</v>
      </c>
      <c r="D151" s="0" t="n">
        <v>0.18421052631579</v>
      </c>
      <c r="E151" s="0" t="s">
        <v>2297</v>
      </c>
    </row>
    <row r="152" customFormat="false" ht="15" hidden="false" customHeight="false" outlineLevel="0" collapsed="false">
      <c r="A152" s="0" t="s">
        <v>56</v>
      </c>
      <c r="B152" s="0" t="n">
        <v>1000</v>
      </c>
      <c r="C152" s="0" t="n">
        <v>3800</v>
      </c>
      <c r="D152" s="0" t="n">
        <v>0.263157894736842</v>
      </c>
      <c r="E152" s="0" t="s">
        <v>2311</v>
      </c>
    </row>
    <row r="153" customFormat="false" ht="15" hidden="false" customHeight="false" outlineLevel="0" collapsed="false">
      <c r="A153" s="0" t="s">
        <v>56</v>
      </c>
      <c r="B153" s="0" t="n">
        <v>700</v>
      </c>
      <c r="C153" s="0" t="n">
        <v>3800</v>
      </c>
      <c r="D153" s="0" t="n">
        <v>0.18421052631579</v>
      </c>
      <c r="E153" s="0" t="s">
        <v>2329</v>
      </c>
    </row>
    <row r="154" customFormat="false" ht="15" hidden="false" customHeight="false" outlineLevel="0" collapsed="false">
      <c r="A154" s="0" t="s">
        <v>56</v>
      </c>
      <c r="B154" s="0" t="n">
        <v>700</v>
      </c>
      <c r="C154" s="0" t="n">
        <v>3800</v>
      </c>
      <c r="D154" s="0" t="n">
        <v>0.18421052631579</v>
      </c>
      <c r="E154" s="0" t="s">
        <v>2347</v>
      </c>
    </row>
    <row r="155" customFormat="false" ht="15" hidden="false" customHeight="false" outlineLevel="0" collapsed="false">
      <c r="A155" s="0" t="s">
        <v>56</v>
      </c>
      <c r="B155" s="0" t="n">
        <v>1000</v>
      </c>
      <c r="C155" s="0" t="n">
        <v>3800</v>
      </c>
      <c r="D155" s="0" t="n">
        <v>0.263157894736842</v>
      </c>
      <c r="E155" s="0" t="s">
        <v>2360</v>
      </c>
    </row>
    <row r="156" customFormat="false" ht="15" hidden="false" customHeight="false" outlineLevel="0" collapsed="false">
      <c r="A156" s="0" t="s">
        <v>56</v>
      </c>
      <c r="B156" s="0" t="n">
        <v>700</v>
      </c>
      <c r="C156" s="0" t="n">
        <v>3800</v>
      </c>
      <c r="D156" s="0" t="n">
        <v>0.18421052631579</v>
      </c>
      <c r="E156" s="0" t="s">
        <v>2380</v>
      </c>
    </row>
    <row r="157" customFormat="false" ht="15" hidden="false" customHeight="false" outlineLevel="0" collapsed="false">
      <c r="A157" s="0" t="s">
        <v>56</v>
      </c>
      <c r="B157" s="0" t="n">
        <v>700</v>
      </c>
      <c r="C157" s="0" t="n">
        <v>3800</v>
      </c>
      <c r="D157" s="0" t="n">
        <v>0.18421052631579</v>
      </c>
      <c r="E157" s="0" t="s">
        <v>2397</v>
      </c>
    </row>
    <row r="158" customFormat="false" ht="15" hidden="false" customHeight="false" outlineLevel="0" collapsed="false">
      <c r="A158" s="0" t="s">
        <v>56</v>
      </c>
      <c r="B158" s="0" t="n">
        <v>700</v>
      </c>
      <c r="C158" s="0" t="n">
        <v>3800</v>
      </c>
      <c r="D158" s="0" t="n">
        <v>0.18421052631579</v>
      </c>
      <c r="E158" s="0" t="s">
        <v>2413</v>
      </c>
    </row>
    <row r="159" customFormat="false" ht="15" hidden="false" customHeight="false" outlineLevel="0" collapsed="false">
      <c r="A159" s="0" t="s">
        <v>56</v>
      </c>
      <c r="B159" s="0" t="n">
        <v>700</v>
      </c>
      <c r="C159" s="0" t="n">
        <v>3800</v>
      </c>
      <c r="D159" s="0" t="n">
        <v>0.18421052631579</v>
      </c>
      <c r="E159" s="0" t="s">
        <v>2426</v>
      </c>
    </row>
    <row r="160" customFormat="false" ht="15" hidden="false" customHeight="false" outlineLevel="0" collapsed="false">
      <c r="A160" s="0" t="s">
        <v>56</v>
      </c>
      <c r="B160" s="0" t="n">
        <v>700</v>
      </c>
      <c r="C160" s="0" t="n">
        <v>3800</v>
      </c>
      <c r="D160" s="0" t="n">
        <v>0.18421052631579</v>
      </c>
      <c r="E160" s="0" t="s">
        <v>2442</v>
      </c>
    </row>
    <row r="161" customFormat="false" ht="15" hidden="false" customHeight="false" outlineLevel="0" collapsed="false">
      <c r="A161" s="0" t="s">
        <v>56</v>
      </c>
      <c r="B161" s="0" t="n">
        <v>700</v>
      </c>
      <c r="C161" s="0" t="n">
        <v>3800</v>
      </c>
      <c r="D161" s="0" t="n">
        <v>0.18421052631579</v>
      </c>
      <c r="E161" s="0" t="s">
        <v>2456</v>
      </c>
    </row>
    <row r="162" customFormat="false" ht="15" hidden="false" customHeight="false" outlineLevel="0" collapsed="false">
      <c r="A162" s="0" t="s">
        <v>56</v>
      </c>
      <c r="B162" s="0" t="n">
        <v>500</v>
      </c>
      <c r="C162" s="0" t="n">
        <v>3800</v>
      </c>
      <c r="D162" s="0" t="n">
        <v>0.131578947368421</v>
      </c>
      <c r="E162" s="0" t="s">
        <v>2479</v>
      </c>
    </row>
    <row r="163" customFormat="false" ht="15" hidden="false" customHeight="false" outlineLevel="0" collapsed="false">
      <c r="A163" s="0" t="s">
        <v>56</v>
      </c>
      <c r="B163" s="0" t="n">
        <v>1000</v>
      </c>
      <c r="C163" s="0" t="n">
        <v>3800</v>
      </c>
      <c r="D163" s="0" t="n">
        <v>0.263157894736842</v>
      </c>
      <c r="E163" s="0" t="s">
        <v>2502</v>
      </c>
    </row>
    <row r="164" customFormat="false" ht="15" hidden="false" customHeight="false" outlineLevel="0" collapsed="false">
      <c r="A164" s="0" t="s">
        <v>56</v>
      </c>
      <c r="B164" s="0" t="n">
        <v>1000</v>
      </c>
      <c r="C164" s="0" t="n">
        <v>3800</v>
      </c>
      <c r="D164" s="0" t="n">
        <v>0.263157894736842</v>
      </c>
      <c r="E164" s="0" t="s">
        <v>2515</v>
      </c>
    </row>
    <row r="165" customFormat="false" ht="15" hidden="false" customHeight="false" outlineLevel="0" collapsed="false">
      <c r="A165" s="0" t="s">
        <v>56</v>
      </c>
      <c r="B165" s="0" t="n">
        <v>700</v>
      </c>
      <c r="C165" s="0" t="n">
        <v>3800</v>
      </c>
      <c r="D165" s="0" t="n">
        <v>0.18421052631579</v>
      </c>
      <c r="E165" s="0" t="s">
        <v>2528</v>
      </c>
    </row>
    <row r="166" customFormat="false" ht="15" hidden="false" customHeight="false" outlineLevel="0" collapsed="false">
      <c r="A166" s="0" t="s">
        <v>56</v>
      </c>
      <c r="B166" s="0" t="n">
        <v>1000</v>
      </c>
      <c r="C166" s="0" t="n">
        <v>3800</v>
      </c>
      <c r="D166" s="0" t="n">
        <v>0.263157894736842</v>
      </c>
      <c r="E166" s="0" t="s">
        <v>2541</v>
      </c>
    </row>
    <row r="167" customFormat="false" ht="15" hidden="false" customHeight="false" outlineLevel="0" collapsed="false">
      <c r="A167" s="0" t="s">
        <v>56</v>
      </c>
      <c r="B167" s="0" t="n">
        <v>700</v>
      </c>
      <c r="C167" s="0" t="n">
        <v>3800</v>
      </c>
      <c r="D167" s="0" t="n">
        <v>0.18421052631579</v>
      </c>
      <c r="E167" s="0" t="s">
        <v>2553</v>
      </c>
    </row>
    <row r="168" customFormat="false" ht="15" hidden="false" customHeight="false" outlineLevel="0" collapsed="false">
      <c r="A168" s="0" t="s">
        <v>56</v>
      </c>
      <c r="B168" s="0" t="n">
        <v>700</v>
      </c>
      <c r="C168" s="0" t="n">
        <v>3800</v>
      </c>
      <c r="D168" s="0" t="n">
        <v>0.18421052631579</v>
      </c>
      <c r="E168" s="0" t="s">
        <v>2567</v>
      </c>
    </row>
    <row r="169" customFormat="false" ht="15" hidden="false" customHeight="false" outlineLevel="0" collapsed="false">
      <c r="A169" s="0" t="s">
        <v>56</v>
      </c>
      <c r="B169" s="0" t="n">
        <v>700</v>
      </c>
      <c r="C169" s="0" t="n">
        <v>3800</v>
      </c>
      <c r="D169" s="0" t="n">
        <v>0.18421052631579</v>
      </c>
      <c r="E169" s="0" t="s">
        <v>2580</v>
      </c>
    </row>
    <row r="170" customFormat="false" ht="15" hidden="false" customHeight="false" outlineLevel="0" collapsed="false">
      <c r="A170" s="0" t="s">
        <v>56</v>
      </c>
      <c r="B170" s="0" t="n">
        <v>700</v>
      </c>
      <c r="C170" s="0" t="n">
        <v>3800</v>
      </c>
      <c r="D170" s="0" t="n">
        <v>0.18421052631579</v>
      </c>
      <c r="E170" s="0" t="s">
        <v>2600</v>
      </c>
    </row>
    <row r="171" customFormat="false" ht="15" hidden="false" customHeight="false" outlineLevel="0" collapsed="false">
      <c r="A171" s="0" t="s">
        <v>56</v>
      </c>
      <c r="B171" s="0" t="n">
        <v>700</v>
      </c>
      <c r="C171" s="0" t="n">
        <v>3800</v>
      </c>
      <c r="D171" s="0" t="n">
        <v>0.18421052631579</v>
      </c>
      <c r="E171" s="0" t="s">
        <v>2620</v>
      </c>
    </row>
    <row r="172" customFormat="false" ht="15" hidden="false" customHeight="false" outlineLevel="0" collapsed="false">
      <c r="A172" s="0" t="s">
        <v>56</v>
      </c>
      <c r="B172" s="0" t="n">
        <v>700</v>
      </c>
      <c r="C172" s="0" t="n">
        <v>3800</v>
      </c>
      <c r="D172" s="0" t="n">
        <v>0.18421052631579</v>
      </c>
      <c r="E172" s="0" t="s">
        <v>2634</v>
      </c>
    </row>
    <row r="173" customFormat="false" ht="15" hidden="false" customHeight="false" outlineLevel="0" collapsed="false">
      <c r="A173" s="0" t="s">
        <v>56</v>
      </c>
      <c r="B173" s="0" t="n">
        <v>1000</v>
      </c>
      <c r="C173" s="0" t="n">
        <v>3800</v>
      </c>
      <c r="D173" s="0" t="n">
        <v>0.263157894736842</v>
      </c>
      <c r="E173" s="0" t="s">
        <v>2645</v>
      </c>
    </row>
    <row r="174" customFormat="false" ht="15" hidden="false" customHeight="false" outlineLevel="0" collapsed="false">
      <c r="A174" s="0" t="s">
        <v>56</v>
      </c>
      <c r="B174" s="0" t="n">
        <v>1000</v>
      </c>
      <c r="C174" s="0" t="n">
        <v>3800</v>
      </c>
      <c r="D174" s="0" t="n">
        <v>0.263157894736842</v>
      </c>
      <c r="E174" s="0" t="s">
        <v>2663</v>
      </c>
    </row>
    <row r="175" customFormat="false" ht="15" hidden="false" customHeight="false" outlineLevel="0" collapsed="false">
      <c r="A175" s="0" t="s">
        <v>56</v>
      </c>
      <c r="B175" s="0" t="n">
        <v>1000</v>
      </c>
      <c r="C175" s="0" t="n">
        <v>4000</v>
      </c>
      <c r="D175" s="0" t="n">
        <v>0.25</v>
      </c>
      <c r="E175" s="0" t="s">
        <v>2681</v>
      </c>
    </row>
    <row r="176" customFormat="false" ht="15" hidden="false" customHeight="false" outlineLevel="0" collapsed="false">
      <c r="A176" s="0" t="s">
        <v>56</v>
      </c>
      <c r="B176" s="0" t="n">
        <v>1000</v>
      </c>
      <c r="C176" s="0" t="n">
        <v>4500</v>
      </c>
      <c r="D176" s="0" t="n">
        <v>0.222222222222222</v>
      </c>
      <c r="E176" s="0" t="s">
        <v>2701</v>
      </c>
    </row>
    <row r="177" customFormat="false" ht="15" hidden="false" customHeight="false" outlineLevel="0" collapsed="false">
      <c r="A177" s="0" t="s">
        <v>56</v>
      </c>
      <c r="B177" s="0" t="n">
        <v>3000</v>
      </c>
      <c r="C177" s="0" t="n">
        <v>3800</v>
      </c>
      <c r="D177" s="0" t="n">
        <v>0.789473684210526</v>
      </c>
      <c r="E177" s="0" t="s">
        <v>2719</v>
      </c>
    </row>
    <row r="178" customFormat="false" ht="15" hidden="false" customHeight="false" outlineLevel="0" collapsed="false">
      <c r="A178" s="0" t="s">
        <v>56</v>
      </c>
      <c r="B178" s="0" t="n">
        <v>1400</v>
      </c>
      <c r="C178" s="0" t="n">
        <v>3800</v>
      </c>
      <c r="D178" s="0" t="n">
        <v>0.368421052631579</v>
      </c>
      <c r="E178" s="0" t="s">
        <v>2732</v>
      </c>
    </row>
    <row r="179" customFormat="false" ht="15" hidden="false" customHeight="false" outlineLevel="0" collapsed="false">
      <c r="A179" s="0" t="s">
        <v>56</v>
      </c>
      <c r="B179" s="0" t="n">
        <v>700</v>
      </c>
      <c r="C179" s="0" t="n">
        <v>3800</v>
      </c>
      <c r="D179" s="0" t="n">
        <v>0.18421052631579</v>
      </c>
      <c r="E179" s="0" t="s">
        <v>2748</v>
      </c>
    </row>
    <row r="180" customFormat="false" ht="15" hidden="false" customHeight="false" outlineLevel="0" collapsed="false">
      <c r="A180" s="0" t="s">
        <v>56</v>
      </c>
      <c r="B180" s="0" t="n">
        <v>1000</v>
      </c>
      <c r="C180" s="0" t="n">
        <v>4000</v>
      </c>
      <c r="D180" s="0" t="n">
        <v>0.25</v>
      </c>
      <c r="E180" s="0" t="s">
        <v>2764</v>
      </c>
    </row>
    <row r="181" customFormat="false" ht="15" hidden="false" customHeight="false" outlineLevel="0" collapsed="false">
      <c r="A181" s="0" t="s">
        <v>56</v>
      </c>
      <c r="B181" s="0" t="n">
        <v>3000</v>
      </c>
      <c r="C181" s="0" t="n">
        <v>4000</v>
      </c>
      <c r="D181" s="0" t="n">
        <v>0.75</v>
      </c>
      <c r="E181" s="0" t="s">
        <v>2777</v>
      </c>
    </row>
    <row r="182" customFormat="false" ht="15" hidden="false" customHeight="false" outlineLevel="0" collapsed="false">
      <c r="A182" s="0" t="s">
        <v>56</v>
      </c>
      <c r="B182" s="0" t="n">
        <v>700</v>
      </c>
      <c r="C182" s="0" t="n">
        <v>3800</v>
      </c>
      <c r="D182" s="0" t="n">
        <v>0.18421052631579</v>
      </c>
      <c r="E182" s="0" t="s">
        <v>2792</v>
      </c>
    </row>
    <row r="183" customFormat="false" ht="15" hidden="false" customHeight="false" outlineLevel="0" collapsed="false">
      <c r="A183" s="0" t="s">
        <v>56</v>
      </c>
      <c r="B183" s="0" t="n">
        <v>1000</v>
      </c>
      <c r="C183" s="0" t="n">
        <v>4500</v>
      </c>
      <c r="D183" s="0" t="n">
        <v>0.222222222222222</v>
      </c>
      <c r="E183" s="0" t="s">
        <v>2801</v>
      </c>
    </row>
    <row r="184" customFormat="false" ht="15" hidden="false" customHeight="false" outlineLevel="0" collapsed="false">
      <c r="A184" s="0" t="s">
        <v>56</v>
      </c>
      <c r="B184" s="0" t="n">
        <v>1000</v>
      </c>
      <c r="C184" s="0" t="n">
        <v>4500</v>
      </c>
      <c r="D184" s="0" t="n">
        <v>0.222222222222222</v>
      </c>
      <c r="E184" s="0" t="s">
        <v>2810</v>
      </c>
    </row>
    <row r="185" customFormat="false" ht="15" hidden="false" customHeight="false" outlineLevel="0" collapsed="false">
      <c r="A185" s="0" t="s">
        <v>56</v>
      </c>
      <c r="B185" s="0" t="n">
        <v>1000</v>
      </c>
      <c r="C185" s="0" t="n">
        <v>4500</v>
      </c>
      <c r="D185" s="0" t="n">
        <v>0.222222222222222</v>
      </c>
      <c r="E185" s="0" t="s">
        <v>2817</v>
      </c>
    </row>
    <row r="186" customFormat="false" ht="15" hidden="false" customHeight="false" outlineLevel="0" collapsed="false">
      <c r="A186" s="0" t="s">
        <v>56</v>
      </c>
      <c r="B186" s="0" t="n">
        <v>700</v>
      </c>
      <c r="C186" s="0" t="n">
        <v>4000</v>
      </c>
      <c r="D186" s="0" t="n">
        <v>0.175</v>
      </c>
      <c r="E186" s="0" t="s">
        <v>2826</v>
      </c>
    </row>
    <row r="187" customFormat="false" ht="15" hidden="false" customHeight="false" outlineLevel="0" collapsed="false">
      <c r="A187" s="0" t="s">
        <v>56</v>
      </c>
      <c r="B187" s="0" t="n">
        <v>700</v>
      </c>
      <c r="C187" s="0" t="n">
        <v>4000</v>
      </c>
      <c r="D187" s="0" t="n">
        <v>0.175</v>
      </c>
      <c r="E187" s="0" t="s">
        <v>2835</v>
      </c>
    </row>
    <row r="188" customFormat="false" ht="15" hidden="false" customHeight="false" outlineLevel="0" collapsed="false">
      <c r="A188" s="0" t="s">
        <v>56</v>
      </c>
      <c r="B188" s="0" t="n">
        <v>700</v>
      </c>
      <c r="C188" s="0" t="n">
        <v>4000</v>
      </c>
      <c r="D188" s="0" t="n">
        <v>0.175</v>
      </c>
      <c r="E188" s="0" t="s">
        <v>2844</v>
      </c>
    </row>
    <row r="189" customFormat="false" ht="15" hidden="false" customHeight="false" outlineLevel="0" collapsed="false">
      <c r="A189" s="0" t="s">
        <v>56</v>
      </c>
      <c r="B189" s="0" t="n">
        <v>700</v>
      </c>
      <c r="C189" s="0" t="n">
        <v>4000</v>
      </c>
      <c r="D189" s="0" t="n">
        <v>0.175</v>
      </c>
      <c r="E189" s="0" t="s">
        <v>2853</v>
      </c>
    </row>
    <row r="190" customFormat="false" ht="15" hidden="false" customHeight="false" outlineLevel="0" collapsed="false">
      <c r="A190" s="0" t="s">
        <v>56</v>
      </c>
      <c r="B190" s="0" t="n">
        <v>700</v>
      </c>
      <c r="C190" s="0" t="n">
        <v>4000</v>
      </c>
      <c r="D190" s="0" t="n">
        <v>0.175</v>
      </c>
      <c r="E190" s="0" t="s">
        <v>2862</v>
      </c>
    </row>
    <row r="191" customFormat="false" ht="15" hidden="false" customHeight="false" outlineLevel="0" collapsed="false">
      <c r="A191" s="0" t="s">
        <v>56</v>
      </c>
      <c r="B191" s="0" t="n">
        <v>700</v>
      </c>
      <c r="C191" s="0" t="n">
        <v>4000</v>
      </c>
      <c r="D191" s="0" t="n">
        <v>0.175</v>
      </c>
      <c r="E191" s="0" t="s">
        <v>2871</v>
      </c>
    </row>
    <row r="192" customFormat="false" ht="15" hidden="false" customHeight="false" outlineLevel="0" collapsed="false">
      <c r="A192" s="0" t="s">
        <v>56</v>
      </c>
      <c r="B192" s="0" t="n">
        <v>700</v>
      </c>
      <c r="C192" s="0" t="n">
        <v>4000</v>
      </c>
      <c r="D192" s="0" t="n">
        <v>0.175</v>
      </c>
      <c r="E192" s="0" t="s">
        <v>2882</v>
      </c>
    </row>
    <row r="193" customFormat="false" ht="15" hidden="false" customHeight="false" outlineLevel="0" collapsed="false">
      <c r="A193" s="0" t="s">
        <v>56</v>
      </c>
      <c r="B193" s="0" t="n">
        <v>700</v>
      </c>
      <c r="C193" s="0" t="n">
        <v>4000</v>
      </c>
      <c r="D193" s="0" t="n">
        <v>0.175</v>
      </c>
      <c r="E193" s="0" t="s">
        <v>2896</v>
      </c>
    </row>
    <row r="194" customFormat="false" ht="15" hidden="false" customHeight="false" outlineLevel="0" collapsed="false">
      <c r="A194" s="0" t="s">
        <v>56</v>
      </c>
      <c r="B194" s="0" t="n">
        <v>700</v>
      </c>
      <c r="C194" s="0" t="n">
        <v>4000</v>
      </c>
      <c r="D194" s="0" t="n">
        <v>0.175</v>
      </c>
      <c r="E194" s="0" t="s">
        <v>2910</v>
      </c>
    </row>
    <row r="195" customFormat="false" ht="15" hidden="false" customHeight="false" outlineLevel="0" collapsed="false">
      <c r="A195" s="0" t="s">
        <v>56</v>
      </c>
      <c r="B195" s="0" t="n">
        <v>700</v>
      </c>
      <c r="C195" s="0" t="n">
        <v>4000</v>
      </c>
      <c r="D195" s="0" t="n">
        <v>0.175</v>
      </c>
      <c r="E195" s="0" t="s">
        <v>2926</v>
      </c>
    </row>
    <row r="196" customFormat="false" ht="15" hidden="false" customHeight="false" outlineLevel="0" collapsed="false">
      <c r="A196" s="0" t="s">
        <v>56</v>
      </c>
      <c r="B196" s="0" t="n">
        <v>700</v>
      </c>
      <c r="C196" s="0" t="n">
        <v>4000</v>
      </c>
      <c r="D196" s="0" t="n">
        <v>0.175</v>
      </c>
      <c r="E196" s="0" t="s">
        <v>2948</v>
      </c>
    </row>
    <row r="197" customFormat="false" ht="15" hidden="false" customHeight="false" outlineLevel="0" collapsed="false">
      <c r="A197" s="0" t="s">
        <v>56</v>
      </c>
      <c r="B197" s="0" t="n">
        <v>700</v>
      </c>
      <c r="C197" s="0" t="n">
        <v>4000</v>
      </c>
      <c r="D197" s="0" t="n">
        <v>0.175</v>
      </c>
      <c r="E197" s="0" t="s">
        <v>2961</v>
      </c>
    </row>
    <row r="198" customFormat="false" ht="15" hidden="false" customHeight="false" outlineLevel="0" collapsed="false">
      <c r="A198" s="0" t="s">
        <v>56</v>
      </c>
      <c r="B198" s="0" t="n">
        <v>700</v>
      </c>
      <c r="C198" s="0" t="n">
        <v>4000</v>
      </c>
      <c r="D198" s="0" t="n">
        <v>0.175</v>
      </c>
      <c r="E198" s="0" t="s">
        <v>2974</v>
      </c>
    </row>
    <row r="199" customFormat="false" ht="15" hidden="false" customHeight="false" outlineLevel="0" collapsed="false">
      <c r="A199" s="0" t="s">
        <v>56</v>
      </c>
      <c r="B199" s="0" t="n">
        <v>700</v>
      </c>
      <c r="C199" s="0" t="n">
        <v>4000</v>
      </c>
      <c r="D199" s="0" t="n">
        <v>0.175</v>
      </c>
      <c r="E199" s="0" t="s">
        <v>2987</v>
      </c>
    </row>
    <row r="200" customFormat="false" ht="15" hidden="false" customHeight="false" outlineLevel="0" collapsed="false">
      <c r="A200" s="0" t="s">
        <v>56</v>
      </c>
      <c r="B200" s="0" t="n">
        <v>700</v>
      </c>
      <c r="C200" s="0" t="n">
        <v>4000</v>
      </c>
      <c r="D200" s="0" t="n">
        <v>0.175</v>
      </c>
      <c r="E200" s="0" t="s">
        <v>2998</v>
      </c>
    </row>
    <row r="201" customFormat="false" ht="15" hidden="false" customHeight="false" outlineLevel="0" collapsed="false">
      <c r="A201" s="0" t="s">
        <v>56</v>
      </c>
      <c r="B201" s="0" t="n">
        <v>700</v>
      </c>
      <c r="C201" s="0" t="n">
        <v>4000</v>
      </c>
      <c r="D201" s="0" t="n">
        <v>0.175</v>
      </c>
      <c r="E201" s="0" t="s">
        <v>3010</v>
      </c>
    </row>
    <row r="202" customFormat="false" ht="15" hidden="false" customHeight="false" outlineLevel="0" collapsed="false">
      <c r="A202" s="0" t="s">
        <v>56</v>
      </c>
      <c r="B202" s="0" t="n">
        <v>700</v>
      </c>
      <c r="C202" s="0" t="n">
        <v>4000</v>
      </c>
      <c r="D202" s="0" t="n">
        <v>0.175</v>
      </c>
      <c r="E202" s="0" t="s">
        <v>3022</v>
      </c>
    </row>
    <row r="203" customFormat="false" ht="15" hidden="false" customHeight="false" outlineLevel="0" collapsed="false">
      <c r="A203" s="0" t="s">
        <v>56</v>
      </c>
      <c r="B203" s="0" t="n">
        <v>700</v>
      </c>
      <c r="C203" s="0" t="n">
        <v>4000</v>
      </c>
      <c r="D203" s="0" t="n">
        <v>0.175</v>
      </c>
      <c r="E203" s="0" t="s">
        <v>3033</v>
      </c>
    </row>
    <row r="204" customFormat="false" ht="15" hidden="false" customHeight="false" outlineLevel="0" collapsed="false">
      <c r="A204" s="0" t="s">
        <v>56</v>
      </c>
      <c r="B204" s="0" t="n">
        <v>700</v>
      </c>
      <c r="C204" s="0" t="n">
        <v>4000</v>
      </c>
      <c r="D204" s="0" t="n">
        <v>0.175</v>
      </c>
      <c r="E204" s="0" t="s">
        <v>3044</v>
      </c>
    </row>
    <row r="205" customFormat="false" ht="15" hidden="false" customHeight="false" outlineLevel="0" collapsed="false">
      <c r="A205" s="0" t="s">
        <v>56</v>
      </c>
      <c r="B205" s="0" t="n">
        <v>700</v>
      </c>
      <c r="C205" s="0" t="n">
        <v>4000</v>
      </c>
      <c r="D205" s="0" t="n">
        <v>0.175</v>
      </c>
      <c r="E205" s="0" t="s">
        <v>3056</v>
      </c>
    </row>
    <row r="206" customFormat="false" ht="15" hidden="false" customHeight="false" outlineLevel="0" collapsed="false">
      <c r="A206" s="0" t="s">
        <v>56</v>
      </c>
      <c r="B206" s="0" t="n">
        <v>700</v>
      </c>
      <c r="C206" s="0" t="n">
        <v>4000</v>
      </c>
      <c r="D206" s="0" t="n">
        <v>0.175</v>
      </c>
      <c r="E206" s="0" t="s">
        <v>3067</v>
      </c>
    </row>
    <row r="207" customFormat="false" ht="15" hidden="false" customHeight="false" outlineLevel="0" collapsed="false">
      <c r="A207" s="0" t="s">
        <v>56</v>
      </c>
      <c r="B207" s="0" t="n">
        <v>700</v>
      </c>
      <c r="C207" s="0" t="n">
        <v>4000</v>
      </c>
      <c r="D207" s="0" t="n">
        <v>0.175</v>
      </c>
      <c r="E207" s="0" t="s">
        <v>3079</v>
      </c>
    </row>
    <row r="208" customFormat="false" ht="15" hidden="false" customHeight="false" outlineLevel="0" collapsed="false">
      <c r="A208" s="0" t="s">
        <v>56</v>
      </c>
      <c r="B208" s="0" t="n">
        <v>700</v>
      </c>
      <c r="C208" s="0" t="n">
        <v>4000</v>
      </c>
      <c r="D208" s="0" t="n">
        <v>0.175</v>
      </c>
      <c r="E208" s="0" t="s">
        <v>3090</v>
      </c>
    </row>
    <row r="209" customFormat="false" ht="15" hidden="false" customHeight="false" outlineLevel="0" collapsed="false">
      <c r="A209" s="0" t="s">
        <v>56</v>
      </c>
      <c r="B209" s="0" t="n">
        <v>700</v>
      </c>
      <c r="C209" s="0" t="n">
        <v>4000</v>
      </c>
      <c r="D209" s="0" t="n">
        <v>0.175</v>
      </c>
      <c r="E209" s="0" t="s">
        <v>3101</v>
      </c>
    </row>
    <row r="210" customFormat="false" ht="15" hidden="false" customHeight="false" outlineLevel="0" collapsed="false">
      <c r="A210" s="0" t="s">
        <v>56</v>
      </c>
      <c r="B210" s="0" t="n">
        <v>700</v>
      </c>
      <c r="C210" s="0" t="n">
        <v>4000</v>
      </c>
      <c r="D210" s="0" t="n">
        <v>0.175</v>
      </c>
      <c r="E210" s="0" t="s">
        <v>3113</v>
      </c>
    </row>
    <row r="211" customFormat="false" ht="15" hidden="false" customHeight="false" outlineLevel="0" collapsed="false">
      <c r="A211" s="0" t="s">
        <v>56</v>
      </c>
      <c r="B211" s="0" t="n">
        <v>700</v>
      </c>
      <c r="C211" s="0" t="n">
        <v>4000</v>
      </c>
      <c r="D211" s="0" t="n">
        <v>0.175</v>
      </c>
      <c r="E211" s="0" t="s">
        <v>3124</v>
      </c>
    </row>
    <row r="212" customFormat="false" ht="15" hidden="false" customHeight="false" outlineLevel="0" collapsed="false">
      <c r="A212" s="0" t="s">
        <v>56</v>
      </c>
      <c r="B212" s="0" t="n">
        <v>700</v>
      </c>
      <c r="C212" s="0" t="n">
        <v>4000</v>
      </c>
      <c r="D212" s="0" t="n">
        <v>0.175</v>
      </c>
      <c r="E212" s="0" t="s">
        <v>3136</v>
      </c>
    </row>
    <row r="213" customFormat="false" ht="15" hidden="false" customHeight="false" outlineLevel="0" collapsed="false">
      <c r="A213" s="0" t="s">
        <v>56</v>
      </c>
      <c r="B213" s="0" t="n">
        <v>700</v>
      </c>
      <c r="C213" s="0" t="n">
        <v>4000</v>
      </c>
      <c r="D213" s="0" t="n">
        <v>0.175</v>
      </c>
      <c r="E213" s="0" t="s">
        <v>3147</v>
      </c>
    </row>
    <row r="214" customFormat="false" ht="15" hidden="false" customHeight="false" outlineLevel="0" collapsed="false">
      <c r="A214" s="0" t="s">
        <v>56</v>
      </c>
      <c r="B214" s="0" t="n">
        <v>700</v>
      </c>
      <c r="C214" s="0" t="n">
        <v>4000</v>
      </c>
      <c r="D214" s="0" t="n">
        <v>0.175</v>
      </c>
      <c r="E214" s="0" t="s">
        <v>3158</v>
      </c>
    </row>
    <row r="215" customFormat="false" ht="15" hidden="false" customHeight="false" outlineLevel="0" collapsed="false">
      <c r="A215" s="0" t="s">
        <v>56</v>
      </c>
      <c r="B215" s="0" t="n">
        <v>700</v>
      </c>
      <c r="C215" s="0" t="n">
        <v>4000</v>
      </c>
      <c r="D215" s="0" t="n">
        <v>0.175</v>
      </c>
      <c r="E215" s="0" t="s">
        <v>3169</v>
      </c>
    </row>
    <row r="216" customFormat="false" ht="15" hidden="false" customHeight="false" outlineLevel="0" collapsed="false">
      <c r="A216" s="0" t="s">
        <v>56</v>
      </c>
      <c r="B216" s="0" t="n">
        <v>700</v>
      </c>
      <c r="C216" s="0" t="n">
        <v>4000</v>
      </c>
      <c r="D216" s="0" t="n">
        <v>0.175</v>
      </c>
      <c r="E216" s="0" t="s">
        <v>3180</v>
      </c>
    </row>
    <row r="217" customFormat="false" ht="15" hidden="false" customHeight="false" outlineLevel="0" collapsed="false">
      <c r="A217" s="0" t="s">
        <v>56</v>
      </c>
      <c r="B217" s="0" t="n">
        <v>700</v>
      </c>
      <c r="C217" s="0" t="n">
        <v>4000</v>
      </c>
      <c r="D217" s="0" t="n">
        <v>0.175</v>
      </c>
      <c r="E217" s="0" t="s">
        <v>3193</v>
      </c>
    </row>
    <row r="218" customFormat="false" ht="15" hidden="false" customHeight="false" outlineLevel="0" collapsed="false">
      <c r="A218" s="0" t="s">
        <v>56</v>
      </c>
      <c r="B218" s="0" t="n">
        <v>700</v>
      </c>
      <c r="C218" s="0" t="n">
        <v>4000</v>
      </c>
      <c r="D218" s="0" t="n">
        <v>0.175</v>
      </c>
      <c r="E218" s="0" t="s">
        <v>3205</v>
      </c>
    </row>
    <row r="219" customFormat="false" ht="15" hidden="false" customHeight="false" outlineLevel="0" collapsed="false">
      <c r="A219" s="0" t="s">
        <v>56</v>
      </c>
      <c r="B219" s="0" t="n">
        <v>700</v>
      </c>
      <c r="C219" s="0" t="n">
        <v>4000</v>
      </c>
      <c r="D219" s="0" t="n">
        <v>0.175</v>
      </c>
      <c r="E219" s="0" t="s">
        <v>3216</v>
      </c>
    </row>
    <row r="220" customFormat="false" ht="15" hidden="false" customHeight="false" outlineLevel="0" collapsed="false">
      <c r="A220" s="0" t="s">
        <v>56</v>
      </c>
      <c r="B220" s="0" t="n">
        <v>700</v>
      </c>
      <c r="C220" s="0" t="n">
        <v>4000</v>
      </c>
      <c r="D220" s="0" t="n">
        <v>0.175</v>
      </c>
      <c r="E220" s="0" t="s">
        <v>3228</v>
      </c>
    </row>
    <row r="221" customFormat="false" ht="15" hidden="false" customHeight="false" outlineLevel="0" collapsed="false">
      <c r="A221" s="0" t="s">
        <v>56</v>
      </c>
      <c r="B221" s="0" t="n">
        <v>700</v>
      </c>
      <c r="C221" s="0" t="n">
        <v>4000</v>
      </c>
      <c r="D221" s="0" t="n">
        <v>0.175</v>
      </c>
      <c r="E221" s="0" t="s">
        <v>3239</v>
      </c>
    </row>
    <row r="222" customFormat="false" ht="15" hidden="false" customHeight="false" outlineLevel="0" collapsed="false">
      <c r="A222" s="0" t="s">
        <v>56</v>
      </c>
      <c r="B222" s="0" t="n">
        <v>700</v>
      </c>
      <c r="C222" s="0" t="n">
        <v>4000</v>
      </c>
      <c r="D222" s="0" t="n">
        <v>0.175</v>
      </c>
      <c r="E222" s="0" t="s">
        <v>3251</v>
      </c>
    </row>
    <row r="223" customFormat="false" ht="15" hidden="false" customHeight="false" outlineLevel="0" collapsed="false">
      <c r="A223" s="0" t="s">
        <v>56</v>
      </c>
      <c r="B223" s="0" t="n">
        <v>700</v>
      </c>
      <c r="C223" s="0" t="n">
        <v>4000</v>
      </c>
      <c r="D223" s="0" t="n">
        <v>0.175</v>
      </c>
      <c r="E223" s="0" t="s">
        <v>3264</v>
      </c>
    </row>
    <row r="224" customFormat="false" ht="15" hidden="false" customHeight="false" outlineLevel="0" collapsed="false">
      <c r="A224" s="0" t="s">
        <v>56</v>
      </c>
      <c r="B224" s="0" t="n">
        <v>700</v>
      </c>
      <c r="C224" s="0" t="n">
        <v>4000</v>
      </c>
      <c r="D224" s="0" t="n">
        <v>0.175</v>
      </c>
      <c r="E224" s="0" t="s">
        <v>3278</v>
      </c>
    </row>
    <row r="225" customFormat="false" ht="15" hidden="false" customHeight="false" outlineLevel="0" collapsed="false">
      <c r="A225" s="0" t="s">
        <v>56</v>
      </c>
      <c r="B225" s="0" t="n">
        <v>700</v>
      </c>
      <c r="C225" s="0" t="n">
        <v>4000</v>
      </c>
      <c r="D225" s="0" t="n">
        <v>0.175</v>
      </c>
      <c r="E225" s="0" t="s">
        <v>3298</v>
      </c>
    </row>
    <row r="226" customFormat="false" ht="15" hidden="false" customHeight="false" outlineLevel="0" collapsed="false">
      <c r="A226" s="0" t="s">
        <v>56</v>
      </c>
      <c r="B226" s="0" t="n">
        <v>700</v>
      </c>
      <c r="C226" s="0" t="n">
        <v>4000</v>
      </c>
      <c r="D226" s="0" t="n">
        <v>0.175</v>
      </c>
      <c r="E226" s="0" t="s">
        <v>3319</v>
      </c>
    </row>
    <row r="227" customFormat="false" ht="15" hidden="false" customHeight="false" outlineLevel="0" collapsed="false">
      <c r="A227" s="0" t="s">
        <v>56</v>
      </c>
      <c r="B227" s="0" t="n">
        <v>700</v>
      </c>
      <c r="C227" s="0" t="n">
        <v>4000</v>
      </c>
      <c r="D227" s="0" t="n">
        <v>0.175</v>
      </c>
      <c r="E227" s="0" t="s">
        <v>3333</v>
      </c>
    </row>
    <row r="228" customFormat="false" ht="15" hidden="false" customHeight="false" outlineLevel="0" collapsed="false">
      <c r="A228" s="0" t="s">
        <v>56</v>
      </c>
      <c r="B228" s="0" t="n">
        <v>700</v>
      </c>
      <c r="C228" s="0" t="n">
        <v>3700</v>
      </c>
      <c r="D228" s="0" t="n">
        <v>0.189189189189189</v>
      </c>
      <c r="E228" s="0" t="s">
        <v>3354</v>
      </c>
    </row>
    <row r="229" customFormat="false" ht="15" hidden="false" customHeight="false" outlineLevel="0" collapsed="false">
      <c r="A229" s="0" t="s">
        <v>56</v>
      </c>
      <c r="B229" s="0" t="n">
        <v>300</v>
      </c>
      <c r="C229" s="0" t="n">
        <v>3900</v>
      </c>
      <c r="D229" s="0" t="n">
        <v>0.0769230769230769</v>
      </c>
      <c r="E229" s="0" t="s">
        <v>3365</v>
      </c>
    </row>
    <row r="230" customFormat="false" ht="15" hidden="false" customHeight="false" outlineLevel="0" collapsed="false">
      <c r="A230" s="0" t="s">
        <v>56</v>
      </c>
      <c r="B230" s="0" t="n">
        <v>700</v>
      </c>
      <c r="C230" s="0" t="n">
        <v>4500</v>
      </c>
      <c r="D230" s="0" t="n">
        <v>0.155555555555556</v>
      </c>
      <c r="E230" s="0" t="s">
        <v>3387</v>
      </c>
    </row>
    <row r="231" customFormat="false" ht="15" hidden="false" customHeight="false" outlineLevel="0" collapsed="false">
      <c r="A231" s="0" t="s">
        <v>56</v>
      </c>
      <c r="B231" s="0" t="n">
        <v>700</v>
      </c>
      <c r="C231" s="0" t="n">
        <v>4500</v>
      </c>
      <c r="D231" s="0" t="n">
        <v>0.155555555555556</v>
      </c>
      <c r="E231" s="0" t="s">
        <v>3396</v>
      </c>
    </row>
    <row r="232" customFormat="false" ht="15" hidden="false" customHeight="false" outlineLevel="0" collapsed="false">
      <c r="A232" s="0" t="s">
        <v>56</v>
      </c>
      <c r="B232" s="0" t="n">
        <v>700</v>
      </c>
      <c r="C232" s="0" t="n">
        <v>4500</v>
      </c>
      <c r="D232" s="0" t="n">
        <v>0.155555555555556</v>
      </c>
      <c r="E232" s="0" t="s">
        <v>3405</v>
      </c>
    </row>
    <row r="233" customFormat="false" ht="15" hidden="false" customHeight="false" outlineLevel="0" collapsed="false">
      <c r="A233" s="0" t="s">
        <v>56</v>
      </c>
      <c r="B233" s="0" t="n">
        <v>700</v>
      </c>
      <c r="C233" s="0" t="n">
        <v>4500</v>
      </c>
      <c r="D233" s="0" t="n">
        <v>0.155555555555556</v>
      </c>
      <c r="E233" s="0" t="s">
        <v>3414</v>
      </c>
    </row>
    <row r="234" customFormat="false" ht="15" hidden="false" customHeight="false" outlineLevel="0" collapsed="false">
      <c r="A234" s="0" t="s">
        <v>56</v>
      </c>
      <c r="B234" s="0" t="n">
        <v>700</v>
      </c>
      <c r="C234" s="0" t="n">
        <v>4500</v>
      </c>
      <c r="D234" s="0" t="n">
        <v>0.155555555555556</v>
      </c>
      <c r="E234" s="0" t="s">
        <v>3423</v>
      </c>
    </row>
    <row r="235" customFormat="false" ht="15" hidden="false" customHeight="false" outlineLevel="0" collapsed="false">
      <c r="A235" s="0" t="s">
        <v>56</v>
      </c>
      <c r="B235" s="0" t="n">
        <v>700</v>
      </c>
      <c r="C235" s="0" t="n">
        <v>4500</v>
      </c>
      <c r="D235" s="0" t="n">
        <v>0.155555555555556</v>
      </c>
      <c r="E235" s="0" t="s">
        <v>3432</v>
      </c>
    </row>
    <row r="236" customFormat="false" ht="15" hidden="false" customHeight="false" outlineLevel="0" collapsed="false">
      <c r="A236" s="0" t="s">
        <v>58</v>
      </c>
      <c r="B236" s="0" t="n">
        <v>2500</v>
      </c>
      <c r="C236" s="0" t="n">
        <v>4000</v>
      </c>
      <c r="D236" s="0" t="n">
        <v>0.625</v>
      </c>
      <c r="E236" s="0" t="s">
        <v>59</v>
      </c>
    </row>
    <row r="237" customFormat="false" ht="15" hidden="false" customHeight="false" outlineLevel="0" collapsed="false">
      <c r="A237" s="0" t="s">
        <v>58</v>
      </c>
      <c r="B237" s="0" t="n">
        <v>2500</v>
      </c>
      <c r="C237" s="0" t="n">
        <v>4000</v>
      </c>
      <c r="D237" s="0" t="n">
        <v>0.625</v>
      </c>
      <c r="E237" s="0" t="s">
        <v>74</v>
      </c>
    </row>
    <row r="238" customFormat="false" ht="15" hidden="false" customHeight="false" outlineLevel="0" collapsed="false">
      <c r="A238" s="0" t="s">
        <v>58</v>
      </c>
      <c r="B238" s="0" t="n">
        <v>2000</v>
      </c>
      <c r="C238" s="0" t="n">
        <v>4000</v>
      </c>
      <c r="D238" s="0" t="n">
        <v>0.5</v>
      </c>
      <c r="E238" s="0" t="s">
        <v>84</v>
      </c>
    </row>
    <row r="239" customFormat="false" ht="15" hidden="false" customHeight="false" outlineLevel="0" collapsed="false">
      <c r="A239" s="0" t="s">
        <v>58</v>
      </c>
      <c r="B239" s="0" t="n">
        <v>3000</v>
      </c>
      <c r="C239" s="0" t="n">
        <v>4000</v>
      </c>
      <c r="D239" s="0" t="n">
        <v>0.75</v>
      </c>
      <c r="E239" s="0" t="s">
        <v>94</v>
      </c>
    </row>
    <row r="240" customFormat="false" ht="15" hidden="false" customHeight="false" outlineLevel="0" collapsed="false">
      <c r="A240" s="0" t="s">
        <v>58</v>
      </c>
      <c r="B240" s="0" t="n">
        <v>1800</v>
      </c>
      <c r="C240" s="0" t="n">
        <v>4000</v>
      </c>
      <c r="D240" s="0" t="n">
        <v>0.45</v>
      </c>
      <c r="E240" s="0" t="s">
        <v>105</v>
      </c>
    </row>
    <row r="241" customFormat="false" ht="15" hidden="false" customHeight="false" outlineLevel="0" collapsed="false">
      <c r="A241" s="0" t="s">
        <v>58</v>
      </c>
      <c r="B241" s="0" t="n">
        <v>3500</v>
      </c>
      <c r="C241" s="0" t="n">
        <v>4000</v>
      </c>
      <c r="D241" s="0" t="n">
        <v>0.875</v>
      </c>
      <c r="E241" s="0" t="s">
        <v>117</v>
      </c>
    </row>
    <row r="242" customFormat="false" ht="15" hidden="false" customHeight="false" outlineLevel="0" collapsed="false">
      <c r="A242" s="0" t="s">
        <v>58</v>
      </c>
      <c r="B242" s="0" t="n">
        <v>2500</v>
      </c>
      <c r="C242" s="0" t="n">
        <v>4000</v>
      </c>
      <c r="D242" s="0" t="n">
        <v>0.625</v>
      </c>
      <c r="E242" s="0" t="s">
        <v>127</v>
      </c>
    </row>
    <row r="243" customFormat="false" ht="15" hidden="false" customHeight="false" outlineLevel="0" collapsed="false">
      <c r="A243" s="0" t="s">
        <v>58</v>
      </c>
      <c r="B243" s="0" t="n">
        <v>3500</v>
      </c>
      <c r="C243" s="0" t="n">
        <v>4000</v>
      </c>
      <c r="D243" s="0" t="n">
        <v>0.875</v>
      </c>
      <c r="E243" s="0" t="s">
        <v>145</v>
      </c>
    </row>
    <row r="244" customFormat="false" ht="15" hidden="false" customHeight="false" outlineLevel="0" collapsed="false">
      <c r="A244" s="0" t="s">
        <v>58</v>
      </c>
      <c r="B244" s="0" t="n">
        <v>2500</v>
      </c>
      <c r="C244" s="0" t="n">
        <v>4000</v>
      </c>
      <c r="D244" s="0" t="n">
        <v>0.625</v>
      </c>
      <c r="E244" s="0" t="s">
        <v>157</v>
      </c>
    </row>
    <row r="245" customFormat="false" ht="15" hidden="false" customHeight="false" outlineLevel="0" collapsed="false">
      <c r="A245" s="0" t="s">
        <v>58</v>
      </c>
      <c r="B245" s="0" t="n">
        <v>3500</v>
      </c>
      <c r="C245" s="0" t="n">
        <v>4000</v>
      </c>
      <c r="D245" s="0" t="n">
        <v>0.875</v>
      </c>
      <c r="E245" s="0" t="s">
        <v>172</v>
      </c>
    </row>
    <row r="246" customFormat="false" ht="15" hidden="false" customHeight="false" outlineLevel="0" collapsed="false">
      <c r="A246" s="0" t="s">
        <v>58</v>
      </c>
      <c r="B246" s="0" t="n">
        <v>2500</v>
      </c>
      <c r="C246" s="0" t="n">
        <v>4000</v>
      </c>
      <c r="D246" s="0" t="n">
        <v>0.625</v>
      </c>
      <c r="E246" s="0" t="s">
        <v>188</v>
      </c>
    </row>
    <row r="247" customFormat="false" ht="15" hidden="false" customHeight="false" outlineLevel="0" collapsed="false">
      <c r="A247" s="0" t="s">
        <v>58</v>
      </c>
      <c r="B247" s="0" t="n">
        <v>3500</v>
      </c>
      <c r="C247" s="0" t="n">
        <v>4000</v>
      </c>
      <c r="D247" s="0" t="n">
        <v>0.875</v>
      </c>
      <c r="E247" s="0" t="s">
        <v>202</v>
      </c>
    </row>
    <row r="248" customFormat="false" ht="15" hidden="false" customHeight="false" outlineLevel="0" collapsed="false">
      <c r="A248" s="0" t="s">
        <v>58</v>
      </c>
      <c r="B248" s="0" t="n">
        <v>1600</v>
      </c>
      <c r="C248" s="0" t="n">
        <v>4000</v>
      </c>
      <c r="D248" s="0" t="n">
        <v>0.4</v>
      </c>
      <c r="E248" s="0" t="s">
        <v>217</v>
      </c>
    </row>
    <row r="249" customFormat="false" ht="15" hidden="false" customHeight="false" outlineLevel="0" collapsed="false">
      <c r="A249" s="0" t="s">
        <v>58</v>
      </c>
      <c r="B249" s="0" t="n">
        <v>1600</v>
      </c>
      <c r="C249" s="0" t="n">
        <v>4000</v>
      </c>
      <c r="D249" s="0" t="n">
        <v>0.4</v>
      </c>
      <c r="E249" s="0" t="s">
        <v>232</v>
      </c>
    </row>
    <row r="250" customFormat="false" ht="15" hidden="false" customHeight="false" outlineLevel="0" collapsed="false">
      <c r="A250" s="0" t="s">
        <v>58</v>
      </c>
      <c r="B250" s="0" t="n">
        <v>2500</v>
      </c>
      <c r="C250" s="0" t="n">
        <v>4000</v>
      </c>
      <c r="D250" s="0" t="n">
        <v>0.625</v>
      </c>
      <c r="E250" s="0" t="s">
        <v>247</v>
      </c>
    </row>
    <row r="251" customFormat="false" ht="15" hidden="false" customHeight="false" outlineLevel="0" collapsed="false">
      <c r="A251" s="0" t="s">
        <v>58</v>
      </c>
      <c r="B251" s="0" t="n">
        <v>1600</v>
      </c>
      <c r="C251" s="0" t="n">
        <v>4000</v>
      </c>
      <c r="D251" s="0" t="n">
        <v>0.4</v>
      </c>
      <c r="E251" s="0" t="s">
        <v>261</v>
      </c>
    </row>
    <row r="252" customFormat="false" ht="15" hidden="false" customHeight="false" outlineLevel="0" collapsed="false">
      <c r="A252" s="0" t="s">
        <v>58</v>
      </c>
      <c r="B252" s="0" t="n">
        <v>2000</v>
      </c>
      <c r="C252" s="0" t="n">
        <v>4000</v>
      </c>
      <c r="D252" s="0" t="n">
        <v>0.5</v>
      </c>
      <c r="E252" s="0" t="s">
        <v>274</v>
      </c>
    </row>
    <row r="253" customFormat="false" ht="15" hidden="false" customHeight="false" outlineLevel="0" collapsed="false">
      <c r="A253" s="0" t="s">
        <v>58</v>
      </c>
      <c r="B253" s="0" t="n">
        <v>3500</v>
      </c>
      <c r="C253" s="0" t="n">
        <v>4000</v>
      </c>
      <c r="D253" s="0" t="n">
        <v>0.875</v>
      </c>
      <c r="E253" s="0" t="s">
        <v>287</v>
      </c>
    </row>
    <row r="254" customFormat="false" ht="15" hidden="false" customHeight="false" outlineLevel="0" collapsed="false">
      <c r="A254" s="0" t="s">
        <v>58</v>
      </c>
      <c r="B254" s="0" t="n">
        <v>2500</v>
      </c>
      <c r="C254" s="0" t="n">
        <v>4000</v>
      </c>
      <c r="D254" s="0" t="n">
        <v>0.625</v>
      </c>
      <c r="E254" s="0" t="s">
        <v>300</v>
      </c>
    </row>
    <row r="255" customFormat="false" ht="15" hidden="false" customHeight="false" outlineLevel="0" collapsed="false">
      <c r="A255" s="0" t="s">
        <v>58</v>
      </c>
      <c r="B255" s="0" t="n">
        <v>2500</v>
      </c>
      <c r="C255" s="0" t="n">
        <v>4000</v>
      </c>
      <c r="D255" s="0" t="n">
        <v>0.625</v>
      </c>
      <c r="E255" s="0" t="s">
        <v>314</v>
      </c>
    </row>
    <row r="256" customFormat="false" ht="15" hidden="false" customHeight="false" outlineLevel="0" collapsed="false">
      <c r="A256" s="0" t="s">
        <v>58</v>
      </c>
      <c r="B256" s="0" t="n">
        <v>2500</v>
      </c>
      <c r="C256" s="0" t="n">
        <v>4000</v>
      </c>
      <c r="D256" s="0" t="n">
        <v>0.625</v>
      </c>
      <c r="E256" s="0" t="s">
        <v>327</v>
      </c>
    </row>
    <row r="257" customFormat="false" ht="15" hidden="false" customHeight="false" outlineLevel="0" collapsed="false">
      <c r="A257" s="0" t="s">
        <v>58</v>
      </c>
      <c r="B257" s="0" t="n">
        <v>2500</v>
      </c>
      <c r="C257" s="0" t="n">
        <v>4000</v>
      </c>
      <c r="D257" s="0" t="n">
        <v>0.625</v>
      </c>
      <c r="E257" s="0" t="s">
        <v>339</v>
      </c>
    </row>
    <row r="258" customFormat="false" ht="15" hidden="false" customHeight="false" outlineLevel="0" collapsed="false">
      <c r="A258" s="0" t="s">
        <v>58</v>
      </c>
      <c r="B258" s="0" t="n">
        <v>2500</v>
      </c>
      <c r="C258" s="0" t="n">
        <v>4000</v>
      </c>
      <c r="D258" s="0" t="n">
        <v>0.625</v>
      </c>
      <c r="E258" s="0" t="s">
        <v>353</v>
      </c>
    </row>
    <row r="259" customFormat="false" ht="15" hidden="false" customHeight="false" outlineLevel="0" collapsed="false">
      <c r="A259" s="0" t="s">
        <v>58</v>
      </c>
      <c r="B259" s="0" t="n">
        <v>2500</v>
      </c>
      <c r="C259" s="0" t="n">
        <v>4000</v>
      </c>
      <c r="D259" s="0" t="n">
        <v>0.625</v>
      </c>
      <c r="E259" s="0" t="s">
        <v>366</v>
      </c>
    </row>
    <row r="260" customFormat="false" ht="15" hidden="false" customHeight="false" outlineLevel="0" collapsed="false">
      <c r="A260" s="0" t="s">
        <v>58</v>
      </c>
      <c r="B260" s="0" t="n">
        <v>2500</v>
      </c>
      <c r="C260" s="0" t="n">
        <v>4000</v>
      </c>
      <c r="D260" s="0" t="n">
        <v>0.625</v>
      </c>
      <c r="E260" s="0" t="s">
        <v>378</v>
      </c>
    </row>
    <row r="261" customFormat="false" ht="15" hidden="false" customHeight="false" outlineLevel="0" collapsed="false">
      <c r="A261" s="0" t="s">
        <v>58</v>
      </c>
      <c r="B261" s="0" t="n">
        <v>2500</v>
      </c>
      <c r="C261" s="0" t="n">
        <v>4000</v>
      </c>
      <c r="D261" s="0" t="n">
        <v>0.625</v>
      </c>
      <c r="E261" s="0" t="s">
        <v>391</v>
      </c>
    </row>
    <row r="262" customFormat="false" ht="15" hidden="false" customHeight="false" outlineLevel="0" collapsed="false">
      <c r="A262" s="0" t="s">
        <v>58</v>
      </c>
      <c r="B262" s="0" t="n">
        <v>2500</v>
      </c>
      <c r="C262" s="0" t="n">
        <v>4000</v>
      </c>
      <c r="D262" s="0" t="n">
        <v>0.625</v>
      </c>
      <c r="E262" s="0" t="s">
        <v>403</v>
      </c>
    </row>
    <row r="263" customFormat="false" ht="15" hidden="false" customHeight="false" outlineLevel="0" collapsed="false">
      <c r="A263" s="0" t="s">
        <v>58</v>
      </c>
      <c r="B263" s="0" t="n">
        <v>2500</v>
      </c>
      <c r="C263" s="0" t="n">
        <v>4000</v>
      </c>
      <c r="D263" s="0" t="n">
        <v>0.625</v>
      </c>
      <c r="E263" s="0" t="s">
        <v>415</v>
      </c>
    </row>
    <row r="264" customFormat="false" ht="15" hidden="false" customHeight="false" outlineLevel="0" collapsed="false">
      <c r="A264" s="0" t="s">
        <v>58</v>
      </c>
      <c r="B264" s="0" t="n">
        <v>2500</v>
      </c>
      <c r="C264" s="0" t="n">
        <v>4000</v>
      </c>
      <c r="D264" s="0" t="n">
        <v>0.625</v>
      </c>
      <c r="E264" s="0" t="s">
        <v>428</v>
      </c>
    </row>
    <row r="265" customFormat="false" ht="15" hidden="false" customHeight="false" outlineLevel="0" collapsed="false">
      <c r="A265" s="0" t="s">
        <v>58</v>
      </c>
      <c r="B265" s="0" t="n">
        <v>2500</v>
      </c>
      <c r="C265" s="0" t="n">
        <v>4000</v>
      </c>
      <c r="D265" s="0" t="n">
        <v>0.625</v>
      </c>
      <c r="E265" s="0" t="s">
        <v>441</v>
      </c>
    </row>
    <row r="266" customFormat="false" ht="15" hidden="false" customHeight="false" outlineLevel="0" collapsed="false">
      <c r="A266" s="0" t="s">
        <v>58</v>
      </c>
      <c r="B266" s="0" t="n">
        <v>2500</v>
      </c>
      <c r="C266" s="0" t="n">
        <v>4000</v>
      </c>
      <c r="D266" s="0" t="n">
        <v>0.625</v>
      </c>
      <c r="E266" s="0" t="s">
        <v>453</v>
      </c>
    </row>
    <row r="267" customFormat="false" ht="15" hidden="false" customHeight="false" outlineLevel="0" collapsed="false">
      <c r="A267" s="0" t="s">
        <v>58</v>
      </c>
      <c r="B267" s="0" t="n">
        <v>4500</v>
      </c>
      <c r="C267" s="0" t="n">
        <v>4000</v>
      </c>
      <c r="D267" s="0" t="n">
        <v>1.125</v>
      </c>
      <c r="E267" s="0" t="s">
        <v>466</v>
      </c>
    </row>
    <row r="268" customFormat="false" ht="15" hidden="false" customHeight="false" outlineLevel="0" collapsed="false">
      <c r="A268" s="0" t="s">
        <v>58</v>
      </c>
      <c r="B268" s="0" t="n">
        <v>2500</v>
      </c>
      <c r="C268" s="0" t="n">
        <v>4000</v>
      </c>
      <c r="D268" s="0" t="n">
        <v>0.625</v>
      </c>
      <c r="E268" s="0" t="s">
        <v>478</v>
      </c>
    </row>
    <row r="269" customFormat="false" ht="15" hidden="false" customHeight="false" outlineLevel="0" collapsed="false">
      <c r="A269" s="0" t="s">
        <v>58</v>
      </c>
      <c r="B269" s="0" t="n">
        <v>1300</v>
      </c>
      <c r="C269" s="0" t="n">
        <v>4000</v>
      </c>
      <c r="D269" s="0" t="n">
        <v>0.325</v>
      </c>
      <c r="E269" s="0" t="s">
        <v>491</v>
      </c>
    </row>
    <row r="270" customFormat="false" ht="15" hidden="false" customHeight="false" outlineLevel="0" collapsed="false">
      <c r="A270" s="0" t="s">
        <v>58</v>
      </c>
      <c r="B270" s="0" t="n">
        <v>2500</v>
      </c>
      <c r="C270" s="0" t="n">
        <v>4000</v>
      </c>
      <c r="D270" s="0" t="n">
        <v>0.625</v>
      </c>
      <c r="E270" s="0" t="s">
        <v>503</v>
      </c>
    </row>
    <row r="271" customFormat="false" ht="15" hidden="false" customHeight="false" outlineLevel="0" collapsed="false">
      <c r="A271" s="0" t="s">
        <v>58</v>
      </c>
      <c r="B271" s="0" t="n">
        <v>3500</v>
      </c>
      <c r="C271" s="0" t="n">
        <v>4000</v>
      </c>
      <c r="D271" s="0" t="n">
        <v>0.875</v>
      </c>
      <c r="E271" s="0" t="s">
        <v>516</v>
      </c>
    </row>
    <row r="272" customFormat="false" ht="15" hidden="false" customHeight="false" outlineLevel="0" collapsed="false">
      <c r="A272" s="0" t="s">
        <v>58</v>
      </c>
      <c r="B272" s="0" t="n">
        <v>2500</v>
      </c>
      <c r="C272" s="0" t="n">
        <v>4000</v>
      </c>
      <c r="D272" s="0" t="n">
        <v>0.625</v>
      </c>
      <c r="E272" s="0" t="s">
        <v>529</v>
      </c>
    </row>
    <row r="273" customFormat="false" ht="15" hidden="false" customHeight="false" outlineLevel="0" collapsed="false">
      <c r="A273" s="0" t="s">
        <v>58</v>
      </c>
      <c r="B273" s="0" t="n">
        <v>2500</v>
      </c>
      <c r="C273" s="0" t="n">
        <v>4000</v>
      </c>
      <c r="D273" s="0" t="n">
        <v>0.625</v>
      </c>
      <c r="E273" s="0" t="s">
        <v>543</v>
      </c>
    </row>
    <row r="274" customFormat="false" ht="15" hidden="false" customHeight="false" outlineLevel="0" collapsed="false">
      <c r="A274" s="0" t="s">
        <v>58</v>
      </c>
      <c r="B274" s="0" t="n">
        <v>2500</v>
      </c>
      <c r="C274" s="0" t="n">
        <v>4000</v>
      </c>
      <c r="D274" s="0" t="n">
        <v>0.625</v>
      </c>
      <c r="E274" s="0" t="s">
        <v>558</v>
      </c>
    </row>
    <row r="275" customFormat="false" ht="15" hidden="false" customHeight="false" outlineLevel="0" collapsed="false">
      <c r="A275" s="0" t="s">
        <v>58</v>
      </c>
      <c r="B275" s="0" t="n">
        <v>2500</v>
      </c>
      <c r="C275" s="0" t="n">
        <v>4000</v>
      </c>
      <c r="D275" s="0" t="n">
        <v>0.625</v>
      </c>
      <c r="E275" s="0" t="s">
        <v>578</v>
      </c>
    </row>
    <row r="276" customFormat="false" ht="15" hidden="false" customHeight="false" outlineLevel="0" collapsed="false">
      <c r="A276" s="0" t="s">
        <v>58</v>
      </c>
      <c r="B276" s="0" t="n">
        <v>2500</v>
      </c>
      <c r="C276" s="0" t="n">
        <v>4000</v>
      </c>
      <c r="D276" s="0" t="n">
        <v>0.625</v>
      </c>
      <c r="E276" s="0" t="s">
        <v>599</v>
      </c>
    </row>
    <row r="277" customFormat="false" ht="15" hidden="false" customHeight="false" outlineLevel="0" collapsed="false">
      <c r="A277" s="0" t="s">
        <v>58</v>
      </c>
      <c r="B277" s="0" t="n">
        <v>2500</v>
      </c>
      <c r="C277" s="0" t="n">
        <v>4000</v>
      </c>
      <c r="D277" s="0" t="n">
        <v>0.625</v>
      </c>
      <c r="E277" s="0" t="s">
        <v>613</v>
      </c>
    </row>
    <row r="278" customFormat="false" ht="15" hidden="false" customHeight="false" outlineLevel="0" collapsed="false">
      <c r="A278" s="0" t="s">
        <v>58</v>
      </c>
      <c r="B278" s="0" t="n">
        <v>2500</v>
      </c>
      <c r="C278" s="0" t="n">
        <v>3800</v>
      </c>
      <c r="D278" s="0" t="n">
        <v>0.657894736842105</v>
      </c>
      <c r="E278" s="0" t="s">
        <v>630</v>
      </c>
    </row>
    <row r="279" customFormat="false" ht="15" hidden="false" customHeight="false" outlineLevel="0" collapsed="false">
      <c r="A279" s="0" t="s">
        <v>58</v>
      </c>
      <c r="B279" s="0" t="n">
        <v>2500</v>
      </c>
      <c r="C279" s="0" t="n">
        <v>3800</v>
      </c>
      <c r="D279" s="0" t="n">
        <v>0.657894736842105</v>
      </c>
      <c r="E279" s="0" t="s">
        <v>640</v>
      </c>
    </row>
    <row r="280" customFormat="false" ht="15" hidden="false" customHeight="false" outlineLevel="0" collapsed="false">
      <c r="A280" s="0" t="s">
        <v>58</v>
      </c>
      <c r="B280" s="0" t="n">
        <v>2500</v>
      </c>
      <c r="C280" s="0" t="n">
        <v>3800</v>
      </c>
      <c r="D280" s="0" t="n">
        <v>0.657894736842105</v>
      </c>
      <c r="E280" s="0" t="s">
        <v>653</v>
      </c>
    </row>
    <row r="281" customFormat="false" ht="15" hidden="false" customHeight="false" outlineLevel="0" collapsed="false">
      <c r="A281" s="0" t="s">
        <v>58</v>
      </c>
      <c r="B281" s="0" t="n">
        <v>2500</v>
      </c>
      <c r="C281" s="0" t="n">
        <v>3800</v>
      </c>
      <c r="D281" s="0" t="n">
        <v>0.657894736842105</v>
      </c>
      <c r="E281" s="0" t="s">
        <v>664</v>
      </c>
    </row>
    <row r="282" customFormat="false" ht="15" hidden="false" customHeight="false" outlineLevel="0" collapsed="false">
      <c r="A282" s="0" t="s">
        <v>58</v>
      </c>
      <c r="B282" s="0" t="n">
        <v>2500</v>
      </c>
      <c r="C282" s="0" t="n">
        <v>3800</v>
      </c>
      <c r="D282" s="0" t="n">
        <v>0.657894736842105</v>
      </c>
      <c r="E282" s="0" t="s">
        <v>675</v>
      </c>
    </row>
    <row r="283" customFormat="false" ht="15" hidden="false" customHeight="false" outlineLevel="0" collapsed="false">
      <c r="A283" s="0" t="s">
        <v>58</v>
      </c>
      <c r="B283" s="0" t="n">
        <v>2000</v>
      </c>
      <c r="C283" s="0" t="n">
        <v>3800</v>
      </c>
      <c r="D283" s="0" t="n">
        <v>0.526315789473684</v>
      </c>
      <c r="E283" s="0" t="s">
        <v>686</v>
      </c>
    </row>
    <row r="284" customFormat="false" ht="15" hidden="false" customHeight="false" outlineLevel="0" collapsed="false">
      <c r="A284" s="0" t="s">
        <v>58</v>
      </c>
      <c r="B284" s="0" t="n">
        <v>2500</v>
      </c>
      <c r="C284" s="0" t="n">
        <v>3800</v>
      </c>
      <c r="D284" s="0" t="n">
        <v>0.657894736842105</v>
      </c>
      <c r="E284" s="0" t="s">
        <v>697</v>
      </c>
    </row>
    <row r="285" customFormat="false" ht="15" hidden="false" customHeight="false" outlineLevel="0" collapsed="false">
      <c r="A285" s="0" t="s">
        <v>58</v>
      </c>
      <c r="B285" s="0" t="n">
        <v>2500</v>
      </c>
      <c r="C285" s="0" t="n">
        <v>3800</v>
      </c>
      <c r="D285" s="0" t="n">
        <v>0.657894736842105</v>
      </c>
      <c r="E285" s="0" t="s">
        <v>707</v>
      </c>
    </row>
    <row r="286" customFormat="false" ht="15" hidden="false" customHeight="false" outlineLevel="0" collapsed="false">
      <c r="A286" s="0" t="s">
        <v>58</v>
      </c>
      <c r="B286" s="0" t="n">
        <v>2500</v>
      </c>
      <c r="C286" s="0" t="n">
        <v>3800</v>
      </c>
      <c r="D286" s="0" t="n">
        <v>0.657894736842105</v>
      </c>
      <c r="E286" s="0" t="s">
        <v>717</v>
      </c>
    </row>
    <row r="287" customFormat="false" ht="15" hidden="false" customHeight="false" outlineLevel="0" collapsed="false">
      <c r="A287" s="0" t="s">
        <v>58</v>
      </c>
      <c r="B287" s="0" t="n">
        <v>2500</v>
      </c>
      <c r="C287" s="0" t="n">
        <v>3800</v>
      </c>
      <c r="D287" s="0" t="n">
        <v>0.657894736842105</v>
      </c>
      <c r="E287" s="0" t="s">
        <v>727</v>
      </c>
    </row>
    <row r="288" customFormat="false" ht="15" hidden="false" customHeight="false" outlineLevel="0" collapsed="false">
      <c r="A288" s="0" t="s">
        <v>58</v>
      </c>
      <c r="B288" s="0" t="n">
        <v>6000</v>
      </c>
      <c r="C288" s="0" t="n">
        <v>3800</v>
      </c>
      <c r="D288" s="0" t="n">
        <v>1.57894736842105</v>
      </c>
      <c r="E288" s="0" t="s">
        <v>739</v>
      </c>
    </row>
    <row r="289" customFormat="false" ht="15" hidden="false" customHeight="false" outlineLevel="0" collapsed="false">
      <c r="A289" s="0" t="s">
        <v>58</v>
      </c>
      <c r="B289" s="0" t="n">
        <v>6000</v>
      </c>
      <c r="C289" s="0" t="n">
        <v>3800</v>
      </c>
      <c r="D289" s="0" t="n">
        <v>1.57894736842105</v>
      </c>
      <c r="E289" s="0" t="s">
        <v>757</v>
      </c>
    </row>
    <row r="290" customFormat="false" ht="15" hidden="false" customHeight="false" outlineLevel="0" collapsed="false">
      <c r="A290" s="0" t="s">
        <v>58</v>
      </c>
      <c r="B290" s="0" t="n">
        <v>2500</v>
      </c>
      <c r="C290" s="0" t="n">
        <v>3800</v>
      </c>
      <c r="D290" s="0" t="n">
        <v>0.657894736842105</v>
      </c>
      <c r="E290" s="0" t="s">
        <v>774</v>
      </c>
    </row>
    <row r="291" customFormat="false" ht="15" hidden="false" customHeight="false" outlineLevel="0" collapsed="false">
      <c r="A291" s="0" t="s">
        <v>58</v>
      </c>
      <c r="B291" s="0" t="n">
        <v>2500</v>
      </c>
      <c r="C291" s="0" t="n">
        <v>3800</v>
      </c>
      <c r="D291" s="0" t="n">
        <v>0.657894736842105</v>
      </c>
      <c r="E291" s="0" t="s">
        <v>787</v>
      </c>
    </row>
    <row r="292" customFormat="false" ht="15" hidden="false" customHeight="false" outlineLevel="0" collapsed="false">
      <c r="A292" s="0" t="s">
        <v>58</v>
      </c>
      <c r="B292" s="0" t="n">
        <v>2500</v>
      </c>
      <c r="C292" s="0" t="n">
        <v>3800</v>
      </c>
      <c r="D292" s="0" t="n">
        <v>0.657894736842105</v>
      </c>
      <c r="E292" s="0" t="s">
        <v>801</v>
      </c>
    </row>
    <row r="293" customFormat="false" ht="15" hidden="false" customHeight="false" outlineLevel="0" collapsed="false">
      <c r="A293" s="0" t="s">
        <v>58</v>
      </c>
      <c r="B293" s="0" t="n">
        <v>2500</v>
      </c>
      <c r="C293" s="0" t="n">
        <v>3800</v>
      </c>
      <c r="D293" s="0" t="n">
        <v>0.657894736842105</v>
      </c>
      <c r="E293" s="0" t="s">
        <v>815</v>
      </c>
    </row>
    <row r="294" customFormat="false" ht="15" hidden="false" customHeight="false" outlineLevel="0" collapsed="false">
      <c r="A294" s="0" t="s">
        <v>58</v>
      </c>
      <c r="B294" s="0" t="n">
        <v>4500</v>
      </c>
      <c r="C294" s="0" t="n">
        <v>3800</v>
      </c>
      <c r="D294" s="0" t="n">
        <v>1.18421052631579</v>
      </c>
      <c r="E294" s="0" t="s">
        <v>832</v>
      </c>
    </row>
    <row r="295" customFormat="false" ht="15" hidden="false" customHeight="false" outlineLevel="0" collapsed="false">
      <c r="A295" s="0" t="s">
        <v>58</v>
      </c>
      <c r="B295" s="0" t="n">
        <v>3000</v>
      </c>
      <c r="C295" s="0" t="n">
        <v>3800</v>
      </c>
      <c r="D295" s="0" t="n">
        <v>0.789473684210526</v>
      </c>
      <c r="E295" s="0" t="s">
        <v>845</v>
      </c>
    </row>
    <row r="296" customFormat="false" ht="15" hidden="false" customHeight="false" outlineLevel="0" collapsed="false">
      <c r="A296" s="0" t="s">
        <v>58</v>
      </c>
      <c r="B296" s="0" t="n">
        <v>4000</v>
      </c>
      <c r="C296" s="0" t="n">
        <v>3800</v>
      </c>
      <c r="D296" s="0" t="n">
        <v>1.05263157894737</v>
      </c>
      <c r="E296" s="0" t="s">
        <v>861</v>
      </c>
    </row>
    <row r="297" customFormat="false" ht="15" hidden="false" customHeight="false" outlineLevel="0" collapsed="false">
      <c r="A297" s="0" t="s">
        <v>58</v>
      </c>
      <c r="B297" s="0" t="n">
        <v>3000</v>
      </c>
      <c r="C297" s="0" t="n">
        <v>3800</v>
      </c>
      <c r="D297" s="0" t="n">
        <v>0.789473684210526</v>
      </c>
      <c r="E297" s="0" t="s">
        <v>880</v>
      </c>
    </row>
    <row r="298" customFormat="false" ht="15" hidden="false" customHeight="false" outlineLevel="0" collapsed="false">
      <c r="A298" s="0" t="s">
        <v>58</v>
      </c>
      <c r="B298" s="0" t="n">
        <v>3500</v>
      </c>
      <c r="C298" s="0" t="n">
        <v>3800</v>
      </c>
      <c r="D298" s="0" t="n">
        <v>0.921052631578947</v>
      </c>
      <c r="E298" s="0" t="s">
        <v>898</v>
      </c>
    </row>
    <row r="299" customFormat="false" ht="15" hidden="false" customHeight="false" outlineLevel="0" collapsed="false">
      <c r="A299" s="0" t="s">
        <v>58</v>
      </c>
      <c r="B299" s="0" t="n">
        <v>3000</v>
      </c>
      <c r="C299" s="0" t="n">
        <v>3800</v>
      </c>
      <c r="D299" s="0" t="n">
        <v>0.789473684210526</v>
      </c>
      <c r="E299" s="0" t="s">
        <v>912</v>
      </c>
    </row>
    <row r="300" customFormat="false" ht="15" hidden="false" customHeight="false" outlineLevel="0" collapsed="false">
      <c r="A300" s="0" t="s">
        <v>58</v>
      </c>
      <c r="B300" s="0" t="n">
        <v>3000</v>
      </c>
      <c r="C300" s="0" t="n">
        <v>3800</v>
      </c>
      <c r="D300" s="0" t="n">
        <v>0.789473684210526</v>
      </c>
      <c r="E300" s="0" t="s">
        <v>925</v>
      </c>
    </row>
    <row r="301" customFormat="false" ht="15" hidden="false" customHeight="false" outlineLevel="0" collapsed="false">
      <c r="A301" s="0" t="s">
        <v>58</v>
      </c>
      <c r="B301" s="0" t="n">
        <v>3000</v>
      </c>
      <c r="C301" s="0" t="n">
        <v>3800</v>
      </c>
      <c r="D301" s="0" t="n">
        <v>0.789473684210526</v>
      </c>
      <c r="E301" s="0" t="s">
        <v>939</v>
      </c>
    </row>
    <row r="302" customFormat="false" ht="15" hidden="false" customHeight="false" outlineLevel="0" collapsed="false">
      <c r="A302" s="0" t="s">
        <v>58</v>
      </c>
      <c r="B302" s="0" t="n">
        <v>3000</v>
      </c>
      <c r="C302" s="0" t="n">
        <v>3800</v>
      </c>
      <c r="D302" s="0" t="n">
        <v>0.789473684210526</v>
      </c>
      <c r="E302" s="0" t="s">
        <v>959</v>
      </c>
    </row>
    <row r="303" customFormat="false" ht="15" hidden="false" customHeight="false" outlineLevel="0" collapsed="false">
      <c r="A303" s="0" t="s">
        <v>58</v>
      </c>
      <c r="B303" s="0" t="n">
        <v>10000</v>
      </c>
      <c r="C303" s="0" t="n">
        <v>3800</v>
      </c>
      <c r="D303" s="0" t="n">
        <v>2.63157894736842</v>
      </c>
      <c r="E303" s="0" t="s">
        <v>977</v>
      </c>
    </row>
    <row r="304" customFormat="false" ht="15" hidden="false" customHeight="false" outlineLevel="0" collapsed="false">
      <c r="A304" s="0" t="s">
        <v>58</v>
      </c>
      <c r="B304" s="0" t="n">
        <v>3500</v>
      </c>
      <c r="C304" s="0" t="n">
        <v>4000</v>
      </c>
      <c r="D304" s="0" t="n">
        <v>0.875</v>
      </c>
      <c r="E304" s="0" t="s">
        <v>995</v>
      </c>
    </row>
    <row r="305" customFormat="false" ht="15" hidden="false" customHeight="false" outlineLevel="0" collapsed="false">
      <c r="A305" s="0" t="s">
        <v>58</v>
      </c>
      <c r="B305" s="0" t="n">
        <v>2500</v>
      </c>
      <c r="C305" s="0" t="n">
        <v>4000</v>
      </c>
      <c r="D305" s="0" t="n">
        <v>0.625</v>
      </c>
      <c r="E305" s="0" t="s">
        <v>1009</v>
      </c>
    </row>
    <row r="306" customFormat="false" ht="15" hidden="false" customHeight="false" outlineLevel="0" collapsed="false">
      <c r="A306" s="0" t="s">
        <v>58</v>
      </c>
      <c r="B306" s="0" t="n">
        <v>4000</v>
      </c>
      <c r="C306" s="0" t="n">
        <v>4000</v>
      </c>
      <c r="D306" s="0" t="n">
        <v>1</v>
      </c>
      <c r="E306" s="0" t="s">
        <v>1023</v>
      </c>
    </row>
    <row r="307" customFormat="false" ht="15" hidden="false" customHeight="false" outlineLevel="0" collapsed="false">
      <c r="A307" s="0" t="s">
        <v>58</v>
      </c>
      <c r="B307" s="0" t="n">
        <v>3000</v>
      </c>
      <c r="C307" s="0" t="n">
        <v>3800</v>
      </c>
      <c r="D307" s="0" t="n">
        <v>0.789473684210526</v>
      </c>
      <c r="E307" s="0" t="s">
        <v>1039</v>
      </c>
    </row>
    <row r="308" customFormat="false" ht="15" hidden="false" customHeight="false" outlineLevel="0" collapsed="false">
      <c r="A308" s="0" t="s">
        <v>58</v>
      </c>
      <c r="B308" s="0" t="n">
        <v>3000</v>
      </c>
      <c r="C308" s="0" t="n">
        <v>3800</v>
      </c>
      <c r="D308" s="0" t="n">
        <v>0.789473684210526</v>
      </c>
      <c r="E308" s="0" t="s">
        <v>1053</v>
      </c>
    </row>
    <row r="309" customFormat="false" ht="15" hidden="false" customHeight="false" outlineLevel="0" collapsed="false">
      <c r="A309" s="0" t="s">
        <v>58</v>
      </c>
      <c r="B309" s="0" t="n">
        <v>3000</v>
      </c>
      <c r="C309" s="0" t="n">
        <v>3800</v>
      </c>
      <c r="D309" s="0" t="n">
        <v>0.789473684210526</v>
      </c>
      <c r="E309" s="0" t="s">
        <v>1069</v>
      </c>
    </row>
    <row r="310" customFormat="false" ht="15" hidden="false" customHeight="false" outlineLevel="0" collapsed="false">
      <c r="A310" s="0" t="s">
        <v>58</v>
      </c>
      <c r="B310" s="0" t="n">
        <v>2000</v>
      </c>
      <c r="C310" s="0" t="n">
        <v>4000</v>
      </c>
      <c r="D310" s="0" t="n">
        <v>0.5</v>
      </c>
      <c r="E310" s="0" t="s">
        <v>1086</v>
      </c>
    </row>
    <row r="311" customFormat="false" ht="15" hidden="false" customHeight="false" outlineLevel="0" collapsed="false">
      <c r="A311" s="0" t="s">
        <v>58</v>
      </c>
      <c r="B311" s="0" t="n">
        <v>2500</v>
      </c>
      <c r="C311" s="0" t="n">
        <v>4000</v>
      </c>
      <c r="D311" s="0" t="n">
        <v>0.625</v>
      </c>
      <c r="E311" s="0" t="s">
        <v>1100</v>
      </c>
    </row>
    <row r="312" customFormat="false" ht="15" hidden="false" customHeight="false" outlineLevel="0" collapsed="false">
      <c r="A312" s="0" t="s">
        <v>58</v>
      </c>
      <c r="B312" s="0" t="n">
        <v>2500</v>
      </c>
      <c r="C312" s="0" t="n">
        <v>4000</v>
      </c>
      <c r="D312" s="0" t="n">
        <v>0.625</v>
      </c>
      <c r="E312" s="0" t="s">
        <v>1115</v>
      </c>
    </row>
    <row r="313" customFormat="false" ht="15" hidden="false" customHeight="false" outlineLevel="0" collapsed="false">
      <c r="A313" s="0" t="s">
        <v>58</v>
      </c>
      <c r="B313" s="0" t="n">
        <v>2500</v>
      </c>
      <c r="C313" s="0" t="n">
        <v>4000</v>
      </c>
      <c r="D313" s="0" t="n">
        <v>0.625</v>
      </c>
      <c r="E313" s="0" t="s">
        <v>1129</v>
      </c>
    </row>
    <row r="314" customFormat="false" ht="15" hidden="false" customHeight="false" outlineLevel="0" collapsed="false">
      <c r="A314" s="0" t="s">
        <v>58</v>
      </c>
      <c r="B314" s="0" t="n">
        <v>2500</v>
      </c>
      <c r="C314" s="0" t="n">
        <v>4000</v>
      </c>
      <c r="D314" s="0" t="n">
        <v>0.625</v>
      </c>
      <c r="E314" s="0" t="s">
        <v>1147</v>
      </c>
    </row>
    <row r="315" customFormat="false" ht="15" hidden="false" customHeight="false" outlineLevel="0" collapsed="false">
      <c r="A315" s="0" t="s">
        <v>58</v>
      </c>
      <c r="B315" s="0" t="n">
        <v>2500</v>
      </c>
      <c r="C315" s="0" t="n">
        <v>4000</v>
      </c>
      <c r="D315" s="0" t="n">
        <v>0.625</v>
      </c>
      <c r="E315" s="0" t="s">
        <v>1163</v>
      </c>
    </row>
    <row r="316" customFormat="false" ht="15" hidden="false" customHeight="false" outlineLevel="0" collapsed="false">
      <c r="A316" s="0" t="s">
        <v>58</v>
      </c>
      <c r="B316" s="0" t="n">
        <v>2500</v>
      </c>
      <c r="C316" s="0" t="n">
        <v>4000</v>
      </c>
      <c r="D316" s="0" t="n">
        <v>0.625</v>
      </c>
      <c r="E316" s="0" t="s">
        <v>1183</v>
      </c>
    </row>
    <row r="317" customFormat="false" ht="15" hidden="false" customHeight="false" outlineLevel="0" collapsed="false">
      <c r="A317" s="0" t="s">
        <v>58</v>
      </c>
      <c r="B317" s="0" t="n">
        <v>2000</v>
      </c>
      <c r="C317" s="0" t="n">
        <v>4000</v>
      </c>
      <c r="D317" s="0" t="n">
        <v>0.5</v>
      </c>
      <c r="E317" s="0" t="s">
        <v>1201</v>
      </c>
    </row>
    <row r="318" customFormat="false" ht="15" hidden="false" customHeight="false" outlineLevel="0" collapsed="false">
      <c r="A318" s="0" t="s">
        <v>58</v>
      </c>
      <c r="B318" s="0" t="n">
        <v>2500</v>
      </c>
      <c r="C318" s="0" t="n">
        <v>4000</v>
      </c>
      <c r="D318" s="0" t="n">
        <v>0.625</v>
      </c>
      <c r="E318" s="0" t="s">
        <v>1215</v>
      </c>
    </row>
    <row r="319" customFormat="false" ht="15" hidden="false" customHeight="false" outlineLevel="0" collapsed="false">
      <c r="A319" s="0" t="s">
        <v>58</v>
      </c>
      <c r="B319" s="0" t="n">
        <v>2500</v>
      </c>
      <c r="C319" s="0" t="n">
        <v>4000</v>
      </c>
      <c r="D319" s="0" t="n">
        <v>0.625</v>
      </c>
      <c r="E319" s="0" t="s">
        <v>1230</v>
      </c>
    </row>
    <row r="320" customFormat="false" ht="15" hidden="false" customHeight="false" outlineLevel="0" collapsed="false">
      <c r="A320" s="0" t="s">
        <v>58</v>
      </c>
      <c r="B320" s="0" t="n">
        <v>2500</v>
      </c>
      <c r="C320" s="0" t="n">
        <v>4000</v>
      </c>
      <c r="D320" s="0" t="n">
        <v>0.625</v>
      </c>
      <c r="E320" s="0" t="s">
        <v>1244</v>
      </c>
    </row>
    <row r="321" customFormat="false" ht="15" hidden="false" customHeight="false" outlineLevel="0" collapsed="false">
      <c r="A321" s="0" t="s">
        <v>58</v>
      </c>
      <c r="B321" s="0" t="n">
        <v>2500</v>
      </c>
      <c r="C321" s="0" t="n">
        <v>4000</v>
      </c>
      <c r="D321" s="0" t="n">
        <v>0.625</v>
      </c>
      <c r="E321" s="0" t="s">
        <v>1262</v>
      </c>
    </row>
    <row r="322" customFormat="false" ht="15" hidden="false" customHeight="false" outlineLevel="0" collapsed="false">
      <c r="A322" s="0" t="s">
        <v>58</v>
      </c>
      <c r="B322" s="0" t="n">
        <v>2500</v>
      </c>
      <c r="C322" s="0" t="n">
        <v>4000</v>
      </c>
      <c r="D322" s="0" t="n">
        <v>0.625</v>
      </c>
      <c r="E322" s="0" t="s">
        <v>1278</v>
      </c>
    </row>
    <row r="323" customFormat="false" ht="15" hidden="false" customHeight="false" outlineLevel="0" collapsed="false">
      <c r="A323" s="0" t="s">
        <v>58</v>
      </c>
      <c r="B323" s="0" t="n">
        <v>2500</v>
      </c>
      <c r="C323" s="0" t="n">
        <v>4000</v>
      </c>
      <c r="D323" s="0" t="n">
        <v>0.625</v>
      </c>
      <c r="E323" s="0" t="s">
        <v>1295</v>
      </c>
    </row>
    <row r="324" customFormat="false" ht="15" hidden="false" customHeight="false" outlineLevel="0" collapsed="false">
      <c r="A324" s="0" t="s">
        <v>58</v>
      </c>
      <c r="B324" s="0" t="n">
        <v>3500</v>
      </c>
      <c r="C324" s="0" t="n">
        <v>4000</v>
      </c>
      <c r="D324" s="0" t="n">
        <v>0.875</v>
      </c>
      <c r="E324" s="0" t="s">
        <v>1308</v>
      </c>
    </row>
    <row r="325" customFormat="false" ht="15" hidden="false" customHeight="false" outlineLevel="0" collapsed="false">
      <c r="A325" s="0" t="s">
        <v>58</v>
      </c>
      <c r="B325" s="0" t="n">
        <v>4500</v>
      </c>
      <c r="C325" s="0" t="n">
        <v>4000</v>
      </c>
      <c r="D325" s="0" t="n">
        <v>1.125</v>
      </c>
      <c r="E325" s="0" t="s">
        <v>1322</v>
      </c>
    </row>
    <row r="326" customFormat="false" ht="15" hidden="false" customHeight="false" outlineLevel="0" collapsed="false">
      <c r="A326" s="0" t="s">
        <v>58</v>
      </c>
      <c r="B326" s="0" t="n">
        <v>4500</v>
      </c>
      <c r="C326" s="0" t="n">
        <v>4000</v>
      </c>
      <c r="D326" s="0" t="n">
        <v>1.125</v>
      </c>
      <c r="E326" s="0" t="s">
        <v>1338</v>
      </c>
    </row>
    <row r="327" customFormat="false" ht="15" hidden="false" customHeight="false" outlineLevel="0" collapsed="false">
      <c r="A327" s="0" t="s">
        <v>58</v>
      </c>
      <c r="B327" s="0" t="n">
        <v>8000</v>
      </c>
      <c r="C327" s="0" t="n">
        <v>4000</v>
      </c>
      <c r="D327" s="0" t="n">
        <v>2</v>
      </c>
      <c r="E327" s="0" t="s">
        <v>1352</v>
      </c>
    </row>
    <row r="328" customFormat="false" ht="15" hidden="false" customHeight="false" outlineLevel="0" collapsed="false">
      <c r="A328" s="0" t="s">
        <v>58</v>
      </c>
      <c r="B328" s="0" t="n">
        <v>3500</v>
      </c>
      <c r="C328" s="0" t="n">
        <v>4000</v>
      </c>
      <c r="D328" s="0" t="n">
        <v>0.875</v>
      </c>
      <c r="E328" s="0" t="s">
        <v>1366</v>
      </c>
    </row>
    <row r="329" customFormat="false" ht="15" hidden="false" customHeight="false" outlineLevel="0" collapsed="false">
      <c r="A329" s="0" t="s">
        <v>58</v>
      </c>
      <c r="B329" s="0" t="n">
        <v>2500</v>
      </c>
      <c r="C329" s="0" t="n">
        <v>4000</v>
      </c>
      <c r="D329" s="0" t="n">
        <v>0.625</v>
      </c>
      <c r="E329" s="0" t="s">
        <v>1380</v>
      </c>
    </row>
    <row r="330" customFormat="false" ht="15" hidden="false" customHeight="false" outlineLevel="0" collapsed="false">
      <c r="A330" s="0" t="s">
        <v>58</v>
      </c>
      <c r="B330" s="0" t="n">
        <v>3500</v>
      </c>
      <c r="C330" s="0" t="n">
        <v>4000</v>
      </c>
      <c r="D330" s="0" t="n">
        <v>0.875</v>
      </c>
      <c r="E330" s="0" t="s">
        <v>1393</v>
      </c>
    </row>
    <row r="331" customFormat="false" ht="15" hidden="false" customHeight="false" outlineLevel="0" collapsed="false">
      <c r="A331" s="0" t="s">
        <v>58</v>
      </c>
      <c r="B331" s="0" t="n">
        <v>3000</v>
      </c>
      <c r="C331" s="0" t="n">
        <v>3800</v>
      </c>
      <c r="D331" s="0" t="n">
        <v>0.789473684210526</v>
      </c>
      <c r="E331" s="0" t="s">
        <v>1411</v>
      </c>
    </row>
    <row r="332" customFormat="false" ht="15" hidden="false" customHeight="false" outlineLevel="0" collapsed="false">
      <c r="A332" s="0" t="s">
        <v>58</v>
      </c>
      <c r="B332" s="0" t="n">
        <v>2000</v>
      </c>
      <c r="C332" s="0" t="n">
        <v>3800</v>
      </c>
      <c r="D332" s="0" t="n">
        <v>0.526315789473684</v>
      </c>
      <c r="E332" s="0" t="s">
        <v>1425</v>
      </c>
    </row>
    <row r="333" customFormat="false" ht="15" hidden="false" customHeight="false" outlineLevel="0" collapsed="false">
      <c r="A333" s="0" t="s">
        <v>58</v>
      </c>
      <c r="B333" s="0" t="n">
        <v>2500</v>
      </c>
      <c r="C333" s="0" t="n">
        <v>3800</v>
      </c>
      <c r="D333" s="0" t="n">
        <v>0.657894736842105</v>
      </c>
      <c r="E333" s="0" t="s">
        <v>1443</v>
      </c>
    </row>
    <row r="334" customFormat="false" ht="15" hidden="false" customHeight="false" outlineLevel="0" collapsed="false">
      <c r="A334" s="0" t="s">
        <v>58</v>
      </c>
      <c r="B334" s="0" t="n">
        <v>1500</v>
      </c>
      <c r="C334" s="0" t="n">
        <v>3800</v>
      </c>
      <c r="D334" s="0" t="n">
        <v>0.394736842105263</v>
      </c>
      <c r="E334" s="0" t="s">
        <v>1459</v>
      </c>
    </row>
    <row r="335" customFormat="false" ht="15" hidden="false" customHeight="false" outlineLevel="0" collapsed="false">
      <c r="A335" s="0" t="s">
        <v>58</v>
      </c>
      <c r="B335" s="0" t="n">
        <v>2500</v>
      </c>
      <c r="C335" s="0" t="n">
        <v>3800</v>
      </c>
      <c r="D335" s="0" t="n">
        <v>0.657894736842105</v>
      </c>
      <c r="E335" s="0" t="s">
        <v>1473</v>
      </c>
    </row>
    <row r="336" customFormat="false" ht="15" hidden="false" customHeight="false" outlineLevel="0" collapsed="false">
      <c r="A336" s="0" t="s">
        <v>58</v>
      </c>
      <c r="B336" s="0" t="n">
        <v>2500</v>
      </c>
      <c r="C336" s="0" t="n">
        <v>3800</v>
      </c>
      <c r="D336" s="0" t="n">
        <v>0.657894736842105</v>
      </c>
      <c r="E336" s="0" t="s">
        <v>1489</v>
      </c>
    </row>
    <row r="337" customFormat="false" ht="15" hidden="false" customHeight="false" outlineLevel="0" collapsed="false">
      <c r="A337" s="0" t="s">
        <v>58</v>
      </c>
      <c r="B337" s="0" t="n">
        <v>2500</v>
      </c>
      <c r="C337" s="0" t="n">
        <v>3800</v>
      </c>
      <c r="D337" s="0" t="n">
        <v>0.657894736842105</v>
      </c>
      <c r="E337" s="0" t="s">
        <v>1504</v>
      </c>
    </row>
    <row r="338" customFormat="false" ht="15" hidden="false" customHeight="false" outlineLevel="0" collapsed="false">
      <c r="A338" s="0" t="s">
        <v>58</v>
      </c>
      <c r="B338" s="0" t="n">
        <v>2000</v>
      </c>
      <c r="C338" s="0" t="n">
        <v>3800</v>
      </c>
      <c r="D338" s="0" t="n">
        <v>0.526315789473684</v>
      </c>
      <c r="E338" s="0" t="s">
        <v>1521</v>
      </c>
    </row>
    <row r="339" customFormat="false" ht="15" hidden="false" customHeight="false" outlineLevel="0" collapsed="false">
      <c r="A339" s="0" t="s">
        <v>58</v>
      </c>
      <c r="B339" s="0" t="n">
        <v>2500</v>
      </c>
      <c r="C339" s="0" t="n">
        <v>3800</v>
      </c>
      <c r="D339" s="0" t="n">
        <v>0.657894736842105</v>
      </c>
      <c r="E339" s="0" t="s">
        <v>1537</v>
      </c>
    </row>
    <row r="340" customFormat="false" ht="15" hidden="false" customHeight="false" outlineLevel="0" collapsed="false">
      <c r="A340" s="0" t="s">
        <v>58</v>
      </c>
      <c r="B340" s="0" t="n">
        <v>2500</v>
      </c>
      <c r="C340" s="0" t="n">
        <v>3800</v>
      </c>
      <c r="D340" s="0" t="n">
        <v>0.657894736842105</v>
      </c>
      <c r="E340" s="0" t="s">
        <v>1553</v>
      </c>
    </row>
    <row r="341" customFormat="false" ht="15" hidden="false" customHeight="false" outlineLevel="0" collapsed="false">
      <c r="A341" s="0" t="s">
        <v>58</v>
      </c>
      <c r="B341" s="0" t="n">
        <v>4500</v>
      </c>
      <c r="C341" s="0" t="n">
        <v>3900</v>
      </c>
      <c r="D341" s="0" t="n">
        <v>1.15384615384615</v>
      </c>
      <c r="E341" s="0" t="s">
        <v>1571</v>
      </c>
    </row>
    <row r="342" customFormat="false" ht="15" hidden="false" customHeight="false" outlineLevel="0" collapsed="false">
      <c r="A342" s="0" t="s">
        <v>58</v>
      </c>
      <c r="B342" s="0" t="n">
        <v>9000</v>
      </c>
      <c r="C342" s="0" t="n">
        <v>3800</v>
      </c>
      <c r="D342" s="0" t="n">
        <v>2.36842105263158</v>
      </c>
      <c r="E342" s="0" t="s">
        <v>1584</v>
      </c>
    </row>
    <row r="343" customFormat="false" ht="15" hidden="false" customHeight="false" outlineLevel="0" collapsed="false">
      <c r="A343" s="0" t="s">
        <v>58</v>
      </c>
      <c r="B343" s="0" t="n">
        <v>24000</v>
      </c>
      <c r="C343" s="0" t="n">
        <v>3900</v>
      </c>
      <c r="D343" s="0" t="n">
        <v>6.15384615384615</v>
      </c>
      <c r="E343" s="0" t="s">
        <v>1600</v>
      </c>
    </row>
    <row r="344" customFormat="false" ht="15" hidden="false" customHeight="false" outlineLevel="0" collapsed="false">
      <c r="A344" s="0" t="s">
        <v>58</v>
      </c>
      <c r="B344" s="0" t="n">
        <v>5000</v>
      </c>
      <c r="C344" s="0" t="n">
        <v>3800</v>
      </c>
      <c r="D344" s="0" t="n">
        <v>1.31578947368421</v>
      </c>
      <c r="E344" s="0" t="s">
        <v>1618</v>
      </c>
    </row>
    <row r="345" customFormat="false" ht="15" hidden="false" customHeight="false" outlineLevel="0" collapsed="false">
      <c r="A345" s="0" t="s">
        <v>58</v>
      </c>
      <c r="B345" s="0" t="n">
        <v>3500</v>
      </c>
      <c r="C345" s="0" t="n">
        <v>3800</v>
      </c>
      <c r="D345" s="0" t="n">
        <v>0.921052631578947</v>
      </c>
      <c r="E345" s="0" t="s">
        <v>1634</v>
      </c>
    </row>
    <row r="346" customFormat="false" ht="15" hidden="false" customHeight="false" outlineLevel="0" collapsed="false">
      <c r="A346" s="0" t="s">
        <v>58</v>
      </c>
      <c r="B346" s="0" t="n">
        <v>2500</v>
      </c>
      <c r="C346" s="0" t="n">
        <v>3800</v>
      </c>
      <c r="D346" s="0" t="n">
        <v>0.657894736842105</v>
      </c>
      <c r="E346" s="0" t="s">
        <v>1650</v>
      </c>
    </row>
    <row r="347" customFormat="false" ht="15" hidden="false" customHeight="false" outlineLevel="0" collapsed="false">
      <c r="A347" s="0" t="s">
        <v>58</v>
      </c>
      <c r="B347" s="0" t="n">
        <v>3500</v>
      </c>
      <c r="C347" s="0" t="n">
        <v>3800</v>
      </c>
      <c r="D347" s="0" t="n">
        <v>0.921052631578947</v>
      </c>
      <c r="E347" s="0" t="s">
        <v>1675</v>
      </c>
    </row>
    <row r="348" customFormat="false" ht="15" hidden="false" customHeight="false" outlineLevel="0" collapsed="false">
      <c r="A348" s="0" t="s">
        <v>58</v>
      </c>
      <c r="B348" s="0" t="n">
        <v>4500</v>
      </c>
      <c r="C348" s="0" t="n">
        <v>3800</v>
      </c>
      <c r="D348" s="0" t="n">
        <v>1.18421052631579</v>
      </c>
      <c r="E348" s="0" t="s">
        <v>1690</v>
      </c>
    </row>
    <row r="349" customFormat="false" ht="15" hidden="false" customHeight="false" outlineLevel="0" collapsed="false">
      <c r="A349" s="0" t="s">
        <v>58</v>
      </c>
      <c r="B349" s="0" t="n">
        <v>3500</v>
      </c>
      <c r="C349" s="0" t="n">
        <v>4000</v>
      </c>
      <c r="D349" s="0" t="n">
        <v>0.875</v>
      </c>
      <c r="E349" s="0" t="s">
        <v>1706</v>
      </c>
    </row>
    <row r="350" customFormat="false" ht="15" hidden="false" customHeight="false" outlineLevel="0" collapsed="false">
      <c r="A350" s="0" t="s">
        <v>58</v>
      </c>
      <c r="B350" s="0" t="n">
        <v>3500</v>
      </c>
      <c r="C350" s="0" t="n">
        <v>3800</v>
      </c>
      <c r="D350" s="0" t="n">
        <v>0.921052631578947</v>
      </c>
      <c r="E350" s="0" t="s">
        <v>1723</v>
      </c>
    </row>
    <row r="351" customFormat="false" ht="15" hidden="false" customHeight="false" outlineLevel="0" collapsed="false">
      <c r="A351" s="0" t="s">
        <v>58</v>
      </c>
      <c r="B351" s="0" t="n">
        <v>4500</v>
      </c>
      <c r="C351" s="0" t="n">
        <v>3800</v>
      </c>
      <c r="D351" s="0" t="n">
        <v>1.18421052631579</v>
      </c>
      <c r="E351" s="0" t="s">
        <v>1741</v>
      </c>
    </row>
    <row r="352" customFormat="false" ht="15" hidden="false" customHeight="false" outlineLevel="0" collapsed="false">
      <c r="A352" s="0" t="s">
        <v>58</v>
      </c>
      <c r="B352" s="0" t="n">
        <v>4500</v>
      </c>
      <c r="C352" s="0" t="n">
        <v>3800</v>
      </c>
      <c r="D352" s="0" t="n">
        <v>1.18421052631579</v>
      </c>
      <c r="E352" s="0" t="s">
        <v>1762</v>
      </c>
    </row>
    <row r="353" customFormat="false" ht="15" hidden="false" customHeight="false" outlineLevel="0" collapsed="false">
      <c r="A353" s="0" t="s">
        <v>58</v>
      </c>
      <c r="B353" s="0" t="n">
        <v>1200</v>
      </c>
      <c r="C353" s="0" t="n">
        <v>3800</v>
      </c>
      <c r="D353" s="0" t="n">
        <v>0.315789473684211</v>
      </c>
      <c r="E353" s="0" t="s">
        <v>1780</v>
      </c>
    </row>
    <row r="354" customFormat="false" ht="15" hidden="false" customHeight="false" outlineLevel="0" collapsed="false">
      <c r="A354" s="0" t="s">
        <v>58</v>
      </c>
      <c r="B354" s="0" t="n">
        <v>4500</v>
      </c>
      <c r="C354" s="0" t="n">
        <v>3800</v>
      </c>
      <c r="D354" s="0" t="n">
        <v>1.18421052631579</v>
      </c>
      <c r="E354" s="0" t="s">
        <v>1800</v>
      </c>
    </row>
    <row r="355" customFormat="false" ht="15" hidden="false" customHeight="false" outlineLevel="0" collapsed="false">
      <c r="A355" s="0" t="s">
        <v>58</v>
      </c>
      <c r="B355" s="0" t="n">
        <v>2500</v>
      </c>
      <c r="C355" s="0" t="n">
        <v>4000</v>
      </c>
      <c r="D355" s="0" t="n">
        <v>0.625</v>
      </c>
      <c r="E355" s="0" t="s">
        <v>1820</v>
      </c>
    </row>
    <row r="356" customFormat="false" ht="15" hidden="false" customHeight="false" outlineLevel="0" collapsed="false">
      <c r="A356" s="0" t="s">
        <v>58</v>
      </c>
      <c r="B356" s="0" t="n">
        <v>2500</v>
      </c>
      <c r="C356" s="0" t="n">
        <v>4000</v>
      </c>
      <c r="D356" s="0" t="n">
        <v>0.625</v>
      </c>
      <c r="E356" s="0" t="s">
        <v>1837</v>
      </c>
    </row>
    <row r="357" customFormat="false" ht="15" hidden="false" customHeight="false" outlineLevel="0" collapsed="false">
      <c r="A357" s="0" t="s">
        <v>58</v>
      </c>
      <c r="B357" s="0" t="n">
        <v>2500</v>
      </c>
      <c r="C357" s="0" t="n">
        <v>3800</v>
      </c>
      <c r="D357" s="0" t="n">
        <v>0.657894736842105</v>
      </c>
      <c r="E357" s="0" t="s">
        <v>1854</v>
      </c>
    </row>
    <row r="358" customFormat="false" ht="15" hidden="false" customHeight="false" outlineLevel="0" collapsed="false">
      <c r="A358" s="0" t="s">
        <v>58</v>
      </c>
      <c r="B358" s="0" t="n">
        <v>2500</v>
      </c>
      <c r="C358" s="0" t="n">
        <v>3800</v>
      </c>
      <c r="D358" s="0" t="n">
        <v>0.657894736842105</v>
      </c>
      <c r="E358" s="0" t="s">
        <v>1874</v>
      </c>
    </row>
    <row r="359" customFormat="false" ht="15" hidden="false" customHeight="false" outlineLevel="0" collapsed="false">
      <c r="A359" s="0" t="s">
        <v>58</v>
      </c>
      <c r="B359" s="0" t="n">
        <v>2500</v>
      </c>
      <c r="C359" s="0" t="n">
        <v>3800</v>
      </c>
      <c r="D359" s="0" t="n">
        <v>0.657894736842105</v>
      </c>
      <c r="E359" s="0" t="s">
        <v>1889</v>
      </c>
    </row>
    <row r="360" customFormat="false" ht="15" hidden="false" customHeight="false" outlineLevel="0" collapsed="false">
      <c r="A360" s="0" t="s">
        <v>58</v>
      </c>
      <c r="B360" s="0" t="n">
        <v>2500</v>
      </c>
      <c r="C360" s="0" t="n">
        <v>3800</v>
      </c>
      <c r="D360" s="0" t="n">
        <v>0.657894736842105</v>
      </c>
      <c r="E360" s="0" t="s">
        <v>1904</v>
      </c>
    </row>
    <row r="361" customFormat="false" ht="15" hidden="false" customHeight="false" outlineLevel="0" collapsed="false">
      <c r="A361" s="0" t="s">
        <v>58</v>
      </c>
      <c r="B361" s="0" t="n">
        <v>2500</v>
      </c>
      <c r="C361" s="0" t="n">
        <v>4000</v>
      </c>
      <c r="D361" s="0" t="n">
        <v>0.625</v>
      </c>
      <c r="E361" s="0" t="s">
        <v>1924</v>
      </c>
    </row>
    <row r="362" customFormat="false" ht="15" hidden="false" customHeight="false" outlineLevel="0" collapsed="false">
      <c r="A362" s="0" t="s">
        <v>58</v>
      </c>
      <c r="B362" s="0" t="n">
        <v>2500</v>
      </c>
      <c r="C362" s="0" t="n">
        <v>4000</v>
      </c>
      <c r="D362" s="0" t="n">
        <v>0.625</v>
      </c>
      <c r="E362" s="0" t="s">
        <v>1940</v>
      </c>
    </row>
    <row r="363" customFormat="false" ht="15" hidden="false" customHeight="false" outlineLevel="0" collapsed="false">
      <c r="A363" s="0" t="s">
        <v>58</v>
      </c>
      <c r="B363" s="0" t="n">
        <v>2500</v>
      </c>
      <c r="C363" s="0" t="n">
        <v>4000</v>
      </c>
      <c r="D363" s="0" t="n">
        <v>0.625</v>
      </c>
      <c r="E363" s="0" t="s">
        <v>1955</v>
      </c>
    </row>
    <row r="364" customFormat="false" ht="15" hidden="false" customHeight="false" outlineLevel="0" collapsed="false">
      <c r="A364" s="0" t="s">
        <v>58</v>
      </c>
      <c r="B364" s="0" t="n">
        <v>1000</v>
      </c>
      <c r="C364" s="0" t="n">
        <v>4000</v>
      </c>
      <c r="D364" s="0" t="n">
        <v>0.25</v>
      </c>
      <c r="E364" s="0" t="s">
        <v>1971</v>
      </c>
    </row>
    <row r="365" customFormat="false" ht="15" hidden="false" customHeight="false" outlineLevel="0" collapsed="false">
      <c r="A365" s="0" t="s">
        <v>58</v>
      </c>
      <c r="B365" s="0" t="n">
        <v>3500</v>
      </c>
      <c r="C365" s="0" t="n">
        <v>4000</v>
      </c>
      <c r="D365" s="0" t="n">
        <v>0.875</v>
      </c>
      <c r="E365" s="0" t="s">
        <v>1987</v>
      </c>
    </row>
    <row r="366" customFormat="false" ht="15" hidden="false" customHeight="false" outlineLevel="0" collapsed="false">
      <c r="A366" s="0" t="s">
        <v>58</v>
      </c>
      <c r="B366" s="0" t="n">
        <v>2500</v>
      </c>
      <c r="C366" s="0" t="n">
        <v>4000</v>
      </c>
      <c r="D366" s="0" t="n">
        <v>0.625</v>
      </c>
      <c r="E366" s="0" t="s">
        <v>2003</v>
      </c>
    </row>
    <row r="367" customFormat="false" ht="15" hidden="false" customHeight="false" outlineLevel="0" collapsed="false">
      <c r="A367" s="0" t="s">
        <v>58</v>
      </c>
      <c r="B367" s="0" t="n">
        <v>1500</v>
      </c>
      <c r="C367" s="0" t="n">
        <v>4000</v>
      </c>
      <c r="D367" s="0" t="n">
        <v>0.375</v>
      </c>
      <c r="E367" s="0" t="s">
        <v>2019</v>
      </c>
    </row>
    <row r="368" customFormat="false" ht="15" hidden="false" customHeight="false" outlineLevel="0" collapsed="false">
      <c r="A368" s="0" t="s">
        <v>58</v>
      </c>
      <c r="B368" s="0" t="n">
        <v>1500</v>
      </c>
      <c r="C368" s="0" t="n">
        <v>3800</v>
      </c>
      <c r="D368" s="0" t="n">
        <v>0.394736842105263</v>
      </c>
      <c r="E368" s="0" t="s">
        <v>2034</v>
      </c>
    </row>
    <row r="369" customFormat="false" ht="15" hidden="false" customHeight="false" outlineLevel="0" collapsed="false">
      <c r="A369" s="0" t="s">
        <v>58</v>
      </c>
      <c r="B369" s="0" t="n">
        <v>1500</v>
      </c>
      <c r="C369" s="0" t="n">
        <v>4000</v>
      </c>
      <c r="D369" s="0" t="n">
        <v>0.375</v>
      </c>
      <c r="E369" s="0" t="s">
        <v>2051</v>
      </c>
    </row>
    <row r="370" customFormat="false" ht="15" hidden="false" customHeight="false" outlineLevel="0" collapsed="false">
      <c r="A370" s="0" t="s">
        <v>58</v>
      </c>
      <c r="B370" s="0" t="n">
        <v>2500</v>
      </c>
      <c r="C370" s="0" t="n">
        <v>3800</v>
      </c>
      <c r="D370" s="0" t="n">
        <v>0.657894736842105</v>
      </c>
      <c r="E370" s="0" t="s">
        <v>2067</v>
      </c>
    </row>
    <row r="371" customFormat="false" ht="15" hidden="false" customHeight="false" outlineLevel="0" collapsed="false">
      <c r="A371" s="0" t="s">
        <v>58</v>
      </c>
      <c r="B371" s="0" t="n">
        <v>2500</v>
      </c>
      <c r="C371" s="0" t="n">
        <v>4000</v>
      </c>
      <c r="D371" s="0" t="n">
        <v>0.625</v>
      </c>
      <c r="E371" s="0" t="s">
        <v>2082</v>
      </c>
    </row>
    <row r="372" customFormat="false" ht="15" hidden="false" customHeight="false" outlineLevel="0" collapsed="false">
      <c r="A372" s="0" t="s">
        <v>58</v>
      </c>
      <c r="B372" s="0" t="n">
        <v>2000</v>
      </c>
      <c r="C372" s="0" t="n">
        <v>4000</v>
      </c>
      <c r="D372" s="0" t="n">
        <v>0.5</v>
      </c>
      <c r="E372" s="0" t="s">
        <v>2097</v>
      </c>
    </row>
    <row r="373" customFormat="false" ht="15" hidden="false" customHeight="false" outlineLevel="0" collapsed="false">
      <c r="A373" s="0" t="s">
        <v>58</v>
      </c>
      <c r="B373" s="0" t="n">
        <v>1500</v>
      </c>
      <c r="C373" s="0" t="n">
        <v>4000</v>
      </c>
      <c r="D373" s="0" t="n">
        <v>0.375</v>
      </c>
      <c r="E373" s="0" t="s">
        <v>2114</v>
      </c>
    </row>
    <row r="374" customFormat="false" ht="15" hidden="false" customHeight="false" outlineLevel="0" collapsed="false">
      <c r="A374" s="0" t="s">
        <v>58</v>
      </c>
      <c r="B374" s="0" t="n">
        <v>2500</v>
      </c>
      <c r="C374" s="0" t="n">
        <v>3800</v>
      </c>
      <c r="D374" s="0" t="n">
        <v>0.657894736842105</v>
      </c>
      <c r="E374" s="0" t="s">
        <v>2133</v>
      </c>
    </row>
    <row r="375" customFormat="false" ht="15" hidden="false" customHeight="false" outlineLevel="0" collapsed="false">
      <c r="A375" s="0" t="s">
        <v>58</v>
      </c>
      <c r="B375" s="0" t="n">
        <v>2500</v>
      </c>
      <c r="C375" s="0" t="n">
        <v>3800</v>
      </c>
      <c r="D375" s="0" t="n">
        <v>0.657894736842105</v>
      </c>
      <c r="E375" s="0" t="s">
        <v>2148</v>
      </c>
    </row>
    <row r="376" customFormat="false" ht="15" hidden="false" customHeight="false" outlineLevel="0" collapsed="false">
      <c r="A376" s="0" t="s">
        <v>58</v>
      </c>
      <c r="B376" s="0" t="n">
        <v>2500</v>
      </c>
      <c r="C376" s="0" t="n">
        <v>3800</v>
      </c>
      <c r="D376" s="0" t="n">
        <v>0.657894736842105</v>
      </c>
      <c r="E376" s="0" t="s">
        <v>2163</v>
      </c>
    </row>
    <row r="377" customFormat="false" ht="15" hidden="false" customHeight="false" outlineLevel="0" collapsed="false">
      <c r="A377" s="0" t="s">
        <v>58</v>
      </c>
      <c r="B377" s="0" t="n">
        <v>2500</v>
      </c>
      <c r="C377" s="0" t="n">
        <v>3800</v>
      </c>
      <c r="D377" s="0" t="n">
        <v>0.657894736842105</v>
      </c>
      <c r="E377" s="0" t="s">
        <v>2180</v>
      </c>
    </row>
    <row r="378" customFormat="false" ht="15" hidden="false" customHeight="false" outlineLevel="0" collapsed="false">
      <c r="A378" s="0" t="s">
        <v>58</v>
      </c>
      <c r="B378" s="0" t="n">
        <v>2500</v>
      </c>
      <c r="C378" s="0" t="n">
        <v>3800</v>
      </c>
      <c r="D378" s="0" t="n">
        <v>0.657894736842105</v>
      </c>
      <c r="E378" s="0" t="s">
        <v>2194</v>
      </c>
    </row>
    <row r="379" customFormat="false" ht="15" hidden="false" customHeight="false" outlineLevel="0" collapsed="false">
      <c r="A379" s="0" t="s">
        <v>58</v>
      </c>
      <c r="B379" s="0" t="n">
        <v>2500</v>
      </c>
      <c r="C379" s="0" t="n">
        <v>3800</v>
      </c>
      <c r="D379" s="0" t="n">
        <v>0.657894736842105</v>
      </c>
      <c r="E379" s="0" t="s">
        <v>2209</v>
      </c>
    </row>
    <row r="380" customFormat="false" ht="15" hidden="false" customHeight="false" outlineLevel="0" collapsed="false">
      <c r="A380" s="0" t="s">
        <v>58</v>
      </c>
      <c r="B380" s="0" t="n">
        <v>4000</v>
      </c>
      <c r="C380" s="0" t="n">
        <v>3800</v>
      </c>
      <c r="D380" s="0" t="n">
        <v>1.05263157894737</v>
      </c>
      <c r="E380" s="0" t="s">
        <v>2227</v>
      </c>
    </row>
    <row r="381" customFormat="false" ht="15" hidden="false" customHeight="false" outlineLevel="0" collapsed="false">
      <c r="A381" s="0" t="s">
        <v>58</v>
      </c>
      <c r="B381" s="0" t="n">
        <v>3500</v>
      </c>
      <c r="C381" s="0" t="n">
        <v>3800</v>
      </c>
      <c r="D381" s="0" t="n">
        <v>0.921052631578947</v>
      </c>
      <c r="E381" s="0" t="s">
        <v>2241</v>
      </c>
    </row>
    <row r="382" customFormat="false" ht="15" hidden="false" customHeight="false" outlineLevel="0" collapsed="false">
      <c r="A382" s="0" t="s">
        <v>58</v>
      </c>
      <c r="B382" s="0" t="n">
        <v>8000</v>
      </c>
      <c r="C382" s="0" t="n">
        <v>3800</v>
      </c>
      <c r="D382" s="0" t="n">
        <v>2.10526315789474</v>
      </c>
      <c r="E382" s="0" t="s">
        <v>2256</v>
      </c>
    </row>
    <row r="383" customFormat="false" ht="15" hidden="false" customHeight="false" outlineLevel="0" collapsed="false">
      <c r="A383" s="0" t="s">
        <v>58</v>
      </c>
      <c r="B383" s="0" t="n">
        <v>4500</v>
      </c>
      <c r="C383" s="0" t="n">
        <v>3800</v>
      </c>
      <c r="D383" s="0" t="n">
        <v>1.18421052631579</v>
      </c>
      <c r="E383" s="0" t="s">
        <v>2270</v>
      </c>
    </row>
    <row r="384" customFormat="false" ht="15" hidden="false" customHeight="false" outlineLevel="0" collapsed="false">
      <c r="A384" s="0" t="s">
        <v>58</v>
      </c>
      <c r="B384" s="0" t="n">
        <v>4000</v>
      </c>
      <c r="C384" s="0" t="n">
        <v>3800</v>
      </c>
      <c r="D384" s="0" t="n">
        <v>1.05263157894737</v>
      </c>
      <c r="E384" s="0" t="s">
        <v>2284</v>
      </c>
    </row>
    <row r="385" customFormat="false" ht="15" hidden="false" customHeight="false" outlineLevel="0" collapsed="false">
      <c r="A385" s="0" t="s">
        <v>58</v>
      </c>
      <c r="B385" s="0" t="n">
        <v>2500</v>
      </c>
      <c r="C385" s="0" t="n">
        <v>3800</v>
      </c>
      <c r="D385" s="0" t="n">
        <v>0.657894736842105</v>
      </c>
      <c r="E385" s="0" t="s">
        <v>2298</v>
      </c>
    </row>
    <row r="386" customFormat="false" ht="15" hidden="false" customHeight="false" outlineLevel="0" collapsed="false">
      <c r="A386" s="0" t="s">
        <v>58</v>
      </c>
      <c r="B386" s="0" t="n">
        <v>2500</v>
      </c>
      <c r="C386" s="0" t="n">
        <v>3800</v>
      </c>
      <c r="D386" s="0" t="n">
        <v>0.657894736842105</v>
      </c>
      <c r="E386" s="0" t="s">
        <v>2312</v>
      </c>
    </row>
    <row r="387" customFormat="false" ht="15" hidden="false" customHeight="false" outlineLevel="0" collapsed="false">
      <c r="A387" s="0" t="s">
        <v>58</v>
      </c>
      <c r="B387" s="0" t="n">
        <v>2500</v>
      </c>
      <c r="C387" s="0" t="n">
        <v>3800</v>
      </c>
      <c r="D387" s="0" t="n">
        <v>0.657894736842105</v>
      </c>
      <c r="E387" s="0" t="s">
        <v>2330</v>
      </c>
    </row>
    <row r="388" customFormat="false" ht="15" hidden="false" customHeight="false" outlineLevel="0" collapsed="false">
      <c r="A388" s="0" t="s">
        <v>58</v>
      </c>
      <c r="B388" s="0" t="n">
        <v>2000</v>
      </c>
      <c r="C388" s="0" t="n">
        <v>3800</v>
      </c>
      <c r="D388" s="0" t="n">
        <v>0.526315789473684</v>
      </c>
      <c r="E388" s="0" t="s">
        <v>2348</v>
      </c>
    </row>
    <row r="389" customFormat="false" ht="15" hidden="false" customHeight="false" outlineLevel="0" collapsed="false">
      <c r="A389" s="0" t="s">
        <v>58</v>
      </c>
      <c r="B389" s="0" t="n">
        <v>4000</v>
      </c>
      <c r="C389" s="0" t="n">
        <v>3800</v>
      </c>
      <c r="D389" s="0" t="n">
        <v>1.05263157894737</v>
      </c>
      <c r="E389" s="0" t="s">
        <v>2361</v>
      </c>
    </row>
    <row r="390" customFormat="false" ht="15" hidden="false" customHeight="false" outlineLevel="0" collapsed="false">
      <c r="A390" s="0" t="s">
        <v>58</v>
      </c>
      <c r="B390" s="0" t="n">
        <v>2500</v>
      </c>
      <c r="C390" s="0" t="n">
        <v>3800</v>
      </c>
      <c r="D390" s="0" t="n">
        <v>0.657894736842105</v>
      </c>
      <c r="E390" s="0" t="s">
        <v>2381</v>
      </c>
    </row>
    <row r="391" customFormat="false" ht="15" hidden="false" customHeight="false" outlineLevel="0" collapsed="false">
      <c r="A391" s="0" t="s">
        <v>58</v>
      </c>
      <c r="B391" s="0" t="n">
        <v>2500</v>
      </c>
      <c r="C391" s="0" t="n">
        <v>3800</v>
      </c>
      <c r="D391" s="0" t="n">
        <v>0.657894736842105</v>
      </c>
      <c r="E391" s="0" t="s">
        <v>2399</v>
      </c>
    </row>
    <row r="392" customFormat="false" ht="15" hidden="false" customHeight="false" outlineLevel="0" collapsed="false">
      <c r="A392" s="0" t="s">
        <v>58</v>
      </c>
      <c r="B392" s="0" t="n">
        <v>2500</v>
      </c>
      <c r="C392" s="0" t="n">
        <v>3800</v>
      </c>
      <c r="D392" s="0" t="n">
        <v>0.657894736842105</v>
      </c>
      <c r="E392" s="0" t="s">
        <v>2414</v>
      </c>
    </row>
    <row r="393" customFormat="false" ht="15" hidden="false" customHeight="false" outlineLevel="0" collapsed="false">
      <c r="A393" s="0" t="s">
        <v>58</v>
      </c>
      <c r="B393" s="0" t="n">
        <v>3000</v>
      </c>
      <c r="C393" s="0" t="n">
        <v>3800</v>
      </c>
      <c r="D393" s="0" t="n">
        <v>0.789473684210526</v>
      </c>
      <c r="E393" s="0" t="s">
        <v>2427</v>
      </c>
    </row>
    <row r="394" customFormat="false" ht="15" hidden="false" customHeight="false" outlineLevel="0" collapsed="false">
      <c r="A394" s="0" t="s">
        <v>58</v>
      </c>
      <c r="B394" s="0" t="n">
        <v>2500</v>
      </c>
      <c r="C394" s="0" t="n">
        <v>3800</v>
      </c>
      <c r="D394" s="0" t="n">
        <v>0.657894736842105</v>
      </c>
      <c r="E394" s="0" t="s">
        <v>2443</v>
      </c>
    </row>
    <row r="395" customFormat="false" ht="15" hidden="false" customHeight="false" outlineLevel="0" collapsed="false">
      <c r="A395" s="0" t="s">
        <v>58</v>
      </c>
      <c r="B395" s="0" t="n">
        <v>2000</v>
      </c>
      <c r="C395" s="0" t="n">
        <v>3800</v>
      </c>
      <c r="D395" s="0" t="n">
        <v>0.526315789473684</v>
      </c>
      <c r="E395" s="0" t="s">
        <v>2457</v>
      </c>
    </row>
    <row r="396" customFormat="false" ht="15" hidden="false" customHeight="false" outlineLevel="0" collapsed="false">
      <c r="A396" s="0" t="s">
        <v>58</v>
      </c>
      <c r="B396" s="0" t="n">
        <v>1500</v>
      </c>
      <c r="C396" s="0" t="n">
        <v>3800</v>
      </c>
      <c r="D396" s="0" t="n">
        <v>0.394736842105263</v>
      </c>
      <c r="E396" s="0" t="s">
        <v>2480</v>
      </c>
    </row>
    <row r="397" customFormat="false" ht="15" hidden="false" customHeight="false" outlineLevel="0" collapsed="false">
      <c r="A397" s="0" t="s">
        <v>58</v>
      </c>
      <c r="B397" s="0" t="n">
        <v>4500</v>
      </c>
      <c r="C397" s="0" t="n">
        <v>3800</v>
      </c>
      <c r="D397" s="0" t="n">
        <v>1.18421052631579</v>
      </c>
      <c r="E397" s="0" t="s">
        <v>2503</v>
      </c>
    </row>
    <row r="398" customFormat="false" ht="15" hidden="false" customHeight="false" outlineLevel="0" collapsed="false">
      <c r="A398" s="0" t="s">
        <v>58</v>
      </c>
      <c r="B398" s="0" t="n">
        <v>4500</v>
      </c>
      <c r="C398" s="0" t="n">
        <v>3800</v>
      </c>
      <c r="D398" s="0" t="n">
        <v>1.18421052631579</v>
      </c>
      <c r="E398" s="0" t="s">
        <v>2516</v>
      </c>
    </row>
    <row r="399" customFormat="false" ht="15" hidden="false" customHeight="false" outlineLevel="0" collapsed="false">
      <c r="A399" s="0" t="s">
        <v>58</v>
      </c>
      <c r="B399" s="0" t="n">
        <v>4000</v>
      </c>
      <c r="C399" s="0" t="n">
        <v>3800</v>
      </c>
      <c r="D399" s="0" t="n">
        <v>1.05263157894737</v>
      </c>
      <c r="E399" s="0" t="s">
        <v>2529</v>
      </c>
    </row>
    <row r="400" customFormat="false" ht="15" hidden="false" customHeight="false" outlineLevel="0" collapsed="false">
      <c r="A400" s="0" t="s">
        <v>58</v>
      </c>
      <c r="B400" s="0" t="n">
        <v>4500</v>
      </c>
      <c r="C400" s="0" t="n">
        <v>3800</v>
      </c>
      <c r="D400" s="0" t="n">
        <v>1.18421052631579</v>
      </c>
      <c r="E400" s="0" t="s">
        <v>2542</v>
      </c>
    </row>
    <row r="401" customFormat="false" ht="15" hidden="false" customHeight="false" outlineLevel="0" collapsed="false">
      <c r="A401" s="0" t="s">
        <v>58</v>
      </c>
      <c r="B401" s="0" t="n">
        <v>4000</v>
      </c>
      <c r="C401" s="0" t="n">
        <v>3800</v>
      </c>
      <c r="D401" s="0" t="n">
        <v>1.05263157894737</v>
      </c>
      <c r="E401" s="0" t="s">
        <v>2556</v>
      </c>
    </row>
    <row r="402" customFormat="false" ht="15" hidden="false" customHeight="false" outlineLevel="0" collapsed="false">
      <c r="A402" s="0" t="s">
        <v>58</v>
      </c>
      <c r="B402" s="0" t="n">
        <v>5000</v>
      </c>
      <c r="C402" s="0" t="n">
        <v>3800</v>
      </c>
      <c r="D402" s="0" t="n">
        <v>1.31578947368421</v>
      </c>
      <c r="E402" s="0" t="s">
        <v>2569</v>
      </c>
    </row>
    <row r="403" customFormat="false" ht="15" hidden="false" customHeight="false" outlineLevel="0" collapsed="false">
      <c r="A403" s="0" t="s">
        <v>58</v>
      </c>
      <c r="B403" s="0" t="n">
        <v>3500</v>
      </c>
      <c r="C403" s="0" t="n">
        <v>3800</v>
      </c>
      <c r="D403" s="0" t="n">
        <v>0.921052631578947</v>
      </c>
      <c r="E403" s="0" t="s">
        <v>2582</v>
      </c>
    </row>
    <row r="404" customFormat="false" ht="15" hidden="false" customHeight="false" outlineLevel="0" collapsed="false">
      <c r="A404" s="0" t="s">
        <v>58</v>
      </c>
      <c r="B404" s="0" t="n">
        <v>4000</v>
      </c>
      <c r="C404" s="0" t="n">
        <v>3800</v>
      </c>
      <c r="D404" s="0" t="n">
        <v>1.05263157894737</v>
      </c>
      <c r="E404" s="0" t="s">
        <v>2601</v>
      </c>
    </row>
    <row r="405" customFormat="false" ht="15" hidden="false" customHeight="false" outlineLevel="0" collapsed="false">
      <c r="A405" s="0" t="s">
        <v>58</v>
      </c>
      <c r="B405" s="0" t="n">
        <v>4500</v>
      </c>
      <c r="C405" s="0" t="n">
        <v>3800</v>
      </c>
      <c r="D405" s="0" t="n">
        <v>1.18421052631579</v>
      </c>
      <c r="E405" s="0" t="s">
        <v>2619</v>
      </c>
    </row>
    <row r="406" customFormat="false" ht="15" hidden="false" customHeight="false" outlineLevel="0" collapsed="false">
      <c r="A406" s="0" t="s">
        <v>58</v>
      </c>
      <c r="B406" s="0" t="n">
        <v>1000</v>
      </c>
      <c r="C406" s="0" t="n">
        <v>3800</v>
      </c>
      <c r="D406" s="0" t="n">
        <v>0.263157894736842</v>
      </c>
      <c r="E406" s="0" t="s">
        <v>2633</v>
      </c>
    </row>
    <row r="407" customFormat="false" ht="15" hidden="false" customHeight="false" outlineLevel="0" collapsed="false">
      <c r="A407" s="0" t="s">
        <v>58</v>
      </c>
      <c r="B407" s="0" t="n">
        <v>5000</v>
      </c>
      <c r="C407" s="0" t="n">
        <v>3800</v>
      </c>
      <c r="D407" s="0" t="n">
        <v>1.31578947368421</v>
      </c>
      <c r="E407" s="0" t="s">
        <v>2648</v>
      </c>
    </row>
    <row r="408" customFormat="false" ht="15" hidden="false" customHeight="false" outlineLevel="0" collapsed="false">
      <c r="A408" s="0" t="s">
        <v>58</v>
      </c>
      <c r="B408" s="0" t="n">
        <v>6000</v>
      </c>
      <c r="C408" s="0" t="n">
        <v>3800</v>
      </c>
      <c r="D408" s="0" t="n">
        <v>1.57894736842105</v>
      </c>
      <c r="E408" s="0" t="s">
        <v>2665</v>
      </c>
    </row>
    <row r="409" customFormat="false" ht="15" hidden="false" customHeight="false" outlineLevel="0" collapsed="false">
      <c r="A409" s="0" t="s">
        <v>58</v>
      </c>
      <c r="B409" s="0" t="n">
        <v>6000</v>
      </c>
      <c r="C409" s="0" t="n">
        <v>4000</v>
      </c>
      <c r="D409" s="0" t="n">
        <v>1.5</v>
      </c>
      <c r="E409" s="0" t="s">
        <v>2684</v>
      </c>
    </row>
    <row r="410" customFormat="false" ht="15" hidden="false" customHeight="false" outlineLevel="0" collapsed="false">
      <c r="A410" s="0" t="s">
        <v>58</v>
      </c>
      <c r="B410" s="0" t="n">
        <v>6000</v>
      </c>
      <c r="C410" s="0" t="n">
        <v>4500</v>
      </c>
      <c r="D410" s="0" t="n">
        <v>1.33333333333333</v>
      </c>
      <c r="E410" s="0" t="s">
        <v>2703</v>
      </c>
    </row>
    <row r="411" customFormat="false" ht="15" hidden="false" customHeight="false" outlineLevel="0" collapsed="false">
      <c r="A411" s="0" t="s">
        <v>58</v>
      </c>
      <c r="B411" s="0" t="n">
        <v>7000</v>
      </c>
      <c r="C411" s="0" t="n">
        <v>3800</v>
      </c>
      <c r="D411" s="0" t="n">
        <v>1.8421052631579</v>
      </c>
      <c r="E411" s="0" t="s">
        <v>2721</v>
      </c>
    </row>
    <row r="412" customFormat="false" ht="15" hidden="false" customHeight="false" outlineLevel="0" collapsed="false">
      <c r="A412" s="0" t="s">
        <v>58</v>
      </c>
      <c r="B412" s="0" t="n">
        <v>15000</v>
      </c>
      <c r="C412" s="0" t="n">
        <v>3800</v>
      </c>
      <c r="D412" s="0" t="n">
        <v>3.94736842105263</v>
      </c>
      <c r="E412" s="0" t="s">
        <v>2735</v>
      </c>
    </row>
    <row r="413" customFormat="false" ht="15" hidden="false" customHeight="false" outlineLevel="0" collapsed="false">
      <c r="A413" s="0" t="s">
        <v>58</v>
      </c>
      <c r="B413" s="0" t="n">
        <v>12000</v>
      </c>
      <c r="C413" s="0" t="n">
        <v>3800</v>
      </c>
      <c r="D413" s="0" t="n">
        <v>3.15789473684211</v>
      </c>
      <c r="E413" s="0" t="s">
        <v>2750</v>
      </c>
    </row>
    <row r="414" customFormat="false" ht="15" hidden="false" customHeight="false" outlineLevel="0" collapsed="false">
      <c r="A414" s="0" t="s">
        <v>58</v>
      </c>
      <c r="B414" s="0" t="n">
        <v>8000</v>
      </c>
      <c r="C414" s="0" t="n">
        <v>4000</v>
      </c>
      <c r="D414" s="0" t="n">
        <v>2</v>
      </c>
      <c r="E414" s="0" t="s">
        <v>2766</v>
      </c>
    </row>
    <row r="415" customFormat="false" ht="15" hidden="false" customHeight="false" outlineLevel="0" collapsed="false">
      <c r="A415" s="0" t="s">
        <v>58</v>
      </c>
      <c r="B415" s="0" t="n">
        <v>8000</v>
      </c>
      <c r="C415" s="0" t="n">
        <v>4000</v>
      </c>
      <c r="D415" s="0" t="n">
        <v>2</v>
      </c>
      <c r="E415" s="0" t="s">
        <v>2779</v>
      </c>
    </row>
    <row r="416" customFormat="false" ht="15" hidden="false" customHeight="false" outlineLevel="0" collapsed="false">
      <c r="A416" s="0" t="s">
        <v>58</v>
      </c>
      <c r="B416" s="0" t="n">
        <v>6000</v>
      </c>
      <c r="C416" s="0" t="n">
        <v>3800</v>
      </c>
      <c r="D416" s="0" t="n">
        <v>1.57894736842105</v>
      </c>
      <c r="E416" s="0" t="s">
        <v>2793</v>
      </c>
    </row>
    <row r="417" customFormat="false" ht="15" hidden="false" customHeight="false" outlineLevel="0" collapsed="false">
      <c r="A417" s="0" t="s">
        <v>58</v>
      </c>
      <c r="B417" s="0" t="n">
        <v>2500</v>
      </c>
      <c r="C417" s="0" t="n">
        <v>4500</v>
      </c>
      <c r="D417" s="0" t="n">
        <v>0.555555555555556</v>
      </c>
      <c r="E417" s="0" t="s">
        <v>2802</v>
      </c>
    </row>
    <row r="418" customFormat="false" ht="15" hidden="false" customHeight="false" outlineLevel="0" collapsed="false">
      <c r="A418" s="0" t="s">
        <v>58</v>
      </c>
      <c r="B418" s="0" t="n">
        <v>3500</v>
      </c>
      <c r="C418" s="0" t="n">
        <v>4500</v>
      </c>
      <c r="D418" s="0" t="n">
        <v>0.777777777777778</v>
      </c>
      <c r="E418" s="0" t="s">
        <v>2811</v>
      </c>
    </row>
    <row r="419" customFormat="false" ht="15" hidden="false" customHeight="false" outlineLevel="0" collapsed="false">
      <c r="A419" s="0" t="s">
        <v>58</v>
      </c>
      <c r="B419" s="0" t="n">
        <v>2500</v>
      </c>
      <c r="C419" s="0" t="n">
        <v>4500</v>
      </c>
      <c r="D419" s="0" t="n">
        <v>0.555555555555556</v>
      </c>
      <c r="E419" s="0" t="s">
        <v>2818</v>
      </c>
    </row>
    <row r="420" customFormat="false" ht="15" hidden="false" customHeight="false" outlineLevel="0" collapsed="false">
      <c r="A420" s="0" t="s">
        <v>58</v>
      </c>
      <c r="B420" s="0" t="n">
        <v>3000</v>
      </c>
      <c r="C420" s="0" t="n">
        <v>4000</v>
      </c>
      <c r="D420" s="0" t="n">
        <v>0.75</v>
      </c>
      <c r="E420" s="0" t="s">
        <v>2827</v>
      </c>
    </row>
    <row r="421" customFormat="false" ht="15" hidden="false" customHeight="false" outlineLevel="0" collapsed="false">
      <c r="A421" s="0" t="s">
        <v>58</v>
      </c>
      <c r="B421" s="0" t="n">
        <v>2500</v>
      </c>
      <c r="C421" s="0" t="n">
        <v>4000</v>
      </c>
      <c r="D421" s="0" t="n">
        <v>0.625</v>
      </c>
      <c r="E421" s="0" t="s">
        <v>2836</v>
      </c>
    </row>
    <row r="422" customFormat="false" ht="15" hidden="false" customHeight="false" outlineLevel="0" collapsed="false">
      <c r="A422" s="0" t="s">
        <v>58</v>
      </c>
      <c r="B422" s="0" t="n">
        <v>3000</v>
      </c>
      <c r="C422" s="0" t="n">
        <v>4000</v>
      </c>
      <c r="D422" s="0" t="n">
        <v>0.75</v>
      </c>
      <c r="E422" s="0" t="s">
        <v>2845</v>
      </c>
    </row>
    <row r="423" customFormat="false" ht="15" hidden="false" customHeight="false" outlineLevel="0" collapsed="false">
      <c r="A423" s="0" t="s">
        <v>58</v>
      </c>
      <c r="B423" s="0" t="n">
        <v>2500</v>
      </c>
      <c r="C423" s="0" t="n">
        <v>4000</v>
      </c>
      <c r="D423" s="0" t="n">
        <v>0.625</v>
      </c>
      <c r="E423" s="0" t="s">
        <v>2854</v>
      </c>
    </row>
    <row r="424" customFormat="false" ht="15" hidden="false" customHeight="false" outlineLevel="0" collapsed="false">
      <c r="A424" s="0" t="s">
        <v>58</v>
      </c>
      <c r="B424" s="0" t="n">
        <v>2500</v>
      </c>
      <c r="C424" s="0" t="n">
        <v>4000</v>
      </c>
      <c r="D424" s="0" t="n">
        <v>0.625</v>
      </c>
      <c r="E424" s="0" t="s">
        <v>2863</v>
      </c>
    </row>
    <row r="425" customFormat="false" ht="15" hidden="false" customHeight="false" outlineLevel="0" collapsed="false">
      <c r="A425" s="0" t="s">
        <v>58</v>
      </c>
      <c r="B425" s="0" t="n">
        <v>2500</v>
      </c>
      <c r="C425" s="0" t="n">
        <v>4000</v>
      </c>
      <c r="D425" s="0" t="n">
        <v>0.625</v>
      </c>
      <c r="E425" s="0" t="s">
        <v>2872</v>
      </c>
    </row>
    <row r="426" customFormat="false" ht="15" hidden="false" customHeight="false" outlineLevel="0" collapsed="false">
      <c r="A426" s="0" t="s">
        <v>58</v>
      </c>
      <c r="B426" s="0" t="n">
        <v>2500</v>
      </c>
      <c r="C426" s="0" t="n">
        <v>4000</v>
      </c>
      <c r="D426" s="0" t="n">
        <v>0.625</v>
      </c>
      <c r="E426" s="0" t="s">
        <v>2883</v>
      </c>
    </row>
    <row r="427" customFormat="false" ht="15" hidden="false" customHeight="false" outlineLevel="0" collapsed="false">
      <c r="A427" s="0" t="s">
        <v>58</v>
      </c>
      <c r="B427" s="0" t="n">
        <v>2500</v>
      </c>
      <c r="C427" s="0" t="n">
        <v>4000</v>
      </c>
      <c r="D427" s="0" t="n">
        <v>0.625</v>
      </c>
      <c r="E427" s="0" t="s">
        <v>2897</v>
      </c>
    </row>
    <row r="428" customFormat="false" ht="15" hidden="false" customHeight="false" outlineLevel="0" collapsed="false">
      <c r="A428" s="0" t="s">
        <v>58</v>
      </c>
      <c r="B428" s="0" t="n">
        <v>2500</v>
      </c>
      <c r="C428" s="0" t="n">
        <v>4000</v>
      </c>
      <c r="D428" s="0" t="n">
        <v>0.625</v>
      </c>
      <c r="E428" s="0" t="s">
        <v>2911</v>
      </c>
    </row>
    <row r="429" customFormat="false" ht="15" hidden="false" customHeight="false" outlineLevel="0" collapsed="false">
      <c r="A429" s="0" t="s">
        <v>58</v>
      </c>
      <c r="B429" s="0" t="n">
        <v>2500</v>
      </c>
      <c r="C429" s="0" t="n">
        <v>4000</v>
      </c>
      <c r="D429" s="0" t="n">
        <v>0.625</v>
      </c>
      <c r="E429" s="0" t="s">
        <v>2927</v>
      </c>
    </row>
    <row r="430" customFormat="false" ht="15" hidden="false" customHeight="false" outlineLevel="0" collapsed="false">
      <c r="A430" s="0" t="s">
        <v>58</v>
      </c>
      <c r="B430" s="0" t="n">
        <v>2500</v>
      </c>
      <c r="C430" s="0" t="n">
        <v>4000</v>
      </c>
      <c r="D430" s="0" t="n">
        <v>0.625</v>
      </c>
      <c r="E430" s="0" t="s">
        <v>2949</v>
      </c>
    </row>
    <row r="431" customFormat="false" ht="15" hidden="false" customHeight="false" outlineLevel="0" collapsed="false">
      <c r="A431" s="0" t="s">
        <v>58</v>
      </c>
      <c r="B431" s="0" t="n">
        <v>2500</v>
      </c>
      <c r="C431" s="0" t="n">
        <v>4000</v>
      </c>
      <c r="D431" s="0" t="n">
        <v>0.625</v>
      </c>
      <c r="E431" s="0" t="s">
        <v>2962</v>
      </c>
    </row>
    <row r="432" customFormat="false" ht="15" hidden="false" customHeight="false" outlineLevel="0" collapsed="false">
      <c r="A432" s="0" t="s">
        <v>58</v>
      </c>
      <c r="B432" s="0" t="n">
        <v>2500</v>
      </c>
      <c r="C432" s="0" t="n">
        <v>4000</v>
      </c>
      <c r="D432" s="0" t="n">
        <v>0.625</v>
      </c>
      <c r="E432" s="0" t="s">
        <v>2975</v>
      </c>
    </row>
    <row r="433" customFormat="false" ht="15" hidden="false" customHeight="false" outlineLevel="0" collapsed="false">
      <c r="A433" s="0" t="s">
        <v>58</v>
      </c>
      <c r="B433" s="0" t="n">
        <v>2500</v>
      </c>
      <c r="C433" s="0" t="n">
        <v>4000</v>
      </c>
      <c r="D433" s="0" t="n">
        <v>0.625</v>
      </c>
      <c r="E433" s="0" t="s">
        <v>2988</v>
      </c>
    </row>
    <row r="434" customFormat="false" ht="15" hidden="false" customHeight="false" outlineLevel="0" collapsed="false">
      <c r="A434" s="0" t="s">
        <v>58</v>
      </c>
      <c r="B434" s="0" t="n">
        <v>2500</v>
      </c>
      <c r="C434" s="0" t="n">
        <v>4000</v>
      </c>
      <c r="D434" s="0" t="n">
        <v>0.625</v>
      </c>
      <c r="E434" s="0" t="s">
        <v>2999</v>
      </c>
    </row>
    <row r="435" customFormat="false" ht="15" hidden="false" customHeight="false" outlineLevel="0" collapsed="false">
      <c r="A435" s="0" t="s">
        <v>58</v>
      </c>
      <c r="B435" s="0" t="n">
        <v>2500</v>
      </c>
      <c r="C435" s="0" t="n">
        <v>4000</v>
      </c>
      <c r="D435" s="0" t="n">
        <v>0.625</v>
      </c>
      <c r="E435" s="0" t="s">
        <v>3011</v>
      </c>
    </row>
    <row r="436" customFormat="false" ht="15" hidden="false" customHeight="false" outlineLevel="0" collapsed="false">
      <c r="A436" s="0" t="s">
        <v>58</v>
      </c>
      <c r="B436" s="0" t="n">
        <v>2500</v>
      </c>
      <c r="C436" s="0" t="n">
        <v>4000</v>
      </c>
      <c r="D436" s="0" t="n">
        <v>0.625</v>
      </c>
      <c r="E436" s="0" t="s">
        <v>3023</v>
      </c>
    </row>
    <row r="437" customFormat="false" ht="15" hidden="false" customHeight="false" outlineLevel="0" collapsed="false">
      <c r="A437" s="0" t="s">
        <v>58</v>
      </c>
      <c r="B437" s="0" t="n">
        <v>2500</v>
      </c>
      <c r="C437" s="0" t="n">
        <v>4000</v>
      </c>
      <c r="D437" s="0" t="n">
        <v>0.625</v>
      </c>
      <c r="E437" s="0" t="s">
        <v>3034</v>
      </c>
    </row>
    <row r="438" customFormat="false" ht="15" hidden="false" customHeight="false" outlineLevel="0" collapsed="false">
      <c r="A438" s="0" t="s">
        <v>58</v>
      </c>
      <c r="B438" s="0" t="n">
        <v>2500</v>
      </c>
      <c r="C438" s="0" t="n">
        <v>4000</v>
      </c>
      <c r="D438" s="0" t="n">
        <v>0.625</v>
      </c>
      <c r="E438" s="0" t="s">
        <v>3045</v>
      </c>
    </row>
    <row r="439" customFormat="false" ht="15" hidden="false" customHeight="false" outlineLevel="0" collapsed="false">
      <c r="A439" s="0" t="s">
        <v>58</v>
      </c>
      <c r="B439" s="0" t="n">
        <v>2500</v>
      </c>
      <c r="C439" s="0" t="n">
        <v>4000</v>
      </c>
      <c r="D439" s="0" t="n">
        <v>0.625</v>
      </c>
      <c r="E439" s="0" t="s">
        <v>3057</v>
      </c>
    </row>
    <row r="440" customFormat="false" ht="15" hidden="false" customHeight="false" outlineLevel="0" collapsed="false">
      <c r="A440" s="0" t="s">
        <v>58</v>
      </c>
      <c r="B440" s="0" t="n">
        <v>2500</v>
      </c>
      <c r="C440" s="0" t="n">
        <v>4000</v>
      </c>
      <c r="D440" s="0" t="n">
        <v>0.625</v>
      </c>
      <c r="E440" s="0" t="s">
        <v>3068</v>
      </c>
    </row>
    <row r="441" customFormat="false" ht="15" hidden="false" customHeight="false" outlineLevel="0" collapsed="false">
      <c r="A441" s="0" t="s">
        <v>58</v>
      </c>
      <c r="B441" s="0" t="n">
        <v>2500</v>
      </c>
      <c r="C441" s="0" t="n">
        <v>4000</v>
      </c>
      <c r="D441" s="0" t="n">
        <v>0.625</v>
      </c>
      <c r="E441" s="0" t="s">
        <v>3080</v>
      </c>
    </row>
    <row r="442" customFormat="false" ht="15" hidden="false" customHeight="false" outlineLevel="0" collapsed="false">
      <c r="A442" s="0" t="s">
        <v>58</v>
      </c>
      <c r="B442" s="0" t="n">
        <v>2500</v>
      </c>
      <c r="C442" s="0" t="n">
        <v>4000</v>
      </c>
      <c r="D442" s="0" t="n">
        <v>0.625</v>
      </c>
      <c r="E442" s="0" t="s">
        <v>3091</v>
      </c>
    </row>
    <row r="443" customFormat="false" ht="15" hidden="false" customHeight="false" outlineLevel="0" collapsed="false">
      <c r="A443" s="0" t="s">
        <v>58</v>
      </c>
      <c r="B443" s="0" t="n">
        <v>2500</v>
      </c>
      <c r="C443" s="0" t="n">
        <v>4000</v>
      </c>
      <c r="D443" s="0" t="n">
        <v>0.625</v>
      </c>
      <c r="E443" s="0" t="s">
        <v>3102</v>
      </c>
    </row>
    <row r="444" customFormat="false" ht="15" hidden="false" customHeight="false" outlineLevel="0" collapsed="false">
      <c r="A444" s="0" t="s">
        <v>58</v>
      </c>
      <c r="B444" s="0" t="n">
        <v>2500</v>
      </c>
      <c r="C444" s="0" t="n">
        <v>4000</v>
      </c>
      <c r="D444" s="0" t="n">
        <v>0.625</v>
      </c>
      <c r="E444" s="0" t="s">
        <v>3114</v>
      </c>
    </row>
    <row r="445" customFormat="false" ht="15" hidden="false" customHeight="false" outlineLevel="0" collapsed="false">
      <c r="A445" s="0" t="s">
        <v>58</v>
      </c>
      <c r="B445" s="0" t="n">
        <v>2500</v>
      </c>
      <c r="C445" s="0" t="n">
        <v>4000</v>
      </c>
      <c r="D445" s="0" t="n">
        <v>0.625</v>
      </c>
      <c r="E445" s="0" t="s">
        <v>3125</v>
      </c>
    </row>
    <row r="446" customFormat="false" ht="15" hidden="false" customHeight="false" outlineLevel="0" collapsed="false">
      <c r="A446" s="0" t="s">
        <v>58</v>
      </c>
      <c r="B446" s="0" t="n">
        <v>2500</v>
      </c>
      <c r="C446" s="0" t="n">
        <v>4000</v>
      </c>
      <c r="D446" s="0" t="n">
        <v>0.625</v>
      </c>
      <c r="E446" s="0" t="s">
        <v>3137</v>
      </c>
    </row>
    <row r="447" customFormat="false" ht="15" hidden="false" customHeight="false" outlineLevel="0" collapsed="false">
      <c r="A447" s="0" t="s">
        <v>58</v>
      </c>
      <c r="B447" s="0" t="n">
        <v>2500</v>
      </c>
      <c r="C447" s="0" t="n">
        <v>4000</v>
      </c>
      <c r="D447" s="0" t="n">
        <v>0.625</v>
      </c>
      <c r="E447" s="0" t="s">
        <v>3148</v>
      </c>
    </row>
    <row r="448" customFormat="false" ht="15" hidden="false" customHeight="false" outlineLevel="0" collapsed="false">
      <c r="A448" s="0" t="s">
        <v>58</v>
      </c>
      <c r="B448" s="0" t="n">
        <v>2500</v>
      </c>
      <c r="C448" s="0" t="n">
        <v>4000</v>
      </c>
      <c r="D448" s="0" t="n">
        <v>0.625</v>
      </c>
      <c r="E448" s="0" t="s">
        <v>3159</v>
      </c>
    </row>
    <row r="449" customFormat="false" ht="15" hidden="false" customHeight="false" outlineLevel="0" collapsed="false">
      <c r="A449" s="0" t="s">
        <v>58</v>
      </c>
      <c r="B449" s="0" t="n">
        <v>2500</v>
      </c>
      <c r="C449" s="0" t="n">
        <v>4000</v>
      </c>
      <c r="D449" s="0" t="n">
        <v>0.625</v>
      </c>
      <c r="E449" s="0" t="s">
        <v>3170</v>
      </c>
    </row>
    <row r="450" customFormat="false" ht="15" hidden="false" customHeight="false" outlineLevel="0" collapsed="false">
      <c r="A450" s="0" t="s">
        <v>58</v>
      </c>
      <c r="B450" s="0" t="n">
        <v>2500</v>
      </c>
      <c r="C450" s="0" t="n">
        <v>4000</v>
      </c>
      <c r="D450" s="0" t="n">
        <v>0.625</v>
      </c>
      <c r="E450" s="0" t="s">
        <v>3181</v>
      </c>
    </row>
    <row r="451" customFormat="false" ht="15" hidden="false" customHeight="false" outlineLevel="0" collapsed="false">
      <c r="A451" s="0" t="s">
        <v>58</v>
      </c>
      <c r="B451" s="0" t="n">
        <v>2500</v>
      </c>
      <c r="C451" s="0" t="n">
        <v>4000</v>
      </c>
      <c r="D451" s="0" t="n">
        <v>0.625</v>
      </c>
      <c r="E451" s="0" t="s">
        <v>3194</v>
      </c>
    </row>
    <row r="452" customFormat="false" ht="15" hidden="false" customHeight="false" outlineLevel="0" collapsed="false">
      <c r="A452" s="0" t="s">
        <v>58</v>
      </c>
      <c r="B452" s="0" t="n">
        <v>2500</v>
      </c>
      <c r="C452" s="0" t="n">
        <v>4000</v>
      </c>
      <c r="D452" s="0" t="n">
        <v>0.625</v>
      </c>
      <c r="E452" s="0" t="s">
        <v>3206</v>
      </c>
    </row>
    <row r="453" customFormat="false" ht="15" hidden="false" customHeight="false" outlineLevel="0" collapsed="false">
      <c r="A453" s="0" t="s">
        <v>58</v>
      </c>
      <c r="B453" s="0" t="n">
        <v>2500</v>
      </c>
      <c r="C453" s="0" t="n">
        <v>4000</v>
      </c>
      <c r="D453" s="0" t="n">
        <v>0.625</v>
      </c>
      <c r="E453" s="0" t="s">
        <v>3217</v>
      </c>
    </row>
    <row r="454" customFormat="false" ht="15" hidden="false" customHeight="false" outlineLevel="0" collapsed="false">
      <c r="A454" s="0" t="s">
        <v>58</v>
      </c>
      <c r="B454" s="0" t="n">
        <v>2500</v>
      </c>
      <c r="C454" s="0" t="n">
        <v>4000</v>
      </c>
      <c r="D454" s="0" t="n">
        <v>0.625</v>
      </c>
      <c r="E454" s="0" t="s">
        <v>3229</v>
      </c>
    </row>
    <row r="455" customFormat="false" ht="15" hidden="false" customHeight="false" outlineLevel="0" collapsed="false">
      <c r="A455" s="0" t="s">
        <v>58</v>
      </c>
      <c r="B455" s="0" t="n">
        <v>2500</v>
      </c>
      <c r="C455" s="0" t="n">
        <v>4000</v>
      </c>
      <c r="D455" s="0" t="n">
        <v>0.625</v>
      </c>
      <c r="E455" s="0" t="s">
        <v>3240</v>
      </c>
    </row>
    <row r="456" customFormat="false" ht="15" hidden="false" customHeight="false" outlineLevel="0" collapsed="false">
      <c r="A456" s="0" t="s">
        <v>58</v>
      </c>
      <c r="B456" s="0" t="n">
        <v>2500</v>
      </c>
      <c r="C456" s="0" t="n">
        <v>4000</v>
      </c>
      <c r="D456" s="0" t="n">
        <v>0.625</v>
      </c>
      <c r="E456" s="0" t="s">
        <v>3252</v>
      </c>
    </row>
    <row r="457" customFormat="false" ht="15" hidden="false" customHeight="false" outlineLevel="0" collapsed="false">
      <c r="A457" s="0" t="s">
        <v>58</v>
      </c>
      <c r="B457" s="0" t="n">
        <v>2500</v>
      </c>
      <c r="C457" s="0" t="n">
        <v>4000</v>
      </c>
      <c r="D457" s="0" t="n">
        <v>0.625</v>
      </c>
      <c r="E457" s="0" t="s">
        <v>3265</v>
      </c>
    </row>
    <row r="458" customFormat="false" ht="15" hidden="false" customHeight="false" outlineLevel="0" collapsed="false">
      <c r="A458" s="0" t="s">
        <v>58</v>
      </c>
      <c r="B458" s="0" t="n">
        <v>2500</v>
      </c>
      <c r="C458" s="0" t="n">
        <v>4000</v>
      </c>
      <c r="D458" s="0" t="n">
        <v>0.625</v>
      </c>
      <c r="E458" s="0" t="s">
        <v>3279</v>
      </c>
    </row>
    <row r="459" customFormat="false" ht="15" hidden="false" customHeight="false" outlineLevel="0" collapsed="false">
      <c r="A459" s="0" t="s">
        <v>58</v>
      </c>
      <c r="B459" s="0" t="n">
        <v>2500</v>
      </c>
      <c r="C459" s="0" t="n">
        <v>4000</v>
      </c>
      <c r="D459" s="0" t="n">
        <v>0.625</v>
      </c>
      <c r="E459" s="0" t="s">
        <v>3299</v>
      </c>
    </row>
    <row r="460" customFormat="false" ht="15" hidden="false" customHeight="false" outlineLevel="0" collapsed="false">
      <c r="A460" s="0" t="s">
        <v>58</v>
      </c>
      <c r="B460" s="0" t="n">
        <v>2500</v>
      </c>
      <c r="C460" s="0" t="n">
        <v>4000</v>
      </c>
      <c r="D460" s="0" t="n">
        <v>0.625</v>
      </c>
      <c r="E460" s="0" t="s">
        <v>3320</v>
      </c>
    </row>
    <row r="461" customFormat="false" ht="15" hidden="false" customHeight="false" outlineLevel="0" collapsed="false">
      <c r="A461" s="0" t="s">
        <v>58</v>
      </c>
      <c r="B461" s="0" t="n">
        <v>2500</v>
      </c>
      <c r="C461" s="0" t="n">
        <v>4000</v>
      </c>
      <c r="D461" s="0" t="n">
        <v>0.625</v>
      </c>
      <c r="E461" s="0" t="s">
        <v>3334</v>
      </c>
    </row>
    <row r="462" customFormat="false" ht="15" hidden="false" customHeight="false" outlineLevel="0" collapsed="false">
      <c r="A462" s="0" t="s">
        <v>58</v>
      </c>
      <c r="B462" s="0" t="n">
        <v>4000</v>
      </c>
      <c r="C462" s="0" t="n">
        <v>3700</v>
      </c>
      <c r="D462" s="0" t="n">
        <v>1.08108108108108</v>
      </c>
      <c r="E462" s="0" t="s">
        <v>3355</v>
      </c>
    </row>
    <row r="463" customFormat="false" ht="15" hidden="false" customHeight="false" outlineLevel="0" collapsed="false">
      <c r="A463" s="0" t="s">
        <v>58</v>
      </c>
      <c r="B463" s="0" t="n">
        <v>2000</v>
      </c>
      <c r="C463" s="0" t="n">
        <v>3900</v>
      </c>
      <c r="D463" s="0" t="n">
        <v>0.512820512820513</v>
      </c>
      <c r="E463" s="0" t="s">
        <v>3366</v>
      </c>
    </row>
    <row r="464" customFormat="false" ht="15" hidden="false" customHeight="false" outlineLevel="0" collapsed="false">
      <c r="A464" s="0" t="s">
        <v>58</v>
      </c>
      <c r="B464" s="0" t="n">
        <v>2500</v>
      </c>
      <c r="C464" s="0" t="n">
        <v>4500</v>
      </c>
      <c r="D464" s="0" t="n">
        <v>0.555555555555556</v>
      </c>
      <c r="E464" s="0" t="s">
        <v>3388</v>
      </c>
    </row>
    <row r="465" customFormat="false" ht="15" hidden="false" customHeight="false" outlineLevel="0" collapsed="false">
      <c r="A465" s="0" t="s">
        <v>58</v>
      </c>
      <c r="B465" s="0" t="n">
        <v>2500</v>
      </c>
      <c r="C465" s="0" t="n">
        <v>4500</v>
      </c>
      <c r="D465" s="0" t="n">
        <v>0.555555555555556</v>
      </c>
      <c r="E465" s="0" t="s">
        <v>3397</v>
      </c>
    </row>
    <row r="466" customFormat="false" ht="15" hidden="false" customHeight="false" outlineLevel="0" collapsed="false">
      <c r="A466" s="0" t="s">
        <v>58</v>
      </c>
      <c r="B466" s="0" t="n">
        <v>2500</v>
      </c>
      <c r="C466" s="0" t="n">
        <v>4500</v>
      </c>
      <c r="D466" s="0" t="n">
        <v>0.555555555555556</v>
      </c>
      <c r="E466" s="0" t="s">
        <v>3406</v>
      </c>
    </row>
    <row r="467" customFormat="false" ht="15" hidden="false" customHeight="false" outlineLevel="0" collapsed="false">
      <c r="A467" s="0" t="s">
        <v>58</v>
      </c>
      <c r="B467" s="0" t="n">
        <v>2500</v>
      </c>
      <c r="C467" s="0" t="n">
        <v>4500</v>
      </c>
      <c r="D467" s="0" t="n">
        <v>0.555555555555556</v>
      </c>
      <c r="E467" s="0" t="s">
        <v>3415</v>
      </c>
    </row>
    <row r="468" customFormat="false" ht="15" hidden="false" customHeight="false" outlineLevel="0" collapsed="false">
      <c r="A468" s="0" t="s">
        <v>58</v>
      </c>
      <c r="B468" s="0" t="n">
        <v>2500</v>
      </c>
      <c r="C468" s="0" t="n">
        <v>4500</v>
      </c>
      <c r="D468" s="0" t="n">
        <v>0.555555555555556</v>
      </c>
      <c r="E468" s="0" t="s">
        <v>3424</v>
      </c>
    </row>
    <row r="469" customFormat="false" ht="15" hidden="false" customHeight="false" outlineLevel="0" collapsed="false">
      <c r="A469" s="0" t="s">
        <v>58</v>
      </c>
      <c r="B469" s="0" t="n">
        <v>2500</v>
      </c>
      <c r="C469" s="0" t="n">
        <v>4500</v>
      </c>
      <c r="D469" s="0" t="n">
        <v>0.555555555555556</v>
      </c>
      <c r="E469" s="0" t="s">
        <v>3433</v>
      </c>
    </row>
    <row r="470" customFormat="false" ht="15" hidden="false" customHeight="false" outlineLevel="0" collapsed="false">
      <c r="A470" s="0" t="s">
        <v>106</v>
      </c>
      <c r="B470" s="0" t="n">
        <v>2500</v>
      </c>
      <c r="C470" s="0" t="n">
        <v>4000</v>
      </c>
      <c r="D470" s="0" t="n">
        <v>0.625</v>
      </c>
      <c r="E470" s="0" t="s">
        <v>107</v>
      </c>
    </row>
    <row r="471" customFormat="false" ht="15" hidden="false" customHeight="false" outlineLevel="0" collapsed="false">
      <c r="A471" s="0" t="s">
        <v>106</v>
      </c>
      <c r="B471" s="0" t="n">
        <v>10000</v>
      </c>
      <c r="C471" s="0" t="n">
        <v>3800</v>
      </c>
      <c r="D471" s="0" t="n">
        <v>2.63157894736842</v>
      </c>
      <c r="E471" s="0" t="s">
        <v>2540</v>
      </c>
    </row>
    <row r="472" customFormat="false" ht="15" hidden="false" customHeight="false" outlineLevel="0" collapsed="false">
      <c r="A472" s="0" t="s">
        <v>106</v>
      </c>
      <c r="B472" s="0" t="n">
        <v>6000</v>
      </c>
      <c r="C472" s="0" t="n">
        <v>4000</v>
      </c>
      <c r="D472" s="0" t="n">
        <v>1.5</v>
      </c>
      <c r="E472" s="0" t="s">
        <v>2685</v>
      </c>
    </row>
    <row r="473" customFormat="false" ht="15" hidden="false" customHeight="false" outlineLevel="0" collapsed="false">
      <c r="A473" s="0" t="s">
        <v>106</v>
      </c>
      <c r="B473" s="0" t="n">
        <v>14000</v>
      </c>
      <c r="C473" s="0" t="n">
        <v>3800</v>
      </c>
      <c r="D473" s="0" t="n">
        <v>3.68421052631579</v>
      </c>
      <c r="E473" s="0" t="s">
        <v>2722</v>
      </c>
    </row>
    <row r="474" customFormat="false" ht="15" hidden="false" customHeight="false" outlineLevel="0" collapsed="false">
      <c r="A474" s="0" t="s">
        <v>128</v>
      </c>
      <c r="B474" s="0" t="n">
        <v>1000</v>
      </c>
      <c r="C474" s="0" t="n">
        <v>4000</v>
      </c>
      <c r="D474" s="0" t="n">
        <v>0.25</v>
      </c>
      <c r="E474" s="0" t="s">
        <v>129</v>
      </c>
    </row>
    <row r="475" customFormat="false" ht="15" hidden="false" customHeight="false" outlineLevel="0" collapsed="false">
      <c r="A475" s="0" t="s">
        <v>128</v>
      </c>
      <c r="B475" s="0" t="n">
        <v>1000</v>
      </c>
      <c r="C475" s="0" t="n">
        <v>4000</v>
      </c>
      <c r="D475" s="0" t="n">
        <v>0.25</v>
      </c>
      <c r="E475" s="0" t="s">
        <v>146</v>
      </c>
    </row>
    <row r="476" customFormat="false" ht="15" hidden="false" customHeight="false" outlineLevel="0" collapsed="false">
      <c r="A476" s="0" t="s">
        <v>128</v>
      </c>
      <c r="B476" s="0" t="n">
        <v>1000</v>
      </c>
      <c r="C476" s="0" t="n">
        <v>4000</v>
      </c>
      <c r="D476" s="0" t="n">
        <v>0.25</v>
      </c>
      <c r="E476" s="0" t="s">
        <v>174</v>
      </c>
    </row>
    <row r="477" customFormat="false" ht="15" hidden="false" customHeight="false" outlineLevel="0" collapsed="false">
      <c r="A477" s="0" t="s">
        <v>128</v>
      </c>
      <c r="B477" s="0" t="n">
        <v>1500</v>
      </c>
      <c r="C477" s="0" t="n">
        <v>4000</v>
      </c>
      <c r="D477" s="0" t="n">
        <v>0.375</v>
      </c>
      <c r="E477" s="0" t="s">
        <v>189</v>
      </c>
    </row>
    <row r="478" customFormat="false" ht="15" hidden="false" customHeight="false" outlineLevel="0" collapsed="false">
      <c r="A478" s="0" t="s">
        <v>128</v>
      </c>
      <c r="B478" s="0" t="n">
        <v>1000</v>
      </c>
      <c r="C478" s="0" t="n">
        <v>4000</v>
      </c>
      <c r="D478" s="0" t="n">
        <v>0.25</v>
      </c>
      <c r="E478" s="0" t="s">
        <v>205</v>
      </c>
    </row>
    <row r="479" customFormat="false" ht="15" hidden="false" customHeight="false" outlineLevel="0" collapsed="false">
      <c r="A479" s="0" t="s">
        <v>128</v>
      </c>
      <c r="B479" s="0" t="n">
        <v>500</v>
      </c>
      <c r="C479" s="0" t="n">
        <v>4000</v>
      </c>
      <c r="D479" s="0" t="n">
        <v>0.125</v>
      </c>
      <c r="E479" s="0" t="s">
        <v>221</v>
      </c>
    </row>
    <row r="480" customFormat="false" ht="15" hidden="false" customHeight="false" outlineLevel="0" collapsed="false">
      <c r="A480" s="0" t="s">
        <v>128</v>
      </c>
      <c r="B480" s="0" t="n">
        <v>500</v>
      </c>
      <c r="C480" s="0" t="n">
        <v>4000</v>
      </c>
      <c r="D480" s="0" t="n">
        <v>0.125</v>
      </c>
      <c r="E480" s="0" t="s">
        <v>235</v>
      </c>
    </row>
    <row r="481" customFormat="false" ht="15" hidden="false" customHeight="false" outlineLevel="0" collapsed="false">
      <c r="A481" s="0" t="s">
        <v>128</v>
      </c>
      <c r="B481" s="0" t="n">
        <v>1000</v>
      </c>
      <c r="C481" s="0" t="n">
        <v>4000</v>
      </c>
      <c r="D481" s="0" t="n">
        <v>0.25</v>
      </c>
      <c r="E481" s="0" t="s">
        <v>251</v>
      </c>
    </row>
    <row r="482" customFormat="false" ht="15" hidden="false" customHeight="false" outlineLevel="0" collapsed="false">
      <c r="A482" s="0" t="s">
        <v>128</v>
      </c>
      <c r="B482" s="0" t="n">
        <v>500</v>
      </c>
      <c r="C482" s="0" t="n">
        <v>4000</v>
      </c>
      <c r="D482" s="0" t="n">
        <v>0.125</v>
      </c>
      <c r="E482" s="0" t="s">
        <v>264</v>
      </c>
    </row>
    <row r="483" customFormat="false" ht="15" hidden="false" customHeight="false" outlineLevel="0" collapsed="false">
      <c r="A483" s="0" t="s">
        <v>128</v>
      </c>
      <c r="B483" s="0" t="n">
        <v>1000</v>
      </c>
      <c r="C483" s="0" t="n">
        <v>4000</v>
      </c>
      <c r="D483" s="0" t="n">
        <v>0.25</v>
      </c>
      <c r="E483" s="0" t="s">
        <v>277</v>
      </c>
    </row>
    <row r="484" customFormat="false" ht="15" hidden="false" customHeight="false" outlineLevel="0" collapsed="false">
      <c r="A484" s="0" t="s">
        <v>128</v>
      </c>
      <c r="B484" s="0" t="n">
        <v>1000</v>
      </c>
      <c r="C484" s="0" t="n">
        <v>4000</v>
      </c>
      <c r="D484" s="0" t="n">
        <v>0.25</v>
      </c>
      <c r="E484" s="0" t="s">
        <v>290</v>
      </c>
    </row>
    <row r="485" customFormat="false" ht="15" hidden="false" customHeight="false" outlineLevel="0" collapsed="false">
      <c r="A485" s="0" t="s">
        <v>128</v>
      </c>
      <c r="B485" s="0" t="n">
        <v>1000</v>
      </c>
      <c r="C485" s="0" t="n">
        <v>4000</v>
      </c>
      <c r="D485" s="0" t="n">
        <v>0.25</v>
      </c>
      <c r="E485" s="0" t="s">
        <v>305</v>
      </c>
    </row>
    <row r="486" customFormat="false" ht="15" hidden="false" customHeight="false" outlineLevel="0" collapsed="false">
      <c r="A486" s="0" t="s">
        <v>128</v>
      </c>
      <c r="B486" s="0" t="n">
        <v>1000</v>
      </c>
      <c r="C486" s="0" t="n">
        <v>4000</v>
      </c>
      <c r="D486" s="0" t="n">
        <v>0.25</v>
      </c>
      <c r="E486" s="0" t="s">
        <v>318</v>
      </c>
    </row>
    <row r="487" customFormat="false" ht="15" hidden="false" customHeight="false" outlineLevel="0" collapsed="false">
      <c r="A487" s="0" t="s">
        <v>128</v>
      </c>
      <c r="B487" s="0" t="n">
        <v>2000</v>
      </c>
      <c r="C487" s="0" t="n">
        <v>4000</v>
      </c>
      <c r="D487" s="0" t="n">
        <v>0.5</v>
      </c>
      <c r="E487" s="0" t="s">
        <v>330</v>
      </c>
    </row>
    <row r="488" customFormat="false" ht="15" hidden="false" customHeight="false" outlineLevel="0" collapsed="false">
      <c r="A488" s="0" t="s">
        <v>128</v>
      </c>
      <c r="B488" s="0" t="n">
        <v>1500</v>
      </c>
      <c r="C488" s="0" t="n">
        <v>4000</v>
      </c>
      <c r="D488" s="0" t="n">
        <v>0.375</v>
      </c>
      <c r="E488" s="0" t="s">
        <v>343</v>
      </c>
    </row>
    <row r="489" customFormat="false" ht="15" hidden="false" customHeight="false" outlineLevel="0" collapsed="false">
      <c r="A489" s="0" t="s">
        <v>128</v>
      </c>
      <c r="B489" s="0" t="n">
        <v>2000</v>
      </c>
      <c r="C489" s="0" t="n">
        <v>4000</v>
      </c>
      <c r="D489" s="0" t="n">
        <v>0.5</v>
      </c>
      <c r="E489" s="0" t="s">
        <v>357</v>
      </c>
    </row>
    <row r="490" customFormat="false" ht="15" hidden="false" customHeight="false" outlineLevel="0" collapsed="false">
      <c r="A490" s="0" t="s">
        <v>128</v>
      </c>
      <c r="B490" s="0" t="n">
        <v>1000</v>
      </c>
      <c r="C490" s="0" t="n">
        <v>4000</v>
      </c>
      <c r="D490" s="0" t="n">
        <v>0.25</v>
      </c>
      <c r="E490" s="0" t="s">
        <v>369</v>
      </c>
    </row>
    <row r="491" customFormat="false" ht="15" hidden="false" customHeight="false" outlineLevel="0" collapsed="false">
      <c r="A491" s="0" t="s">
        <v>128</v>
      </c>
      <c r="B491" s="0" t="n">
        <v>1000</v>
      </c>
      <c r="C491" s="0" t="n">
        <v>4000</v>
      </c>
      <c r="D491" s="0" t="n">
        <v>0.25</v>
      </c>
      <c r="E491" s="0" t="s">
        <v>382</v>
      </c>
    </row>
    <row r="492" customFormat="false" ht="15" hidden="false" customHeight="false" outlineLevel="0" collapsed="false">
      <c r="A492" s="0" t="s">
        <v>128</v>
      </c>
      <c r="B492" s="0" t="n">
        <v>1000</v>
      </c>
      <c r="C492" s="0" t="n">
        <v>4000</v>
      </c>
      <c r="D492" s="0" t="n">
        <v>0.25</v>
      </c>
      <c r="E492" s="0" t="s">
        <v>394</v>
      </c>
    </row>
    <row r="493" customFormat="false" ht="15" hidden="false" customHeight="false" outlineLevel="0" collapsed="false">
      <c r="A493" s="0" t="s">
        <v>128</v>
      </c>
      <c r="B493" s="0" t="n">
        <v>2000</v>
      </c>
      <c r="C493" s="0" t="n">
        <v>4000</v>
      </c>
      <c r="D493" s="0" t="n">
        <v>0.5</v>
      </c>
      <c r="E493" s="0" t="s">
        <v>406</v>
      </c>
    </row>
    <row r="494" customFormat="false" ht="15" hidden="false" customHeight="false" outlineLevel="0" collapsed="false">
      <c r="A494" s="0" t="s">
        <v>128</v>
      </c>
      <c r="B494" s="0" t="n">
        <v>1000</v>
      </c>
      <c r="C494" s="0" t="n">
        <v>4000</v>
      </c>
      <c r="D494" s="0" t="n">
        <v>0.25</v>
      </c>
      <c r="E494" s="0" t="s">
        <v>419</v>
      </c>
    </row>
    <row r="495" customFormat="false" ht="15" hidden="false" customHeight="false" outlineLevel="0" collapsed="false">
      <c r="A495" s="0" t="s">
        <v>128</v>
      </c>
      <c r="B495" s="0" t="n">
        <v>1000</v>
      </c>
      <c r="C495" s="0" t="n">
        <v>4000</v>
      </c>
      <c r="D495" s="0" t="n">
        <v>0.25</v>
      </c>
      <c r="E495" s="0" t="s">
        <v>432</v>
      </c>
    </row>
    <row r="496" customFormat="false" ht="15" hidden="false" customHeight="false" outlineLevel="0" collapsed="false">
      <c r="A496" s="0" t="s">
        <v>128</v>
      </c>
      <c r="B496" s="0" t="n">
        <v>2000</v>
      </c>
      <c r="C496" s="0" t="n">
        <v>4000</v>
      </c>
      <c r="D496" s="0" t="n">
        <v>0.5</v>
      </c>
      <c r="E496" s="0" t="s">
        <v>445</v>
      </c>
    </row>
    <row r="497" customFormat="false" ht="15" hidden="false" customHeight="false" outlineLevel="0" collapsed="false">
      <c r="A497" s="0" t="s">
        <v>128</v>
      </c>
      <c r="B497" s="0" t="n">
        <v>1000</v>
      </c>
      <c r="C497" s="0" t="n">
        <v>4000</v>
      </c>
      <c r="D497" s="0" t="n">
        <v>0.25</v>
      </c>
      <c r="E497" s="0" t="s">
        <v>457</v>
      </c>
    </row>
    <row r="498" customFormat="false" ht="15" hidden="false" customHeight="false" outlineLevel="0" collapsed="false">
      <c r="A498" s="0" t="s">
        <v>128</v>
      </c>
      <c r="B498" s="0" t="n">
        <v>1000</v>
      </c>
      <c r="C498" s="0" t="n">
        <v>4000</v>
      </c>
      <c r="D498" s="0" t="n">
        <v>0.25</v>
      </c>
      <c r="E498" s="0" t="s">
        <v>470</v>
      </c>
    </row>
    <row r="499" customFormat="false" ht="15" hidden="false" customHeight="false" outlineLevel="0" collapsed="false">
      <c r="A499" s="0" t="s">
        <v>128</v>
      </c>
      <c r="B499" s="0" t="n">
        <v>2000</v>
      </c>
      <c r="C499" s="0" t="n">
        <v>4000</v>
      </c>
      <c r="D499" s="0" t="n">
        <v>0.5</v>
      </c>
      <c r="E499" s="0" t="s">
        <v>482</v>
      </c>
    </row>
    <row r="500" customFormat="false" ht="15" hidden="false" customHeight="false" outlineLevel="0" collapsed="false">
      <c r="A500" s="0" t="s">
        <v>128</v>
      </c>
      <c r="B500" s="0" t="n">
        <v>1500</v>
      </c>
      <c r="C500" s="0" t="n">
        <v>4000</v>
      </c>
      <c r="D500" s="0" t="n">
        <v>0.375</v>
      </c>
      <c r="E500" s="0" t="s">
        <v>507</v>
      </c>
    </row>
    <row r="501" customFormat="false" ht="15" hidden="false" customHeight="false" outlineLevel="0" collapsed="false">
      <c r="A501" s="0" t="s">
        <v>128</v>
      </c>
      <c r="B501" s="0" t="n">
        <v>2000</v>
      </c>
      <c r="C501" s="0" t="n">
        <v>4000</v>
      </c>
      <c r="D501" s="0" t="n">
        <v>0.5</v>
      </c>
      <c r="E501" s="0" t="s">
        <v>520</v>
      </c>
    </row>
    <row r="502" customFormat="false" ht="15" hidden="false" customHeight="false" outlineLevel="0" collapsed="false">
      <c r="A502" s="0" t="s">
        <v>128</v>
      </c>
      <c r="B502" s="0" t="n">
        <v>1000</v>
      </c>
      <c r="C502" s="0" t="n">
        <v>4000</v>
      </c>
      <c r="D502" s="0" t="n">
        <v>0.25</v>
      </c>
      <c r="E502" s="0" t="s">
        <v>530</v>
      </c>
    </row>
    <row r="503" customFormat="false" ht="15" hidden="false" customHeight="false" outlineLevel="0" collapsed="false">
      <c r="A503" s="0" t="s">
        <v>128</v>
      </c>
      <c r="B503" s="0" t="n">
        <v>1000</v>
      </c>
      <c r="C503" s="0" t="n">
        <v>4000</v>
      </c>
      <c r="D503" s="0" t="n">
        <v>0.25</v>
      </c>
      <c r="E503" s="0" t="s">
        <v>544</v>
      </c>
    </row>
    <row r="504" customFormat="false" ht="15" hidden="false" customHeight="false" outlineLevel="0" collapsed="false">
      <c r="A504" s="0" t="s">
        <v>128</v>
      </c>
      <c r="B504" s="0" t="n">
        <v>1000</v>
      </c>
      <c r="C504" s="0" t="n">
        <v>4000</v>
      </c>
      <c r="D504" s="0" t="n">
        <v>0.25</v>
      </c>
      <c r="E504" s="0" t="s">
        <v>559</v>
      </c>
    </row>
    <row r="505" customFormat="false" ht="15" hidden="false" customHeight="false" outlineLevel="0" collapsed="false">
      <c r="A505" s="0" t="s">
        <v>128</v>
      </c>
      <c r="B505" s="0" t="n">
        <v>1000</v>
      </c>
      <c r="C505" s="0" t="n">
        <v>4000</v>
      </c>
      <c r="D505" s="0" t="n">
        <v>0.25</v>
      </c>
      <c r="E505" s="0" t="s">
        <v>579</v>
      </c>
    </row>
    <row r="506" customFormat="false" ht="15" hidden="false" customHeight="false" outlineLevel="0" collapsed="false">
      <c r="A506" s="0" t="s">
        <v>128</v>
      </c>
      <c r="B506" s="0" t="n">
        <v>1000</v>
      </c>
      <c r="C506" s="0" t="n">
        <v>4000</v>
      </c>
      <c r="D506" s="0" t="n">
        <v>0.25</v>
      </c>
      <c r="E506" s="0" t="s">
        <v>600</v>
      </c>
    </row>
    <row r="507" customFormat="false" ht="15" hidden="false" customHeight="false" outlineLevel="0" collapsed="false">
      <c r="A507" s="0" t="s">
        <v>128</v>
      </c>
      <c r="B507" s="0" t="n">
        <v>1000</v>
      </c>
      <c r="C507" s="0" t="n">
        <v>4000</v>
      </c>
      <c r="D507" s="0" t="n">
        <v>0.25</v>
      </c>
      <c r="E507" s="0" t="s">
        <v>615</v>
      </c>
    </row>
    <row r="508" customFormat="false" ht="15" hidden="false" customHeight="false" outlineLevel="0" collapsed="false">
      <c r="A508" s="0" t="s">
        <v>128</v>
      </c>
      <c r="B508" s="0" t="n">
        <v>1500</v>
      </c>
      <c r="C508" s="0" t="n">
        <v>3800</v>
      </c>
      <c r="D508" s="0" t="n">
        <v>0.394736842105263</v>
      </c>
      <c r="E508" s="0" t="s">
        <v>759</v>
      </c>
    </row>
    <row r="509" customFormat="false" ht="15" hidden="false" customHeight="false" outlineLevel="0" collapsed="false">
      <c r="A509" s="0" t="s">
        <v>128</v>
      </c>
      <c r="B509" s="0" t="n">
        <v>1000</v>
      </c>
      <c r="C509" s="0" t="n">
        <v>3800</v>
      </c>
      <c r="D509" s="0" t="n">
        <v>0.263157894736842</v>
      </c>
      <c r="E509" s="0" t="s">
        <v>788</v>
      </c>
    </row>
    <row r="510" customFormat="false" ht="15" hidden="false" customHeight="false" outlineLevel="0" collapsed="false">
      <c r="A510" s="0" t="s">
        <v>128</v>
      </c>
      <c r="B510" s="0" t="n">
        <v>1000</v>
      </c>
      <c r="C510" s="0" t="n">
        <v>3800</v>
      </c>
      <c r="D510" s="0" t="n">
        <v>0.263157894736842</v>
      </c>
      <c r="E510" s="0" t="s">
        <v>802</v>
      </c>
    </row>
    <row r="511" customFormat="false" ht="15" hidden="false" customHeight="false" outlineLevel="0" collapsed="false">
      <c r="A511" s="0" t="s">
        <v>128</v>
      </c>
      <c r="B511" s="0" t="n">
        <v>1000</v>
      </c>
      <c r="C511" s="0" t="n">
        <v>3800</v>
      </c>
      <c r="D511" s="0" t="n">
        <v>0.263157894736842</v>
      </c>
      <c r="E511" s="0" t="s">
        <v>816</v>
      </c>
    </row>
    <row r="512" customFormat="false" ht="15" hidden="false" customHeight="false" outlineLevel="0" collapsed="false">
      <c r="A512" s="0" t="s">
        <v>128</v>
      </c>
      <c r="B512" s="0" t="n">
        <v>3000</v>
      </c>
      <c r="C512" s="0" t="n">
        <v>3800</v>
      </c>
      <c r="D512" s="0" t="n">
        <v>0.789473684210526</v>
      </c>
      <c r="E512" s="0" t="s">
        <v>846</v>
      </c>
    </row>
    <row r="513" customFormat="false" ht="15" hidden="false" customHeight="false" outlineLevel="0" collapsed="false">
      <c r="A513" s="0" t="s">
        <v>128</v>
      </c>
      <c r="B513" s="0" t="n">
        <v>1000</v>
      </c>
      <c r="C513" s="0" t="n">
        <v>3800</v>
      </c>
      <c r="D513" s="0" t="n">
        <v>0.263157894736842</v>
      </c>
      <c r="E513" s="0" t="s">
        <v>881</v>
      </c>
    </row>
    <row r="514" customFormat="false" ht="15" hidden="false" customHeight="false" outlineLevel="0" collapsed="false">
      <c r="A514" s="0" t="s">
        <v>128</v>
      </c>
      <c r="B514" s="0" t="n">
        <v>3000</v>
      </c>
      <c r="C514" s="0" t="n">
        <v>3800</v>
      </c>
      <c r="D514" s="0" t="n">
        <v>0.789473684210526</v>
      </c>
      <c r="E514" s="0" t="s">
        <v>913</v>
      </c>
    </row>
    <row r="515" customFormat="false" ht="15" hidden="false" customHeight="false" outlineLevel="0" collapsed="false">
      <c r="A515" s="0" t="s">
        <v>128</v>
      </c>
      <c r="B515" s="0" t="n">
        <v>500</v>
      </c>
      <c r="C515" s="0" t="n">
        <v>3800</v>
      </c>
      <c r="D515" s="0" t="n">
        <v>0.131578947368421</v>
      </c>
      <c r="E515" s="0" t="s">
        <v>926</v>
      </c>
    </row>
    <row r="516" customFormat="false" ht="15" hidden="false" customHeight="false" outlineLevel="0" collapsed="false">
      <c r="A516" s="0" t="s">
        <v>128</v>
      </c>
      <c r="B516" s="0" t="n">
        <v>1000</v>
      </c>
      <c r="C516" s="0" t="n">
        <v>3800</v>
      </c>
      <c r="D516" s="0" t="n">
        <v>0.263157894736842</v>
      </c>
      <c r="E516" s="0" t="s">
        <v>940</v>
      </c>
    </row>
    <row r="517" customFormat="false" ht="15" hidden="false" customHeight="false" outlineLevel="0" collapsed="false">
      <c r="A517" s="0" t="s">
        <v>128</v>
      </c>
      <c r="B517" s="0" t="n">
        <v>1000</v>
      </c>
      <c r="C517" s="0" t="n">
        <v>3800</v>
      </c>
      <c r="D517" s="0" t="n">
        <v>0.263157894736842</v>
      </c>
      <c r="E517" s="0" t="s">
        <v>960</v>
      </c>
    </row>
    <row r="518" customFormat="false" ht="15" hidden="false" customHeight="false" outlineLevel="0" collapsed="false">
      <c r="A518" s="0" t="s">
        <v>128</v>
      </c>
      <c r="B518" s="0" t="n">
        <v>1000</v>
      </c>
      <c r="C518" s="0" t="n">
        <v>4000</v>
      </c>
      <c r="D518" s="0" t="n">
        <v>0.25</v>
      </c>
      <c r="E518" s="0" t="s">
        <v>996</v>
      </c>
    </row>
    <row r="519" customFormat="false" ht="15" hidden="false" customHeight="false" outlineLevel="0" collapsed="false">
      <c r="A519" s="0" t="s">
        <v>128</v>
      </c>
      <c r="B519" s="0" t="n">
        <v>1000</v>
      </c>
      <c r="C519" s="0" t="n">
        <v>4000</v>
      </c>
      <c r="D519" s="0" t="n">
        <v>0.25</v>
      </c>
      <c r="E519" s="0" t="s">
        <v>1010</v>
      </c>
    </row>
    <row r="520" customFormat="false" ht="15" hidden="false" customHeight="false" outlineLevel="0" collapsed="false">
      <c r="A520" s="0" t="s">
        <v>128</v>
      </c>
      <c r="B520" s="0" t="n">
        <v>1000</v>
      </c>
      <c r="C520" s="0" t="n">
        <v>4000</v>
      </c>
      <c r="D520" s="0" t="n">
        <v>0.25</v>
      </c>
      <c r="E520" s="0" t="s">
        <v>1024</v>
      </c>
    </row>
    <row r="521" customFormat="false" ht="15" hidden="false" customHeight="false" outlineLevel="0" collapsed="false">
      <c r="A521" s="0" t="s">
        <v>128</v>
      </c>
      <c r="B521" s="0" t="n">
        <v>500</v>
      </c>
      <c r="C521" s="0" t="n">
        <v>3800</v>
      </c>
      <c r="D521" s="0" t="n">
        <v>0.131578947368421</v>
      </c>
      <c r="E521" s="0" t="s">
        <v>1040</v>
      </c>
    </row>
    <row r="522" customFormat="false" ht="15" hidden="false" customHeight="false" outlineLevel="0" collapsed="false">
      <c r="A522" s="0" t="s">
        <v>128</v>
      </c>
      <c r="B522" s="0" t="n">
        <v>500</v>
      </c>
      <c r="C522" s="0" t="n">
        <v>3800</v>
      </c>
      <c r="D522" s="0" t="n">
        <v>0.131578947368421</v>
      </c>
      <c r="E522" s="0" t="s">
        <v>1054</v>
      </c>
    </row>
    <row r="523" customFormat="false" ht="15" hidden="false" customHeight="false" outlineLevel="0" collapsed="false">
      <c r="A523" s="0" t="s">
        <v>128</v>
      </c>
      <c r="B523" s="0" t="n">
        <v>500</v>
      </c>
      <c r="C523" s="0" t="n">
        <v>3800</v>
      </c>
      <c r="D523" s="0" t="n">
        <v>0.131578947368421</v>
      </c>
      <c r="E523" s="0" t="s">
        <v>1071</v>
      </c>
    </row>
    <row r="524" customFormat="false" ht="15" hidden="false" customHeight="false" outlineLevel="0" collapsed="false">
      <c r="A524" s="0" t="s">
        <v>128</v>
      </c>
      <c r="B524" s="0" t="n">
        <v>500</v>
      </c>
      <c r="C524" s="0" t="n">
        <v>4000</v>
      </c>
      <c r="D524" s="0" t="n">
        <v>0.125</v>
      </c>
      <c r="E524" s="0" t="s">
        <v>1088</v>
      </c>
    </row>
    <row r="525" customFormat="false" ht="15" hidden="false" customHeight="false" outlineLevel="0" collapsed="false">
      <c r="A525" s="0" t="s">
        <v>128</v>
      </c>
      <c r="B525" s="0" t="n">
        <v>2000</v>
      </c>
      <c r="C525" s="0" t="n">
        <v>4000</v>
      </c>
      <c r="D525" s="0" t="n">
        <v>0.5</v>
      </c>
      <c r="E525" s="0" t="s">
        <v>1101</v>
      </c>
    </row>
    <row r="526" customFormat="false" ht="15" hidden="false" customHeight="false" outlineLevel="0" collapsed="false">
      <c r="A526" s="0" t="s">
        <v>128</v>
      </c>
      <c r="B526" s="0" t="n">
        <v>500</v>
      </c>
      <c r="C526" s="0" t="n">
        <v>4000</v>
      </c>
      <c r="D526" s="0" t="n">
        <v>0.125</v>
      </c>
      <c r="E526" s="0" t="s">
        <v>1117</v>
      </c>
    </row>
    <row r="527" customFormat="false" ht="15" hidden="false" customHeight="false" outlineLevel="0" collapsed="false">
      <c r="A527" s="0" t="s">
        <v>128</v>
      </c>
      <c r="B527" s="0" t="n">
        <v>3000</v>
      </c>
      <c r="C527" s="0" t="n">
        <v>4000</v>
      </c>
      <c r="D527" s="0" t="n">
        <v>0.75</v>
      </c>
      <c r="E527" s="0" t="s">
        <v>1130</v>
      </c>
    </row>
    <row r="528" customFormat="false" ht="15" hidden="false" customHeight="false" outlineLevel="0" collapsed="false">
      <c r="A528" s="0" t="s">
        <v>128</v>
      </c>
      <c r="B528" s="0" t="n">
        <v>500</v>
      </c>
      <c r="C528" s="0" t="n">
        <v>4000</v>
      </c>
      <c r="D528" s="0" t="n">
        <v>0.125</v>
      </c>
      <c r="E528" s="0" t="s">
        <v>1149</v>
      </c>
    </row>
    <row r="529" customFormat="false" ht="15" hidden="false" customHeight="false" outlineLevel="0" collapsed="false">
      <c r="A529" s="0" t="s">
        <v>128</v>
      </c>
      <c r="B529" s="0" t="n">
        <v>1000</v>
      </c>
      <c r="C529" s="0" t="n">
        <v>4000</v>
      </c>
      <c r="D529" s="0" t="n">
        <v>0.25</v>
      </c>
      <c r="E529" s="0" t="s">
        <v>1164</v>
      </c>
    </row>
    <row r="530" customFormat="false" ht="15" hidden="false" customHeight="false" outlineLevel="0" collapsed="false">
      <c r="A530" s="0" t="s">
        <v>128</v>
      </c>
      <c r="B530" s="0" t="n">
        <v>3000</v>
      </c>
      <c r="C530" s="0" t="n">
        <v>4000</v>
      </c>
      <c r="D530" s="0" t="n">
        <v>0.75</v>
      </c>
      <c r="E530" s="0" t="s">
        <v>1187</v>
      </c>
    </row>
    <row r="531" customFormat="false" ht="15" hidden="false" customHeight="false" outlineLevel="0" collapsed="false">
      <c r="A531" s="0" t="s">
        <v>128</v>
      </c>
      <c r="B531" s="0" t="n">
        <v>500</v>
      </c>
      <c r="C531" s="0" t="n">
        <v>4000</v>
      </c>
      <c r="D531" s="0" t="n">
        <v>0.125</v>
      </c>
      <c r="E531" s="0" t="s">
        <v>1203</v>
      </c>
    </row>
    <row r="532" customFormat="false" ht="15" hidden="false" customHeight="false" outlineLevel="0" collapsed="false">
      <c r="A532" s="0" t="s">
        <v>128</v>
      </c>
      <c r="B532" s="0" t="n">
        <v>3000</v>
      </c>
      <c r="C532" s="0" t="n">
        <v>4000</v>
      </c>
      <c r="D532" s="0" t="n">
        <v>0.75</v>
      </c>
      <c r="E532" s="0" t="s">
        <v>1218</v>
      </c>
    </row>
    <row r="533" customFormat="false" ht="15" hidden="false" customHeight="false" outlineLevel="0" collapsed="false">
      <c r="A533" s="0" t="s">
        <v>128</v>
      </c>
      <c r="B533" s="0" t="n">
        <v>1000</v>
      </c>
      <c r="C533" s="0" t="n">
        <v>4000</v>
      </c>
      <c r="D533" s="0" t="n">
        <v>0.25</v>
      </c>
      <c r="E533" s="0" t="s">
        <v>1246</v>
      </c>
    </row>
    <row r="534" customFormat="false" ht="15" hidden="false" customHeight="false" outlineLevel="0" collapsed="false">
      <c r="A534" s="0" t="s">
        <v>128</v>
      </c>
      <c r="B534" s="0" t="n">
        <v>1000</v>
      </c>
      <c r="C534" s="0" t="n">
        <v>4000</v>
      </c>
      <c r="D534" s="0" t="n">
        <v>0.25</v>
      </c>
      <c r="E534" s="0" t="s">
        <v>1266</v>
      </c>
    </row>
    <row r="535" customFormat="false" ht="15" hidden="false" customHeight="false" outlineLevel="0" collapsed="false">
      <c r="A535" s="0" t="s">
        <v>128</v>
      </c>
      <c r="B535" s="0" t="n">
        <v>2000</v>
      </c>
      <c r="C535" s="0" t="n">
        <v>4000</v>
      </c>
      <c r="D535" s="0" t="n">
        <v>0.5</v>
      </c>
      <c r="E535" s="0" t="s">
        <v>1281</v>
      </c>
    </row>
    <row r="536" customFormat="false" ht="15" hidden="false" customHeight="false" outlineLevel="0" collapsed="false">
      <c r="A536" s="0" t="s">
        <v>128</v>
      </c>
      <c r="B536" s="0" t="n">
        <v>1000</v>
      </c>
      <c r="C536" s="0" t="n">
        <v>4000</v>
      </c>
      <c r="D536" s="0" t="n">
        <v>0.25</v>
      </c>
      <c r="E536" s="0" t="s">
        <v>1310</v>
      </c>
    </row>
    <row r="537" customFormat="false" ht="15" hidden="false" customHeight="false" outlineLevel="0" collapsed="false">
      <c r="A537" s="0" t="s">
        <v>128</v>
      </c>
      <c r="B537" s="0" t="n">
        <v>2000</v>
      </c>
      <c r="C537" s="0" t="n">
        <v>4000</v>
      </c>
      <c r="D537" s="0" t="n">
        <v>0.5</v>
      </c>
      <c r="E537" s="0" t="s">
        <v>1323</v>
      </c>
    </row>
    <row r="538" customFormat="false" ht="15" hidden="false" customHeight="false" outlineLevel="0" collapsed="false">
      <c r="A538" s="0" t="s">
        <v>128</v>
      </c>
      <c r="B538" s="0" t="n">
        <v>2000</v>
      </c>
      <c r="C538" s="0" t="n">
        <v>4000</v>
      </c>
      <c r="D538" s="0" t="n">
        <v>0.5</v>
      </c>
      <c r="E538" s="0" t="s">
        <v>1340</v>
      </c>
    </row>
    <row r="539" customFormat="false" ht="15" hidden="false" customHeight="false" outlineLevel="0" collapsed="false">
      <c r="A539" s="0" t="s">
        <v>128</v>
      </c>
      <c r="B539" s="0" t="n">
        <v>5000</v>
      </c>
      <c r="C539" s="0" t="n">
        <v>4000</v>
      </c>
      <c r="D539" s="0" t="n">
        <v>1.25</v>
      </c>
      <c r="E539" s="0" t="s">
        <v>1353</v>
      </c>
    </row>
    <row r="540" customFormat="false" ht="15" hidden="false" customHeight="false" outlineLevel="0" collapsed="false">
      <c r="A540" s="0" t="s">
        <v>128</v>
      </c>
      <c r="B540" s="0" t="n">
        <v>1000</v>
      </c>
      <c r="C540" s="0" t="n">
        <v>4000</v>
      </c>
      <c r="D540" s="0" t="n">
        <v>0.25</v>
      </c>
      <c r="E540" s="0" t="s">
        <v>1367</v>
      </c>
    </row>
    <row r="541" customFormat="false" ht="15" hidden="false" customHeight="false" outlineLevel="0" collapsed="false">
      <c r="A541" s="0" t="s">
        <v>128</v>
      </c>
      <c r="B541" s="0" t="n">
        <v>1000</v>
      </c>
      <c r="C541" s="0" t="n">
        <v>4000</v>
      </c>
      <c r="D541" s="0" t="n">
        <v>0.25</v>
      </c>
      <c r="E541" s="0" t="s">
        <v>1381</v>
      </c>
    </row>
    <row r="542" customFormat="false" ht="15" hidden="false" customHeight="false" outlineLevel="0" collapsed="false">
      <c r="A542" s="0" t="s">
        <v>128</v>
      </c>
      <c r="B542" s="0" t="n">
        <v>2000</v>
      </c>
      <c r="C542" s="0" t="n">
        <v>4000</v>
      </c>
      <c r="D542" s="0" t="n">
        <v>0.5</v>
      </c>
      <c r="E542" s="0" t="s">
        <v>1396</v>
      </c>
    </row>
    <row r="543" customFormat="false" ht="15" hidden="false" customHeight="false" outlineLevel="0" collapsed="false">
      <c r="A543" s="0" t="s">
        <v>128</v>
      </c>
      <c r="B543" s="0" t="n">
        <v>2000</v>
      </c>
      <c r="C543" s="0" t="n">
        <v>3800</v>
      </c>
      <c r="D543" s="0" t="n">
        <v>0.526315789473684</v>
      </c>
      <c r="E543" s="0" t="s">
        <v>1446</v>
      </c>
    </row>
    <row r="544" customFormat="false" ht="15" hidden="false" customHeight="false" outlineLevel="0" collapsed="false">
      <c r="A544" s="0" t="s">
        <v>128</v>
      </c>
      <c r="B544" s="0" t="n">
        <v>300</v>
      </c>
      <c r="C544" s="0" t="n">
        <v>3800</v>
      </c>
      <c r="D544" s="0" t="n">
        <v>0.0789473684210526</v>
      </c>
      <c r="E544" s="0" t="s">
        <v>1462</v>
      </c>
    </row>
    <row r="545" customFormat="false" ht="15" hidden="false" customHeight="false" outlineLevel="0" collapsed="false">
      <c r="A545" s="0" t="s">
        <v>128</v>
      </c>
      <c r="B545" s="0" t="n">
        <v>1000</v>
      </c>
      <c r="C545" s="0" t="n">
        <v>3800</v>
      </c>
      <c r="D545" s="0" t="n">
        <v>0.263157894736842</v>
      </c>
      <c r="E545" s="0" t="s">
        <v>1476</v>
      </c>
    </row>
    <row r="546" customFormat="false" ht="15" hidden="false" customHeight="false" outlineLevel="0" collapsed="false">
      <c r="A546" s="0" t="s">
        <v>128</v>
      </c>
      <c r="B546" s="0" t="n">
        <v>1000</v>
      </c>
      <c r="C546" s="0" t="n">
        <v>3800</v>
      </c>
      <c r="D546" s="0" t="n">
        <v>0.263157894736842</v>
      </c>
      <c r="E546" s="0" t="s">
        <v>1492</v>
      </c>
    </row>
    <row r="547" customFormat="false" ht="15" hidden="false" customHeight="false" outlineLevel="0" collapsed="false">
      <c r="A547" s="0" t="s">
        <v>128</v>
      </c>
      <c r="B547" s="0" t="n">
        <v>1000</v>
      </c>
      <c r="C547" s="0" t="n">
        <v>3800</v>
      </c>
      <c r="D547" s="0" t="n">
        <v>0.263157894736842</v>
      </c>
      <c r="E547" s="0" t="s">
        <v>1524</v>
      </c>
    </row>
    <row r="548" customFormat="false" ht="15" hidden="false" customHeight="false" outlineLevel="0" collapsed="false">
      <c r="A548" s="0" t="s">
        <v>128</v>
      </c>
      <c r="B548" s="0" t="n">
        <v>2000</v>
      </c>
      <c r="C548" s="0" t="n">
        <v>3800</v>
      </c>
      <c r="D548" s="0" t="n">
        <v>0.526315789473684</v>
      </c>
      <c r="E548" s="0" t="s">
        <v>1540</v>
      </c>
    </row>
    <row r="549" customFormat="false" ht="15" hidden="false" customHeight="false" outlineLevel="0" collapsed="false">
      <c r="A549" s="0" t="s">
        <v>128</v>
      </c>
      <c r="B549" s="0" t="n">
        <v>2000</v>
      </c>
      <c r="C549" s="0" t="n">
        <v>3800</v>
      </c>
      <c r="D549" s="0" t="n">
        <v>0.526315789473684</v>
      </c>
      <c r="E549" s="0" t="s">
        <v>1556</v>
      </c>
    </row>
    <row r="550" customFormat="false" ht="15" hidden="false" customHeight="false" outlineLevel="0" collapsed="false">
      <c r="A550" s="0" t="s">
        <v>128</v>
      </c>
      <c r="B550" s="0" t="n">
        <v>500</v>
      </c>
      <c r="C550" s="0" t="n">
        <v>3900</v>
      </c>
      <c r="D550" s="0" t="n">
        <v>0.128205128205128</v>
      </c>
      <c r="E550" s="0" t="s">
        <v>1573</v>
      </c>
    </row>
    <row r="551" customFormat="false" ht="15" hidden="false" customHeight="false" outlineLevel="0" collapsed="false">
      <c r="A551" s="0" t="s">
        <v>128</v>
      </c>
      <c r="B551" s="0" t="n">
        <v>500</v>
      </c>
      <c r="C551" s="0" t="n">
        <v>3800</v>
      </c>
      <c r="D551" s="0" t="n">
        <v>0.131578947368421</v>
      </c>
      <c r="E551" s="0" t="s">
        <v>1586</v>
      </c>
    </row>
    <row r="552" customFormat="false" ht="15" hidden="false" customHeight="false" outlineLevel="0" collapsed="false">
      <c r="A552" s="0" t="s">
        <v>128</v>
      </c>
      <c r="B552" s="0" t="n">
        <v>4000</v>
      </c>
      <c r="C552" s="0" t="n">
        <v>3900</v>
      </c>
      <c r="D552" s="0" t="n">
        <v>1.02564102564103</v>
      </c>
      <c r="E552" s="0" t="s">
        <v>1605</v>
      </c>
    </row>
    <row r="553" customFormat="false" ht="15" hidden="false" customHeight="false" outlineLevel="0" collapsed="false">
      <c r="A553" s="0" t="s">
        <v>128</v>
      </c>
      <c r="B553" s="0" t="n">
        <v>1400</v>
      </c>
      <c r="C553" s="0" t="n">
        <v>3800</v>
      </c>
      <c r="D553" s="0" t="n">
        <v>0.368421052631579</v>
      </c>
      <c r="E553" s="0" t="s">
        <v>1620</v>
      </c>
    </row>
    <row r="554" customFormat="false" ht="15" hidden="false" customHeight="false" outlineLevel="0" collapsed="false">
      <c r="A554" s="0" t="s">
        <v>128</v>
      </c>
      <c r="B554" s="0" t="n">
        <v>2000</v>
      </c>
      <c r="C554" s="0" t="n">
        <v>3800</v>
      </c>
      <c r="D554" s="0" t="n">
        <v>0.526315789473684</v>
      </c>
      <c r="E554" s="0" t="s">
        <v>1636</v>
      </c>
    </row>
    <row r="555" customFormat="false" ht="15" hidden="false" customHeight="false" outlineLevel="0" collapsed="false">
      <c r="A555" s="0" t="s">
        <v>128</v>
      </c>
      <c r="B555" s="0" t="n">
        <v>1000</v>
      </c>
      <c r="C555" s="0" t="n">
        <v>3800</v>
      </c>
      <c r="D555" s="0" t="n">
        <v>0.263157894736842</v>
      </c>
      <c r="E555" s="0" t="s">
        <v>1666</v>
      </c>
    </row>
    <row r="556" customFormat="false" ht="15" hidden="false" customHeight="false" outlineLevel="0" collapsed="false">
      <c r="A556" s="0" t="s">
        <v>128</v>
      </c>
      <c r="B556" s="0" t="n">
        <v>1000</v>
      </c>
      <c r="C556" s="0" t="n">
        <v>3800</v>
      </c>
      <c r="D556" s="0" t="n">
        <v>0.263157894736842</v>
      </c>
      <c r="E556" s="0" t="s">
        <v>1677</v>
      </c>
    </row>
    <row r="557" customFormat="false" ht="15" hidden="false" customHeight="false" outlineLevel="0" collapsed="false">
      <c r="A557" s="0" t="s">
        <v>128</v>
      </c>
      <c r="B557" s="0" t="n">
        <v>3000</v>
      </c>
      <c r="C557" s="0" t="n">
        <v>3800</v>
      </c>
      <c r="D557" s="0" t="n">
        <v>0.789473684210526</v>
      </c>
      <c r="E557" s="0" t="s">
        <v>1692</v>
      </c>
    </row>
    <row r="558" customFormat="false" ht="15" hidden="false" customHeight="false" outlineLevel="0" collapsed="false">
      <c r="A558" s="0" t="s">
        <v>128</v>
      </c>
      <c r="B558" s="0" t="n">
        <v>5600</v>
      </c>
      <c r="C558" s="0" t="n">
        <v>4000</v>
      </c>
      <c r="D558" s="0" t="n">
        <v>1.4</v>
      </c>
      <c r="E558" s="0" t="s">
        <v>1708</v>
      </c>
    </row>
    <row r="559" customFormat="false" ht="15" hidden="false" customHeight="false" outlineLevel="0" collapsed="false">
      <c r="A559" s="0" t="s">
        <v>128</v>
      </c>
      <c r="B559" s="0" t="n">
        <v>3000</v>
      </c>
      <c r="C559" s="0" t="n">
        <v>3800</v>
      </c>
      <c r="D559" s="0" t="n">
        <v>0.789473684210526</v>
      </c>
      <c r="E559" s="0" t="s">
        <v>1725</v>
      </c>
    </row>
    <row r="560" customFormat="false" ht="15" hidden="false" customHeight="false" outlineLevel="0" collapsed="false">
      <c r="A560" s="0" t="s">
        <v>128</v>
      </c>
      <c r="B560" s="0" t="n">
        <v>1000</v>
      </c>
      <c r="C560" s="0" t="n">
        <v>3800</v>
      </c>
      <c r="D560" s="0" t="n">
        <v>0.263157894736842</v>
      </c>
      <c r="E560" s="0" t="s">
        <v>1764</v>
      </c>
    </row>
    <row r="561" customFormat="false" ht="15" hidden="false" customHeight="false" outlineLevel="0" collapsed="false">
      <c r="A561" s="0" t="s">
        <v>128</v>
      </c>
      <c r="B561" s="0" t="n">
        <v>500</v>
      </c>
      <c r="C561" s="0" t="n">
        <v>3800</v>
      </c>
      <c r="D561" s="0" t="n">
        <v>0.131578947368421</v>
      </c>
      <c r="E561" s="0" t="s">
        <v>1783</v>
      </c>
    </row>
    <row r="562" customFormat="false" ht="15" hidden="false" customHeight="false" outlineLevel="0" collapsed="false">
      <c r="A562" s="0" t="s">
        <v>128</v>
      </c>
      <c r="B562" s="0" t="n">
        <v>2000</v>
      </c>
      <c r="C562" s="0" t="n">
        <v>3800</v>
      </c>
      <c r="D562" s="0" t="n">
        <v>0.526315789473684</v>
      </c>
      <c r="E562" s="0" t="s">
        <v>1802</v>
      </c>
    </row>
    <row r="563" customFormat="false" ht="15" hidden="false" customHeight="false" outlineLevel="0" collapsed="false">
      <c r="A563" s="0" t="s">
        <v>128</v>
      </c>
      <c r="B563" s="0" t="n">
        <v>500</v>
      </c>
      <c r="C563" s="0" t="n">
        <v>4000</v>
      </c>
      <c r="D563" s="0" t="n">
        <v>0.125</v>
      </c>
      <c r="E563" s="0" t="s">
        <v>1822</v>
      </c>
    </row>
    <row r="564" customFormat="false" ht="15" hidden="false" customHeight="false" outlineLevel="0" collapsed="false">
      <c r="A564" s="0" t="s">
        <v>128</v>
      </c>
      <c r="B564" s="0" t="n">
        <v>1500</v>
      </c>
      <c r="C564" s="0" t="n">
        <v>4000</v>
      </c>
      <c r="D564" s="0" t="n">
        <v>0.375</v>
      </c>
      <c r="E564" s="0" t="s">
        <v>1840</v>
      </c>
    </row>
    <row r="565" customFormat="false" ht="15" hidden="false" customHeight="false" outlineLevel="0" collapsed="false">
      <c r="A565" s="0" t="s">
        <v>128</v>
      </c>
      <c r="B565" s="0" t="n">
        <v>1000</v>
      </c>
      <c r="C565" s="0" t="n">
        <v>3800</v>
      </c>
      <c r="D565" s="0" t="n">
        <v>0.263157894736842</v>
      </c>
      <c r="E565" s="0" t="s">
        <v>1859</v>
      </c>
    </row>
    <row r="566" customFormat="false" ht="15" hidden="false" customHeight="false" outlineLevel="0" collapsed="false">
      <c r="A566" s="0" t="s">
        <v>128</v>
      </c>
      <c r="B566" s="0" t="n">
        <v>1000</v>
      </c>
      <c r="C566" s="0" t="n">
        <v>3800</v>
      </c>
      <c r="D566" s="0" t="n">
        <v>0.263157894736842</v>
      </c>
      <c r="E566" s="0" t="s">
        <v>1877</v>
      </c>
    </row>
    <row r="567" customFormat="false" ht="15" hidden="false" customHeight="false" outlineLevel="0" collapsed="false">
      <c r="A567" s="0" t="s">
        <v>128</v>
      </c>
      <c r="B567" s="0" t="n">
        <v>1000</v>
      </c>
      <c r="C567" s="0" t="n">
        <v>3800</v>
      </c>
      <c r="D567" s="0" t="n">
        <v>0.263157894736842</v>
      </c>
      <c r="E567" s="0" t="s">
        <v>1892</v>
      </c>
    </row>
    <row r="568" customFormat="false" ht="15" hidden="false" customHeight="false" outlineLevel="0" collapsed="false">
      <c r="A568" s="0" t="s">
        <v>128</v>
      </c>
      <c r="B568" s="0" t="n">
        <v>1000</v>
      </c>
      <c r="C568" s="0" t="n">
        <v>3800</v>
      </c>
      <c r="D568" s="0" t="n">
        <v>0.263157894736842</v>
      </c>
      <c r="E568" s="0" t="s">
        <v>1907</v>
      </c>
    </row>
    <row r="569" customFormat="false" ht="15" hidden="false" customHeight="false" outlineLevel="0" collapsed="false">
      <c r="A569" s="0" t="s">
        <v>128</v>
      </c>
      <c r="B569" s="0" t="n">
        <v>2000</v>
      </c>
      <c r="C569" s="0" t="n">
        <v>4000</v>
      </c>
      <c r="D569" s="0" t="n">
        <v>0.5</v>
      </c>
      <c r="E569" s="0" t="s">
        <v>1927</v>
      </c>
    </row>
    <row r="570" customFormat="false" ht="15" hidden="false" customHeight="false" outlineLevel="0" collapsed="false">
      <c r="A570" s="0" t="s">
        <v>128</v>
      </c>
      <c r="B570" s="0" t="n">
        <v>2000</v>
      </c>
      <c r="C570" s="0" t="n">
        <v>4000</v>
      </c>
      <c r="D570" s="0" t="n">
        <v>0.5</v>
      </c>
      <c r="E570" s="0" t="s">
        <v>1942</v>
      </c>
    </row>
    <row r="571" customFormat="false" ht="15" hidden="false" customHeight="false" outlineLevel="0" collapsed="false">
      <c r="A571" s="0" t="s">
        <v>128</v>
      </c>
      <c r="B571" s="0" t="n">
        <v>1000</v>
      </c>
      <c r="C571" s="0" t="n">
        <v>4000</v>
      </c>
      <c r="D571" s="0" t="n">
        <v>0.25</v>
      </c>
      <c r="E571" s="0" t="s">
        <v>1958</v>
      </c>
    </row>
    <row r="572" customFormat="false" ht="15" hidden="false" customHeight="false" outlineLevel="0" collapsed="false">
      <c r="A572" s="0" t="s">
        <v>128</v>
      </c>
      <c r="B572" s="0" t="n">
        <v>500</v>
      </c>
      <c r="C572" s="0" t="n">
        <v>4000</v>
      </c>
      <c r="D572" s="0" t="n">
        <v>0.125</v>
      </c>
      <c r="E572" s="0" t="s">
        <v>1973</v>
      </c>
    </row>
    <row r="573" customFormat="false" ht="15" hidden="false" customHeight="false" outlineLevel="0" collapsed="false">
      <c r="A573" s="0" t="s">
        <v>128</v>
      </c>
      <c r="B573" s="0" t="n">
        <v>2000</v>
      </c>
      <c r="C573" s="0" t="n">
        <v>4000</v>
      </c>
      <c r="D573" s="0" t="n">
        <v>0.5</v>
      </c>
      <c r="E573" s="0" t="s">
        <v>1990</v>
      </c>
    </row>
    <row r="574" customFormat="false" ht="15" hidden="false" customHeight="false" outlineLevel="0" collapsed="false">
      <c r="A574" s="0" t="s">
        <v>128</v>
      </c>
      <c r="B574" s="0" t="n">
        <v>1000</v>
      </c>
      <c r="C574" s="0" t="n">
        <v>4000</v>
      </c>
      <c r="D574" s="0" t="n">
        <v>0.25</v>
      </c>
      <c r="E574" s="0" t="s">
        <v>2006</v>
      </c>
    </row>
    <row r="575" customFormat="false" ht="15" hidden="false" customHeight="false" outlineLevel="0" collapsed="false">
      <c r="A575" s="0" t="s">
        <v>128</v>
      </c>
      <c r="B575" s="0" t="n">
        <v>1000</v>
      </c>
      <c r="C575" s="0" t="n">
        <v>4000</v>
      </c>
      <c r="D575" s="0" t="n">
        <v>0.25</v>
      </c>
      <c r="E575" s="0" t="s">
        <v>2021</v>
      </c>
    </row>
    <row r="576" customFormat="false" ht="15" hidden="false" customHeight="false" outlineLevel="0" collapsed="false">
      <c r="A576" s="0" t="s">
        <v>128</v>
      </c>
      <c r="B576" s="0" t="n">
        <v>1000</v>
      </c>
      <c r="C576" s="0" t="n">
        <v>3800</v>
      </c>
      <c r="D576" s="0" t="n">
        <v>0.263157894736842</v>
      </c>
      <c r="E576" s="0" t="s">
        <v>2036</v>
      </c>
    </row>
    <row r="577" customFormat="false" ht="15" hidden="false" customHeight="false" outlineLevel="0" collapsed="false">
      <c r="A577" s="0" t="s">
        <v>128</v>
      </c>
      <c r="B577" s="0" t="n">
        <v>500</v>
      </c>
      <c r="C577" s="0" t="n">
        <v>4000</v>
      </c>
      <c r="D577" s="0" t="n">
        <v>0.125</v>
      </c>
      <c r="E577" s="0" t="s">
        <v>2053</v>
      </c>
    </row>
    <row r="578" customFormat="false" ht="15" hidden="false" customHeight="false" outlineLevel="0" collapsed="false">
      <c r="A578" s="0" t="s">
        <v>128</v>
      </c>
      <c r="B578" s="0" t="n">
        <v>1000</v>
      </c>
      <c r="C578" s="0" t="n">
        <v>3800</v>
      </c>
      <c r="D578" s="0" t="n">
        <v>0.263157894736842</v>
      </c>
      <c r="E578" s="0" t="s">
        <v>2069</v>
      </c>
    </row>
    <row r="579" customFormat="false" ht="15" hidden="false" customHeight="false" outlineLevel="0" collapsed="false">
      <c r="A579" s="0" t="s">
        <v>128</v>
      </c>
      <c r="B579" s="0" t="n">
        <v>1000</v>
      </c>
      <c r="C579" s="0" t="n">
        <v>4000</v>
      </c>
      <c r="D579" s="0" t="n">
        <v>0.25</v>
      </c>
      <c r="E579" s="0" t="s">
        <v>2100</v>
      </c>
    </row>
    <row r="580" customFormat="false" ht="15" hidden="false" customHeight="false" outlineLevel="0" collapsed="false">
      <c r="A580" s="0" t="s">
        <v>128</v>
      </c>
      <c r="B580" s="0" t="n">
        <v>1000</v>
      </c>
      <c r="C580" s="0" t="n">
        <v>4000</v>
      </c>
      <c r="D580" s="0" t="n">
        <v>0.25</v>
      </c>
      <c r="E580" s="0" t="s">
        <v>2118</v>
      </c>
    </row>
    <row r="581" customFormat="false" ht="15" hidden="false" customHeight="false" outlineLevel="0" collapsed="false">
      <c r="A581" s="0" t="s">
        <v>128</v>
      </c>
      <c r="B581" s="0" t="n">
        <v>3000</v>
      </c>
      <c r="C581" s="0" t="n">
        <v>3800</v>
      </c>
      <c r="D581" s="0" t="n">
        <v>0.789473684210526</v>
      </c>
      <c r="E581" s="0" t="s">
        <v>2134</v>
      </c>
    </row>
    <row r="582" customFormat="false" ht="15" hidden="false" customHeight="false" outlineLevel="0" collapsed="false">
      <c r="A582" s="0" t="s">
        <v>128</v>
      </c>
      <c r="B582" s="0" t="n">
        <v>2000</v>
      </c>
      <c r="C582" s="0" t="n">
        <v>3800</v>
      </c>
      <c r="D582" s="0" t="n">
        <v>0.526315789473684</v>
      </c>
      <c r="E582" s="0" t="s">
        <v>2149</v>
      </c>
    </row>
    <row r="583" customFormat="false" ht="15" hidden="false" customHeight="false" outlineLevel="0" collapsed="false">
      <c r="A583" s="0" t="s">
        <v>128</v>
      </c>
      <c r="B583" s="0" t="n">
        <v>3000</v>
      </c>
      <c r="C583" s="0" t="n">
        <v>3800</v>
      </c>
      <c r="D583" s="0" t="n">
        <v>0.789473684210526</v>
      </c>
      <c r="E583" s="0" t="s">
        <v>2167</v>
      </c>
    </row>
    <row r="584" customFormat="false" ht="15" hidden="false" customHeight="false" outlineLevel="0" collapsed="false">
      <c r="A584" s="0" t="s">
        <v>128</v>
      </c>
      <c r="B584" s="0" t="n">
        <v>2000</v>
      </c>
      <c r="C584" s="0" t="n">
        <v>3800</v>
      </c>
      <c r="D584" s="0" t="n">
        <v>0.526315789473684</v>
      </c>
      <c r="E584" s="0" t="s">
        <v>2181</v>
      </c>
    </row>
    <row r="585" customFormat="false" ht="15" hidden="false" customHeight="false" outlineLevel="0" collapsed="false">
      <c r="A585" s="0" t="s">
        <v>128</v>
      </c>
      <c r="B585" s="0" t="n">
        <v>2000</v>
      </c>
      <c r="C585" s="0" t="n">
        <v>3800</v>
      </c>
      <c r="D585" s="0" t="n">
        <v>0.526315789473684</v>
      </c>
      <c r="E585" s="0" t="s">
        <v>2195</v>
      </c>
    </row>
    <row r="586" customFormat="false" ht="15" hidden="false" customHeight="false" outlineLevel="0" collapsed="false">
      <c r="A586" s="0" t="s">
        <v>128</v>
      </c>
      <c r="B586" s="0" t="n">
        <v>2000</v>
      </c>
      <c r="C586" s="0" t="n">
        <v>3800</v>
      </c>
      <c r="D586" s="0" t="n">
        <v>0.526315789473684</v>
      </c>
      <c r="E586" s="0" t="s">
        <v>2211</v>
      </c>
    </row>
    <row r="587" customFormat="false" ht="15" hidden="false" customHeight="false" outlineLevel="0" collapsed="false">
      <c r="A587" s="0" t="s">
        <v>128</v>
      </c>
      <c r="B587" s="0" t="n">
        <v>500</v>
      </c>
      <c r="C587" s="0" t="n">
        <v>3800</v>
      </c>
      <c r="D587" s="0" t="n">
        <v>0.131578947368421</v>
      </c>
      <c r="E587" s="0" t="s">
        <v>2228</v>
      </c>
    </row>
    <row r="588" customFormat="false" ht="15" hidden="false" customHeight="false" outlineLevel="0" collapsed="false">
      <c r="A588" s="0" t="s">
        <v>128</v>
      </c>
      <c r="B588" s="0" t="n">
        <v>200</v>
      </c>
      <c r="C588" s="0" t="n">
        <v>3800</v>
      </c>
      <c r="D588" s="0" t="n">
        <v>0.0526315789473684</v>
      </c>
      <c r="E588" s="0" t="s">
        <v>2242</v>
      </c>
    </row>
    <row r="589" customFormat="false" ht="15" hidden="false" customHeight="false" outlineLevel="0" collapsed="false">
      <c r="A589" s="0" t="s">
        <v>128</v>
      </c>
      <c r="B589" s="0" t="n">
        <v>2000</v>
      </c>
      <c r="C589" s="0" t="n">
        <v>3800</v>
      </c>
      <c r="D589" s="0" t="n">
        <v>0.526315789473684</v>
      </c>
      <c r="E589" s="0" t="s">
        <v>2257</v>
      </c>
    </row>
    <row r="590" customFormat="false" ht="15" hidden="false" customHeight="false" outlineLevel="0" collapsed="false">
      <c r="A590" s="0" t="s">
        <v>128</v>
      </c>
      <c r="B590" s="0" t="n">
        <v>500</v>
      </c>
      <c r="C590" s="0" t="n">
        <v>3800</v>
      </c>
      <c r="D590" s="0" t="n">
        <v>0.131578947368421</v>
      </c>
      <c r="E590" s="0" t="s">
        <v>2271</v>
      </c>
    </row>
    <row r="591" customFormat="false" ht="15" hidden="false" customHeight="false" outlineLevel="0" collapsed="false">
      <c r="A591" s="0" t="s">
        <v>128</v>
      </c>
      <c r="B591" s="0" t="n">
        <v>500</v>
      </c>
      <c r="C591" s="0" t="n">
        <v>3800</v>
      </c>
      <c r="D591" s="0" t="n">
        <v>0.131578947368421</v>
      </c>
      <c r="E591" s="0" t="s">
        <v>2285</v>
      </c>
    </row>
    <row r="592" customFormat="false" ht="15" hidden="false" customHeight="false" outlineLevel="0" collapsed="false">
      <c r="A592" s="0" t="s">
        <v>128</v>
      </c>
      <c r="B592" s="0" t="n">
        <v>200</v>
      </c>
      <c r="C592" s="0" t="n">
        <v>3800</v>
      </c>
      <c r="D592" s="0" t="n">
        <v>0.0526315789473684</v>
      </c>
      <c r="E592" s="0" t="s">
        <v>2299</v>
      </c>
    </row>
    <row r="593" customFormat="false" ht="15" hidden="false" customHeight="false" outlineLevel="0" collapsed="false">
      <c r="A593" s="0" t="s">
        <v>128</v>
      </c>
      <c r="B593" s="0" t="n">
        <v>1000</v>
      </c>
      <c r="C593" s="0" t="n">
        <v>3800</v>
      </c>
      <c r="D593" s="0" t="n">
        <v>0.263157894736842</v>
      </c>
      <c r="E593" s="0" t="s">
        <v>2313</v>
      </c>
    </row>
    <row r="594" customFormat="false" ht="15" hidden="false" customHeight="false" outlineLevel="0" collapsed="false">
      <c r="A594" s="0" t="s">
        <v>128</v>
      </c>
      <c r="B594" s="0" t="n">
        <v>3000</v>
      </c>
      <c r="C594" s="0" t="n">
        <v>3800</v>
      </c>
      <c r="D594" s="0" t="n">
        <v>0.789473684210526</v>
      </c>
      <c r="E594" s="0" t="s">
        <v>2327</v>
      </c>
    </row>
    <row r="595" customFormat="false" ht="15" hidden="false" customHeight="false" outlineLevel="0" collapsed="false">
      <c r="A595" s="0" t="s">
        <v>128</v>
      </c>
      <c r="B595" s="0" t="n">
        <v>500</v>
      </c>
      <c r="C595" s="0" t="n">
        <v>3800</v>
      </c>
      <c r="D595" s="0" t="n">
        <v>0.131578947368421</v>
      </c>
      <c r="E595" s="0" t="s">
        <v>2345</v>
      </c>
    </row>
    <row r="596" customFormat="false" ht="15" hidden="false" customHeight="false" outlineLevel="0" collapsed="false">
      <c r="A596" s="0" t="s">
        <v>128</v>
      </c>
      <c r="B596" s="0" t="n">
        <v>200</v>
      </c>
      <c r="C596" s="0" t="n">
        <v>3800</v>
      </c>
      <c r="D596" s="0" t="n">
        <v>0.0526315789473684</v>
      </c>
      <c r="E596" s="0" t="s">
        <v>2363</v>
      </c>
    </row>
    <row r="597" customFormat="false" ht="15" hidden="false" customHeight="false" outlineLevel="0" collapsed="false">
      <c r="A597" s="0" t="s">
        <v>128</v>
      </c>
      <c r="B597" s="0" t="n">
        <v>500</v>
      </c>
      <c r="C597" s="0" t="n">
        <v>3800</v>
      </c>
      <c r="D597" s="0" t="n">
        <v>0.131578947368421</v>
      </c>
      <c r="E597" s="0" t="s">
        <v>2378</v>
      </c>
    </row>
    <row r="598" customFormat="false" ht="15" hidden="false" customHeight="false" outlineLevel="0" collapsed="false">
      <c r="A598" s="0" t="s">
        <v>128</v>
      </c>
      <c r="B598" s="0" t="n">
        <v>1000</v>
      </c>
      <c r="C598" s="0" t="n">
        <v>3800</v>
      </c>
      <c r="D598" s="0" t="n">
        <v>0.263157894736842</v>
      </c>
      <c r="E598" s="0" t="s">
        <v>2394</v>
      </c>
    </row>
    <row r="599" customFormat="false" ht="15" hidden="false" customHeight="false" outlineLevel="0" collapsed="false">
      <c r="A599" s="0" t="s">
        <v>128</v>
      </c>
      <c r="B599" s="0" t="n">
        <v>1500</v>
      </c>
      <c r="C599" s="0" t="n">
        <v>3800</v>
      </c>
      <c r="D599" s="0" t="n">
        <v>0.394736842105263</v>
      </c>
      <c r="E599" s="0" t="s">
        <v>2410</v>
      </c>
    </row>
    <row r="600" customFormat="false" ht="15" hidden="false" customHeight="false" outlineLevel="0" collapsed="false">
      <c r="A600" s="0" t="s">
        <v>128</v>
      </c>
      <c r="B600" s="0" t="n">
        <v>200</v>
      </c>
      <c r="C600" s="0" t="n">
        <v>3800</v>
      </c>
      <c r="D600" s="0" t="n">
        <v>0.0526315789473684</v>
      </c>
      <c r="E600" s="0" t="s">
        <v>2428</v>
      </c>
    </row>
    <row r="601" customFormat="false" ht="15" hidden="false" customHeight="false" outlineLevel="0" collapsed="false">
      <c r="A601" s="0" t="s">
        <v>128</v>
      </c>
      <c r="B601" s="0" t="n">
        <v>1500</v>
      </c>
      <c r="C601" s="0" t="n">
        <v>3800</v>
      </c>
      <c r="D601" s="0" t="n">
        <v>0.394736842105263</v>
      </c>
      <c r="E601" s="0" t="s">
        <v>2439</v>
      </c>
    </row>
    <row r="602" customFormat="false" ht="15" hidden="false" customHeight="false" outlineLevel="0" collapsed="false">
      <c r="A602" s="0" t="s">
        <v>128</v>
      </c>
      <c r="B602" s="0" t="n">
        <v>1000</v>
      </c>
      <c r="C602" s="0" t="n">
        <v>3800</v>
      </c>
      <c r="D602" s="0" t="n">
        <v>0.263157894736842</v>
      </c>
      <c r="E602" s="0" t="s">
        <v>2459</v>
      </c>
    </row>
    <row r="603" customFormat="false" ht="15" hidden="false" customHeight="false" outlineLevel="0" collapsed="false">
      <c r="A603" s="0" t="s">
        <v>128</v>
      </c>
      <c r="B603" s="0" t="n">
        <v>750</v>
      </c>
      <c r="C603" s="0" t="n">
        <v>3800</v>
      </c>
      <c r="D603" s="0" t="n">
        <v>0.197368421052632</v>
      </c>
      <c r="E603" s="0" t="s">
        <v>2481</v>
      </c>
    </row>
    <row r="604" customFormat="false" ht="15" hidden="false" customHeight="false" outlineLevel="0" collapsed="false">
      <c r="A604" s="0" t="s">
        <v>128</v>
      </c>
      <c r="B604" s="0" t="n">
        <v>1000</v>
      </c>
      <c r="C604" s="0" t="n">
        <v>3800</v>
      </c>
      <c r="D604" s="0" t="n">
        <v>0.263157894736842</v>
      </c>
      <c r="E604" s="0" t="s">
        <v>2504</v>
      </c>
    </row>
    <row r="605" customFormat="false" ht="15" hidden="false" customHeight="false" outlineLevel="0" collapsed="false">
      <c r="A605" s="0" t="s">
        <v>128</v>
      </c>
      <c r="B605" s="0" t="n">
        <v>2000</v>
      </c>
      <c r="C605" s="0" t="n">
        <v>3800</v>
      </c>
      <c r="D605" s="0" t="n">
        <v>0.526315789473684</v>
      </c>
      <c r="E605" s="0" t="s">
        <v>2517</v>
      </c>
    </row>
    <row r="606" customFormat="false" ht="15" hidden="false" customHeight="false" outlineLevel="0" collapsed="false">
      <c r="A606" s="0" t="s">
        <v>128</v>
      </c>
      <c r="B606" s="0" t="n">
        <v>1000</v>
      </c>
      <c r="C606" s="0" t="n">
        <v>3800</v>
      </c>
      <c r="D606" s="0" t="n">
        <v>0.263157894736842</v>
      </c>
      <c r="E606" s="0" t="s">
        <v>2543</v>
      </c>
    </row>
    <row r="607" customFormat="false" ht="15" hidden="false" customHeight="false" outlineLevel="0" collapsed="false">
      <c r="A607" s="0" t="s">
        <v>128</v>
      </c>
      <c r="B607" s="0" t="n">
        <v>2000</v>
      </c>
      <c r="C607" s="0" t="n">
        <v>3800</v>
      </c>
      <c r="D607" s="0" t="n">
        <v>0.526315789473684</v>
      </c>
      <c r="E607" s="0" t="s">
        <v>2602</v>
      </c>
    </row>
    <row r="608" customFormat="false" ht="15" hidden="false" customHeight="false" outlineLevel="0" collapsed="false">
      <c r="A608" s="0" t="s">
        <v>128</v>
      </c>
      <c r="B608" s="0" t="n">
        <v>1500</v>
      </c>
      <c r="C608" s="0" t="n">
        <v>3800</v>
      </c>
      <c r="D608" s="0" t="n">
        <v>0.394736842105263</v>
      </c>
      <c r="E608" s="0" t="s">
        <v>2635</v>
      </c>
    </row>
    <row r="609" customFormat="false" ht="15" hidden="false" customHeight="false" outlineLevel="0" collapsed="false">
      <c r="A609" s="0" t="s">
        <v>128</v>
      </c>
      <c r="B609" s="0" t="n">
        <v>500</v>
      </c>
      <c r="C609" s="0" t="n">
        <v>3800</v>
      </c>
      <c r="D609" s="0" t="n">
        <v>0.131578947368421</v>
      </c>
      <c r="E609" s="0" t="s">
        <v>2651</v>
      </c>
    </row>
    <row r="610" customFormat="false" ht="15" hidden="false" customHeight="false" outlineLevel="0" collapsed="false">
      <c r="A610" s="0" t="s">
        <v>128</v>
      </c>
      <c r="B610" s="0" t="n">
        <v>1000</v>
      </c>
      <c r="C610" s="0" t="n">
        <v>3800</v>
      </c>
      <c r="D610" s="0" t="n">
        <v>0.263157894736842</v>
      </c>
      <c r="E610" s="0" t="s">
        <v>2669</v>
      </c>
    </row>
    <row r="611" customFormat="false" ht="15" hidden="false" customHeight="false" outlineLevel="0" collapsed="false">
      <c r="A611" s="0" t="s">
        <v>128</v>
      </c>
      <c r="B611" s="0" t="n">
        <v>1000</v>
      </c>
      <c r="C611" s="0" t="n">
        <v>4000</v>
      </c>
      <c r="D611" s="0" t="n">
        <v>0.25</v>
      </c>
      <c r="E611" s="0" t="s">
        <v>2688</v>
      </c>
    </row>
    <row r="612" customFormat="false" ht="15" hidden="false" customHeight="false" outlineLevel="0" collapsed="false">
      <c r="A612" s="0" t="s">
        <v>128</v>
      </c>
      <c r="B612" s="0" t="n">
        <v>2000</v>
      </c>
      <c r="C612" s="0" t="n">
        <v>4500</v>
      </c>
      <c r="D612" s="0" t="n">
        <v>0.444444444444444</v>
      </c>
      <c r="E612" s="0" t="s">
        <v>2707</v>
      </c>
    </row>
    <row r="613" customFormat="false" ht="15" hidden="false" customHeight="false" outlineLevel="0" collapsed="false">
      <c r="A613" s="0" t="s">
        <v>128</v>
      </c>
      <c r="B613" s="0" t="n">
        <v>2000</v>
      </c>
      <c r="C613" s="0" t="n">
        <v>3800</v>
      </c>
      <c r="D613" s="0" t="n">
        <v>0.526315789473684</v>
      </c>
      <c r="E613" s="0" t="s">
        <v>2753</v>
      </c>
    </row>
    <row r="614" customFormat="false" ht="15" hidden="false" customHeight="false" outlineLevel="0" collapsed="false">
      <c r="A614" s="0" t="s">
        <v>128</v>
      </c>
      <c r="B614" s="0" t="n">
        <v>2500</v>
      </c>
      <c r="C614" s="0" t="n">
        <v>4000</v>
      </c>
      <c r="D614" s="0" t="n">
        <v>0.625</v>
      </c>
      <c r="E614" s="0" t="s">
        <v>2782</v>
      </c>
    </row>
    <row r="615" customFormat="false" ht="15" hidden="false" customHeight="false" outlineLevel="0" collapsed="false">
      <c r="A615" s="0" t="s">
        <v>128</v>
      </c>
      <c r="B615" s="0" t="n">
        <v>1000</v>
      </c>
      <c r="C615" s="0" t="n">
        <v>4000</v>
      </c>
      <c r="D615" s="0" t="n">
        <v>0.25</v>
      </c>
      <c r="E615" s="0" t="s">
        <v>2884</v>
      </c>
    </row>
    <row r="616" customFormat="false" ht="15" hidden="false" customHeight="false" outlineLevel="0" collapsed="false">
      <c r="A616" s="0" t="s">
        <v>128</v>
      </c>
      <c r="B616" s="0" t="n">
        <v>1000</v>
      </c>
      <c r="C616" s="0" t="n">
        <v>4000</v>
      </c>
      <c r="D616" s="0" t="n">
        <v>0.25</v>
      </c>
      <c r="E616" s="0" t="s">
        <v>2898</v>
      </c>
    </row>
    <row r="617" customFormat="false" ht="15" hidden="false" customHeight="false" outlineLevel="0" collapsed="false">
      <c r="A617" s="0" t="s">
        <v>128</v>
      </c>
      <c r="B617" s="0" t="n">
        <v>2000</v>
      </c>
      <c r="C617" s="0" t="n">
        <v>4000</v>
      </c>
      <c r="D617" s="0" t="n">
        <v>0.5</v>
      </c>
      <c r="E617" s="0" t="s">
        <v>2912</v>
      </c>
    </row>
    <row r="618" customFormat="false" ht="15" hidden="false" customHeight="false" outlineLevel="0" collapsed="false">
      <c r="A618" s="0" t="s">
        <v>128</v>
      </c>
      <c r="B618" s="0" t="n">
        <v>1000</v>
      </c>
      <c r="C618" s="0" t="n">
        <v>4000</v>
      </c>
      <c r="D618" s="0" t="n">
        <v>0.25</v>
      </c>
      <c r="E618" s="0" t="s">
        <v>2928</v>
      </c>
    </row>
    <row r="619" customFormat="false" ht="15" hidden="false" customHeight="false" outlineLevel="0" collapsed="false">
      <c r="A619" s="0" t="s">
        <v>128</v>
      </c>
      <c r="B619" s="0" t="n">
        <v>1000</v>
      </c>
      <c r="C619" s="0" t="n">
        <v>4000</v>
      </c>
      <c r="D619" s="0" t="n">
        <v>0.25</v>
      </c>
      <c r="E619" s="0" t="s">
        <v>2950</v>
      </c>
    </row>
    <row r="620" customFormat="false" ht="15" hidden="false" customHeight="false" outlineLevel="0" collapsed="false">
      <c r="A620" s="0" t="s">
        <v>128</v>
      </c>
      <c r="B620" s="0" t="n">
        <v>1000</v>
      </c>
      <c r="C620" s="0" t="n">
        <v>4000</v>
      </c>
      <c r="D620" s="0" t="n">
        <v>0.25</v>
      </c>
      <c r="E620" s="0" t="s">
        <v>2964</v>
      </c>
    </row>
    <row r="621" customFormat="false" ht="15" hidden="false" customHeight="false" outlineLevel="0" collapsed="false">
      <c r="A621" s="0" t="s">
        <v>128</v>
      </c>
      <c r="B621" s="0" t="n">
        <v>1000</v>
      </c>
      <c r="C621" s="0" t="n">
        <v>4000</v>
      </c>
      <c r="D621" s="0" t="n">
        <v>0.25</v>
      </c>
      <c r="E621" s="0" t="s">
        <v>2979</v>
      </c>
    </row>
    <row r="622" customFormat="false" ht="15" hidden="false" customHeight="false" outlineLevel="0" collapsed="false">
      <c r="A622" s="0" t="s">
        <v>128</v>
      </c>
      <c r="B622" s="0" t="n">
        <v>1000</v>
      </c>
      <c r="C622" s="0" t="n">
        <v>4000</v>
      </c>
      <c r="D622" s="0" t="n">
        <v>0.25</v>
      </c>
      <c r="E622" s="0" t="s">
        <v>2991</v>
      </c>
    </row>
    <row r="623" customFormat="false" ht="15" hidden="false" customHeight="false" outlineLevel="0" collapsed="false">
      <c r="A623" s="0" t="s">
        <v>128</v>
      </c>
      <c r="B623" s="0" t="n">
        <v>1000</v>
      </c>
      <c r="C623" s="0" t="n">
        <v>4000</v>
      </c>
      <c r="D623" s="0" t="n">
        <v>0.25</v>
      </c>
      <c r="E623" s="0" t="s">
        <v>3002</v>
      </c>
    </row>
    <row r="624" customFormat="false" ht="15" hidden="false" customHeight="false" outlineLevel="0" collapsed="false">
      <c r="A624" s="0" t="s">
        <v>128</v>
      </c>
      <c r="B624" s="0" t="n">
        <v>1000</v>
      </c>
      <c r="C624" s="0" t="n">
        <v>4000</v>
      </c>
      <c r="D624" s="0" t="n">
        <v>0.25</v>
      </c>
      <c r="E624" s="0" t="s">
        <v>3014</v>
      </c>
    </row>
    <row r="625" customFormat="false" ht="15" hidden="false" customHeight="false" outlineLevel="0" collapsed="false">
      <c r="A625" s="0" t="s">
        <v>128</v>
      </c>
      <c r="B625" s="0" t="n">
        <v>1000</v>
      </c>
      <c r="C625" s="0" t="n">
        <v>4000</v>
      </c>
      <c r="D625" s="0" t="n">
        <v>0.25</v>
      </c>
      <c r="E625" s="0" t="s">
        <v>3026</v>
      </c>
    </row>
    <row r="626" customFormat="false" ht="15" hidden="false" customHeight="false" outlineLevel="0" collapsed="false">
      <c r="A626" s="0" t="s">
        <v>128</v>
      </c>
      <c r="B626" s="0" t="n">
        <v>1000</v>
      </c>
      <c r="C626" s="0" t="n">
        <v>4000</v>
      </c>
      <c r="D626" s="0" t="n">
        <v>0.25</v>
      </c>
      <c r="E626" s="0" t="s">
        <v>3037</v>
      </c>
    </row>
    <row r="627" customFormat="false" ht="15" hidden="false" customHeight="false" outlineLevel="0" collapsed="false">
      <c r="A627" s="0" t="s">
        <v>128</v>
      </c>
      <c r="B627" s="0" t="n">
        <v>1000</v>
      </c>
      <c r="C627" s="0" t="n">
        <v>4000</v>
      </c>
      <c r="D627" s="0" t="n">
        <v>0.25</v>
      </c>
      <c r="E627" s="0" t="s">
        <v>3048</v>
      </c>
    </row>
    <row r="628" customFormat="false" ht="15" hidden="false" customHeight="false" outlineLevel="0" collapsed="false">
      <c r="A628" s="0" t="s">
        <v>128</v>
      </c>
      <c r="B628" s="0" t="n">
        <v>1000</v>
      </c>
      <c r="C628" s="0" t="n">
        <v>4000</v>
      </c>
      <c r="D628" s="0" t="n">
        <v>0.25</v>
      </c>
      <c r="E628" s="0" t="s">
        <v>3060</v>
      </c>
    </row>
    <row r="629" customFormat="false" ht="15" hidden="false" customHeight="false" outlineLevel="0" collapsed="false">
      <c r="A629" s="0" t="s">
        <v>128</v>
      </c>
      <c r="B629" s="0" t="n">
        <v>1000</v>
      </c>
      <c r="C629" s="0" t="n">
        <v>4000</v>
      </c>
      <c r="D629" s="0" t="n">
        <v>0.25</v>
      </c>
      <c r="E629" s="0" t="s">
        <v>3071</v>
      </c>
    </row>
    <row r="630" customFormat="false" ht="15" hidden="false" customHeight="false" outlineLevel="0" collapsed="false">
      <c r="A630" s="0" t="s">
        <v>128</v>
      </c>
      <c r="B630" s="0" t="n">
        <v>1000</v>
      </c>
      <c r="C630" s="0" t="n">
        <v>4000</v>
      </c>
      <c r="D630" s="0" t="n">
        <v>0.25</v>
      </c>
      <c r="E630" s="0" t="s">
        <v>3083</v>
      </c>
    </row>
    <row r="631" customFormat="false" ht="15" hidden="false" customHeight="false" outlineLevel="0" collapsed="false">
      <c r="A631" s="0" t="s">
        <v>128</v>
      </c>
      <c r="B631" s="0" t="n">
        <v>1000</v>
      </c>
      <c r="C631" s="0" t="n">
        <v>4000</v>
      </c>
      <c r="D631" s="0" t="n">
        <v>0.25</v>
      </c>
      <c r="E631" s="0" t="s">
        <v>3094</v>
      </c>
    </row>
    <row r="632" customFormat="false" ht="15" hidden="false" customHeight="false" outlineLevel="0" collapsed="false">
      <c r="A632" s="0" t="s">
        <v>128</v>
      </c>
      <c r="B632" s="0" t="n">
        <v>1000</v>
      </c>
      <c r="C632" s="0" t="n">
        <v>4000</v>
      </c>
      <c r="D632" s="0" t="n">
        <v>0.25</v>
      </c>
      <c r="E632" s="0" t="s">
        <v>3105</v>
      </c>
    </row>
    <row r="633" customFormat="false" ht="15" hidden="false" customHeight="false" outlineLevel="0" collapsed="false">
      <c r="A633" s="0" t="s">
        <v>128</v>
      </c>
      <c r="B633" s="0" t="n">
        <v>1000</v>
      </c>
      <c r="C633" s="0" t="n">
        <v>4000</v>
      </c>
      <c r="D633" s="0" t="n">
        <v>0.25</v>
      </c>
      <c r="E633" s="0" t="s">
        <v>3117</v>
      </c>
    </row>
    <row r="634" customFormat="false" ht="15" hidden="false" customHeight="false" outlineLevel="0" collapsed="false">
      <c r="A634" s="0" t="s">
        <v>128</v>
      </c>
      <c r="B634" s="0" t="n">
        <v>1000</v>
      </c>
      <c r="C634" s="0" t="n">
        <v>4000</v>
      </c>
      <c r="D634" s="0" t="n">
        <v>0.25</v>
      </c>
      <c r="E634" s="0" t="s">
        <v>3129</v>
      </c>
    </row>
    <row r="635" customFormat="false" ht="15" hidden="false" customHeight="false" outlineLevel="0" collapsed="false">
      <c r="A635" s="0" t="s">
        <v>128</v>
      </c>
      <c r="B635" s="0" t="n">
        <v>1000</v>
      </c>
      <c r="C635" s="0" t="n">
        <v>4000</v>
      </c>
      <c r="D635" s="0" t="n">
        <v>0.25</v>
      </c>
      <c r="E635" s="0" t="s">
        <v>3140</v>
      </c>
    </row>
    <row r="636" customFormat="false" ht="15" hidden="false" customHeight="false" outlineLevel="0" collapsed="false">
      <c r="A636" s="0" t="s">
        <v>128</v>
      </c>
      <c r="B636" s="0" t="n">
        <v>1000</v>
      </c>
      <c r="C636" s="0" t="n">
        <v>4000</v>
      </c>
      <c r="D636" s="0" t="n">
        <v>0.25</v>
      </c>
      <c r="E636" s="0" t="s">
        <v>3151</v>
      </c>
    </row>
    <row r="637" customFormat="false" ht="15" hidden="false" customHeight="false" outlineLevel="0" collapsed="false">
      <c r="A637" s="0" t="s">
        <v>128</v>
      </c>
      <c r="B637" s="0" t="n">
        <v>2000</v>
      </c>
      <c r="C637" s="0" t="n">
        <v>4000</v>
      </c>
      <c r="D637" s="0" t="n">
        <v>0.5</v>
      </c>
      <c r="E637" s="0" t="s">
        <v>3162</v>
      </c>
    </row>
    <row r="638" customFormat="false" ht="15" hidden="false" customHeight="false" outlineLevel="0" collapsed="false">
      <c r="A638" s="0" t="s">
        <v>128</v>
      </c>
      <c r="B638" s="0" t="n">
        <v>1000</v>
      </c>
      <c r="C638" s="0" t="n">
        <v>4000</v>
      </c>
      <c r="D638" s="0" t="n">
        <v>0.25</v>
      </c>
      <c r="E638" s="0" t="s">
        <v>3173</v>
      </c>
    </row>
    <row r="639" customFormat="false" ht="15" hidden="false" customHeight="false" outlineLevel="0" collapsed="false">
      <c r="A639" s="0" t="s">
        <v>128</v>
      </c>
      <c r="B639" s="0" t="n">
        <v>1000</v>
      </c>
      <c r="C639" s="0" t="n">
        <v>4000</v>
      </c>
      <c r="D639" s="0" t="n">
        <v>0.25</v>
      </c>
      <c r="E639" s="0" t="s">
        <v>3185</v>
      </c>
    </row>
    <row r="640" customFormat="false" ht="15" hidden="false" customHeight="false" outlineLevel="0" collapsed="false">
      <c r="A640" s="0" t="s">
        <v>128</v>
      </c>
      <c r="B640" s="0" t="n">
        <v>1000</v>
      </c>
      <c r="C640" s="0" t="n">
        <v>4000</v>
      </c>
      <c r="D640" s="0" t="n">
        <v>0.25</v>
      </c>
      <c r="E640" s="0" t="s">
        <v>3198</v>
      </c>
    </row>
    <row r="641" customFormat="false" ht="15" hidden="false" customHeight="false" outlineLevel="0" collapsed="false">
      <c r="A641" s="0" t="s">
        <v>128</v>
      </c>
      <c r="B641" s="0" t="n">
        <v>2000</v>
      </c>
      <c r="C641" s="0" t="n">
        <v>4000</v>
      </c>
      <c r="D641" s="0" t="n">
        <v>0.5</v>
      </c>
      <c r="E641" s="0" t="s">
        <v>3209</v>
      </c>
    </row>
    <row r="642" customFormat="false" ht="15" hidden="false" customHeight="false" outlineLevel="0" collapsed="false">
      <c r="A642" s="0" t="s">
        <v>128</v>
      </c>
      <c r="B642" s="0" t="n">
        <v>2000</v>
      </c>
      <c r="C642" s="0" t="n">
        <v>4000</v>
      </c>
      <c r="D642" s="0" t="n">
        <v>0.5</v>
      </c>
      <c r="E642" s="0" t="s">
        <v>3221</v>
      </c>
    </row>
    <row r="643" customFormat="false" ht="15" hidden="false" customHeight="false" outlineLevel="0" collapsed="false">
      <c r="A643" s="0" t="s">
        <v>128</v>
      </c>
      <c r="B643" s="0" t="n">
        <v>3000</v>
      </c>
      <c r="C643" s="0" t="n">
        <v>4000</v>
      </c>
      <c r="D643" s="0" t="n">
        <v>0.75</v>
      </c>
      <c r="E643" s="0" t="s">
        <v>3232</v>
      </c>
    </row>
    <row r="644" customFormat="false" ht="15" hidden="false" customHeight="false" outlineLevel="0" collapsed="false">
      <c r="A644" s="0" t="s">
        <v>128</v>
      </c>
      <c r="B644" s="0" t="n">
        <v>3000</v>
      </c>
      <c r="C644" s="0" t="n">
        <v>4000</v>
      </c>
      <c r="D644" s="0" t="n">
        <v>0.75</v>
      </c>
      <c r="E644" s="0" t="s">
        <v>3243</v>
      </c>
    </row>
    <row r="645" customFormat="false" ht="15" hidden="false" customHeight="false" outlineLevel="0" collapsed="false">
      <c r="A645" s="0" t="s">
        <v>128</v>
      </c>
      <c r="B645" s="0" t="n">
        <v>1000</v>
      </c>
      <c r="C645" s="0" t="n">
        <v>4000</v>
      </c>
      <c r="D645" s="0" t="n">
        <v>0.25</v>
      </c>
      <c r="E645" s="0" t="s">
        <v>3253</v>
      </c>
    </row>
    <row r="646" customFormat="false" ht="15" hidden="false" customHeight="false" outlineLevel="0" collapsed="false">
      <c r="A646" s="0" t="s">
        <v>128</v>
      </c>
      <c r="B646" s="0" t="n">
        <v>1000</v>
      </c>
      <c r="C646" s="0" t="n">
        <v>4000</v>
      </c>
      <c r="D646" s="0" t="n">
        <v>0.25</v>
      </c>
      <c r="E646" s="0" t="s">
        <v>3266</v>
      </c>
    </row>
    <row r="647" customFormat="false" ht="15" hidden="false" customHeight="false" outlineLevel="0" collapsed="false">
      <c r="A647" s="0" t="s">
        <v>128</v>
      </c>
      <c r="B647" s="0" t="n">
        <v>1000</v>
      </c>
      <c r="C647" s="0" t="n">
        <v>4000</v>
      </c>
      <c r="D647" s="0" t="n">
        <v>0.25</v>
      </c>
      <c r="E647" s="0" t="s">
        <v>3280</v>
      </c>
    </row>
    <row r="648" customFormat="false" ht="15" hidden="false" customHeight="false" outlineLevel="0" collapsed="false">
      <c r="A648" s="0" t="s">
        <v>128</v>
      </c>
      <c r="B648" s="0" t="n">
        <v>1000</v>
      </c>
      <c r="C648" s="0" t="n">
        <v>4000</v>
      </c>
      <c r="D648" s="0" t="n">
        <v>0.25</v>
      </c>
      <c r="E648" s="0" t="s">
        <v>3300</v>
      </c>
    </row>
    <row r="649" customFormat="false" ht="15" hidden="false" customHeight="false" outlineLevel="0" collapsed="false">
      <c r="A649" s="0" t="s">
        <v>128</v>
      </c>
      <c r="B649" s="0" t="n">
        <v>1000</v>
      </c>
      <c r="C649" s="0" t="n">
        <v>4000</v>
      </c>
      <c r="D649" s="0" t="n">
        <v>0.25</v>
      </c>
      <c r="E649" s="0" t="s">
        <v>3321</v>
      </c>
    </row>
    <row r="650" customFormat="false" ht="15" hidden="false" customHeight="false" outlineLevel="0" collapsed="false">
      <c r="A650" s="0" t="s">
        <v>128</v>
      </c>
      <c r="B650" s="0" t="n">
        <v>1000</v>
      </c>
      <c r="C650" s="0" t="n">
        <v>4000</v>
      </c>
      <c r="D650" s="0" t="n">
        <v>0.25</v>
      </c>
      <c r="E650" s="0" t="s">
        <v>3336</v>
      </c>
    </row>
    <row r="651" customFormat="false" ht="15" hidden="false" customHeight="false" outlineLevel="0" collapsed="false">
      <c r="A651" s="0" t="s">
        <v>130</v>
      </c>
      <c r="B651" s="0" t="n">
        <v>5000</v>
      </c>
      <c r="C651" s="0" t="n">
        <v>4000</v>
      </c>
      <c r="D651" s="0" t="n">
        <v>1.25</v>
      </c>
      <c r="E651" s="0" t="s">
        <v>131</v>
      </c>
    </row>
    <row r="652" customFormat="false" ht="15" hidden="false" customHeight="false" outlineLevel="0" collapsed="false">
      <c r="A652" s="0" t="s">
        <v>130</v>
      </c>
      <c r="B652" s="0" t="n">
        <v>700</v>
      </c>
      <c r="C652" s="0" t="n">
        <v>4000</v>
      </c>
      <c r="D652" s="0" t="n">
        <v>0.175</v>
      </c>
      <c r="E652" s="0" t="s">
        <v>147</v>
      </c>
    </row>
    <row r="653" customFormat="false" ht="15" hidden="false" customHeight="false" outlineLevel="0" collapsed="false">
      <c r="A653" s="0" t="s">
        <v>130</v>
      </c>
      <c r="B653" s="0" t="n">
        <v>3000</v>
      </c>
      <c r="C653" s="0" t="n">
        <v>4000</v>
      </c>
      <c r="D653" s="0" t="n">
        <v>0.75</v>
      </c>
      <c r="E653" s="0" t="s">
        <v>161</v>
      </c>
    </row>
    <row r="654" customFormat="false" ht="15" hidden="false" customHeight="false" outlineLevel="0" collapsed="false">
      <c r="A654" s="0" t="s">
        <v>130</v>
      </c>
      <c r="B654" s="0" t="n">
        <v>8000</v>
      </c>
      <c r="C654" s="0" t="n">
        <v>4000</v>
      </c>
      <c r="D654" s="0" t="n">
        <v>2</v>
      </c>
      <c r="E654" s="0" t="s">
        <v>175</v>
      </c>
    </row>
    <row r="655" customFormat="false" ht="15" hidden="false" customHeight="false" outlineLevel="0" collapsed="false">
      <c r="A655" s="0" t="s">
        <v>130</v>
      </c>
      <c r="B655" s="0" t="n">
        <v>1500</v>
      </c>
      <c r="C655" s="0" t="n">
        <v>4000</v>
      </c>
      <c r="D655" s="0" t="n">
        <v>0.375</v>
      </c>
      <c r="E655" s="0" t="s">
        <v>190</v>
      </c>
    </row>
    <row r="656" customFormat="false" ht="15" hidden="false" customHeight="false" outlineLevel="0" collapsed="false">
      <c r="A656" s="0" t="s">
        <v>130</v>
      </c>
      <c r="B656" s="0" t="n">
        <v>11000</v>
      </c>
      <c r="C656" s="0" t="n">
        <v>3800</v>
      </c>
      <c r="D656" s="0" t="n">
        <v>2.89473684210526</v>
      </c>
      <c r="E656" s="0" t="s">
        <v>743</v>
      </c>
    </row>
    <row r="657" customFormat="false" ht="15" hidden="false" customHeight="false" outlineLevel="0" collapsed="false">
      <c r="A657" s="0" t="s">
        <v>130</v>
      </c>
      <c r="B657" s="0" t="n">
        <v>1000</v>
      </c>
      <c r="C657" s="0" t="n">
        <v>3800</v>
      </c>
      <c r="D657" s="0" t="n">
        <v>0.263157894736842</v>
      </c>
      <c r="E657" s="0" t="s">
        <v>803</v>
      </c>
    </row>
    <row r="658" customFormat="false" ht="15" hidden="false" customHeight="false" outlineLevel="0" collapsed="false">
      <c r="A658" s="0" t="s">
        <v>130</v>
      </c>
      <c r="B658" s="0" t="n">
        <v>1000</v>
      </c>
      <c r="C658" s="0" t="n">
        <v>3800</v>
      </c>
      <c r="D658" s="0" t="n">
        <v>0.263157894736842</v>
      </c>
      <c r="E658" s="0" t="s">
        <v>817</v>
      </c>
    </row>
    <row r="659" customFormat="false" ht="15" hidden="false" customHeight="false" outlineLevel="0" collapsed="false">
      <c r="A659" s="0" t="s">
        <v>130</v>
      </c>
      <c r="B659" s="0" t="n">
        <v>3000</v>
      </c>
      <c r="C659" s="0" t="n">
        <v>3800</v>
      </c>
      <c r="D659" s="0" t="n">
        <v>0.789473684210526</v>
      </c>
      <c r="E659" s="0" t="s">
        <v>927</v>
      </c>
    </row>
    <row r="660" customFormat="false" ht="15" hidden="false" customHeight="false" outlineLevel="0" collapsed="false">
      <c r="A660" s="0" t="s">
        <v>130</v>
      </c>
      <c r="B660" s="0" t="n">
        <v>3500</v>
      </c>
      <c r="C660" s="0" t="n">
        <v>3800</v>
      </c>
      <c r="D660" s="0" t="n">
        <v>0.921052631578947</v>
      </c>
      <c r="E660" s="0" t="s">
        <v>941</v>
      </c>
    </row>
    <row r="661" customFormat="false" ht="15" hidden="false" customHeight="false" outlineLevel="0" collapsed="false">
      <c r="A661" s="0" t="s">
        <v>130</v>
      </c>
      <c r="B661" s="0" t="n">
        <v>4000</v>
      </c>
      <c r="C661" s="0" t="n">
        <v>3800</v>
      </c>
      <c r="D661" s="0" t="n">
        <v>1.05263157894737</v>
      </c>
      <c r="E661" s="0" t="s">
        <v>961</v>
      </c>
    </row>
    <row r="662" customFormat="false" ht="15" hidden="false" customHeight="false" outlineLevel="0" collapsed="false">
      <c r="A662" s="0" t="s">
        <v>130</v>
      </c>
      <c r="B662" s="0" t="n">
        <v>1500</v>
      </c>
      <c r="C662" s="0" t="n">
        <v>4000</v>
      </c>
      <c r="D662" s="0" t="n">
        <v>0.375</v>
      </c>
      <c r="E662" s="0" t="s">
        <v>1165</v>
      </c>
    </row>
    <row r="663" customFormat="false" ht="15" hidden="false" customHeight="false" outlineLevel="0" collapsed="false">
      <c r="A663" s="0" t="s">
        <v>130</v>
      </c>
      <c r="B663" s="0" t="n">
        <v>1500</v>
      </c>
      <c r="C663" s="0" t="n">
        <v>4000</v>
      </c>
      <c r="D663" s="0" t="n">
        <v>0.375</v>
      </c>
      <c r="E663" s="0" t="s">
        <v>1382</v>
      </c>
    </row>
    <row r="664" customFormat="false" ht="15" hidden="false" customHeight="false" outlineLevel="0" collapsed="false">
      <c r="A664" s="0" t="s">
        <v>130</v>
      </c>
      <c r="B664" s="0" t="n">
        <v>3000</v>
      </c>
      <c r="C664" s="0" t="n">
        <v>3800</v>
      </c>
      <c r="D664" s="0" t="n">
        <v>0.789473684210526</v>
      </c>
      <c r="E664" s="0" t="s">
        <v>1477</v>
      </c>
    </row>
    <row r="665" customFormat="false" ht="15" hidden="false" customHeight="false" outlineLevel="0" collapsed="false">
      <c r="A665" s="0" t="s">
        <v>130</v>
      </c>
      <c r="B665" s="0" t="n">
        <v>3000</v>
      </c>
      <c r="C665" s="0" t="n">
        <v>3800</v>
      </c>
      <c r="D665" s="0" t="n">
        <v>0.789473684210526</v>
      </c>
      <c r="E665" s="0" t="s">
        <v>1493</v>
      </c>
    </row>
    <row r="666" customFormat="false" ht="15" hidden="false" customHeight="false" outlineLevel="0" collapsed="false">
      <c r="A666" s="0" t="s">
        <v>130</v>
      </c>
      <c r="B666" s="0" t="n">
        <v>1500</v>
      </c>
      <c r="C666" s="0" t="n">
        <v>3800</v>
      </c>
      <c r="D666" s="0" t="n">
        <v>0.394736842105263</v>
      </c>
      <c r="E666" s="0" t="s">
        <v>1541</v>
      </c>
    </row>
    <row r="667" customFormat="false" ht="15" hidden="false" customHeight="false" outlineLevel="0" collapsed="false">
      <c r="A667" s="0" t="s">
        <v>130</v>
      </c>
      <c r="B667" s="0" t="n">
        <v>1500</v>
      </c>
      <c r="C667" s="0" t="n">
        <v>3800</v>
      </c>
      <c r="D667" s="0" t="n">
        <v>0.394736842105263</v>
      </c>
      <c r="E667" s="0" t="s">
        <v>1557</v>
      </c>
    </row>
    <row r="668" customFormat="false" ht="15" hidden="false" customHeight="false" outlineLevel="0" collapsed="false">
      <c r="A668" s="0" t="s">
        <v>130</v>
      </c>
      <c r="B668" s="0" t="n">
        <v>5500</v>
      </c>
      <c r="C668" s="0" t="n">
        <v>3800</v>
      </c>
      <c r="D668" s="0" t="n">
        <v>1.44736842105263</v>
      </c>
      <c r="E668" s="0" t="s">
        <v>1587</v>
      </c>
    </row>
    <row r="669" customFormat="false" ht="15" hidden="false" customHeight="false" outlineLevel="0" collapsed="false">
      <c r="A669" s="0" t="s">
        <v>130</v>
      </c>
      <c r="B669" s="0" t="n">
        <v>4500</v>
      </c>
      <c r="C669" s="0" t="n">
        <v>3800</v>
      </c>
      <c r="D669" s="0" t="n">
        <v>1.18421052631579</v>
      </c>
      <c r="E669" s="0" t="s">
        <v>1621</v>
      </c>
    </row>
    <row r="670" customFormat="false" ht="15" hidden="false" customHeight="false" outlineLevel="0" collapsed="false">
      <c r="A670" s="0" t="s">
        <v>130</v>
      </c>
      <c r="B670" s="0" t="n">
        <v>1000</v>
      </c>
      <c r="C670" s="0" t="n">
        <v>3800</v>
      </c>
      <c r="D670" s="0" t="n">
        <v>0.263157894736842</v>
      </c>
      <c r="E670" s="0" t="s">
        <v>1678</v>
      </c>
    </row>
    <row r="671" customFormat="false" ht="15" hidden="false" customHeight="false" outlineLevel="0" collapsed="false">
      <c r="A671" s="0" t="s">
        <v>130</v>
      </c>
      <c r="B671" s="0" t="n">
        <v>300</v>
      </c>
      <c r="C671" s="0" t="n">
        <v>3800</v>
      </c>
      <c r="D671" s="0" t="n">
        <v>0.0789473684210526</v>
      </c>
      <c r="E671" s="0" t="s">
        <v>1784</v>
      </c>
    </row>
    <row r="672" customFormat="false" ht="15" hidden="false" customHeight="false" outlineLevel="0" collapsed="false">
      <c r="A672" s="0" t="s">
        <v>130</v>
      </c>
      <c r="B672" s="0" t="n">
        <v>1500</v>
      </c>
      <c r="C672" s="0" t="n">
        <v>4000</v>
      </c>
      <c r="D672" s="0" t="n">
        <v>0.375</v>
      </c>
      <c r="E672" s="0" t="s">
        <v>1959</v>
      </c>
    </row>
    <row r="673" customFormat="false" ht="15" hidden="false" customHeight="false" outlineLevel="0" collapsed="false">
      <c r="A673" s="0" t="s">
        <v>130</v>
      </c>
      <c r="B673" s="0" t="n">
        <v>1000</v>
      </c>
      <c r="C673" s="0" t="n">
        <v>4000</v>
      </c>
      <c r="D673" s="0" t="n">
        <v>0.25</v>
      </c>
      <c r="E673" s="0" t="s">
        <v>2007</v>
      </c>
    </row>
    <row r="674" customFormat="false" ht="15" hidden="false" customHeight="false" outlineLevel="0" collapsed="false">
      <c r="A674" s="0" t="s">
        <v>130</v>
      </c>
      <c r="B674" s="0" t="n">
        <v>1000</v>
      </c>
      <c r="C674" s="0" t="n">
        <v>4000</v>
      </c>
      <c r="D674" s="0" t="n">
        <v>0.25</v>
      </c>
      <c r="E674" s="0" t="s">
        <v>2022</v>
      </c>
    </row>
    <row r="675" customFormat="false" ht="15" hidden="false" customHeight="false" outlineLevel="0" collapsed="false">
      <c r="A675" s="0" t="s">
        <v>130</v>
      </c>
      <c r="B675" s="0" t="n">
        <v>1500</v>
      </c>
      <c r="C675" s="0" t="n">
        <v>4000</v>
      </c>
      <c r="D675" s="0" t="n">
        <v>0.375</v>
      </c>
      <c r="E675" s="0" t="s">
        <v>2054</v>
      </c>
    </row>
    <row r="676" customFormat="false" ht="15" hidden="false" customHeight="false" outlineLevel="0" collapsed="false">
      <c r="A676" s="0" t="s">
        <v>130</v>
      </c>
      <c r="B676" s="0" t="n">
        <v>1000</v>
      </c>
      <c r="C676" s="0" t="n">
        <v>3800</v>
      </c>
      <c r="D676" s="0" t="n">
        <v>0.263157894736842</v>
      </c>
      <c r="E676" s="0" t="s">
        <v>2070</v>
      </c>
    </row>
    <row r="677" customFormat="false" ht="15" hidden="false" customHeight="false" outlineLevel="0" collapsed="false">
      <c r="A677" s="0" t="s">
        <v>130</v>
      </c>
      <c r="B677" s="0" t="n">
        <v>3000</v>
      </c>
      <c r="C677" s="0" t="n">
        <v>4000</v>
      </c>
      <c r="D677" s="0" t="n">
        <v>0.75</v>
      </c>
      <c r="E677" s="0" t="s">
        <v>2085</v>
      </c>
    </row>
    <row r="678" customFormat="false" ht="15" hidden="false" customHeight="false" outlineLevel="0" collapsed="false">
      <c r="A678" s="0" t="s">
        <v>130</v>
      </c>
      <c r="B678" s="0" t="n">
        <v>500</v>
      </c>
      <c r="C678" s="0" t="n">
        <v>4000</v>
      </c>
      <c r="D678" s="0" t="n">
        <v>0.125</v>
      </c>
      <c r="E678" s="0" t="s">
        <v>2101</v>
      </c>
    </row>
    <row r="679" customFormat="false" ht="15" hidden="false" customHeight="false" outlineLevel="0" collapsed="false">
      <c r="A679" s="0" t="s">
        <v>130</v>
      </c>
      <c r="B679" s="0" t="n">
        <v>1000</v>
      </c>
      <c r="C679" s="0" t="n">
        <v>3800</v>
      </c>
      <c r="D679" s="0" t="n">
        <v>0.263157894736842</v>
      </c>
      <c r="E679" s="0" t="s">
        <v>2365</v>
      </c>
    </row>
    <row r="680" customFormat="false" ht="15" hidden="false" customHeight="false" outlineLevel="0" collapsed="false">
      <c r="A680" s="0" t="s">
        <v>130</v>
      </c>
      <c r="B680" s="0" t="n">
        <v>1000</v>
      </c>
      <c r="C680" s="0" t="n">
        <v>4000</v>
      </c>
      <c r="D680" s="0" t="n">
        <v>0.25</v>
      </c>
      <c r="E680" s="0" t="s">
        <v>2885</v>
      </c>
    </row>
    <row r="681" customFormat="false" ht="15" hidden="false" customHeight="false" outlineLevel="0" collapsed="false">
      <c r="A681" s="0" t="s">
        <v>130</v>
      </c>
      <c r="B681" s="0" t="n">
        <v>1000</v>
      </c>
      <c r="C681" s="0" t="n">
        <v>4000</v>
      </c>
      <c r="D681" s="0" t="n">
        <v>0.25</v>
      </c>
      <c r="E681" s="0" t="s">
        <v>2899</v>
      </c>
    </row>
    <row r="682" customFormat="false" ht="15" hidden="false" customHeight="false" outlineLevel="0" collapsed="false">
      <c r="A682" s="0" t="s">
        <v>130</v>
      </c>
      <c r="B682" s="0" t="n">
        <v>2500</v>
      </c>
      <c r="C682" s="0" t="n">
        <v>4000</v>
      </c>
      <c r="D682" s="0" t="n">
        <v>0.625</v>
      </c>
      <c r="E682" s="0" t="s">
        <v>2913</v>
      </c>
    </row>
    <row r="683" customFormat="false" ht="15" hidden="false" customHeight="false" outlineLevel="0" collapsed="false">
      <c r="A683" s="0" t="s">
        <v>130</v>
      </c>
      <c r="B683" s="0" t="n">
        <v>1000</v>
      </c>
      <c r="C683" s="0" t="n">
        <v>4000</v>
      </c>
      <c r="D683" s="0" t="n">
        <v>0.25</v>
      </c>
      <c r="E683" s="0" t="s">
        <v>2929</v>
      </c>
    </row>
    <row r="684" customFormat="false" ht="15" hidden="false" customHeight="false" outlineLevel="0" collapsed="false">
      <c r="A684" s="0" t="s">
        <v>130</v>
      </c>
      <c r="B684" s="0" t="n">
        <v>2000</v>
      </c>
      <c r="C684" s="0" t="n">
        <v>4000</v>
      </c>
      <c r="D684" s="0" t="n">
        <v>0.5</v>
      </c>
      <c r="E684" s="0" t="s">
        <v>2951</v>
      </c>
    </row>
    <row r="685" customFormat="false" ht="15" hidden="false" customHeight="false" outlineLevel="0" collapsed="false">
      <c r="A685" s="0" t="s">
        <v>132</v>
      </c>
      <c r="B685" s="0" t="n">
        <v>200</v>
      </c>
      <c r="C685" s="0" t="n">
        <v>4000</v>
      </c>
      <c r="D685" s="0" t="n">
        <v>0.05</v>
      </c>
      <c r="E685" s="0" t="s">
        <v>133</v>
      </c>
    </row>
    <row r="686" customFormat="false" ht="15" hidden="false" customHeight="false" outlineLevel="0" collapsed="false">
      <c r="A686" s="0" t="s">
        <v>132</v>
      </c>
      <c r="B686" s="0" t="n">
        <v>200</v>
      </c>
      <c r="C686" s="0" t="n">
        <v>4000</v>
      </c>
      <c r="D686" s="0" t="n">
        <v>0.05</v>
      </c>
      <c r="E686" s="0" t="s">
        <v>162</v>
      </c>
    </row>
    <row r="687" customFormat="false" ht="15" hidden="false" customHeight="false" outlineLevel="0" collapsed="false">
      <c r="A687" s="0" t="s">
        <v>132</v>
      </c>
      <c r="B687" s="0" t="n">
        <v>200</v>
      </c>
      <c r="C687" s="0" t="n">
        <v>4000</v>
      </c>
      <c r="D687" s="0" t="n">
        <v>0.05</v>
      </c>
      <c r="E687" s="0" t="s">
        <v>191</v>
      </c>
    </row>
    <row r="688" customFormat="false" ht="15" hidden="false" customHeight="false" outlineLevel="0" collapsed="false">
      <c r="A688" s="0" t="s">
        <v>132</v>
      </c>
      <c r="B688" s="0" t="n">
        <v>200</v>
      </c>
      <c r="C688" s="0" t="n">
        <v>4000</v>
      </c>
      <c r="D688" s="0" t="n">
        <v>0.05</v>
      </c>
      <c r="E688" s="0" t="s">
        <v>534</v>
      </c>
    </row>
    <row r="689" customFormat="false" ht="15" hidden="false" customHeight="false" outlineLevel="0" collapsed="false">
      <c r="A689" s="0" t="s">
        <v>132</v>
      </c>
      <c r="B689" s="0" t="n">
        <v>200</v>
      </c>
      <c r="C689" s="0" t="n">
        <v>4000</v>
      </c>
      <c r="D689" s="0" t="n">
        <v>0.05</v>
      </c>
      <c r="E689" s="0" t="s">
        <v>548</v>
      </c>
    </row>
    <row r="690" customFormat="false" ht="15" hidden="false" customHeight="false" outlineLevel="0" collapsed="false">
      <c r="A690" s="0" t="s">
        <v>132</v>
      </c>
      <c r="B690" s="0" t="n">
        <v>200</v>
      </c>
      <c r="C690" s="0" t="n">
        <v>4000</v>
      </c>
      <c r="D690" s="0" t="n">
        <v>0.05</v>
      </c>
      <c r="E690" s="0" t="s">
        <v>563</v>
      </c>
    </row>
    <row r="691" customFormat="false" ht="15" hidden="false" customHeight="false" outlineLevel="0" collapsed="false">
      <c r="A691" s="0" t="s">
        <v>132</v>
      </c>
      <c r="B691" s="0" t="n">
        <v>200</v>
      </c>
      <c r="C691" s="0" t="n">
        <v>4000</v>
      </c>
      <c r="D691" s="0" t="n">
        <v>0.05</v>
      </c>
      <c r="E691" s="0" t="s">
        <v>584</v>
      </c>
    </row>
    <row r="692" customFormat="false" ht="15" hidden="false" customHeight="false" outlineLevel="0" collapsed="false">
      <c r="A692" s="0" t="s">
        <v>132</v>
      </c>
      <c r="B692" s="0" t="n">
        <v>200</v>
      </c>
      <c r="C692" s="0" t="n">
        <v>4000</v>
      </c>
      <c r="D692" s="0" t="n">
        <v>0.05</v>
      </c>
      <c r="E692" s="0" t="s">
        <v>603</v>
      </c>
    </row>
    <row r="693" customFormat="false" ht="15" hidden="false" customHeight="false" outlineLevel="0" collapsed="false">
      <c r="A693" s="0" t="s">
        <v>132</v>
      </c>
      <c r="B693" s="0" t="n">
        <v>200</v>
      </c>
      <c r="C693" s="0" t="n">
        <v>4000</v>
      </c>
      <c r="D693" s="0" t="n">
        <v>0.05</v>
      </c>
      <c r="E693" s="0" t="s">
        <v>617</v>
      </c>
    </row>
    <row r="694" customFormat="false" ht="15" hidden="false" customHeight="false" outlineLevel="0" collapsed="false">
      <c r="A694" s="0" t="s">
        <v>132</v>
      </c>
      <c r="B694" s="0" t="n">
        <v>200</v>
      </c>
      <c r="C694" s="0" t="n">
        <v>3800</v>
      </c>
      <c r="D694" s="0" t="n">
        <v>0.0526315789473684</v>
      </c>
      <c r="E694" s="0" t="s">
        <v>762</v>
      </c>
    </row>
    <row r="695" customFormat="false" ht="15" hidden="false" customHeight="false" outlineLevel="0" collapsed="false">
      <c r="A695" s="0" t="s">
        <v>132</v>
      </c>
      <c r="B695" s="0" t="n">
        <v>200</v>
      </c>
      <c r="C695" s="0" t="n">
        <v>3800</v>
      </c>
      <c r="D695" s="0" t="n">
        <v>0.0526315789473684</v>
      </c>
      <c r="E695" s="0" t="s">
        <v>805</v>
      </c>
    </row>
    <row r="696" customFormat="false" ht="15" hidden="false" customHeight="false" outlineLevel="0" collapsed="false">
      <c r="A696" s="0" t="s">
        <v>132</v>
      </c>
      <c r="B696" s="0" t="n">
        <v>200</v>
      </c>
      <c r="C696" s="0" t="n">
        <v>3800</v>
      </c>
      <c r="D696" s="0" t="n">
        <v>0.0526315789473684</v>
      </c>
      <c r="E696" s="0" t="s">
        <v>819</v>
      </c>
    </row>
    <row r="697" customFormat="false" ht="15" hidden="false" customHeight="false" outlineLevel="0" collapsed="false">
      <c r="A697" s="0" t="s">
        <v>132</v>
      </c>
      <c r="B697" s="0" t="n">
        <v>200</v>
      </c>
      <c r="C697" s="0" t="n">
        <v>3800</v>
      </c>
      <c r="D697" s="0" t="n">
        <v>0.0526315789473684</v>
      </c>
      <c r="E697" s="0" t="s">
        <v>902</v>
      </c>
    </row>
    <row r="698" customFormat="false" ht="15" hidden="false" customHeight="false" outlineLevel="0" collapsed="false">
      <c r="A698" s="0" t="s">
        <v>132</v>
      </c>
      <c r="B698" s="0" t="n">
        <v>200</v>
      </c>
      <c r="C698" s="0" t="n">
        <v>3800</v>
      </c>
      <c r="D698" s="0" t="n">
        <v>0.0526315789473684</v>
      </c>
      <c r="E698" s="0" t="s">
        <v>930</v>
      </c>
    </row>
    <row r="699" customFormat="false" ht="15" hidden="false" customHeight="false" outlineLevel="0" collapsed="false">
      <c r="A699" s="0" t="s">
        <v>132</v>
      </c>
      <c r="B699" s="0" t="n">
        <v>200</v>
      </c>
      <c r="C699" s="0" t="n">
        <v>3800</v>
      </c>
      <c r="D699" s="0" t="n">
        <v>0.0526315789473684</v>
      </c>
      <c r="E699" s="0" t="s">
        <v>945</v>
      </c>
    </row>
    <row r="700" customFormat="false" ht="15" hidden="false" customHeight="false" outlineLevel="0" collapsed="false">
      <c r="A700" s="0" t="s">
        <v>132</v>
      </c>
      <c r="B700" s="0" t="n">
        <v>200</v>
      </c>
      <c r="C700" s="0" t="n">
        <v>3800</v>
      </c>
      <c r="D700" s="0" t="n">
        <v>0.0526315789473684</v>
      </c>
      <c r="E700" s="0" t="s">
        <v>963</v>
      </c>
    </row>
    <row r="701" customFormat="false" ht="15" hidden="false" customHeight="false" outlineLevel="0" collapsed="false">
      <c r="A701" s="0" t="s">
        <v>132</v>
      </c>
      <c r="B701" s="0" t="n">
        <v>200</v>
      </c>
      <c r="C701" s="0" t="n">
        <v>4000</v>
      </c>
      <c r="D701" s="0" t="n">
        <v>0.05</v>
      </c>
      <c r="E701" s="0" t="s">
        <v>997</v>
      </c>
    </row>
    <row r="702" customFormat="false" ht="15" hidden="false" customHeight="false" outlineLevel="0" collapsed="false">
      <c r="A702" s="0" t="s">
        <v>132</v>
      </c>
      <c r="B702" s="0" t="n">
        <v>200</v>
      </c>
      <c r="C702" s="0" t="n">
        <v>4000</v>
      </c>
      <c r="D702" s="0" t="n">
        <v>0.05</v>
      </c>
      <c r="E702" s="0" t="s">
        <v>1012</v>
      </c>
    </row>
    <row r="703" customFormat="false" ht="15" hidden="false" customHeight="false" outlineLevel="0" collapsed="false">
      <c r="A703" s="0" t="s">
        <v>132</v>
      </c>
      <c r="B703" s="0" t="n">
        <v>200</v>
      </c>
      <c r="C703" s="0" t="n">
        <v>4000</v>
      </c>
      <c r="D703" s="0" t="n">
        <v>0.05</v>
      </c>
      <c r="E703" s="0" t="s">
        <v>1026</v>
      </c>
    </row>
    <row r="704" customFormat="false" ht="15" hidden="false" customHeight="false" outlineLevel="0" collapsed="false">
      <c r="A704" s="0" t="s">
        <v>132</v>
      </c>
      <c r="B704" s="0" t="n">
        <v>200</v>
      </c>
      <c r="C704" s="0" t="n">
        <v>3800</v>
      </c>
      <c r="D704" s="0" t="n">
        <v>0.0526315789473684</v>
      </c>
      <c r="E704" s="0" t="s">
        <v>1043</v>
      </c>
    </row>
    <row r="705" customFormat="false" ht="15" hidden="false" customHeight="false" outlineLevel="0" collapsed="false">
      <c r="A705" s="0" t="s">
        <v>132</v>
      </c>
      <c r="B705" s="0" t="n">
        <v>200</v>
      </c>
      <c r="C705" s="0" t="n">
        <v>3800</v>
      </c>
      <c r="D705" s="0" t="n">
        <v>0.0526315789473684</v>
      </c>
      <c r="E705" s="0" t="s">
        <v>1057</v>
      </c>
    </row>
    <row r="706" customFormat="false" ht="15" hidden="false" customHeight="false" outlineLevel="0" collapsed="false">
      <c r="A706" s="0" t="s">
        <v>132</v>
      </c>
      <c r="B706" s="0" t="n">
        <v>200</v>
      </c>
      <c r="C706" s="0" t="n">
        <v>3800</v>
      </c>
      <c r="D706" s="0" t="n">
        <v>0.0526315789473684</v>
      </c>
      <c r="E706" s="0" t="s">
        <v>1073</v>
      </c>
    </row>
    <row r="707" customFormat="false" ht="15" hidden="false" customHeight="false" outlineLevel="0" collapsed="false">
      <c r="A707" s="0" t="s">
        <v>132</v>
      </c>
      <c r="B707" s="0" t="n">
        <v>200</v>
      </c>
      <c r="C707" s="0" t="n">
        <v>4000</v>
      </c>
      <c r="D707" s="0" t="n">
        <v>0.05</v>
      </c>
      <c r="E707" s="0" t="s">
        <v>1090</v>
      </c>
    </row>
    <row r="708" customFormat="false" ht="15" hidden="false" customHeight="false" outlineLevel="0" collapsed="false">
      <c r="A708" s="0" t="s">
        <v>132</v>
      </c>
      <c r="B708" s="0" t="n">
        <v>300</v>
      </c>
      <c r="C708" s="0" t="n">
        <v>4000</v>
      </c>
      <c r="D708" s="0" t="n">
        <v>0.075</v>
      </c>
      <c r="E708" s="0" t="s">
        <v>1104</v>
      </c>
    </row>
    <row r="709" customFormat="false" ht="15" hidden="false" customHeight="false" outlineLevel="0" collapsed="false">
      <c r="A709" s="0" t="s">
        <v>132</v>
      </c>
      <c r="B709" s="0" t="n">
        <v>200</v>
      </c>
      <c r="C709" s="0" t="n">
        <v>4000</v>
      </c>
      <c r="D709" s="0" t="n">
        <v>0.05</v>
      </c>
      <c r="E709" s="0" t="s">
        <v>1119</v>
      </c>
    </row>
    <row r="710" customFormat="false" ht="15" hidden="false" customHeight="false" outlineLevel="0" collapsed="false">
      <c r="A710" s="0" t="s">
        <v>132</v>
      </c>
      <c r="B710" s="0" t="n">
        <v>200</v>
      </c>
      <c r="C710" s="0" t="n">
        <v>4000</v>
      </c>
      <c r="D710" s="0" t="n">
        <v>0.05</v>
      </c>
      <c r="E710" s="0" t="s">
        <v>1205</v>
      </c>
    </row>
    <row r="711" customFormat="false" ht="15" hidden="false" customHeight="false" outlineLevel="0" collapsed="false">
      <c r="A711" s="0" t="s">
        <v>132</v>
      </c>
      <c r="B711" s="0" t="n">
        <v>200</v>
      </c>
      <c r="C711" s="0" t="n">
        <v>4000</v>
      </c>
      <c r="D711" s="0" t="n">
        <v>0.05</v>
      </c>
      <c r="E711" s="0" t="s">
        <v>1220</v>
      </c>
    </row>
    <row r="712" customFormat="false" ht="15" hidden="false" customHeight="false" outlineLevel="0" collapsed="false">
      <c r="A712" s="0" t="s">
        <v>132</v>
      </c>
      <c r="B712" s="0" t="n">
        <v>200</v>
      </c>
      <c r="C712" s="0" t="n">
        <v>4000</v>
      </c>
      <c r="D712" s="0" t="n">
        <v>0.05</v>
      </c>
      <c r="E712" s="0" t="s">
        <v>1234</v>
      </c>
    </row>
    <row r="713" customFormat="false" ht="15" hidden="false" customHeight="false" outlineLevel="0" collapsed="false">
      <c r="A713" s="0" t="s">
        <v>132</v>
      </c>
      <c r="B713" s="0" t="n">
        <v>200</v>
      </c>
      <c r="C713" s="0" t="n">
        <v>4000</v>
      </c>
      <c r="D713" s="0" t="n">
        <v>0.05</v>
      </c>
      <c r="E713" s="0" t="s">
        <v>1248</v>
      </c>
    </row>
    <row r="714" customFormat="false" ht="15" hidden="false" customHeight="false" outlineLevel="0" collapsed="false">
      <c r="A714" s="0" t="s">
        <v>132</v>
      </c>
      <c r="B714" s="0" t="n">
        <v>100</v>
      </c>
      <c r="C714" s="0" t="n">
        <v>4000</v>
      </c>
      <c r="D714" s="0" t="n">
        <v>0.025</v>
      </c>
      <c r="E714" s="0" t="s">
        <v>1312</v>
      </c>
    </row>
    <row r="715" customFormat="false" ht="15" hidden="false" customHeight="false" outlineLevel="0" collapsed="false">
      <c r="A715" s="0" t="s">
        <v>132</v>
      </c>
      <c r="B715" s="0" t="n">
        <v>200</v>
      </c>
      <c r="C715" s="0" t="n">
        <v>4000</v>
      </c>
      <c r="D715" s="0" t="n">
        <v>0.05</v>
      </c>
      <c r="E715" s="0" t="s">
        <v>1342</v>
      </c>
    </row>
    <row r="716" customFormat="false" ht="15" hidden="false" customHeight="false" outlineLevel="0" collapsed="false">
      <c r="A716" s="0" t="s">
        <v>132</v>
      </c>
      <c r="B716" s="0" t="n">
        <v>500</v>
      </c>
      <c r="C716" s="0" t="n">
        <v>4000</v>
      </c>
      <c r="D716" s="0" t="n">
        <v>0.125</v>
      </c>
      <c r="E716" s="0" t="s">
        <v>1370</v>
      </c>
    </row>
    <row r="717" customFormat="false" ht="15" hidden="false" customHeight="false" outlineLevel="0" collapsed="false">
      <c r="A717" s="0" t="s">
        <v>132</v>
      </c>
      <c r="B717" s="0" t="n">
        <v>200</v>
      </c>
      <c r="C717" s="0" t="n">
        <v>4000</v>
      </c>
      <c r="D717" s="0" t="n">
        <v>0.05</v>
      </c>
      <c r="E717" s="0" t="s">
        <v>1384</v>
      </c>
    </row>
    <row r="718" customFormat="false" ht="15" hidden="false" customHeight="false" outlineLevel="0" collapsed="false">
      <c r="A718" s="0" t="s">
        <v>132</v>
      </c>
      <c r="B718" s="0" t="n">
        <v>100</v>
      </c>
      <c r="C718" s="0" t="n">
        <v>3800</v>
      </c>
      <c r="D718" s="0" t="n">
        <v>0.0263157894736842</v>
      </c>
      <c r="E718" s="0" t="s">
        <v>1464</v>
      </c>
    </row>
    <row r="719" customFormat="false" ht="15" hidden="false" customHeight="false" outlineLevel="0" collapsed="false">
      <c r="A719" s="0" t="s">
        <v>132</v>
      </c>
      <c r="B719" s="0" t="n">
        <v>300</v>
      </c>
      <c r="C719" s="0" t="n">
        <v>3800</v>
      </c>
      <c r="D719" s="0" t="n">
        <v>0.0789473684210526</v>
      </c>
      <c r="E719" s="0" t="s">
        <v>1479</v>
      </c>
    </row>
    <row r="720" customFormat="false" ht="15" hidden="false" customHeight="false" outlineLevel="0" collapsed="false">
      <c r="A720" s="0" t="s">
        <v>132</v>
      </c>
      <c r="B720" s="0" t="n">
        <v>200</v>
      </c>
      <c r="C720" s="0" t="n">
        <v>3800</v>
      </c>
      <c r="D720" s="0" t="n">
        <v>0.0526315789473684</v>
      </c>
      <c r="E720" s="0" t="s">
        <v>1495</v>
      </c>
    </row>
    <row r="721" customFormat="false" ht="15" hidden="false" customHeight="false" outlineLevel="0" collapsed="false">
      <c r="A721" s="0" t="s">
        <v>132</v>
      </c>
      <c r="B721" s="0" t="n">
        <v>200</v>
      </c>
      <c r="C721" s="0" t="n">
        <v>3800</v>
      </c>
      <c r="D721" s="0" t="n">
        <v>0.0526315789473684</v>
      </c>
      <c r="E721" s="0" t="s">
        <v>1510</v>
      </c>
    </row>
    <row r="722" customFormat="false" ht="15" hidden="false" customHeight="false" outlineLevel="0" collapsed="false">
      <c r="A722" s="0" t="s">
        <v>132</v>
      </c>
      <c r="B722" s="0" t="n">
        <v>200</v>
      </c>
      <c r="C722" s="0" t="n">
        <v>3800</v>
      </c>
      <c r="D722" s="0" t="n">
        <v>0.0526315789473684</v>
      </c>
      <c r="E722" s="0" t="s">
        <v>1543</v>
      </c>
    </row>
    <row r="723" customFormat="false" ht="15" hidden="false" customHeight="false" outlineLevel="0" collapsed="false">
      <c r="A723" s="0" t="s">
        <v>132</v>
      </c>
      <c r="B723" s="0" t="n">
        <v>200</v>
      </c>
      <c r="C723" s="0" t="n">
        <v>3800</v>
      </c>
      <c r="D723" s="0" t="n">
        <v>0.0526315789473684</v>
      </c>
      <c r="E723" s="0" t="s">
        <v>1559</v>
      </c>
    </row>
    <row r="724" customFormat="false" ht="15" hidden="false" customHeight="false" outlineLevel="0" collapsed="false">
      <c r="A724" s="0" t="s">
        <v>132</v>
      </c>
      <c r="B724" s="0" t="n">
        <v>500</v>
      </c>
      <c r="C724" s="0" t="n">
        <v>3800</v>
      </c>
      <c r="D724" s="0" t="n">
        <v>0.131578947368421</v>
      </c>
      <c r="E724" s="0" t="s">
        <v>1589</v>
      </c>
    </row>
    <row r="725" customFormat="false" ht="15" hidden="false" customHeight="false" outlineLevel="0" collapsed="false">
      <c r="A725" s="0" t="s">
        <v>132</v>
      </c>
      <c r="B725" s="0" t="n">
        <v>500</v>
      </c>
      <c r="C725" s="0" t="n">
        <v>3800</v>
      </c>
      <c r="D725" s="0" t="n">
        <v>0.131578947368421</v>
      </c>
      <c r="E725" s="0" t="s">
        <v>1623</v>
      </c>
    </row>
    <row r="726" customFormat="false" ht="15" hidden="false" customHeight="false" outlineLevel="0" collapsed="false">
      <c r="A726" s="0" t="s">
        <v>132</v>
      </c>
      <c r="B726" s="0" t="n">
        <v>200</v>
      </c>
      <c r="C726" s="0" t="n">
        <v>3800</v>
      </c>
      <c r="D726" s="0" t="n">
        <v>0.0526315789473684</v>
      </c>
      <c r="E726" s="0" t="s">
        <v>1639</v>
      </c>
    </row>
    <row r="727" customFormat="false" ht="15" hidden="false" customHeight="false" outlineLevel="0" collapsed="false">
      <c r="A727" s="0" t="s">
        <v>132</v>
      </c>
      <c r="B727" s="0" t="n">
        <v>200</v>
      </c>
      <c r="C727" s="0" t="n">
        <v>3800</v>
      </c>
      <c r="D727" s="0" t="n">
        <v>0.0526315789473684</v>
      </c>
      <c r="E727" s="0" t="s">
        <v>1680</v>
      </c>
    </row>
    <row r="728" customFormat="false" ht="15" hidden="false" customHeight="false" outlineLevel="0" collapsed="false">
      <c r="A728" s="0" t="s">
        <v>132</v>
      </c>
      <c r="B728" s="0" t="n">
        <v>500</v>
      </c>
      <c r="C728" s="0" t="n">
        <v>3800</v>
      </c>
      <c r="D728" s="0" t="n">
        <v>0.131578947368421</v>
      </c>
      <c r="E728" s="0" t="s">
        <v>1788</v>
      </c>
    </row>
    <row r="729" customFormat="false" ht="15" hidden="false" customHeight="false" outlineLevel="0" collapsed="false">
      <c r="A729" s="0" t="s">
        <v>132</v>
      </c>
      <c r="B729" s="0" t="n">
        <v>200</v>
      </c>
      <c r="C729" s="0" t="n">
        <v>3800</v>
      </c>
      <c r="D729" s="0" t="n">
        <v>0.0526315789473684</v>
      </c>
      <c r="E729" s="0" t="s">
        <v>1879</v>
      </c>
    </row>
    <row r="730" customFormat="false" ht="15" hidden="false" customHeight="false" outlineLevel="0" collapsed="false">
      <c r="A730" s="0" t="s">
        <v>132</v>
      </c>
      <c r="B730" s="0" t="n">
        <v>200</v>
      </c>
      <c r="C730" s="0" t="n">
        <v>3800</v>
      </c>
      <c r="D730" s="0" t="n">
        <v>0.0526315789473684</v>
      </c>
      <c r="E730" s="0" t="s">
        <v>1909</v>
      </c>
    </row>
    <row r="731" customFormat="false" ht="15" hidden="false" customHeight="false" outlineLevel="0" collapsed="false">
      <c r="A731" s="0" t="s">
        <v>132</v>
      </c>
      <c r="B731" s="0" t="n">
        <v>200</v>
      </c>
      <c r="C731" s="0" t="n">
        <v>4000</v>
      </c>
      <c r="D731" s="0" t="n">
        <v>0.05</v>
      </c>
      <c r="E731" s="0" t="s">
        <v>1961</v>
      </c>
    </row>
    <row r="732" customFormat="false" ht="15" hidden="false" customHeight="false" outlineLevel="0" collapsed="false">
      <c r="A732" s="0" t="s">
        <v>132</v>
      </c>
      <c r="B732" s="0" t="n">
        <v>200</v>
      </c>
      <c r="C732" s="0" t="n">
        <v>4000</v>
      </c>
      <c r="D732" s="0" t="n">
        <v>0.05</v>
      </c>
      <c r="E732" s="0" t="s">
        <v>2009</v>
      </c>
    </row>
    <row r="733" customFormat="false" ht="15" hidden="false" customHeight="false" outlineLevel="0" collapsed="false">
      <c r="A733" s="0" t="s">
        <v>132</v>
      </c>
      <c r="B733" s="0" t="n">
        <v>200</v>
      </c>
      <c r="C733" s="0" t="n">
        <v>4000</v>
      </c>
      <c r="D733" s="0" t="n">
        <v>0.05</v>
      </c>
      <c r="E733" s="0" t="s">
        <v>2024</v>
      </c>
    </row>
    <row r="734" customFormat="false" ht="15" hidden="false" customHeight="false" outlineLevel="0" collapsed="false">
      <c r="A734" s="0" t="s">
        <v>132</v>
      </c>
      <c r="B734" s="0" t="n">
        <v>200</v>
      </c>
      <c r="C734" s="0" t="n">
        <v>3800</v>
      </c>
      <c r="D734" s="0" t="n">
        <v>0.0526315789473684</v>
      </c>
      <c r="E734" s="0" t="s">
        <v>2072</v>
      </c>
    </row>
    <row r="735" customFormat="false" ht="15" hidden="false" customHeight="false" outlineLevel="0" collapsed="false">
      <c r="A735" s="0" t="s">
        <v>132</v>
      </c>
      <c r="B735" s="0" t="n">
        <v>200</v>
      </c>
      <c r="C735" s="0" t="n">
        <v>4000</v>
      </c>
      <c r="D735" s="0" t="n">
        <v>0.05</v>
      </c>
      <c r="E735" s="0" t="s">
        <v>2087</v>
      </c>
    </row>
    <row r="736" customFormat="false" ht="15" hidden="false" customHeight="false" outlineLevel="0" collapsed="false">
      <c r="A736" s="0" t="s">
        <v>132</v>
      </c>
      <c r="B736" s="0" t="n">
        <v>300</v>
      </c>
      <c r="C736" s="0" t="n">
        <v>3800</v>
      </c>
      <c r="D736" s="0" t="n">
        <v>0.0789473684210526</v>
      </c>
      <c r="E736" s="0" t="s">
        <v>2138</v>
      </c>
    </row>
    <row r="737" customFormat="false" ht="15" hidden="false" customHeight="false" outlineLevel="0" collapsed="false">
      <c r="A737" s="0" t="s">
        <v>132</v>
      </c>
      <c r="B737" s="0" t="n">
        <v>300</v>
      </c>
      <c r="C737" s="0" t="n">
        <v>3800</v>
      </c>
      <c r="D737" s="0" t="n">
        <v>0.0789473684210526</v>
      </c>
      <c r="E737" s="0" t="s">
        <v>2153</v>
      </c>
    </row>
    <row r="738" customFormat="false" ht="15" hidden="false" customHeight="false" outlineLevel="0" collapsed="false">
      <c r="A738" s="0" t="s">
        <v>132</v>
      </c>
      <c r="B738" s="0" t="n">
        <v>300</v>
      </c>
      <c r="C738" s="0" t="n">
        <v>3800</v>
      </c>
      <c r="D738" s="0" t="n">
        <v>0.0789473684210526</v>
      </c>
      <c r="E738" s="0" t="s">
        <v>2169</v>
      </c>
    </row>
    <row r="739" customFormat="false" ht="15" hidden="false" customHeight="false" outlineLevel="0" collapsed="false">
      <c r="A739" s="0" t="s">
        <v>132</v>
      </c>
      <c r="B739" s="0" t="n">
        <v>300</v>
      </c>
      <c r="C739" s="0" t="n">
        <v>3800</v>
      </c>
      <c r="D739" s="0" t="n">
        <v>0.0789473684210526</v>
      </c>
      <c r="E739" s="0" t="s">
        <v>2184</v>
      </c>
    </row>
    <row r="740" customFormat="false" ht="15" hidden="false" customHeight="false" outlineLevel="0" collapsed="false">
      <c r="A740" s="0" t="s">
        <v>132</v>
      </c>
      <c r="B740" s="0" t="n">
        <v>300</v>
      </c>
      <c r="C740" s="0" t="n">
        <v>3800</v>
      </c>
      <c r="D740" s="0" t="n">
        <v>0.0789473684210526</v>
      </c>
      <c r="E740" s="0" t="s">
        <v>2199</v>
      </c>
    </row>
    <row r="741" customFormat="false" ht="15" hidden="false" customHeight="false" outlineLevel="0" collapsed="false">
      <c r="A741" s="0" t="s">
        <v>132</v>
      </c>
      <c r="B741" s="0" t="n">
        <v>300</v>
      </c>
      <c r="C741" s="0" t="n">
        <v>3800</v>
      </c>
      <c r="D741" s="0" t="n">
        <v>0.0789473684210526</v>
      </c>
      <c r="E741" s="0" t="s">
        <v>2213</v>
      </c>
    </row>
    <row r="742" customFormat="false" ht="15" hidden="false" customHeight="false" outlineLevel="0" collapsed="false">
      <c r="A742" s="0" t="s">
        <v>132</v>
      </c>
      <c r="B742" s="0" t="n">
        <v>200</v>
      </c>
      <c r="C742" s="0" t="n">
        <v>3800</v>
      </c>
      <c r="D742" s="0" t="n">
        <v>0.0526315789473684</v>
      </c>
      <c r="E742" s="0" t="s">
        <v>2230</v>
      </c>
    </row>
    <row r="743" customFormat="false" ht="15" hidden="false" customHeight="false" outlineLevel="0" collapsed="false">
      <c r="A743" s="0" t="s">
        <v>132</v>
      </c>
      <c r="B743" s="0" t="n">
        <v>200</v>
      </c>
      <c r="C743" s="0" t="n">
        <v>3800</v>
      </c>
      <c r="D743" s="0" t="n">
        <v>0.0526315789473684</v>
      </c>
      <c r="E743" s="0" t="s">
        <v>2244</v>
      </c>
    </row>
    <row r="744" customFormat="false" ht="15" hidden="false" customHeight="false" outlineLevel="0" collapsed="false">
      <c r="A744" s="0" t="s">
        <v>132</v>
      </c>
      <c r="B744" s="0" t="n">
        <v>100</v>
      </c>
      <c r="C744" s="0" t="n">
        <v>3800</v>
      </c>
      <c r="D744" s="0" t="n">
        <v>0.0263157894736842</v>
      </c>
      <c r="E744" s="0" t="s">
        <v>2273</v>
      </c>
    </row>
    <row r="745" customFormat="false" ht="15" hidden="false" customHeight="false" outlineLevel="0" collapsed="false">
      <c r="A745" s="0" t="s">
        <v>132</v>
      </c>
      <c r="B745" s="0" t="n">
        <v>200</v>
      </c>
      <c r="C745" s="0" t="n">
        <v>3800</v>
      </c>
      <c r="D745" s="0" t="n">
        <v>0.0526315789473684</v>
      </c>
      <c r="E745" s="0" t="s">
        <v>2287</v>
      </c>
    </row>
    <row r="746" customFormat="false" ht="15" hidden="false" customHeight="false" outlineLevel="0" collapsed="false">
      <c r="A746" s="0" t="s">
        <v>132</v>
      </c>
      <c r="B746" s="0" t="n">
        <v>200</v>
      </c>
      <c r="C746" s="0" t="n">
        <v>3800</v>
      </c>
      <c r="D746" s="0" t="n">
        <v>0.0526315789473684</v>
      </c>
      <c r="E746" s="0" t="s">
        <v>2301</v>
      </c>
    </row>
    <row r="747" customFormat="false" ht="15" hidden="false" customHeight="false" outlineLevel="0" collapsed="false">
      <c r="A747" s="0" t="s">
        <v>132</v>
      </c>
      <c r="B747" s="0" t="n">
        <v>200</v>
      </c>
      <c r="C747" s="0" t="n">
        <v>3800</v>
      </c>
      <c r="D747" s="0" t="n">
        <v>0.0526315789473684</v>
      </c>
      <c r="E747" s="0" t="s">
        <v>2315</v>
      </c>
    </row>
    <row r="748" customFormat="false" ht="15" hidden="false" customHeight="false" outlineLevel="0" collapsed="false">
      <c r="A748" s="0" t="s">
        <v>132</v>
      </c>
      <c r="B748" s="0" t="n">
        <v>200</v>
      </c>
      <c r="C748" s="0" t="n">
        <v>3800</v>
      </c>
      <c r="D748" s="0" t="n">
        <v>0.0526315789473684</v>
      </c>
      <c r="E748" s="0" t="s">
        <v>2332</v>
      </c>
    </row>
    <row r="749" customFormat="false" ht="15" hidden="false" customHeight="false" outlineLevel="0" collapsed="false">
      <c r="A749" s="0" t="s">
        <v>132</v>
      </c>
      <c r="B749" s="0" t="n">
        <v>200</v>
      </c>
      <c r="C749" s="0" t="n">
        <v>3800</v>
      </c>
      <c r="D749" s="0" t="n">
        <v>0.0526315789473684</v>
      </c>
      <c r="E749" s="0" t="s">
        <v>2367</v>
      </c>
    </row>
    <row r="750" customFormat="false" ht="15" hidden="false" customHeight="false" outlineLevel="0" collapsed="false">
      <c r="A750" s="0" t="s">
        <v>132</v>
      </c>
      <c r="B750" s="0" t="n">
        <v>200</v>
      </c>
      <c r="C750" s="0" t="n">
        <v>3800</v>
      </c>
      <c r="D750" s="0" t="n">
        <v>0.0526315789473684</v>
      </c>
      <c r="E750" s="0" t="s">
        <v>2401</v>
      </c>
    </row>
    <row r="751" customFormat="false" ht="15" hidden="false" customHeight="false" outlineLevel="0" collapsed="false">
      <c r="A751" s="0" t="s">
        <v>132</v>
      </c>
      <c r="B751" s="0" t="n">
        <v>200</v>
      </c>
      <c r="C751" s="0" t="n">
        <v>3800</v>
      </c>
      <c r="D751" s="0" t="n">
        <v>0.0526315789473684</v>
      </c>
      <c r="E751" s="0" t="s">
        <v>2416</v>
      </c>
    </row>
    <row r="752" customFormat="false" ht="15" hidden="false" customHeight="false" outlineLevel="0" collapsed="false">
      <c r="A752" s="0" t="s">
        <v>132</v>
      </c>
      <c r="B752" s="0" t="n">
        <v>200</v>
      </c>
      <c r="C752" s="0" t="n">
        <v>3800</v>
      </c>
      <c r="D752" s="0" t="n">
        <v>0.0526315789473684</v>
      </c>
      <c r="E752" s="0" t="s">
        <v>2430</v>
      </c>
    </row>
    <row r="753" customFormat="false" ht="15" hidden="false" customHeight="false" outlineLevel="0" collapsed="false">
      <c r="A753" s="0" t="s">
        <v>132</v>
      </c>
      <c r="B753" s="0" t="n">
        <v>200</v>
      </c>
      <c r="C753" s="0" t="n">
        <v>3800</v>
      </c>
      <c r="D753" s="0" t="n">
        <v>0.0526315789473684</v>
      </c>
      <c r="E753" s="0" t="s">
        <v>2445</v>
      </c>
    </row>
    <row r="754" customFormat="false" ht="15" hidden="false" customHeight="false" outlineLevel="0" collapsed="false">
      <c r="A754" s="0" t="s">
        <v>132</v>
      </c>
      <c r="B754" s="0" t="n">
        <v>200</v>
      </c>
      <c r="C754" s="0" t="n">
        <v>3800</v>
      </c>
      <c r="D754" s="0" t="n">
        <v>0.0526315789473684</v>
      </c>
      <c r="E754" s="0" t="s">
        <v>2483</v>
      </c>
    </row>
    <row r="755" customFormat="false" ht="15" hidden="false" customHeight="false" outlineLevel="0" collapsed="false">
      <c r="A755" s="0" t="s">
        <v>132</v>
      </c>
      <c r="B755" s="0" t="n">
        <v>200</v>
      </c>
      <c r="C755" s="0" t="n">
        <v>3800</v>
      </c>
      <c r="D755" s="0" t="n">
        <v>0.0526315789473684</v>
      </c>
      <c r="E755" s="0" t="s">
        <v>2652</v>
      </c>
    </row>
    <row r="756" customFormat="false" ht="15" hidden="false" customHeight="false" outlineLevel="0" collapsed="false">
      <c r="A756" s="0" t="s">
        <v>132</v>
      </c>
      <c r="B756" s="0" t="n">
        <v>400</v>
      </c>
      <c r="C756" s="0" t="n">
        <v>3800</v>
      </c>
      <c r="D756" s="0" t="n">
        <v>0.105263157894737</v>
      </c>
      <c r="E756" s="0" t="s">
        <v>2671</v>
      </c>
    </row>
    <row r="757" customFormat="false" ht="15" hidden="false" customHeight="false" outlineLevel="0" collapsed="false">
      <c r="A757" s="0" t="s">
        <v>132</v>
      </c>
      <c r="B757" s="0" t="n">
        <v>400</v>
      </c>
      <c r="C757" s="0" t="n">
        <v>4000</v>
      </c>
      <c r="D757" s="0" t="n">
        <v>0.1</v>
      </c>
      <c r="E757" s="0" t="s">
        <v>2691</v>
      </c>
    </row>
    <row r="758" customFormat="false" ht="15" hidden="false" customHeight="false" outlineLevel="0" collapsed="false">
      <c r="A758" s="0" t="s">
        <v>132</v>
      </c>
      <c r="B758" s="0" t="n">
        <v>400</v>
      </c>
      <c r="C758" s="0" t="n">
        <v>4500</v>
      </c>
      <c r="D758" s="0" t="n">
        <v>0.0888888888888889</v>
      </c>
      <c r="E758" s="0" t="s">
        <v>2709</v>
      </c>
    </row>
    <row r="759" customFormat="false" ht="15" hidden="false" customHeight="false" outlineLevel="0" collapsed="false">
      <c r="A759" s="0" t="s">
        <v>132</v>
      </c>
      <c r="B759" s="0" t="n">
        <v>200</v>
      </c>
      <c r="C759" s="0" t="n">
        <v>3800</v>
      </c>
      <c r="D759" s="0" t="n">
        <v>0.0526315789473684</v>
      </c>
      <c r="E759" s="0" t="s">
        <v>2754</v>
      </c>
    </row>
    <row r="760" customFormat="false" ht="15" hidden="false" customHeight="false" outlineLevel="0" collapsed="false">
      <c r="A760" s="0" t="s">
        <v>132</v>
      </c>
      <c r="B760" s="0" t="n">
        <v>200</v>
      </c>
      <c r="C760" s="0" t="n">
        <v>4000</v>
      </c>
      <c r="D760" s="0" t="n">
        <v>0.05</v>
      </c>
      <c r="E760" s="0" t="s">
        <v>2887</v>
      </c>
    </row>
    <row r="761" customFormat="false" ht="15" hidden="false" customHeight="false" outlineLevel="0" collapsed="false">
      <c r="A761" s="0" t="s">
        <v>132</v>
      </c>
      <c r="B761" s="0" t="n">
        <v>200</v>
      </c>
      <c r="C761" s="0" t="n">
        <v>4000</v>
      </c>
      <c r="D761" s="0" t="n">
        <v>0.05</v>
      </c>
      <c r="E761" s="0" t="s">
        <v>2901</v>
      </c>
    </row>
    <row r="762" customFormat="false" ht="15" hidden="false" customHeight="false" outlineLevel="0" collapsed="false">
      <c r="A762" s="0" t="s">
        <v>132</v>
      </c>
      <c r="B762" s="0" t="n">
        <v>200</v>
      </c>
      <c r="C762" s="0" t="n">
        <v>4000</v>
      </c>
      <c r="D762" s="0" t="n">
        <v>0.05</v>
      </c>
      <c r="E762" s="0" t="s">
        <v>2916</v>
      </c>
    </row>
    <row r="763" customFormat="false" ht="15" hidden="false" customHeight="false" outlineLevel="0" collapsed="false">
      <c r="A763" s="0" t="s">
        <v>132</v>
      </c>
      <c r="B763" s="0" t="n">
        <v>200</v>
      </c>
      <c r="C763" s="0" t="n">
        <v>4000</v>
      </c>
      <c r="D763" s="0" t="n">
        <v>0.05</v>
      </c>
      <c r="E763" s="0" t="s">
        <v>2933</v>
      </c>
    </row>
    <row r="764" customFormat="false" ht="15" hidden="false" customHeight="false" outlineLevel="0" collapsed="false">
      <c r="A764" s="0" t="s">
        <v>132</v>
      </c>
      <c r="B764" s="0" t="n">
        <v>200</v>
      </c>
      <c r="C764" s="0" t="n">
        <v>4000</v>
      </c>
      <c r="D764" s="0" t="n">
        <v>0.05</v>
      </c>
      <c r="E764" s="0" t="s">
        <v>2953</v>
      </c>
    </row>
    <row r="765" customFormat="false" ht="15" hidden="false" customHeight="false" outlineLevel="0" collapsed="false">
      <c r="A765" s="0" t="s">
        <v>132</v>
      </c>
      <c r="B765" s="0" t="n">
        <v>200</v>
      </c>
      <c r="C765" s="0" t="n">
        <v>4000</v>
      </c>
      <c r="D765" s="0" t="n">
        <v>0.05</v>
      </c>
      <c r="E765" s="0" t="s">
        <v>2966</v>
      </c>
    </row>
    <row r="766" customFormat="false" ht="15" hidden="false" customHeight="false" outlineLevel="0" collapsed="false">
      <c r="A766" s="0" t="s">
        <v>132</v>
      </c>
      <c r="B766" s="0" t="n">
        <v>200</v>
      </c>
      <c r="C766" s="0" t="n">
        <v>4000</v>
      </c>
      <c r="D766" s="0" t="n">
        <v>0.05</v>
      </c>
      <c r="E766" s="0" t="s">
        <v>3256</v>
      </c>
    </row>
    <row r="767" customFormat="false" ht="15" hidden="false" customHeight="false" outlineLevel="0" collapsed="false">
      <c r="A767" s="0" t="s">
        <v>132</v>
      </c>
      <c r="B767" s="0" t="n">
        <v>200</v>
      </c>
      <c r="C767" s="0" t="n">
        <v>4000</v>
      </c>
      <c r="D767" s="0" t="n">
        <v>0.05</v>
      </c>
      <c r="E767" s="0" t="s">
        <v>3269</v>
      </c>
    </row>
    <row r="768" customFormat="false" ht="15" hidden="false" customHeight="false" outlineLevel="0" collapsed="false">
      <c r="A768" s="0" t="s">
        <v>132</v>
      </c>
      <c r="B768" s="0" t="n">
        <v>200</v>
      </c>
      <c r="C768" s="0" t="n">
        <v>4000</v>
      </c>
      <c r="D768" s="0" t="n">
        <v>0.05</v>
      </c>
      <c r="E768" s="0" t="s">
        <v>3285</v>
      </c>
    </row>
    <row r="769" customFormat="false" ht="15" hidden="false" customHeight="false" outlineLevel="0" collapsed="false">
      <c r="A769" s="0" t="s">
        <v>132</v>
      </c>
      <c r="B769" s="0" t="n">
        <v>200</v>
      </c>
      <c r="C769" s="0" t="n">
        <v>4000</v>
      </c>
      <c r="D769" s="0" t="n">
        <v>0.05</v>
      </c>
      <c r="E769" s="0" t="s">
        <v>3305</v>
      </c>
    </row>
    <row r="770" customFormat="false" ht="15" hidden="false" customHeight="false" outlineLevel="0" collapsed="false">
      <c r="A770" s="0" t="s">
        <v>132</v>
      </c>
      <c r="B770" s="0" t="n">
        <v>200</v>
      </c>
      <c r="C770" s="0" t="n">
        <v>4000</v>
      </c>
      <c r="D770" s="0" t="n">
        <v>0.05</v>
      </c>
      <c r="E770" s="0" t="s">
        <v>3324</v>
      </c>
    </row>
    <row r="771" customFormat="false" ht="15" hidden="false" customHeight="false" outlineLevel="0" collapsed="false">
      <c r="A771" s="0" t="s">
        <v>132</v>
      </c>
      <c r="B771" s="0" t="n">
        <v>200</v>
      </c>
      <c r="C771" s="0" t="n">
        <v>4000</v>
      </c>
      <c r="D771" s="0" t="n">
        <v>0.05</v>
      </c>
      <c r="E771" s="0" t="s">
        <v>3338</v>
      </c>
    </row>
    <row r="772" customFormat="false" ht="15" hidden="false" customHeight="false" outlineLevel="0" collapsed="false">
      <c r="A772" s="0" t="s">
        <v>134</v>
      </c>
      <c r="B772" s="0" t="n">
        <v>500</v>
      </c>
      <c r="C772" s="0" t="n">
        <v>4000</v>
      </c>
      <c r="D772" s="0" t="n">
        <v>0.125</v>
      </c>
      <c r="E772" s="0" t="s">
        <v>135</v>
      </c>
    </row>
    <row r="773" customFormat="false" ht="15" hidden="false" customHeight="false" outlineLevel="0" collapsed="false">
      <c r="A773" s="0" t="s">
        <v>134</v>
      </c>
      <c r="B773" s="0" t="n">
        <v>200</v>
      </c>
      <c r="C773" s="0" t="n">
        <v>4000</v>
      </c>
      <c r="D773" s="0" t="n">
        <v>0.05</v>
      </c>
      <c r="E773" s="0" t="s">
        <v>163</v>
      </c>
    </row>
    <row r="774" customFormat="false" ht="15" hidden="false" customHeight="false" outlineLevel="0" collapsed="false">
      <c r="A774" s="0" t="s">
        <v>134</v>
      </c>
      <c r="B774" s="0" t="n">
        <v>200</v>
      </c>
      <c r="C774" s="0" t="n">
        <v>4000</v>
      </c>
      <c r="D774" s="0" t="n">
        <v>0.05</v>
      </c>
      <c r="E774" s="0" t="s">
        <v>192</v>
      </c>
    </row>
    <row r="775" customFormat="false" ht="15" hidden="false" customHeight="false" outlineLevel="0" collapsed="false">
      <c r="A775" s="0" t="s">
        <v>134</v>
      </c>
      <c r="B775" s="0" t="n">
        <v>200</v>
      </c>
      <c r="C775" s="0" t="n">
        <v>4000</v>
      </c>
      <c r="D775" s="0" t="n">
        <v>0.05</v>
      </c>
      <c r="E775" s="0" t="s">
        <v>535</v>
      </c>
    </row>
    <row r="776" customFormat="false" ht="15" hidden="false" customHeight="false" outlineLevel="0" collapsed="false">
      <c r="A776" s="0" t="s">
        <v>134</v>
      </c>
      <c r="B776" s="0" t="n">
        <v>200</v>
      </c>
      <c r="C776" s="0" t="n">
        <v>4000</v>
      </c>
      <c r="D776" s="0" t="n">
        <v>0.05</v>
      </c>
      <c r="E776" s="0" t="s">
        <v>549</v>
      </c>
    </row>
    <row r="777" customFormat="false" ht="15" hidden="false" customHeight="false" outlineLevel="0" collapsed="false">
      <c r="A777" s="0" t="s">
        <v>134</v>
      </c>
      <c r="B777" s="0" t="n">
        <v>200</v>
      </c>
      <c r="C777" s="0" t="n">
        <v>4000</v>
      </c>
      <c r="D777" s="0" t="n">
        <v>0.05</v>
      </c>
      <c r="E777" s="0" t="s">
        <v>565</v>
      </c>
    </row>
    <row r="778" customFormat="false" ht="15" hidden="false" customHeight="false" outlineLevel="0" collapsed="false">
      <c r="A778" s="0" t="s">
        <v>134</v>
      </c>
      <c r="B778" s="0" t="n">
        <v>200</v>
      </c>
      <c r="C778" s="0" t="n">
        <v>4000</v>
      </c>
      <c r="D778" s="0" t="n">
        <v>0.05</v>
      </c>
      <c r="E778" s="0" t="s">
        <v>586</v>
      </c>
    </row>
    <row r="779" customFormat="false" ht="15" hidden="false" customHeight="false" outlineLevel="0" collapsed="false">
      <c r="A779" s="0" t="s">
        <v>134</v>
      </c>
      <c r="B779" s="0" t="n">
        <v>200</v>
      </c>
      <c r="C779" s="0" t="n">
        <v>4000</v>
      </c>
      <c r="D779" s="0" t="n">
        <v>0.05</v>
      </c>
      <c r="E779" s="0" t="s">
        <v>604</v>
      </c>
    </row>
    <row r="780" customFormat="false" ht="15" hidden="false" customHeight="false" outlineLevel="0" collapsed="false">
      <c r="A780" s="0" t="s">
        <v>134</v>
      </c>
      <c r="B780" s="0" t="n">
        <v>200</v>
      </c>
      <c r="C780" s="0" t="n">
        <v>4000</v>
      </c>
      <c r="D780" s="0" t="n">
        <v>0.05</v>
      </c>
      <c r="E780" s="0" t="s">
        <v>618</v>
      </c>
    </row>
    <row r="781" customFormat="false" ht="15" hidden="false" customHeight="false" outlineLevel="0" collapsed="false">
      <c r="A781" s="0" t="s">
        <v>134</v>
      </c>
      <c r="B781" s="0" t="n">
        <v>200</v>
      </c>
      <c r="C781" s="0" t="n">
        <v>3800</v>
      </c>
      <c r="D781" s="0" t="n">
        <v>0.0526315789473684</v>
      </c>
      <c r="E781" s="0" t="s">
        <v>763</v>
      </c>
    </row>
    <row r="782" customFormat="false" ht="15" hidden="false" customHeight="false" outlineLevel="0" collapsed="false">
      <c r="A782" s="0" t="s">
        <v>134</v>
      </c>
      <c r="B782" s="0" t="n">
        <v>200</v>
      </c>
      <c r="C782" s="0" t="n">
        <v>3800</v>
      </c>
      <c r="D782" s="0" t="n">
        <v>0.0526315789473684</v>
      </c>
      <c r="E782" s="0" t="s">
        <v>806</v>
      </c>
    </row>
    <row r="783" customFormat="false" ht="15" hidden="false" customHeight="false" outlineLevel="0" collapsed="false">
      <c r="A783" s="0" t="s">
        <v>134</v>
      </c>
      <c r="B783" s="0" t="n">
        <v>200</v>
      </c>
      <c r="C783" s="0" t="n">
        <v>3800</v>
      </c>
      <c r="D783" s="0" t="n">
        <v>0.0526315789473684</v>
      </c>
      <c r="E783" s="0" t="s">
        <v>820</v>
      </c>
    </row>
    <row r="784" customFormat="false" ht="15" hidden="false" customHeight="false" outlineLevel="0" collapsed="false">
      <c r="A784" s="0" t="s">
        <v>134</v>
      </c>
      <c r="B784" s="0" t="n">
        <v>200</v>
      </c>
      <c r="C784" s="0" t="n">
        <v>3800</v>
      </c>
      <c r="D784" s="0" t="n">
        <v>0.0526315789473684</v>
      </c>
      <c r="E784" s="0" t="s">
        <v>903</v>
      </c>
    </row>
    <row r="785" customFormat="false" ht="15" hidden="false" customHeight="false" outlineLevel="0" collapsed="false">
      <c r="A785" s="0" t="s">
        <v>134</v>
      </c>
      <c r="B785" s="0" t="n">
        <v>200</v>
      </c>
      <c r="C785" s="0" t="n">
        <v>3800</v>
      </c>
      <c r="D785" s="0" t="n">
        <v>0.0526315789473684</v>
      </c>
      <c r="E785" s="0" t="s">
        <v>931</v>
      </c>
    </row>
    <row r="786" customFormat="false" ht="15" hidden="false" customHeight="false" outlineLevel="0" collapsed="false">
      <c r="A786" s="0" t="s">
        <v>134</v>
      </c>
      <c r="B786" s="0" t="n">
        <v>200</v>
      </c>
      <c r="C786" s="0" t="n">
        <v>3800</v>
      </c>
      <c r="D786" s="0" t="n">
        <v>0.0526315789473684</v>
      </c>
      <c r="E786" s="0" t="s">
        <v>947</v>
      </c>
    </row>
    <row r="787" customFormat="false" ht="15" hidden="false" customHeight="false" outlineLevel="0" collapsed="false">
      <c r="A787" s="0" t="s">
        <v>134</v>
      </c>
      <c r="B787" s="0" t="n">
        <v>200</v>
      </c>
      <c r="C787" s="0" t="n">
        <v>3800</v>
      </c>
      <c r="D787" s="0" t="n">
        <v>0.0526315789473684</v>
      </c>
      <c r="E787" s="0" t="s">
        <v>964</v>
      </c>
    </row>
    <row r="788" customFormat="false" ht="15" hidden="false" customHeight="false" outlineLevel="0" collapsed="false">
      <c r="A788" s="0" t="s">
        <v>134</v>
      </c>
      <c r="B788" s="0" t="n">
        <v>200</v>
      </c>
      <c r="C788" s="0" t="n">
        <v>4000</v>
      </c>
      <c r="D788" s="0" t="n">
        <v>0.05</v>
      </c>
      <c r="E788" s="0" t="s">
        <v>999</v>
      </c>
    </row>
    <row r="789" customFormat="false" ht="15" hidden="false" customHeight="false" outlineLevel="0" collapsed="false">
      <c r="A789" s="0" t="s">
        <v>134</v>
      </c>
      <c r="B789" s="0" t="n">
        <v>500</v>
      </c>
      <c r="C789" s="0" t="n">
        <v>4000</v>
      </c>
      <c r="D789" s="0" t="n">
        <v>0.125</v>
      </c>
      <c r="E789" s="0" t="s">
        <v>1013</v>
      </c>
    </row>
    <row r="790" customFormat="false" ht="15" hidden="false" customHeight="false" outlineLevel="0" collapsed="false">
      <c r="A790" s="0" t="s">
        <v>134</v>
      </c>
      <c r="B790" s="0" t="n">
        <v>200</v>
      </c>
      <c r="C790" s="0" t="n">
        <v>4000</v>
      </c>
      <c r="D790" s="0" t="n">
        <v>0.05</v>
      </c>
      <c r="E790" s="0" t="s">
        <v>1027</v>
      </c>
    </row>
    <row r="791" customFormat="false" ht="15" hidden="false" customHeight="false" outlineLevel="0" collapsed="false">
      <c r="A791" s="0" t="s">
        <v>134</v>
      </c>
      <c r="B791" s="0" t="n">
        <v>200</v>
      </c>
      <c r="C791" s="0" t="n">
        <v>3800</v>
      </c>
      <c r="D791" s="0" t="n">
        <v>0.0526315789473684</v>
      </c>
      <c r="E791" s="0" t="s">
        <v>1044</v>
      </c>
    </row>
    <row r="792" customFormat="false" ht="15" hidden="false" customHeight="false" outlineLevel="0" collapsed="false">
      <c r="A792" s="0" t="s">
        <v>134</v>
      </c>
      <c r="B792" s="0" t="n">
        <v>200</v>
      </c>
      <c r="C792" s="0" t="n">
        <v>3800</v>
      </c>
      <c r="D792" s="0" t="n">
        <v>0.0526315789473684</v>
      </c>
      <c r="E792" s="0" t="s">
        <v>1058</v>
      </c>
    </row>
    <row r="793" customFormat="false" ht="15" hidden="false" customHeight="false" outlineLevel="0" collapsed="false">
      <c r="A793" s="0" t="s">
        <v>134</v>
      </c>
      <c r="B793" s="0" t="n">
        <v>200</v>
      </c>
      <c r="C793" s="0" t="n">
        <v>3800</v>
      </c>
      <c r="D793" s="0" t="n">
        <v>0.0526315789473684</v>
      </c>
      <c r="E793" s="0" t="s">
        <v>1074</v>
      </c>
    </row>
    <row r="794" customFormat="false" ht="15" hidden="false" customHeight="false" outlineLevel="0" collapsed="false">
      <c r="A794" s="0" t="s">
        <v>134</v>
      </c>
      <c r="B794" s="0" t="n">
        <v>50</v>
      </c>
      <c r="C794" s="0" t="n">
        <v>4000</v>
      </c>
      <c r="D794" s="0" t="n">
        <v>0.0125</v>
      </c>
      <c r="E794" s="0" t="s">
        <v>1091</v>
      </c>
    </row>
    <row r="795" customFormat="false" ht="15" hidden="false" customHeight="false" outlineLevel="0" collapsed="false">
      <c r="A795" s="0" t="s">
        <v>134</v>
      </c>
      <c r="B795" s="0" t="n">
        <v>200</v>
      </c>
      <c r="C795" s="0" t="n">
        <v>4000</v>
      </c>
      <c r="D795" s="0" t="n">
        <v>0.05</v>
      </c>
      <c r="E795" s="0" t="s">
        <v>1105</v>
      </c>
    </row>
    <row r="796" customFormat="false" ht="15" hidden="false" customHeight="false" outlineLevel="0" collapsed="false">
      <c r="A796" s="0" t="s">
        <v>134</v>
      </c>
      <c r="B796" s="0" t="n">
        <v>200</v>
      </c>
      <c r="C796" s="0" t="n">
        <v>4000</v>
      </c>
      <c r="D796" s="0" t="n">
        <v>0.05</v>
      </c>
      <c r="E796" s="0" t="s">
        <v>1120</v>
      </c>
    </row>
    <row r="797" customFormat="false" ht="15" hidden="false" customHeight="false" outlineLevel="0" collapsed="false">
      <c r="A797" s="0" t="s">
        <v>134</v>
      </c>
      <c r="B797" s="0" t="n">
        <v>50</v>
      </c>
      <c r="C797" s="0" t="n">
        <v>4000</v>
      </c>
      <c r="D797" s="0" t="n">
        <v>0.0125</v>
      </c>
      <c r="E797" s="0" t="s">
        <v>1206</v>
      </c>
    </row>
    <row r="798" customFormat="false" ht="15" hidden="false" customHeight="false" outlineLevel="0" collapsed="false">
      <c r="A798" s="0" t="s">
        <v>134</v>
      </c>
      <c r="B798" s="0" t="n">
        <v>200</v>
      </c>
      <c r="C798" s="0" t="n">
        <v>4000</v>
      </c>
      <c r="D798" s="0" t="n">
        <v>0.05</v>
      </c>
      <c r="E798" s="0" t="s">
        <v>1221</v>
      </c>
    </row>
    <row r="799" customFormat="false" ht="15" hidden="false" customHeight="false" outlineLevel="0" collapsed="false">
      <c r="A799" s="0" t="s">
        <v>134</v>
      </c>
      <c r="B799" s="0" t="n">
        <v>200</v>
      </c>
      <c r="C799" s="0" t="n">
        <v>4000</v>
      </c>
      <c r="D799" s="0" t="n">
        <v>0.05</v>
      </c>
      <c r="E799" s="0" t="s">
        <v>1235</v>
      </c>
    </row>
    <row r="800" customFormat="false" ht="15" hidden="false" customHeight="false" outlineLevel="0" collapsed="false">
      <c r="A800" s="0" t="s">
        <v>134</v>
      </c>
      <c r="B800" s="0" t="n">
        <v>50</v>
      </c>
      <c r="C800" s="0" t="n">
        <v>4000</v>
      </c>
      <c r="D800" s="0" t="n">
        <v>0.0125</v>
      </c>
      <c r="E800" s="0" t="s">
        <v>1250</v>
      </c>
    </row>
    <row r="801" customFormat="false" ht="15" hidden="false" customHeight="false" outlineLevel="0" collapsed="false">
      <c r="A801" s="0" t="s">
        <v>134</v>
      </c>
      <c r="B801" s="0" t="n">
        <v>100</v>
      </c>
      <c r="C801" s="0" t="n">
        <v>4000</v>
      </c>
      <c r="D801" s="0" t="n">
        <v>0.025</v>
      </c>
      <c r="E801" s="0" t="s">
        <v>1313</v>
      </c>
    </row>
    <row r="802" customFormat="false" ht="15" hidden="false" customHeight="false" outlineLevel="0" collapsed="false">
      <c r="A802" s="0" t="s">
        <v>134</v>
      </c>
      <c r="B802" s="0" t="n">
        <v>200</v>
      </c>
      <c r="C802" s="0" t="n">
        <v>4000</v>
      </c>
      <c r="D802" s="0" t="n">
        <v>0.05</v>
      </c>
      <c r="E802" s="0" t="s">
        <v>1343</v>
      </c>
    </row>
    <row r="803" customFormat="false" ht="15" hidden="false" customHeight="false" outlineLevel="0" collapsed="false">
      <c r="A803" s="0" t="s">
        <v>134</v>
      </c>
      <c r="B803" s="0" t="n">
        <v>50</v>
      </c>
      <c r="C803" s="0" t="n">
        <v>4000</v>
      </c>
      <c r="D803" s="0" t="n">
        <v>0.0125</v>
      </c>
      <c r="E803" s="0" t="s">
        <v>1371</v>
      </c>
    </row>
    <row r="804" customFormat="false" ht="15" hidden="false" customHeight="false" outlineLevel="0" collapsed="false">
      <c r="A804" s="0" t="s">
        <v>134</v>
      </c>
      <c r="B804" s="0" t="n">
        <v>200</v>
      </c>
      <c r="C804" s="0" t="n">
        <v>4000</v>
      </c>
      <c r="D804" s="0" t="n">
        <v>0.05</v>
      </c>
      <c r="E804" s="0" t="s">
        <v>1385</v>
      </c>
    </row>
    <row r="805" customFormat="false" ht="15" hidden="false" customHeight="false" outlineLevel="0" collapsed="false">
      <c r="A805" s="0" t="s">
        <v>134</v>
      </c>
      <c r="B805" s="0" t="n">
        <v>100</v>
      </c>
      <c r="C805" s="0" t="n">
        <v>3800</v>
      </c>
      <c r="D805" s="0" t="n">
        <v>0.0263157894736842</v>
      </c>
      <c r="E805" s="0" t="s">
        <v>1465</v>
      </c>
    </row>
    <row r="806" customFormat="false" ht="15" hidden="false" customHeight="false" outlineLevel="0" collapsed="false">
      <c r="A806" s="0" t="s">
        <v>134</v>
      </c>
      <c r="B806" s="0" t="n">
        <v>200</v>
      </c>
      <c r="C806" s="0" t="n">
        <v>3800</v>
      </c>
      <c r="D806" s="0" t="n">
        <v>0.0526315789473684</v>
      </c>
      <c r="E806" s="0" t="s">
        <v>1480</v>
      </c>
    </row>
    <row r="807" customFormat="false" ht="15" hidden="false" customHeight="false" outlineLevel="0" collapsed="false">
      <c r="A807" s="0" t="s">
        <v>134</v>
      </c>
      <c r="B807" s="0" t="n">
        <v>200</v>
      </c>
      <c r="C807" s="0" t="n">
        <v>3800</v>
      </c>
      <c r="D807" s="0" t="n">
        <v>0.0526315789473684</v>
      </c>
      <c r="E807" s="0" t="s">
        <v>1496</v>
      </c>
    </row>
    <row r="808" customFormat="false" ht="15" hidden="false" customHeight="false" outlineLevel="0" collapsed="false">
      <c r="A808" s="0" t="s">
        <v>134</v>
      </c>
      <c r="B808" s="0" t="n">
        <v>200</v>
      </c>
      <c r="C808" s="0" t="n">
        <v>3800</v>
      </c>
      <c r="D808" s="0" t="n">
        <v>0.0526315789473684</v>
      </c>
      <c r="E808" s="0" t="s">
        <v>1511</v>
      </c>
    </row>
    <row r="809" customFormat="false" ht="15" hidden="false" customHeight="false" outlineLevel="0" collapsed="false">
      <c r="A809" s="0" t="s">
        <v>134</v>
      </c>
      <c r="B809" s="0" t="n">
        <v>200</v>
      </c>
      <c r="C809" s="0" t="n">
        <v>3800</v>
      </c>
      <c r="D809" s="0" t="n">
        <v>0.0526315789473684</v>
      </c>
      <c r="E809" s="0" t="s">
        <v>1544</v>
      </c>
    </row>
    <row r="810" customFormat="false" ht="15" hidden="false" customHeight="false" outlineLevel="0" collapsed="false">
      <c r="A810" s="0" t="s">
        <v>134</v>
      </c>
      <c r="B810" s="0" t="n">
        <v>200</v>
      </c>
      <c r="C810" s="0" t="n">
        <v>3800</v>
      </c>
      <c r="D810" s="0" t="n">
        <v>0.0526315789473684</v>
      </c>
      <c r="E810" s="0" t="s">
        <v>1560</v>
      </c>
    </row>
    <row r="811" customFormat="false" ht="15" hidden="false" customHeight="false" outlineLevel="0" collapsed="false">
      <c r="A811" s="0" t="s">
        <v>134</v>
      </c>
      <c r="B811" s="0" t="n">
        <v>500</v>
      </c>
      <c r="C811" s="0" t="n">
        <v>3800</v>
      </c>
      <c r="D811" s="0" t="n">
        <v>0.131578947368421</v>
      </c>
      <c r="E811" s="0" t="s">
        <v>1590</v>
      </c>
    </row>
    <row r="812" customFormat="false" ht="15" hidden="false" customHeight="false" outlineLevel="0" collapsed="false">
      <c r="A812" s="0" t="s">
        <v>134</v>
      </c>
      <c r="B812" s="0" t="n">
        <v>500</v>
      </c>
      <c r="C812" s="0" t="n">
        <v>3800</v>
      </c>
      <c r="D812" s="0" t="n">
        <v>0.131578947368421</v>
      </c>
      <c r="E812" s="0" t="s">
        <v>1624</v>
      </c>
    </row>
    <row r="813" customFormat="false" ht="15" hidden="false" customHeight="false" outlineLevel="0" collapsed="false">
      <c r="A813" s="0" t="s">
        <v>134</v>
      </c>
      <c r="B813" s="0" t="n">
        <v>200</v>
      </c>
      <c r="C813" s="0" t="n">
        <v>3800</v>
      </c>
      <c r="D813" s="0" t="n">
        <v>0.0526315789473684</v>
      </c>
      <c r="E813" s="0" t="s">
        <v>1640</v>
      </c>
    </row>
    <row r="814" customFormat="false" ht="15" hidden="false" customHeight="false" outlineLevel="0" collapsed="false">
      <c r="A814" s="0" t="s">
        <v>134</v>
      </c>
      <c r="B814" s="0" t="n">
        <v>200</v>
      </c>
      <c r="C814" s="0" t="n">
        <v>3800</v>
      </c>
      <c r="D814" s="0" t="n">
        <v>0.0526315789473684</v>
      </c>
      <c r="E814" s="0" t="s">
        <v>1681</v>
      </c>
    </row>
    <row r="815" customFormat="false" ht="15" hidden="false" customHeight="false" outlineLevel="0" collapsed="false">
      <c r="A815" s="0" t="s">
        <v>134</v>
      </c>
      <c r="B815" s="0" t="n">
        <v>250</v>
      </c>
      <c r="C815" s="0" t="n">
        <v>3800</v>
      </c>
      <c r="D815" s="0" t="n">
        <v>0.0657894736842105</v>
      </c>
      <c r="E815" s="0" t="s">
        <v>1790</v>
      </c>
    </row>
    <row r="816" customFormat="false" ht="15" hidden="false" customHeight="false" outlineLevel="0" collapsed="false">
      <c r="A816" s="0" t="s">
        <v>134</v>
      </c>
      <c r="B816" s="0" t="n">
        <v>200</v>
      </c>
      <c r="C816" s="0" t="n">
        <v>3800</v>
      </c>
      <c r="D816" s="0" t="n">
        <v>0.0526315789473684</v>
      </c>
      <c r="E816" s="0" t="s">
        <v>1863</v>
      </c>
    </row>
    <row r="817" customFormat="false" ht="15" hidden="false" customHeight="false" outlineLevel="0" collapsed="false">
      <c r="A817" s="0" t="s">
        <v>134</v>
      </c>
      <c r="B817" s="0" t="n">
        <v>200</v>
      </c>
      <c r="C817" s="0" t="n">
        <v>3800</v>
      </c>
      <c r="D817" s="0" t="n">
        <v>0.0526315789473684</v>
      </c>
      <c r="E817" s="0" t="s">
        <v>1880</v>
      </c>
    </row>
    <row r="818" customFormat="false" ht="15" hidden="false" customHeight="false" outlineLevel="0" collapsed="false">
      <c r="A818" s="0" t="s">
        <v>134</v>
      </c>
      <c r="B818" s="0" t="n">
        <v>200</v>
      </c>
      <c r="C818" s="0" t="n">
        <v>3800</v>
      </c>
      <c r="D818" s="0" t="n">
        <v>0.0526315789473684</v>
      </c>
      <c r="E818" s="0" t="s">
        <v>1895</v>
      </c>
    </row>
    <row r="819" customFormat="false" ht="15" hidden="false" customHeight="false" outlineLevel="0" collapsed="false">
      <c r="A819" s="0" t="s">
        <v>134</v>
      </c>
      <c r="B819" s="0" t="n">
        <v>200</v>
      </c>
      <c r="C819" s="0" t="n">
        <v>3800</v>
      </c>
      <c r="D819" s="0" t="n">
        <v>0.0526315789473684</v>
      </c>
      <c r="E819" s="0" t="s">
        <v>1910</v>
      </c>
    </row>
    <row r="820" customFormat="false" ht="15" hidden="false" customHeight="false" outlineLevel="0" collapsed="false">
      <c r="A820" s="0" t="s">
        <v>134</v>
      </c>
      <c r="B820" s="0" t="n">
        <v>200</v>
      </c>
      <c r="C820" s="0" t="n">
        <v>4000</v>
      </c>
      <c r="D820" s="0" t="n">
        <v>0.05</v>
      </c>
      <c r="E820" s="0" t="s">
        <v>1962</v>
      </c>
    </row>
    <row r="821" customFormat="false" ht="15" hidden="false" customHeight="false" outlineLevel="0" collapsed="false">
      <c r="A821" s="0" t="s">
        <v>134</v>
      </c>
      <c r="B821" s="0" t="n">
        <v>200</v>
      </c>
      <c r="C821" s="0" t="n">
        <v>4000</v>
      </c>
      <c r="D821" s="0" t="n">
        <v>0.05</v>
      </c>
      <c r="E821" s="0" t="s">
        <v>2010</v>
      </c>
    </row>
    <row r="822" customFormat="false" ht="15" hidden="false" customHeight="false" outlineLevel="0" collapsed="false">
      <c r="A822" s="0" t="s">
        <v>134</v>
      </c>
      <c r="B822" s="0" t="n">
        <v>200</v>
      </c>
      <c r="C822" s="0" t="n">
        <v>4000</v>
      </c>
      <c r="D822" s="0" t="n">
        <v>0.05</v>
      </c>
      <c r="E822" s="0" t="s">
        <v>2025</v>
      </c>
    </row>
    <row r="823" customFormat="false" ht="15" hidden="false" customHeight="false" outlineLevel="0" collapsed="false">
      <c r="A823" s="0" t="s">
        <v>134</v>
      </c>
      <c r="B823" s="0" t="n">
        <v>200</v>
      </c>
      <c r="C823" s="0" t="n">
        <v>3800</v>
      </c>
      <c r="D823" s="0" t="n">
        <v>0.0526315789473684</v>
      </c>
      <c r="E823" s="0" t="s">
        <v>2073</v>
      </c>
    </row>
    <row r="824" customFormat="false" ht="15" hidden="false" customHeight="false" outlineLevel="0" collapsed="false">
      <c r="A824" s="0" t="s">
        <v>134</v>
      </c>
      <c r="B824" s="0" t="n">
        <v>500</v>
      </c>
      <c r="C824" s="0" t="n">
        <v>4000</v>
      </c>
      <c r="D824" s="0" t="n">
        <v>0.125</v>
      </c>
      <c r="E824" s="0" t="s">
        <v>2104</v>
      </c>
    </row>
    <row r="825" customFormat="false" ht="15" hidden="false" customHeight="false" outlineLevel="0" collapsed="false">
      <c r="A825" s="0" t="s">
        <v>134</v>
      </c>
      <c r="B825" s="0" t="n">
        <v>200</v>
      </c>
      <c r="C825" s="0" t="n">
        <v>3800</v>
      </c>
      <c r="D825" s="0" t="n">
        <v>0.0526315789473684</v>
      </c>
      <c r="E825" s="0" t="s">
        <v>2139</v>
      </c>
    </row>
    <row r="826" customFormat="false" ht="15" hidden="false" customHeight="false" outlineLevel="0" collapsed="false">
      <c r="A826" s="0" t="s">
        <v>134</v>
      </c>
      <c r="B826" s="0" t="n">
        <v>200</v>
      </c>
      <c r="C826" s="0" t="n">
        <v>3800</v>
      </c>
      <c r="D826" s="0" t="n">
        <v>0.0526315789473684</v>
      </c>
      <c r="E826" s="0" t="s">
        <v>2154</v>
      </c>
    </row>
    <row r="827" customFormat="false" ht="15" hidden="false" customHeight="false" outlineLevel="0" collapsed="false">
      <c r="A827" s="0" t="s">
        <v>134</v>
      </c>
      <c r="B827" s="0" t="n">
        <v>200</v>
      </c>
      <c r="C827" s="0" t="n">
        <v>3800</v>
      </c>
      <c r="D827" s="0" t="n">
        <v>0.0526315789473684</v>
      </c>
      <c r="E827" s="0" t="s">
        <v>2170</v>
      </c>
    </row>
    <row r="828" customFormat="false" ht="15" hidden="false" customHeight="false" outlineLevel="0" collapsed="false">
      <c r="A828" s="0" t="s">
        <v>134</v>
      </c>
      <c r="B828" s="0" t="n">
        <v>200</v>
      </c>
      <c r="C828" s="0" t="n">
        <v>3800</v>
      </c>
      <c r="D828" s="0" t="n">
        <v>0.0526315789473684</v>
      </c>
      <c r="E828" s="0" t="s">
        <v>2185</v>
      </c>
    </row>
    <row r="829" customFormat="false" ht="15" hidden="false" customHeight="false" outlineLevel="0" collapsed="false">
      <c r="A829" s="0" t="s">
        <v>134</v>
      </c>
      <c r="B829" s="0" t="n">
        <v>200</v>
      </c>
      <c r="C829" s="0" t="n">
        <v>3800</v>
      </c>
      <c r="D829" s="0" t="n">
        <v>0.0526315789473684</v>
      </c>
      <c r="E829" s="0" t="s">
        <v>2200</v>
      </c>
    </row>
    <row r="830" customFormat="false" ht="15" hidden="false" customHeight="false" outlineLevel="0" collapsed="false">
      <c r="A830" s="0" t="s">
        <v>134</v>
      </c>
      <c r="B830" s="0" t="n">
        <v>200</v>
      </c>
      <c r="C830" s="0" t="n">
        <v>3800</v>
      </c>
      <c r="D830" s="0" t="n">
        <v>0.0526315789473684</v>
      </c>
      <c r="E830" s="0" t="s">
        <v>2214</v>
      </c>
    </row>
    <row r="831" customFormat="false" ht="15" hidden="false" customHeight="false" outlineLevel="0" collapsed="false">
      <c r="A831" s="0" t="s">
        <v>134</v>
      </c>
      <c r="B831" s="0" t="n">
        <v>200</v>
      </c>
      <c r="C831" s="0" t="n">
        <v>3800</v>
      </c>
      <c r="D831" s="0" t="n">
        <v>0.0526315789473684</v>
      </c>
      <c r="E831" s="0" t="s">
        <v>2231</v>
      </c>
    </row>
    <row r="832" customFormat="false" ht="15" hidden="false" customHeight="false" outlineLevel="0" collapsed="false">
      <c r="A832" s="0" t="s">
        <v>134</v>
      </c>
      <c r="B832" s="0" t="n">
        <v>200</v>
      </c>
      <c r="C832" s="0" t="n">
        <v>3800</v>
      </c>
      <c r="D832" s="0" t="n">
        <v>0.0526315789473684</v>
      </c>
      <c r="E832" s="0" t="s">
        <v>2245</v>
      </c>
    </row>
    <row r="833" customFormat="false" ht="15" hidden="false" customHeight="false" outlineLevel="0" collapsed="false">
      <c r="A833" s="0" t="s">
        <v>134</v>
      </c>
      <c r="B833" s="0" t="n">
        <v>100</v>
      </c>
      <c r="C833" s="0" t="n">
        <v>3800</v>
      </c>
      <c r="D833" s="0" t="n">
        <v>0.0263157894736842</v>
      </c>
      <c r="E833" s="0" t="s">
        <v>2274</v>
      </c>
    </row>
    <row r="834" customFormat="false" ht="15" hidden="false" customHeight="false" outlineLevel="0" collapsed="false">
      <c r="A834" s="0" t="s">
        <v>134</v>
      </c>
      <c r="B834" s="0" t="n">
        <v>200</v>
      </c>
      <c r="C834" s="0" t="n">
        <v>3800</v>
      </c>
      <c r="D834" s="0" t="n">
        <v>0.0526315789473684</v>
      </c>
      <c r="E834" s="0" t="s">
        <v>2288</v>
      </c>
    </row>
    <row r="835" customFormat="false" ht="15" hidden="false" customHeight="false" outlineLevel="0" collapsed="false">
      <c r="A835" s="0" t="s">
        <v>134</v>
      </c>
      <c r="B835" s="0" t="n">
        <v>200</v>
      </c>
      <c r="C835" s="0" t="n">
        <v>3800</v>
      </c>
      <c r="D835" s="0" t="n">
        <v>0.0526315789473684</v>
      </c>
      <c r="E835" s="0" t="s">
        <v>2302</v>
      </c>
    </row>
    <row r="836" customFormat="false" ht="15" hidden="false" customHeight="false" outlineLevel="0" collapsed="false">
      <c r="A836" s="0" t="s">
        <v>134</v>
      </c>
      <c r="B836" s="0" t="n">
        <v>200</v>
      </c>
      <c r="C836" s="0" t="n">
        <v>3800</v>
      </c>
      <c r="D836" s="0" t="n">
        <v>0.0526315789473684</v>
      </c>
      <c r="E836" s="0" t="s">
        <v>2316</v>
      </c>
    </row>
    <row r="837" customFormat="false" ht="15" hidden="false" customHeight="false" outlineLevel="0" collapsed="false">
      <c r="A837" s="0" t="s">
        <v>134</v>
      </c>
      <c r="B837" s="0" t="n">
        <v>200</v>
      </c>
      <c r="C837" s="0" t="n">
        <v>3800</v>
      </c>
      <c r="D837" s="0" t="n">
        <v>0.0526315789473684</v>
      </c>
      <c r="E837" s="0" t="s">
        <v>2333</v>
      </c>
    </row>
    <row r="838" customFormat="false" ht="15" hidden="false" customHeight="false" outlineLevel="0" collapsed="false">
      <c r="A838" s="0" t="s">
        <v>134</v>
      </c>
      <c r="B838" s="0" t="n">
        <v>200</v>
      </c>
      <c r="C838" s="0" t="n">
        <v>3800</v>
      </c>
      <c r="D838" s="0" t="n">
        <v>0.0526315789473684</v>
      </c>
      <c r="E838" s="0" t="s">
        <v>2368</v>
      </c>
    </row>
    <row r="839" customFormat="false" ht="15" hidden="false" customHeight="false" outlineLevel="0" collapsed="false">
      <c r="A839" s="0" t="s">
        <v>134</v>
      </c>
      <c r="B839" s="0" t="n">
        <v>200</v>
      </c>
      <c r="C839" s="0" t="n">
        <v>3800</v>
      </c>
      <c r="D839" s="0" t="n">
        <v>0.0526315789473684</v>
      </c>
      <c r="E839" s="0" t="s">
        <v>2402</v>
      </c>
    </row>
    <row r="840" customFormat="false" ht="15" hidden="false" customHeight="false" outlineLevel="0" collapsed="false">
      <c r="A840" s="0" t="s">
        <v>134</v>
      </c>
      <c r="B840" s="0" t="n">
        <v>200</v>
      </c>
      <c r="C840" s="0" t="n">
        <v>3800</v>
      </c>
      <c r="D840" s="0" t="n">
        <v>0.0526315789473684</v>
      </c>
      <c r="E840" s="0" t="s">
        <v>2417</v>
      </c>
    </row>
    <row r="841" customFormat="false" ht="15" hidden="false" customHeight="false" outlineLevel="0" collapsed="false">
      <c r="A841" s="0" t="s">
        <v>134</v>
      </c>
      <c r="B841" s="0" t="n">
        <v>1000</v>
      </c>
      <c r="C841" s="0" t="n">
        <v>3800</v>
      </c>
      <c r="D841" s="0" t="n">
        <v>0.263157894736842</v>
      </c>
      <c r="E841" s="0" t="s">
        <v>2431</v>
      </c>
    </row>
    <row r="842" customFormat="false" ht="15" hidden="false" customHeight="false" outlineLevel="0" collapsed="false">
      <c r="A842" s="0" t="s">
        <v>134</v>
      </c>
      <c r="B842" s="0" t="n">
        <v>200</v>
      </c>
      <c r="C842" s="0" t="n">
        <v>3800</v>
      </c>
      <c r="D842" s="0" t="n">
        <v>0.0526315789473684</v>
      </c>
      <c r="E842" s="0" t="s">
        <v>2446</v>
      </c>
    </row>
    <row r="843" customFormat="false" ht="15" hidden="false" customHeight="false" outlineLevel="0" collapsed="false">
      <c r="A843" s="0" t="s">
        <v>134</v>
      </c>
      <c r="B843" s="0" t="n">
        <v>200</v>
      </c>
      <c r="C843" s="0" t="n">
        <v>3800</v>
      </c>
      <c r="D843" s="0" t="n">
        <v>0.0526315789473684</v>
      </c>
      <c r="E843" s="0" t="s">
        <v>2484</v>
      </c>
    </row>
    <row r="844" customFormat="false" ht="15" hidden="false" customHeight="false" outlineLevel="0" collapsed="false">
      <c r="A844" s="0" t="s">
        <v>134</v>
      </c>
      <c r="B844" s="0" t="n">
        <v>500</v>
      </c>
      <c r="C844" s="0" t="n">
        <v>3800</v>
      </c>
      <c r="D844" s="0" t="n">
        <v>0.131578947368421</v>
      </c>
      <c r="E844" s="0" t="s">
        <v>2672</v>
      </c>
    </row>
    <row r="845" customFormat="false" ht="15" hidden="false" customHeight="false" outlineLevel="0" collapsed="false">
      <c r="A845" s="0" t="s">
        <v>134</v>
      </c>
      <c r="B845" s="0" t="n">
        <v>500</v>
      </c>
      <c r="C845" s="0" t="n">
        <v>4000</v>
      </c>
      <c r="D845" s="0" t="n">
        <v>0.125</v>
      </c>
      <c r="E845" s="0" t="s">
        <v>2692</v>
      </c>
    </row>
    <row r="846" customFormat="false" ht="15" hidden="false" customHeight="false" outlineLevel="0" collapsed="false">
      <c r="A846" s="0" t="s">
        <v>134</v>
      </c>
      <c r="B846" s="0" t="n">
        <v>500</v>
      </c>
      <c r="C846" s="0" t="n">
        <v>4500</v>
      </c>
      <c r="D846" s="0" t="n">
        <v>0.111111111111111</v>
      </c>
      <c r="E846" s="0" t="s">
        <v>2710</v>
      </c>
    </row>
    <row r="847" customFormat="false" ht="15" hidden="false" customHeight="false" outlineLevel="0" collapsed="false">
      <c r="A847" s="0" t="s">
        <v>134</v>
      </c>
      <c r="B847" s="0" t="n">
        <v>500</v>
      </c>
      <c r="C847" s="0" t="n">
        <v>3800</v>
      </c>
      <c r="D847" s="0" t="n">
        <v>0.131578947368421</v>
      </c>
      <c r="E847" s="0" t="s">
        <v>2755</v>
      </c>
    </row>
    <row r="848" customFormat="false" ht="15" hidden="false" customHeight="false" outlineLevel="0" collapsed="false">
      <c r="A848" s="0" t="s">
        <v>134</v>
      </c>
      <c r="B848" s="0" t="n">
        <v>200</v>
      </c>
      <c r="C848" s="0" t="n">
        <v>4000</v>
      </c>
      <c r="D848" s="0" t="n">
        <v>0.05</v>
      </c>
      <c r="E848" s="0" t="s">
        <v>2888</v>
      </c>
    </row>
    <row r="849" customFormat="false" ht="15" hidden="false" customHeight="false" outlineLevel="0" collapsed="false">
      <c r="A849" s="0" t="s">
        <v>134</v>
      </c>
      <c r="B849" s="0" t="n">
        <v>200</v>
      </c>
      <c r="C849" s="0" t="n">
        <v>4000</v>
      </c>
      <c r="D849" s="0" t="n">
        <v>0.05</v>
      </c>
      <c r="E849" s="0" t="s">
        <v>2902</v>
      </c>
    </row>
    <row r="850" customFormat="false" ht="15" hidden="false" customHeight="false" outlineLevel="0" collapsed="false">
      <c r="A850" s="0" t="s">
        <v>134</v>
      </c>
      <c r="B850" s="0" t="n">
        <v>1000</v>
      </c>
      <c r="C850" s="0" t="n">
        <v>4000</v>
      </c>
      <c r="D850" s="0" t="n">
        <v>0.25</v>
      </c>
      <c r="E850" s="0" t="s">
        <v>2918</v>
      </c>
    </row>
    <row r="851" customFormat="false" ht="15" hidden="false" customHeight="false" outlineLevel="0" collapsed="false">
      <c r="A851" s="0" t="s">
        <v>134</v>
      </c>
      <c r="B851" s="0" t="n">
        <v>200</v>
      </c>
      <c r="C851" s="0" t="n">
        <v>4000</v>
      </c>
      <c r="D851" s="0" t="n">
        <v>0.05</v>
      </c>
      <c r="E851" s="0" t="s">
        <v>2935</v>
      </c>
    </row>
    <row r="852" customFormat="false" ht="15" hidden="false" customHeight="false" outlineLevel="0" collapsed="false">
      <c r="A852" s="0" t="s">
        <v>134</v>
      </c>
      <c r="B852" s="0" t="n">
        <v>200</v>
      </c>
      <c r="C852" s="0" t="n">
        <v>4000</v>
      </c>
      <c r="D852" s="0" t="n">
        <v>0.05</v>
      </c>
      <c r="E852" s="0" t="s">
        <v>2954</v>
      </c>
    </row>
    <row r="853" customFormat="false" ht="15" hidden="false" customHeight="false" outlineLevel="0" collapsed="false">
      <c r="A853" s="0" t="s">
        <v>134</v>
      </c>
      <c r="B853" s="0" t="n">
        <v>200</v>
      </c>
      <c r="C853" s="0" t="n">
        <v>4000</v>
      </c>
      <c r="D853" s="0" t="n">
        <v>0.05</v>
      </c>
      <c r="E853" s="0" t="s">
        <v>2967</v>
      </c>
    </row>
    <row r="854" customFormat="false" ht="15" hidden="false" customHeight="false" outlineLevel="0" collapsed="false">
      <c r="A854" s="0" t="s">
        <v>134</v>
      </c>
      <c r="B854" s="0" t="n">
        <v>200</v>
      </c>
      <c r="C854" s="0" t="n">
        <v>4000</v>
      </c>
      <c r="D854" s="0" t="n">
        <v>0.05</v>
      </c>
      <c r="E854" s="0" t="s">
        <v>3257</v>
      </c>
    </row>
    <row r="855" customFormat="false" ht="15" hidden="false" customHeight="false" outlineLevel="0" collapsed="false">
      <c r="A855" s="0" t="s">
        <v>134</v>
      </c>
      <c r="B855" s="0" t="n">
        <v>200</v>
      </c>
      <c r="C855" s="0" t="n">
        <v>4000</v>
      </c>
      <c r="D855" s="0" t="n">
        <v>0.05</v>
      </c>
      <c r="E855" s="0" t="s">
        <v>3270</v>
      </c>
    </row>
    <row r="856" customFormat="false" ht="15" hidden="false" customHeight="false" outlineLevel="0" collapsed="false">
      <c r="A856" s="0" t="s">
        <v>134</v>
      </c>
      <c r="B856" s="0" t="n">
        <v>200</v>
      </c>
      <c r="C856" s="0" t="n">
        <v>4000</v>
      </c>
      <c r="D856" s="0" t="n">
        <v>0.05</v>
      </c>
      <c r="E856" s="0" t="s">
        <v>3287</v>
      </c>
    </row>
    <row r="857" customFormat="false" ht="15" hidden="false" customHeight="false" outlineLevel="0" collapsed="false">
      <c r="A857" s="0" t="s">
        <v>134</v>
      </c>
      <c r="B857" s="0" t="n">
        <v>200</v>
      </c>
      <c r="C857" s="0" t="n">
        <v>4000</v>
      </c>
      <c r="D857" s="0" t="n">
        <v>0.05</v>
      </c>
      <c r="E857" s="0" t="s">
        <v>3307</v>
      </c>
    </row>
    <row r="858" customFormat="false" ht="15" hidden="false" customHeight="false" outlineLevel="0" collapsed="false">
      <c r="A858" s="0" t="s">
        <v>134</v>
      </c>
      <c r="B858" s="0" t="n">
        <v>200</v>
      </c>
      <c r="C858" s="0" t="n">
        <v>4000</v>
      </c>
      <c r="D858" s="0" t="n">
        <v>0.05</v>
      </c>
      <c r="E858" s="0" t="s">
        <v>3325</v>
      </c>
    </row>
    <row r="859" customFormat="false" ht="15" hidden="false" customHeight="false" outlineLevel="0" collapsed="false">
      <c r="A859" s="0" t="s">
        <v>134</v>
      </c>
      <c r="B859" s="0" t="n">
        <v>200</v>
      </c>
      <c r="C859" s="0" t="n">
        <v>4000</v>
      </c>
      <c r="D859" s="0" t="n">
        <v>0.05</v>
      </c>
      <c r="E859" s="0" t="s">
        <v>3339</v>
      </c>
    </row>
    <row r="860" customFormat="false" ht="15" hidden="false" customHeight="false" outlineLevel="0" collapsed="false">
      <c r="A860" s="0" t="s">
        <v>158</v>
      </c>
      <c r="B860" s="0" t="n">
        <v>1000</v>
      </c>
      <c r="C860" s="0" t="n">
        <v>4000</v>
      </c>
      <c r="D860" s="0" t="n">
        <v>0.25</v>
      </c>
      <c r="E860" s="0" t="s">
        <v>159</v>
      </c>
    </row>
    <row r="861" customFormat="false" ht="15" hidden="false" customHeight="false" outlineLevel="0" collapsed="false">
      <c r="A861" s="0" t="s">
        <v>158</v>
      </c>
      <c r="B861" s="0" t="n">
        <v>1000</v>
      </c>
      <c r="C861" s="0" t="n">
        <v>4000</v>
      </c>
      <c r="D861" s="0" t="n">
        <v>0.25</v>
      </c>
      <c r="E861" s="0" t="s">
        <v>276</v>
      </c>
    </row>
    <row r="862" customFormat="false" ht="15" hidden="false" customHeight="false" outlineLevel="0" collapsed="false">
      <c r="A862" s="0" t="s">
        <v>158</v>
      </c>
      <c r="B862" s="0" t="n">
        <v>1000</v>
      </c>
      <c r="C862" s="0" t="n">
        <v>4000</v>
      </c>
      <c r="D862" s="0" t="n">
        <v>0.25</v>
      </c>
      <c r="E862" s="0" t="s">
        <v>289</v>
      </c>
    </row>
    <row r="863" customFormat="false" ht="15" hidden="false" customHeight="false" outlineLevel="0" collapsed="false">
      <c r="A863" s="0" t="s">
        <v>158</v>
      </c>
      <c r="B863" s="0" t="n">
        <v>1000</v>
      </c>
      <c r="C863" s="0" t="n">
        <v>4000</v>
      </c>
      <c r="D863" s="0" t="n">
        <v>0.25</v>
      </c>
      <c r="E863" s="0" t="s">
        <v>304</v>
      </c>
    </row>
    <row r="864" customFormat="false" ht="15" hidden="false" customHeight="false" outlineLevel="0" collapsed="false">
      <c r="A864" s="0" t="s">
        <v>158</v>
      </c>
      <c r="B864" s="0" t="n">
        <v>1000</v>
      </c>
      <c r="C864" s="0" t="n">
        <v>4000</v>
      </c>
      <c r="D864" s="0" t="n">
        <v>0.25</v>
      </c>
      <c r="E864" s="0" t="s">
        <v>317</v>
      </c>
    </row>
    <row r="865" customFormat="false" ht="15" hidden="false" customHeight="false" outlineLevel="0" collapsed="false">
      <c r="A865" s="0" t="s">
        <v>158</v>
      </c>
      <c r="B865" s="0" t="n">
        <v>2000</v>
      </c>
      <c r="C865" s="0" t="n">
        <v>4000</v>
      </c>
      <c r="D865" s="0" t="n">
        <v>0.5</v>
      </c>
      <c r="E865" s="0" t="s">
        <v>329</v>
      </c>
    </row>
    <row r="866" customFormat="false" ht="15" hidden="false" customHeight="false" outlineLevel="0" collapsed="false">
      <c r="A866" s="0" t="s">
        <v>158</v>
      </c>
      <c r="B866" s="0" t="n">
        <v>1000</v>
      </c>
      <c r="C866" s="0" t="n">
        <v>4000</v>
      </c>
      <c r="D866" s="0" t="n">
        <v>0.25</v>
      </c>
      <c r="E866" s="0" t="s">
        <v>342</v>
      </c>
    </row>
    <row r="867" customFormat="false" ht="15" hidden="false" customHeight="false" outlineLevel="0" collapsed="false">
      <c r="A867" s="0" t="s">
        <v>158</v>
      </c>
      <c r="B867" s="0" t="n">
        <v>2000</v>
      </c>
      <c r="C867" s="0" t="n">
        <v>4000</v>
      </c>
      <c r="D867" s="0" t="n">
        <v>0.5</v>
      </c>
      <c r="E867" s="0" t="s">
        <v>356</v>
      </c>
    </row>
    <row r="868" customFormat="false" ht="15" hidden="false" customHeight="false" outlineLevel="0" collapsed="false">
      <c r="A868" s="0" t="s">
        <v>158</v>
      </c>
      <c r="B868" s="0" t="n">
        <v>1000</v>
      </c>
      <c r="C868" s="0" t="n">
        <v>4000</v>
      </c>
      <c r="D868" s="0" t="n">
        <v>0.25</v>
      </c>
      <c r="E868" s="0" t="s">
        <v>368</v>
      </c>
    </row>
    <row r="869" customFormat="false" ht="15" hidden="false" customHeight="false" outlineLevel="0" collapsed="false">
      <c r="A869" s="0" t="s">
        <v>158</v>
      </c>
      <c r="B869" s="0" t="n">
        <v>1000</v>
      </c>
      <c r="C869" s="0" t="n">
        <v>4000</v>
      </c>
      <c r="D869" s="0" t="n">
        <v>0.25</v>
      </c>
      <c r="E869" s="0" t="s">
        <v>381</v>
      </c>
    </row>
    <row r="870" customFormat="false" ht="15" hidden="false" customHeight="false" outlineLevel="0" collapsed="false">
      <c r="A870" s="0" t="s">
        <v>158</v>
      </c>
      <c r="B870" s="0" t="n">
        <v>1000</v>
      </c>
      <c r="C870" s="0" t="n">
        <v>4000</v>
      </c>
      <c r="D870" s="0" t="n">
        <v>0.25</v>
      </c>
      <c r="E870" s="0" t="s">
        <v>393</v>
      </c>
    </row>
    <row r="871" customFormat="false" ht="15" hidden="false" customHeight="false" outlineLevel="0" collapsed="false">
      <c r="A871" s="0" t="s">
        <v>158</v>
      </c>
      <c r="B871" s="0" t="n">
        <v>1000</v>
      </c>
      <c r="C871" s="0" t="n">
        <v>4000</v>
      </c>
      <c r="D871" s="0" t="n">
        <v>0.25</v>
      </c>
      <c r="E871" s="0" t="s">
        <v>405</v>
      </c>
    </row>
    <row r="872" customFormat="false" ht="15" hidden="false" customHeight="false" outlineLevel="0" collapsed="false">
      <c r="A872" s="0" t="s">
        <v>158</v>
      </c>
      <c r="B872" s="0" t="n">
        <v>1000</v>
      </c>
      <c r="C872" s="0" t="n">
        <v>4000</v>
      </c>
      <c r="D872" s="0" t="n">
        <v>0.25</v>
      </c>
      <c r="E872" s="0" t="s">
        <v>418</v>
      </c>
    </row>
    <row r="873" customFormat="false" ht="15" hidden="false" customHeight="false" outlineLevel="0" collapsed="false">
      <c r="A873" s="0" t="s">
        <v>158</v>
      </c>
      <c r="B873" s="0" t="n">
        <v>1000</v>
      </c>
      <c r="C873" s="0" t="n">
        <v>4000</v>
      </c>
      <c r="D873" s="0" t="n">
        <v>0.25</v>
      </c>
      <c r="E873" s="0" t="s">
        <v>431</v>
      </c>
    </row>
    <row r="874" customFormat="false" ht="15" hidden="false" customHeight="false" outlineLevel="0" collapsed="false">
      <c r="A874" s="0" t="s">
        <v>158</v>
      </c>
      <c r="B874" s="0" t="n">
        <v>2500</v>
      </c>
      <c r="C874" s="0" t="n">
        <v>4000</v>
      </c>
      <c r="D874" s="0" t="n">
        <v>0.625</v>
      </c>
      <c r="E874" s="0" t="s">
        <v>444</v>
      </c>
    </row>
    <row r="875" customFormat="false" ht="15" hidden="false" customHeight="false" outlineLevel="0" collapsed="false">
      <c r="A875" s="0" t="s">
        <v>158</v>
      </c>
      <c r="B875" s="0" t="n">
        <v>3000</v>
      </c>
      <c r="C875" s="0" t="n">
        <v>4000</v>
      </c>
      <c r="D875" s="0" t="n">
        <v>0.75</v>
      </c>
      <c r="E875" s="0" t="s">
        <v>456</v>
      </c>
    </row>
    <row r="876" customFormat="false" ht="15" hidden="false" customHeight="false" outlineLevel="0" collapsed="false">
      <c r="A876" s="0" t="s">
        <v>158</v>
      </c>
      <c r="B876" s="0" t="n">
        <v>2000</v>
      </c>
      <c r="C876" s="0" t="n">
        <v>4000</v>
      </c>
      <c r="D876" s="0" t="n">
        <v>0.5</v>
      </c>
      <c r="E876" s="0" t="s">
        <v>481</v>
      </c>
    </row>
    <row r="877" customFormat="false" ht="15" hidden="false" customHeight="false" outlineLevel="0" collapsed="false">
      <c r="A877" s="0" t="s">
        <v>158</v>
      </c>
      <c r="B877" s="0" t="n">
        <v>2000</v>
      </c>
      <c r="C877" s="0" t="n">
        <v>4000</v>
      </c>
      <c r="D877" s="0" t="n">
        <v>0.5</v>
      </c>
      <c r="E877" s="0" t="s">
        <v>506</v>
      </c>
    </row>
    <row r="878" customFormat="false" ht="15" hidden="false" customHeight="false" outlineLevel="0" collapsed="false">
      <c r="A878" s="0" t="s">
        <v>158</v>
      </c>
      <c r="B878" s="0" t="n">
        <v>1000</v>
      </c>
      <c r="C878" s="0" t="n">
        <v>4000</v>
      </c>
      <c r="D878" s="0" t="n">
        <v>0.25</v>
      </c>
      <c r="E878" s="0" t="s">
        <v>519</v>
      </c>
    </row>
    <row r="879" customFormat="false" ht="15" hidden="false" customHeight="false" outlineLevel="0" collapsed="false">
      <c r="A879" s="0" t="s">
        <v>158</v>
      </c>
      <c r="B879" s="0" t="n">
        <v>2000</v>
      </c>
      <c r="C879" s="0" t="n">
        <v>4000</v>
      </c>
      <c r="D879" s="0" t="n">
        <v>0.5</v>
      </c>
      <c r="E879" s="0" t="s">
        <v>533</v>
      </c>
    </row>
    <row r="880" customFormat="false" ht="15" hidden="false" customHeight="false" outlineLevel="0" collapsed="false">
      <c r="A880" s="0" t="s">
        <v>158</v>
      </c>
      <c r="B880" s="0" t="n">
        <v>2000</v>
      </c>
      <c r="C880" s="0" t="n">
        <v>4000</v>
      </c>
      <c r="D880" s="0" t="n">
        <v>0.5</v>
      </c>
      <c r="E880" s="0" t="s">
        <v>547</v>
      </c>
    </row>
    <row r="881" customFormat="false" ht="15" hidden="false" customHeight="false" outlineLevel="0" collapsed="false">
      <c r="A881" s="0" t="s">
        <v>158</v>
      </c>
      <c r="B881" s="0" t="n">
        <v>2000</v>
      </c>
      <c r="C881" s="0" t="n">
        <v>4000</v>
      </c>
      <c r="D881" s="0" t="n">
        <v>0.5</v>
      </c>
      <c r="E881" s="0" t="s">
        <v>582</v>
      </c>
    </row>
    <row r="882" customFormat="false" ht="15" hidden="false" customHeight="false" outlineLevel="0" collapsed="false">
      <c r="A882" s="0" t="s">
        <v>158</v>
      </c>
      <c r="B882" s="0" t="n">
        <v>1000</v>
      </c>
      <c r="C882" s="0" t="n">
        <v>4000</v>
      </c>
      <c r="D882" s="0" t="n">
        <v>0.25</v>
      </c>
      <c r="E882" s="0" t="s">
        <v>602</v>
      </c>
    </row>
    <row r="883" customFormat="false" ht="15" hidden="false" customHeight="false" outlineLevel="0" collapsed="false">
      <c r="A883" s="0" t="s">
        <v>158</v>
      </c>
      <c r="B883" s="0" t="n">
        <v>2000</v>
      </c>
      <c r="C883" s="0" t="n">
        <v>3800</v>
      </c>
      <c r="D883" s="0" t="n">
        <v>0.526315789473684</v>
      </c>
      <c r="E883" s="0" t="s">
        <v>745</v>
      </c>
    </row>
    <row r="884" customFormat="false" ht="15" hidden="false" customHeight="false" outlineLevel="0" collapsed="false">
      <c r="A884" s="0" t="s">
        <v>158</v>
      </c>
      <c r="B884" s="0" t="n">
        <v>2000</v>
      </c>
      <c r="C884" s="0" t="n">
        <v>3800</v>
      </c>
      <c r="D884" s="0" t="n">
        <v>0.526315789473684</v>
      </c>
      <c r="E884" s="0" t="s">
        <v>761</v>
      </c>
    </row>
    <row r="885" customFormat="false" ht="15" hidden="false" customHeight="false" outlineLevel="0" collapsed="false">
      <c r="A885" s="0" t="s">
        <v>158</v>
      </c>
      <c r="B885" s="0" t="n">
        <v>1000</v>
      </c>
      <c r="C885" s="0" t="n">
        <v>3800</v>
      </c>
      <c r="D885" s="0" t="n">
        <v>0.263157894736842</v>
      </c>
      <c r="E885" s="0" t="s">
        <v>776</v>
      </c>
    </row>
    <row r="886" customFormat="false" ht="15" hidden="false" customHeight="false" outlineLevel="0" collapsed="false">
      <c r="A886" s="0" t="s">
        <v>158</v>
      </c>
      <c r="B886" s="0" t="n">
        <v>1000</v>
      </c>
      <c r="C886" s="0" t="n">
        <v>3800</v>
      </c>
      <c r="D886" s="0" t="n">
        <v>0.263157894736842</v>
      </c>
      <c r="E886" s="0" t="s">
        <v>790</v>
      </c>
    </row>
    <row r="887" customFormat="false" ht="15" hidden="false" customHeight="false" outlineLevel="0" collapsed="false">
      <c r="A887" s="0" t="s">
        <v>158</v>
      </c>
      <c r="B887" s="0" t="n">
        <v>1000</v>
      </c>
      <c r="C887" s="0" t="n">
        <v>3800</v>
      </c>
      <c r="D887" s="0" t="n">
        <v>0.263157894736842</v>
      </c>
      <c r="E887" s="0" t="s">
        <v>804</v>
      </c>
    </row>
    <row r="888" customFormat="false" ht="15" hidden="false" customHeight="false" outlineLevel="0" collapsed="false">
      <c r="A888" s="0" t="s">
        <v>158</v>
      </c>
      <c r="B888" s="0" t="n">
        <v>1000</v>
      </c>
      <c r="C888" s="0" t="n">
        <v>3800</v>
      </c>
      <c r="D888" s="0" t="n">
        <v>0.263157894736842</v>
      </c>
      <c r="E888" s="0" t="s">
        <v>818</v>
      </c>
    </row>
    <row r="889" customFormat="false" ht="15" hidden="false" customHeight="false" outlineLevel="0" collapsed="false">
      <c r="A889" s="0" t="s">
        <v>158</v>
      </c>
      <c r="B889" s="0" t="n">
        <v>2000</v>
      </c>
      <c r="C889" s="0" t="n">
        <v>3800</v>
      </c>
      <c r="D889" s="0" t="n">
        <v>0.526315789473684</v>
      </c>
      <c r="E889" s="0" t="s">
        <v>852</v>
      </c>
    </row>
    <row r="890" customFormat="false" ht="15" hidden="false" customHeight="false" outlineLevel="0" collapsed="false">
      <c r="A890" s="0" t="s">
        <v>158</v>
      </c>
      <c r="B890" s="0" t="n">
        <v>2000</v>
      </c>
      <c r="C890" s="0" t="n">
        <v>3800</v>
      </c>
      <c r="D890" s="0" t="n">
        <v>0.526315789473684</v>
      </c>
      <c r="E890" s="0" t="s">
        <v>885</v>
      </c>
    </row>
    <row r="891" customFormat="false" ht="15" hidden="false" customHeight="false" outlineLevel="0" collapsed="false">
      <c r="A891" s="0" t="s">
        <v>158</v>
      </c>
      <c r="B891" s="0" t="n">
        <v>1000</v>
      </c>
      <c r="C891" s="0" t="n">
        <v>3800</v>
      </c>
      <c r="D891" s="0" t="n">
        <v>0.263157894736842</v>
      </c>
      <c r="E891" s="0" t="s">
        <v>901</v>
      </c>
    </row>
    <row r="892" customFormat="false" ht="15" hidden="false" customHeight="false" outlineLevel="0" collapsed="false">
      <c r="A892" s="0" t="s">
        <v>158</v>
      </c>
      <c r="B892" s="0" t="n">
        <v>1000</v>
      </c>
      <c r="C892" s="0" t="n">
        <v>3800</v>
      </c>
      <c r="D892" s="0" t="n">
        <v>0.263157894736842</v>
      </c>
      <c r="E892" s="0" t="s">
        <v>929</v>
      </c>
    </row>
    <row r="893" customFormat="false" ht="15" hidden="false" customHeight="false" outlineLevel="0" collapsed="false">
      <c r="A893" s="0" t="s">
        <v>158</v>
      </c>
      <c r="B893" s="0" t="n">
        <v>1000</v>
      </c>
      <c r="C893" s="0" t="n">
        <v>3800</v>
      </c>
      <c r="D893" s="0" t="n">
        <v>0.263157894736842</v>
      </c>
      <c r="E893" s="0" t="s">
        <v>943</v>
      </c>
    </row>
    <row r="894" customFormat="false" ht="15" hidden="false" customHeight="false" outlineLevel="0" collapsed="false">
      <c r="A894" s="0" t="s">
        <v>158</v>
      </c>
      <c r="B894" s="0" t="n">
        <v>1000</v>
      </c>
      <c r="C894" s="0" t="n">
        <v>3800</v>
      </c>
      <c r="D894" s="0" t="n">
        <v>0.263157894736842</v>
      </c>
      <c r="E894" s="0" t="s">
        <v>982</v>
      </c>
    </row>
    <row r="895" customFormat="false" ht="15" hidden="false" customHeight="false" outlineLevel="0" collapsed="false">
      <c r="A895" s="0" t="s">
        <v>158</v>
      </c>
      <c r="B895" s="0" t="n">
        <v>2000</v>
      </c>
      <c r="C895" s="0" t="n">
        <v>4000</v>
      </c>
      <c r="D895" s="0" t="n">
        <v>0.5</v>
      </c>
      <c r="E895" s="0" t="s">
        <v>1017</v>
      </c>
    </row>
    <row r="896" customFormat="false" ht="15" hidden="false" customHeight="false" outlineLevel="0" collapsed="false">
      <c r="A896" s="0" t="s">
        <v>158</v>
      </c>
      <c r="B896" s="0" t="n">
        <v>1000</v>
      </c>
      <c r="C896" s="0" t="n">
        <v>4000</v>
      </c>
      <c r="D896" s="0" t="n">
        <v>0.25</v>
      </c>
      <c r="E896" s="0" t="s">
        <v>1103</v>
      </c>
    </row>
    <row r="897" customFormat="false" ht="15" hidden="false" customHeight="false" outlineLevel="0" collapsed="false">
      <c r="A897" s="0" t="s">
        <v>158</v>
      </c>
      <c r="B897" s="0" t="n">
        <v>2000</v>
      </c>
      <c r="C897" s="0" t="n">
        <v>4000</v>
      </c>
      <c r="D897" s="0" t="n">
        <v>0.5</v>
      </c>
      <c r="E897" s="0" t="s">
        <v>1133</v>
      </c>
    </row>
    <row r="898" customFormat="false" ht="15" hidden="false" customHeight="false" outlineLevel="0" collapsed="false">
      <c r="A898" s="0" t="s">
        <v>158</v>
      </c>
      <c r="B898" s="0" t="n">
        <v>2000</v>
      </c>
      <c r="C898" s="0" t="n">
        <v>4000</v>
      </c>
      <c r="D898" s="0" t="n">
        <v>0.5</v>
      </c>
      <c r="E898" s="0" t="s">
        <v>1166</v>
      </c>
    </row>
    <row r="899" customFormat="false" ht="15" hidden="false" customHeight="false" outlineLevel="0" collapsed="false">
      <c r="A899" s="0" t="s">
        <v>158</v>
      </c>
      <c r="B899" s="0" t="n">
        <v>2000</v>
      </c>
      <c r="C899" s="0" t="n">
        <v>4000</v>
      </c>
      <c r="D899" s="0" t="n">
        <v>0.5</v>
      </c>
      <c r="E899" s="0" t="s">
        <v>1189</v>
      </c>
    </row>
    <row r="900" customFormat="false" ht="15" hidden="false" customHeight="false" outlineLevel="0" collapsed="false">
      <c r="A900" s="0" t="s">
        <v>158</v>
      </c>
      <c r="B900" s="0" t="n">
        <v>2000</v>
      </c>
      <c r="C900" s="0" t="n">
        <v>4000</v>
      </c>
      <c r="D900" s="0" t="n">
        <v>0.5</v>
      </c>
      <c r="E900" s="0" t="s">
        <v>1219</v>
      </c>
    </row>
    <row r="901" customFormat="false" ht="15" hidden="false" customHeight="false" outlineLevel="0" collapsed="false">
      <c r="A901" s="0" t="s">
        <v>158</v>
      </c>
      <c r="B901" s="0" t="n">
        <v>1000</v>
      </c>
      <c r="C901" s="0" t="n">
        <v>4000</v>
      </c>
      <c r="D901" s="0" t="n">
        <v>0.25</v>
      </c>
      <c r="E901" s="0" t="s">
        <v>1233</v>
      </c>
    </row>
    <row r="902" customFormat="false" ht="15" hidden="false" customHeight="false" outlineLevel="0" collapsed="false">
      <c r="A902" s="0" t="s">
        <v>158</v>
      </c>
      <c r="B902" s="0" t="n">
        <v>1000</v>
      </c>
      <c r="C902" s="0" t="n">
        <v>4000</v>
      </c>
      <c r="D902" s="0" t="n">
        <v>0.25</v>
      </c>
      <c r="E902" s="0" t="s">
        <v>1267</v>
      </c>
    </row>
    <row r="903" customFormat="false" ht="15" hidden="false" customHeight="false" outlineLevel="0" collapsed="false">
      <c r="A903" s="0" t="s">
        <v>158</v>
      </c>
      <c r="B903" s="0" t="n">
        <v>2000</v>
      </c>
      <c r="C903" s="0" t="n">
        <v>4000</v>
      </c>
      <c r="D903" s="0" t="n">
        <v>0.5</v>
      </c>
      <c r="E903" s="0" t="s">
        <v>1311</v>
      </c>
    </row>
    <row r="904" customFormat="false" ht="15" hidden="false" customHeight="false" outlineLevel="0" collapsed="false">
      <c r="A904" s="0" t="s">
        <v>158</v>
      </c>
      <c r="B904" s="0" t="n">
        <v>2000</v>
      </c>
      <c r="C904" s="0" t="n">
        <v>4000</v>
      </c>
      <c r="D904" s="0" t="n">
        <v>0.5</v>
      </c>
      <c r="E904" s="0" t="s">
        <v>1326</v>
      </c>
    </row>
    <row r="905" customFormat="false" ht="15" hidden="false" customHeight="false" outlineLevel="0" collapsed="false">
      <c r="A905" s="0" t="s">
        <v>158</v>
      </c>
      <c r="B905" s="0" t="n">
        <v>1000</v>
      </c>
      <c r="C905" s="0" t="n">
        <v>4000</v>
      </c>
      <c r="D905" s="0" t="n">
        <v>0.25</v>
      </c>
      <c r="E905" s="0" t="s">
        <v>1341</v>
      </c>
    </row>
    <row r="906" customFormat="false" ht="15" hidden="false" customHeight="false" outlineLevel="0" collapsed="false">
      <c r="A906" s="0" t="s">
        <v>158</v>
      </c>
      <c r="B906" s="0" t="n">
        <v>2000</v>
      </c>
      <c r="C906" s="0" t="n">
        <v>4000</v>
      </c>
      <c r="D906" s="0" t="n">
        <v>0.5</v>
      </c>
      <c r="E906" s="0" t="s">
        <v>1354</v>
      </c>
    </row>
    <row r="907" customFormat="false" ht="15" hidden="false" customHeight="false" outlineLevel="0" collapsed="false">
      <c r="A907" s="0" t="s">
        <v>158</v>
      </c>
      <c r="B907" s="0" t="n">
        <v>1000</v>
      </c>
      <c r="C907" s="0" t="n">
        <v>4000</v>
      </c>
      <c r="D907" s="0" t="n">
        <v>0.25</v>
      </c>
      <c r="E907" s="0" t="s">
        <v>1383</v>
      </c>
    </row>
    <row r="908" customFormat="false" ht="15" hidden="false" customHeight="false" outlineLevel="0" collapsed="false">
      <c r="A908" s="0" t="s">
        <v>158</v>
      </c>
      <c r="B908" s="0" t="n">
        <v>2000</v>
      </c>
      <c r="C908" s="0" t="n">
        <v>4000</v>
      </c>
      <c r="D908" s="0" t="n">
        <v>0.5</v>
      </c>
      <c r="E908" s="0" t="s">
        <v>1398</v>
      </c>
    </row>
    <row r="909" customFormat="false" ht="15" hidden="false" customHeight="false" outlineLevel="0" collapsed="false">
      <c r="A909" s="0" t="s">
        <v>158</v>
      </c>
      <c r="B909" s="0" t="n">
        <v>7000</v>
      </c>
      <c r="C909" s="0" t="n">
        <v>3800</v>
      </c>
      <c r="D909" s="0" t="n">
        <v>1.8421052631579</v>
      </c>
      <c r="E909" s="0" t="s">
        <v>1447</v>
      </c>
    </row>
    <row r="910" customFormat="false" ht="15" hidden="false" customHeight="false" outlineLevel="0" collapsed="false">
      <c r="A910" s="0" t="s">
        <v>158</v>
      </c>
      <c r="B910" s="0" t="n">
        <v>1000</v>
      </c>
      <c r="C910" s="0" t="n">
        <v>3800</v>
      </c>
      <c r="D910" s="0" t="n">
        <v>0.263157894736842</v>
      </c>
      <c r="E910" s="0" t="s">
        <v>1478</v>
      </c>
    </row>
    <row r="911" customFormat="false" ht="15" hidden="false" customHeight="false" outlineLevel="0" collapsed="false">
      <c r="A911" s="0" t="s">
        <v>158</v>
      </c>
      <c r="B911" s="0" t="n">
        <v>1000</v>
      </c>
      <c r="C911" s="0" t="n">
        <v>3800</v>
      </c>
      <c r="D911" s="0" t="n">
        <v>0.263157894736842</v>
      </c>
      <c r="E911" s="0" t="s">
        <v>1494</v>
      </c>
    </row>
    <row r="912" customFormat="false" ht="15" hidden="false" customHeight="false" outlineLevel="0" collapsed="false">
      <c r="A912" s="0" t="s">
        <v>158</v>
      </c>
      <c r="B912" s="0" t="n">
        <v>1000</v>
      </c>
      <c r="C912" s="0" t="n">
        <v>3800</v>
      </c>
      <c r="D912" s="0" t="n">
        <v>0.263157894736842</v>
      </c>
      <c r="E912" s="0" t="s">
        <v>1509</v>
      </c>
    </row>
    <row r="913" customFormat="false" ht="15" hidden="false" customHeight="false" outlineLevel="0" collapsed="false">
      <c r="A913" s="0" t="s">
        <v>158</v>
      </c>
      <c r="B913" s="0" t="n">
        <v>2000</v>
      </c>
      <c r="C913" s="0" t="n">
        <v>3800</v>
      </c>
      <c r="D913" s="0" t="n">
        <v>0.526315789473684</v>
      </c>
      <c r="E913" s="0" t="s">
        <v>1526</v>
      </c>
    </row>
    <row r="914" customFormat="false" ht="15" hidden="false" customHeight="false" outlineLevel="0" collapsed="false">
      <c r="A914" s="0" t="s">
        <v>158</v>
      </c>
      <c r="B914" s="0" t="n">
        <v>2000</v>
      </c>
      <c r="C914" s="0" t="n">
        <v>3800</v>
      </c>
      <c r="D914" s="0" t="n">
        <v>0.526315789473684</v>
      </c>
      <c r="E914" s="0" t="s">
        <v>1542</v>
      </c>
    </row>
    <row r="915" customFormat="false" ht="15" hidden="false" customHeight="false" outlineLevel="0" collapsed="false">
      <c r="A915" s="0" t="s">
        <v>158</v>
      </c>
      <c r="B915" s="0" t="n">
        <v>2000</v>
      </c>
      <c r="C915" s="0" t="n">
        <v>3800</v>
      </c>
      <c r="D915" s="0" t="n">
        <v>0.526315789473684</v>
      </c>
      <c r="E915" s="0" t="s">
        <v>1558</v>
      </c>
    </row>
    <row r="916" customFormat="false" ht="15" hidden="false" customHeight="false" outlineLevel="0" collapsed="false">
      <c r="A916" s="0" t="s">
        <v>158</v>
      </c>
      <c r="B916" s="0" t="n">
        <v>2000</v>
      </c>
      <c r="C916" s="0" t="n">
        <v>3900</v>
      </c>
      <c r="D916" s="0" t="n">
        <v>0.512820512820513</v>
      </c>
      <c r="E916" s="0" t="s">
        <v>1575</v>
      </c>
    </row>
    <row r="917" customFormat="false" ht="15" hidden="false" customHeight="false" outlineLevel="0" collapsed="false">
      <c r="A917" s="0" t="s">
        <v>158</v>
      </c>
      <c r="B917" s="0" t="n">
        <v>1000</v>
      </c>
      <c r="C917" s="0" t="n">
        <v>3800</v>
      </c>
      <c r="D917" s="0" t="n">
        <v>0.263157894736842</v>
      </c>
      <c r="E917" s="0" t="s">
        <v>1588</v>
      </c>
    </row>
    <row r="918" customFormat="false" ht="15" hidden="false" customHeight="false" outlineLevel="0" collapsed="false">
      <c r="A918" s="0" t="s">
        <v>158</v>
      </c>
      <c r="B918" s="0" t="n">
        <v>2000</v>
      </c>
      <c r="C918" s="0" t="n">
        <v>3900</v>
      </c>
      <c r="D918" s="0" t="n">
        <v>0.512820512820513</v>
      </c>
      <c r="E918" s="0" t="s">
        <v>1608</v>
      </c>
    </row>
    <row r="919" customFormat="false" ht="15" hidden="false" customHeight="false" outlineLevel="0" collapsed="false">
      <c r="A919" s="0" t="s">
        <v>158</v>
      </c>
      <c r="B919" s="0" t="n">
        <v>1500</v>
      </c>
      <c r="C919" s="0" t="n">
        <v>3800</v>
      </c>
      <c r="D919" s="0" t="n">
        <v>0.394736842105263</v>
      </c>
      <c r="E919" s="0" t="s">
        <v>1622</v>
      </c>
    </row>
    <row r="920" customFormat="false" ht="15" hidden="false" customHeight="false" outlineLevel="0" collapsed="false">
      <c r="A920" s="0" t="s">
        <v>158</v>
      </c>
      <c r="B920" s="0" t="n">
        <v>1000</v>
      </c>
      <c r="C920" s="0" t="n">
        <v>3800</v>
      </c>
      <c r="D920" s="0" t="n">
        <v>0.263157894736842</v>
      </c>
      <c r="E920" s="0" t="s">
        <v>1638</v>
      </c>
    </row>
    <row r="921" customFormat="false" ht="15" hidden="false" customHeight="false" outlineLevel="0" collapsed="false">
      <c r="A921" s="0" t="s">
        <v>158</v>
      </c>
      <c r="B921" s="0" t="n">
        <v>1000</v>
      </c>
      <c r="C921" s="0" t="n">
        <v>3800</v>
      </c>
      <c r="D921" s="0" t="n">
        <v>0.263157894736842</v>
      </c>
      <c r="E921" s="0" t="s">
        <v>1667</v>
      </c>
    </row>
    <row r="922" customFormat="false" ht="15" hidden="false" customHeight="false" outlineLevel="0" collapsed="false">
      <c r="A922" s="0" t="s">
        <v>158</v>
      </c>
      <c r="B922" s="0" t="n">
        <v>2000</v>
      </c>
      <c r="C922" s="0" t="n">
        <v>3800</v>
      </c>
      <c r="D922" s="0" t="n">
        <v>0.526315789473684</v>
      </c>
      <c r="E922" s="0" t="s">
        <v>1694</v>
      </c>
    </row>
    <row r="923" customFormat="false" ht="15" hidden="false" customHeight="false" outlineLevel="0" collapsed="false">
      <c r="A923" s="0" t="s">
        <v>158</v>
      </c>
      <c r="B923" s="0" t="n">
        <v>300</v>
      </c>
      <c r="C923" s="0" t="n">
        <v>4000</v>
      </c>
      <c r="D923" s="0" t="n">
        <v>0.075</v>
      </c>
      <c r="E923" s="0" t="s">
        <v>1712</v>
      </c>
    </row>
    <row r="924" customFormat="false" ht="15" hidden="false" customHeight="false" outlineLevel="0" collapsed="false">
      <c r="A924" s="0" t="s">
        <v>158</v>
      </c>
      <c r="B924" s="0" t="n">
        <v>1000</v>
      </c>
      <c r="C924" s="0" t="n">
        <v>3800</v>
      </c>
      <c r="D924" s="0" t="n">
        <v>0.263157894736842</v>
      </c>
      <c r="E924" s="0" t="s">
        <v>1727</v>
      </c>
    </row>
    <row r="925" customFormat="false" ht="15" hidden="false" customHeight="false" outlineLevel="0" collapsed="false">
      <c r="A925" s="0" t="s">
        <v>158</v>
      </c>
      <c r="B925" s="0" t="n">
        <v>2000</v>
      </c>
      <c r="C925" s="0" t="n">
        <v>3800</v>
      </c>
      <c r="D925" s="0" t="n">
        <v>0.526315789473684</v>
      </c>
      <c r="E925" s="0" t="s">
        <v>1746</v>
      </c>
    </row>
    <row r="926" customFormat="false" ht="15" hidden="false" customHeight="false" outlineLevel="0" collapsed="false">
      <c r="A926" s="0" t="s">
        <v>158</v>
      </c>
      <c r="B926" s="0" t="n">
        <v>2500</v>
      </c>
      <c r="C926" s="0" t="n">
        <v>3800</v>
      </c>
      <c r="D926" s="0" t="n">
        <v>0.657894736842105</v>
      </c>
      <c r="E926" s="0" t="s">
        <v>1766</v>
      </c>
    </row>
    <row r="927" customFormat="false" ht="15" hidden="false" customHeight="false" outlineLevel="0" collapsed="false">
      <c r="A927" s="0" t="s">
        <v>158</v>
      </c>
      <c r="B927" s="0" t="n">
        <v>700</v>
      </c>
      <c r="C927" s="0" t="n">
        <v>3800</v>
      </c>
      <c r="D927" s="0" t="n">
        <v>0.18421052631579</v>
      </c>
      <c r="E927" s="0" t="s">
        <v>1786</v>
      </c>
    </row>
    <row r="928" customFormat="false" ht="15" hidden="false" customHeight="false" outlineLevel="0" collapsed="false">
      <c r="A928" s="0" t="s">
        <v>158</v>
      </c>
      <c r="B928" s="0" t="n">
        <v>1000</v>
      </c>
      <c r="C928" s="0" t="n">
        <v>4000</v>
      </c>
      <c r="D928" s="0" t="n">
        <v>0.25</v>
      </c>
      <c r="E928" s="0" t="s">
        <v>1825</v>
      </c>
    </row>
    <row r="929" customFormat="false" ht="15" hidden="false" customHeight="false" outlineLevel="0" collapsed="false">
      <c r="A929" s="0" t="s">
        <v>158</v>
      </c>
      <c r="B929" s="0" t="n">
        <v>1000</v>
      </c>
      <c r="C929" s="0" t="n">
        <v>4000</v>
      </c>
      <c r="D929" s="0" t="n">
        <v>0.25</v>
      </c>
      <c r="E929" s="0" t="s">
        <v>1842</v>
      </c>
    </row>
    <row r="930" customFormat="false" ht="15" hidden="false" customHeight="false" outlineLevel="0" collapsed="false">
      <c r="A930" s="0" t="s">
        <v>158</v>
      </c>
      <c r="B930" s="0" t="n">
        <v>2000</v>
      </c>
      <c r="C930" s="0" t="n">
        <v>3800</v>
      </c>
      <c r="D930" s="0" t="n">
        <v>0.526315789473684</v>
      </c>
      <c r="E930" s="0" t="s">
        <v>1860</v>
      </c>
    </row>
    <row r="931" customFormat="false" ht="15" hidden="false" customHeight="false" outlineLevel="0" collapsed="false">
      <c r="A931" s="0" t="s">
        <v>158</v>
      </c>
      <c r="B931" s="0" t="n">
        <v>2000</v>
      </c>
      <c r="C931" s="0" t="n">
        <v>3800</v>
      </c>
      <c r="D931" s="0" t="n">
        <v>0.526315789473684</v>
      </c>
      <c r="E931" s="0" t="s">
        <v>1878</v>
      </c>
    </row>
    <row r="932" customFormat="false" ht="15" hidden="false" customHeight="false" outlineLevel="0" collapsed="false">
      <c r="A932" s="0" t="s">
        <v>158</v>
      </c>
      <c r="B932" s="0" t="n">
        <v>2000</v>
      </c>
      <c r="C932" s="0" t="n">
        <v>3800</v>
      </c>
      <c r="D932" s="0" t="n">
        <v>0.526315789473684</v>
      </c>
      <c r="E932" s="0" t="s">
        <v>1893</v>
      </c>
    </row>
    <row r="933" customFormat="false" ht="15" hidden="false" customHeight="false" outlineLevel="0" collapsed="false">
      <c r="A933" s="0" t="s">
        <v>158</v>
      </c>
      <c r="B933" s="0" t="n">
        <v>2000</v>
      </c>
      <c r="C933" s="0" t="n">
        <v>3800</v>
      </c>
      <c r="D933" s="0" t="n">
        <v>0.526315789473684</v>
      </c>
      <c r="E933" s="0" t="s">
        <v>1908</v>
      </c>
    </row>
    <row r="934" customFormat="false" ht="15" hidden="false" customHeight="false" outlineLevel="0" collapsed="false">
      <c r="A934" s="0" t="s">
        <v>158</v>
      </c>
      <c r="B934" s="0" t="n">
        <v>1000</v>
      </c>
      <c r="C934" s="0" t="n">
        <v>4000</v>
      </c>
      <c r="D934" s="0" t="n">
        <v>0.25</v>
      </c>
      <c r="E934" s="0" t="s">
        <v>1929</v>
      </c>
    </row>
    <row r="935" customFormat="false" ht="15" hidden="false" customHeight="false" outlineLevel="0" collapsed="false">
      <c r="A935" s="0" t="s">
        <v>158</v>
      </c>
      <c r="B935" s="0" t="n">
        <v>1000</v>
      </c>
      <c r="C935" s="0" t="n">
        <v>4000</v>
      </c>
      <c r="D935" s="0" t="n">
        <v>0.25</v>
      </c>
      <c r="E935" s="0" t="s">
        <v>1960</v>
      </c>
    </row>
    <row r="936" customFormat="false" ht="15" hidden="false" customHeight="false" outlineLevel="0" collapsed="false">
      <c r="A936" s="0" t="s">
        <v>158</v>
      </c>
      <c r="B936" s="0" t="n">
        <v>1000</v>
      </c>
      <c r="C936" s="0" t="n">
        <v>4000</v>
      </c>
      <c r="D936" s="0" t="n">
        <v>0.25</v>
      </c>
      <c r="E936" s="0" t="s">
        <v>1992</v>
      </c>
    </row>
    <row r="937" customFormat="false" ht="15" hidden="false" customHeight="false" outlineLevel="0" collapsed="false">
      <c r="A937" s="0" t="s">
        <v>158</v>
      </c>
      <c r="B937" s="0" t="n">
        <v>1000</v>
      </c>
      <c r="C937" s="0" t="n">
        <v>4000</v>
      </c>
      <c r="D937" s="0" t="n">
        <v>0.25</v>
      </c>
      <c r="E937" s="0" t="s">
        <v>2008</v>
      </c>
    </row>
    <row r="938" customFormat="false" ht="15" hidden="false" customHeight="false" outlineLevel="0" collapsed="false">
      <c r="A938" s="0" t="s">
        <v>158</v>
      </c>
      <c r="B938" s="0" t="n">
        <v>1000</v>
      </c>
      <c r="C938" s="0" t="n">
        <v>4000</v>
      </c>
      <c r="D938" s="0" t="n">
        <v>0.25</v>
      </c>
      <c r="E938" s="0" t="s">
        <v>2023</v>
      </c>
    </row>
    <row r="939" customFormat="false" ht="15" hidden="false" customHeight="false" outlineLevel="0" collapsed="false">
      <c r="A939" s="0" t="s">
        <v>158</v>
      </c>
      <c r="B939" s="0" t="n">
        <v>1000</v>
      </c>
      <c r="C939" s="0" t="n">
        <v>3800</v>
      </c>
      <c r="D939" s="0" t="n">
        <v>0.263157894736842</v>
      </c>
      <c r="E939" s="0" t="s">
        <v>2039</v>
      </c>
    </row>
    <row r="940" customFormat="false" ht="15" hidden="false" customHeight="false" outlineLevel="0" collapsed="false">
      <c r="A940" s="0" t="s">
        <v>158</v>
      </c>
      <c r="B940" s="0" t="n">
        <v>1000</v>
      </c>
      <c r="C940" s="0" t="n">
        <v>3800</v>
      </c>
      <c r="D940" s="0" t="n">
        <v>0.263157894736842</v>
      </c>
      <c r="E940" s="0" t="s">
        <v>2071</v>
      </c>
    </row>
    <row r="941" customFormat="false" ht="15" hidden="false" customHeight="false" outlineLevel="0" collapsed="false">
      <c r="A941" s="0" t="s">
        <v>158</v>
      </c>
      <c r="B941" s="0" t="n">
        <v>1000</v>
      </c>
      <c r="C941" s="0" t="n">
        <v>4000</v>
      </c>
      <c r="D941" s="0" t="n">
        <v>0.25</v>
      </c>
      <c r="E941" s="0" t="s">
        <v>2086</v>
      </c>
    </row>
    <row r="942" customFormat="false" ht="15" hidden="false" customHeight="false" outlineLevel="0" collapsed="false">
      <c r="A942" s="0" t="s">
        <v>158</v>
      </c>
      <c r="B942" s="0" t="n">
        <v>1000</v>
      </c>
      <c r="C942" s="0" t="n">
        <v>4000</v>
      </c>
      <c r="D942" s="0" t="n">
        <v>0.25</v>
      </c>
      <c r="E942" s="0" t="s">
        <v>2102</v>
      </c>
    </row>
    <row r="943" customFormat="false" ht="15" hidden="false" customHeight="false" outlineLevel="0" collapsed="false">
      <c r="A943" s="0" t="s">
        <v>158</v>
      </c>
      <c r="B943" s="0" t="n">
        <v>1000</v>
      </c>
      <c r="C943" s="0" t="n">
        <v>4000</v>
      </c>
      <c r="D943" s="0" t="n">
        <v>0.25</v>
      </c>
      <c r="E943" s="0" t="s">
        <v>2120</v>
      </c>
    </row>
    <row r="944" customFormat="false" ht="15" hidden="false" customHeight="false" outlineLevel="0" collapsed="false">
      <c r="A944" s="0" t="s">
        <v>158</v>
      </c>
      <c r="B944" s="0" t="n">
        <v>2000</v>
      </c>
      <c r="C944" s="0" t="n">
        <v>3800</v>
      </c>
      <c r="D944" s="0" t="n">
        <v>0.526315789473684</v>
      </c>
      <c r="E944" s="0" t="s">
        <v>2137</v>
      </c>
    </row>
    <row r="945" customFormat="false" ht="15" hidden="false" customHeight="false" outlineLevel="0" collapsed="false">
      <c r="A945" s="0" t="s">
        <v>158</v>
      </c>
      <c r="B945" s="0" t="n">
        <v>1000</v>
      </c>
      <c r="C945" s="0" t="n">
        <v>3800</v>
      </c>
      <c r="D945" s="0" t="n">
        <v>0.263157894736842</v>
      </c>
      <c r="E945" s="0" t="s">
        <v>2152</v>
      </c>
    </row>
    <row r="946" customFormat="false" ht="15" hidden="false" customHeight="false" outlineLevel="0" collapsed="false">
      <c r="A946" s="0" t="s">
        <v>158</v>
      </c>
      <c r="B946" s="0" t="n">
        <v>2000</v>
      </c>
      <c r="C946" s="0" t="n">
        <v>3800</v>
      </c>
      <c r="D946" s="0" t="n">
        <v>0.526315789473684</v>
      </c>
      <c r="E946" s="0" t="s">
        <v>2168</v>
      </c>
    </row>
    <row r="947" customFormat="false" ht="15" hidden="false" customHeight="false" outlineLevel="0" collapsed="false">
      <c r="A947" s="0" t="s">
        <v>158</v>
      </c>
      <c r="B947" s="0" t="n">
        <v>1000</v>
      </c>
      <c r="C947" s="0" t="n">
        <v>3800</v>
      </c>
      <c r="D947" s="0" t="n">
        <v>0.263157894736842</v>
      </c>
      <c r="E947" s="0" t="s">
        <v>2183</v>
      </c>
    </row>
    <row r="948" customFormat="false" ht="15" hidden="false" customHeight="false" outlineLevel="0" collapsed="false">
      <c r="A948" s="0" t="s">
        <v>158</v>
      </c>
      <c r="B948" s="0" t="n">
        <v>1000</v>
      </c>
      <c r="C948" s="0" t="n">
        <v>3800</v>
      </c>
      <c r="D948" s="0" t="n">
        <v>0.263157894736842</v>
      </c>
      <c r="E948" s="0" t="s">
        <v>2198</v>
      </c>
    </row>
    <row r="949" customFormat="false" ht="15" hidden="false" customHeight="false" outlineLevel="0" collapsed="false">
      <c r="A949" s="0" t="s">
        <v>158</v>
      </c>
      <c r="B949" s="0" t="n">
        <v>1000</v>
      </c>
      <c r="C949" s="0" t="n">
        <v>3800</v>
      </c>
      <c r="D949" s="0" t="n">
        <v>0.263157894736842</v>
      </c>
      <c r="E949" s="0" t="s">
        <v>2212</v>
      </c>
    </row>
    <row r="950" customFormat="false" ht="15" hidden="false" customHeight="false" outlineLevel="0" collapsed="false">
      <c r="A950" s="0" t="s">
        <v>158</v>
      </c>
      <c r="B950" s="0" t="n">
        <v>45000</v>
      </c>
      <c r="C950" s="0" t="n">
        <v>3800</v>
      </c>
      <c r="D950" s="0" t="n">
        <v>11.8421052631579</v>
      </c>
      <c r="E950" s="0" t="s">
        <v>2251</v>
      </c>
    </row>
    <row r="951" customFormat="false" ht="15" hidden="false" customHeight="false" outlineLevel="0" collapsed="false">
      <c r="A951" s="0" t="s">
        <v>158</v>
      </c>
      <c r="B951" s="0" t="n">
        <v>1000</v>
      </c>
      <c r="C951" s="0" t="n">
        <v>3800</v>
      </c>
      <c r="D951" s="0" t="n">
        <v>0.263157894736842</v>
      </c>
      <c r="E951" s="0" t="s">
        <v>2331</v>
      </c>
    </row>
    <row r="952" customFormat="false" ht="15" hidden="false" customHeight="false" outlineLevel="0" collapsed="false">
      <c r="A952" s="0" t="s">
        <v>158</v>
      </c>
      <c r="B952" s="0" t="n">
        <v>2000</v>
      </c>
      <c r="C952" s="0" t="n">
        <v>3800</v>
      </c>
      <c r="D952" s="0" t="n">
        <v>0.526315789473684</v>
      </c>
      <c r="E952" s="0" t="s">
        <v>2349</v>
      </c>
    </row>
    <row r="953" customFormat="false" ht="15" hidden="false" customHeight="false" outlineLevel="0" collapsed="false">
      <c r="A953" s="0" t="s">
        <v>158</v>
      </c>
      <c r="B953" s="0" t="n">
        <v>1000</v>
      </c>
      <c r="C953" s="0" t="n">
        <v>3800</v>
      </c>
      <c r="D953" s="0" t="n">
        <v>0.263157894736842</v>
      </c>
      <c r="E953" s="0" t="s">
        <v>2366</v>
      </c>
    </row>
    <row r="954" customFormat="false" ht="15" hidden="false" customHeight="false" outlineLevel="0" collapsed="false">
      <c r="A954" s="0" t="s">
        <v>158</v>
      </c>
      <c r="B954" s="0" t="n">
        <v>2000</v>
      </c>
      <c r="C954" s="0" t="n">
        <v>3800</v>
      </c>
      <c r="D954" s="0" t="n">
        <v>0.526315789473684</v>
      </c>
      <c r="E954" s="0" t="s">
        <v>2382</v>
      </c>
    </row>
    <row r="955" customFormat="false" ht="15" hidden="false" customHeight="false" outlineLevel="0" collapsed="false">
      <c r="A955" s="0" t="s">
        <v>158</v>
      </c>
      <c r="B955" s="0" t="n">
        <v>1000</v>
      </c>
      <c r="C955" s="0" t="n">
        <v>3800</v>
      </c>
      <c r="D955" s="0" t="n">
        <v>0.263157894736842</v>
      </c>
      <c r="E955" s="0" t="s">
        <v>2400</v>
      </c>
    </row>
    <row r="956" customFormat="false" ht="15" hidden="false" customHeight="false" outlineLevel="0" collapsed="false">
      <c r="A956" s="0" t="s">
        <v>158</v>
      </c>
      <c r="B956" s="0" t="n">
        <v>1000</v>
      </c>
      <c r="C956" s="0" t="n">
        <v>3800</v>
      </c>
      <c r="D956" s="0" t="n">
        <v>0.263157894736842</v>
      </c>
      <c r="E956" s="0" t="s">
        <v>2415</v>
      </c>
    </row>
    <row r="957" customFormat="false" ht="15" hidden="false" customHeight="false" outlineLevel="0" collapsed="false">
      <c r="A957" s="0" t="s">
        <v>158</v>
      </c>
      <c r="B957" s="0" t="n">
        <v>200</v>
      </c>
      <c r="C957" s="0" t="n">
        <v>3800</v>
      </c>
      <c r="D957" s="0" t="n">
        <v>0.0526315789473684</v>
      </c>
      <c r="E957" s="0" t="s">
        <v>2429</v>
      </c>
    </row>
    <row r="958" customFormat="false" ht="15" hidden="false" customHeight="false" outlineLevel="0" collapsed="false">
      <c r="A958" s="0" t="s">
        <v>158</v>
      </c>
      <c r="B958" s="0" t="n">
        <v>1000</v>
      </c>
      <c r="C958" s="0" t="n">
        <v>3800</v>
      </c>
      <c r="D958" s="0" t="n">
        <v>0.263157894736842</v>
      </c>
      <c r="E958" s="0" t="s">
        <v>2444</v>
      </c>
    </row>
    <row r="959" customFormat="false" ht="15" hidden="false" customHeight="false" outlineLevel="0" collapsed="false">
      <c r="A959" s="0" t="s">
        <v>158</v>
      </c>
      <c r="B959" s="0" t="n">
        <v>1000</v>
      </c>
      <c r="C959" s="0" t="n">
        <v>3800</v>
      </c>
      <c r="D959" s="0" t="n">
        <v>0.263157894736842</v>
      </c>
      <c r="E959" s="0" t="s">
        <v>2500</v>
      </c>
    </row>
    <row r="960" customFormat="false" ht="15" hidden="false" customHeight="false" outlineLevel="0" collapsed="false">
      <c r="A960" s="0" t="s">
        <v>158</v>
      </c>
      <c r="B960" s="0" t="n">
        <v>2000</v>
      </c>
      <c r="C960" s="0" t="n">
        <v>3800</v>
      </c>
      <c r="D960" s="0" t="n">
        <v>0.526315789473684</v>
      </c>
      <c r="E960" s="0" t="s">
        <v>2513</v>
      </c>
    </row>
    <row r="961" customFormat="false" ht="15" hidden="false" customHeight="false" outlineLevel="0" collapsed="false">
      <c r="A961" s="0" t="s">
        <v>158</v>
      </c>
      <c r="B961" s="0" t="n">
        <v>1000</v>
      </c>
      <c r="C961" s="0" t="n">
        <v>3800</v>
      </c>
      <c r="D961" s="0" t="n">
        <v>0.263157894736842</v>
      </c>
      <c r="E961" s="0" t="s">
        <v>2526</v>
      </c>
    </row>
    <row r="962" customFormat="false" ht="15" hidden="false" customHeight="false" outlineLevel="0" collapsed="false">
      <c r="A962" s="0" t="s">
        <v>158</v>
      </c>
      <c r="B962" s="0" t="n">
        <v>1000</v>
      </c>
      <c r="C962" s="0" t="n">
        <v>3800</v>
      </c>
      <c r="D962" s="0" t="n">
        <v>0.263157894736842</v>
      </c>
      <c r="E962" s="0" t="s">
        <v>2539</v>
      </c>
    </row>
    <row r="963" customFormat="false" ht="15" hidden="false" customHeight="false" outlineLevel="0" collapsed="false">
      <c r="A963" s="0" t="s">
        <v>158</v>
      </c>
      <c r="B963" s="0" t="n">
        <v>1000</v>
      </c>
      <c r="C963" s="0" t="n">
        <v>3800</v>
      </c>
      <c r="D963" s="0" t="n">
        <v>0.263157894736842</v>
      </c>
      <c r="E963" s="0" t="s">
        <v>2551</v>
      </c>
    </row>
    <row r="964" customFormat="false" ht="15" hidden="false" customHeight="false" outlineLevel="0" collapsed="false">
      <c r="A964" s="0" t="s">
        <v>158</v>
      </c>
      <c r="B964" s="0" t="n">
        <v>2500</v>
      </c>
      <c r="C964" s="0" t="n">
        <v>3800</v>
      </c>
      <c r="D964" s="0" t="n">
        <v>0.657894736842105</v>
      </c>
      <c r="E964" s="0" t="s">
        <v>2565</v>
      </c>
    </row>
    <row r="965" customFormat="false" ht="15" hidden="false" customHeight="false" outlineLevel="0" collapsed="false">
      <c r="A965" s="0" t="s">
        <v>158</v>
      </c>
      <c r="B965" s="0" t="n">
        <v>2000</v>
      </c>
      <c r="C965" s="0" t="n">
        <v>3800</v>
      </c>
      <c r="D965" s="0" t="n">
        <v>0.526315789473684</v>
      </c>
      <c r="E965" s="0" t="s">
        <v>2578</v>
      </c>
    </row>
    <row r="966" customFormat="false" ht="15" hidden="false" customHeight="false" outlineLevel="0" collapsed="false">
      <c r="A966" s="0" t="s">
        <v>158</v>
      </c>
      <c r="B966" s="0" t="n">
        <v>2000</v>
      </c>
      <c r="C966" s="0" t="n">
        <v>3800</v>
      </c>
      <c r="D966" s="0" t="n">
        <v>0.526315789473684</v>
      </c>
      <c r="E966" s="0" t="s">
        <v>2595</v>
      </c>
    </row>
    <row r="967" customFormat="false" ht="15" hidden="false" customHeight="false" outlineLevel="0" collapsed="false">
      <c r="A967" s="0" t="s">
        <v>158</v>
      </c>
      <c r="B967" s="0" t="n">
        <v>2000</v>
      </c>
      <c r="C967" s="0" t="n">
        <v>3800</v>
      </c>
      <c r="D967" s="0" t="n">
        <v>0.526315789473684</v>
      </c>
      <c r="E967" s="0" t="s">
        <v>2636</v>
      </c>
    </row>
    <row r="968" customFormat="false" ht="15" hidden="false" customHeight="false" outlineLevel="0" collapsed="false">
      <c r="A968" s="0" t="s">
        <v>158</v>
      </c>
      <c r="B968" s="0" t="n">
        <v>1000</v>
      </c>
      <c r="C968" s="0" t="n">
        <v>3800</v>
      </c>
      <c r="D968" s="0" t="n">
        <v>0.263157894736842</v>
      </c>
      <c r="E968" s="0" t="s">
        <v>2670</v>
      </c>
    </row>
    <row r="969" customFormat="false" ht="15" hidden="false" customHeight="false" outlineLevel="0" collapsed="false">
      <c r="A969" s="0" t="s">
        <v>158</v>
      </c>
      <c r="B969" s="0" t="n">
        <v>1000</v>
      </c>
      <c r="C969" s="0" t="n">
        <v>4500</v>
      </c>
      <c r="D969" s="0" t="n">
        <v>0.222222222222222</v>
      </c>
      <c r="E969" s="0" t="s">
        <v>2708</v>
      </c>
    </row>
    <row r="970" customFormat="false" ht="15" hidden="false" customHeight="false" outlineLevel="0" collapsed="false">
      <c r="A970" s="0" t="s">
        <v>158</v>
      </c>
      <c r="B970" s="0" t="n">
        <v>1000</v>
      </c>
      <c r="C970" s="0" t="n">
        <v>3800</v>
      </c>
      <c r="D970" s="0" t="n">
        <v>0.263157894736842</v>
      </c>
      <c r="E970" s="0" t="s">
        <v>2752</v>
      </c>
    </row>
    <row r="971" customFormat="false" ht="15" hidden="false" customHeight="false" outlineLevel="0" collapsed="false">
      <c r="A971" s="0" t="s">
        <v>158</v>
      </c>
      <c r="B971" s="0" t="n">
        <v>1500</v>
      </c>
      <c r="C971" s="0" t="n">
        <v>4000</v>
      </c>
      <c r="D971" s="0" t="n">
        <v>0.375</v>
      </c>
      <c r="E971" s="0" t="s">
        <v>2783</v>
      </c>
    </row>
    <row r="972" customFormat="false" ht="15" hidden="false" customHeight="false" outlineLevel="0" collapsed="false">
      <c r="A972" s="0" t="s">
        <v>158</v>
      </c>
      <c r="B972" s="0" t="n">
        <v>1000</v>
      </c>
      <c r="C972" s="0" t="n">
        <v>4000</v>
      </c>
      <c r="D972" s="0" t="n">
        <v>0.25</v>
      </c>
      <c r="E972" s="0" t="s">
        <v>2886</v>
      </c>
    </row>
    <row r="973" customFormat="false" ht="15" hidden="false" customHeight="false" outlineLevel="0" collapsed="false">
      <c r="A973" s="0" t="s">
        <v>158</v>
      </c>
      <c r="B973" s="0" t="n">
        <v>1000</v>
      </c>
      <c r="C973" s="0" t="n">
        <v>4000</v>
      </c>
      <c r="D973" s="0" t="n">
        <v>0.25</v>
      </c>
      <c r="E973" s="0" t="s">
        <v>2900</v>
      </c>
    </row>
    <row r="974" customFormat="false" ht="15" hidden="false" customHeight="false" outlineLevel="0" collapsed="false">
      <c r="A974" s="0" t="s">
        <v>158</v>
      </c>
      <c r="B974" s="0" t="n">
        <v>1000</v>
      </c>
      <c r="C974" s="0" t="n">
        <v>4000</v>
      </c>
      <c r="D974" s="0" t="n">
        <v>0.25</v>
      </c>
      <c r="E974" s="0" t="s">
        <v>2914</v>
      </c>
    </row>
    <row r="975" customFormat="false" ht="15" hidden="false" customHeight="false" outlineLevel="0" collapsed="false">
      <c r="A975" s="0" t="s">
        <v>158</v>
      </c>
      <c r="B975" s="0" t="n">
        <v>1000</v>
      </c>
      <c r="C975" s="0" t="n">
        <v>4000</v>
      </c>
      <c r="D975" s="0" t="n">
        <v>0.25</v>
      </c>
      <c r="E975" s="0" t="s">
        <v>2931</v>
      </c>
    </row>
    <row r="976" customFormat="false" ht="15" hidden="false" customHeight="false" outlineLevel="0" collapsed="false">
      <c r="A976" s="0" t="s">
        <v>158</v>
      </c>
      <c r="B976" s="0" t="n">
        <v>1000</v>
      </c>
      <c r="C976" s="0" t="n">
        <v>4000</v>
      </c>
      <c r="D976" s="0" t="n">
        <v>0.25</v>
      </c>
      <c r="E976" s="0" t="s">
        <v>2952</v>
      </c>
    </row>
    <row r="977" customFormat="false" ht="15" hidden="false" customHeight="false" outlineLevel="0" collapsed="false">
      <c r="A977" s="0" t="s">
        <v>158</v>
      </c>
      <c r="B977" s="0" t="n">
        <v>1000</v>
      </c>
      <c r="C977" s="0" t="n">
        <v>4000</v>
      </c>
      <c r="D977" s="0" t="n">
        <v>0.25</v>
      </c>
      <c r="E977" s="0" t="s">
        <v>2965</v>
      </c>
    </row>
    <row r="978" customFormat="false" ht="15" hidden="false" customHeight="false" outlineLevel="0" collapsed="false">
      <c r="A978" s="0" t="s">
        <v>158</v>
      </c>
      <c r="B978" s="0" t="n">
        <v>1000</v>
      </c>
      <c r="C978" s="0" t="n">
        <v>4000</v>
      </c>
      <c r="D978" s="0" t="n">
        <v>0.25</v>
      </c>
      <c r="E978" s="0" t="s">
        <v>2978</v>
      </c>
    </row>
    <row r="979" customFormat="false" ht="15" hidden="false" customHeight="false" outlineLevel="0" collapsed="false">
      <c r="A979" s="0" t="s">
        <v>158</v>
      </c>
      <c r="B979" s="0" t="n">
        <v>1000</v>
      </c>
      <c r="C979" s="0" t="n">
        <v>4000</v>
      </c>
      <c r="D979" s="0" t="n">
        <v>0.25</v>
      </c>
      <c r="E979" s="0" t="s">
        <v>2990</v>
      </c>
    </row>
    <row r="980" customFormat="false" ht="15" hidden="false" customHeight="false" outlineLevel="0" collapsed="false">
      <c r="A980" s="0" t="s">
        <v>158</v>
      </c>
      <c r="B980" s="0" t="n">
        <v>1000</v>
      </c>
      <c r="C980" s="0" t="n">
        <v>4000</v>
      </c>
      <c r="D980" s="0" t="n">
        <v>0.25</v>
      </c>
      <c r="E980" s="0" t="s">
        <v>3001</v>
      </c>
    </row>
    <row r="981" customFormat="false" ht="15" hidden="false" customHeight="false" outlineLevel="0" collapsed="false">
      <c r="A981" s="0" t="s">
        <v>158</v>
      </c>
      <c r="B981" s="0" t="n">
        <v>1000</v>
      </c>
      <c r="C981" s="0" t="n">
        <v>4000</v>
      </c>
      <c r="D981" s="0" t="n">
        <v>0.25</v>
      </c>
      <c r="E981" s="0" t="s">
        <v>3013</v>
      </c>
    </row>
    <row r="982" customFormat="false" ht="15" hidden="false" customHeight="false" outlineLevel="0" collapsed="false">
      <c r="A982" s="0" t="s">
        <v>158</v>
      </c>
      <c r="B982" s="0" t="n">
        <v>1000</v>
      </c>
      <c r="C982" s="0" t="n">
        <v>4000</v>
      </c>
      <c r="D982" s="0" t="n">
        <v>0.25</v>
      </c>
      <c r="E982" s="0" t="s">
        <v>3025</v>
      </c>
    </row>
    <row r="983" customFormat="false" ht="15" hidden="false" customHeight="false" outlineLevel="0" collapsed="false">
      <c r="A983" s="0" t="s">
        <v>158</v>
      </c>
      <c r="B983" s="0" t="n">
        <v>1000</v>
      </c>
      <c r="C983" s="0" t="n">
        <v>4000</v>
      </c>
      <c r="D983" s="0" t="n">
        <v>0.25</v>
      </c>
      <c r="E983" s="0" t="s">
        <v>3036</v>
      </c>
    </row>
    <row r="984" customFormat="false" ht="15" hidden="false" customHeight="false" outlineLevel="0" collapsed="false">
      <c r="A984" s="0" t="s">
        <v>158</v>
      </c>
      <c r="B984" s="0" t="n">
        <v>1000</v>
      </c>
      <c r="C984" s="0" t="n">
        <v>4000</v>
      </c>
      <c r="D984" s="0" t="n">
        <v>0.25</v>
      </c>
      <c r="E984" s="0" t="s">
        <v>3047</v>
      </c>
    </row>
    <row r="985" customFormat="false" ht="15" hidden="false" customHeight="false" outlineLevel="0" collapsed="false">
      <c r="A985" s="0" t="s">
        <v>158</v>
      </c>
      <c r="B985" s="0" t="n">
        <v>1000</v>
      </c>
      <c r="C985" s="0" t="n">
        <v>4000</v>
      </c>
      <c r="D985" s="0" t="n">
        <v>0.25</v>
      </c>
      <c r="E985" s="0" t="s">
        <v>3059</v>
      </c>
    </row>
    <row r="986" customFormat="false" ht="15" hidden="false" customHeight="false" outlineLevel="0" collapsed="false">
      <c r="A986" s="0" t="s">
        <v>158</v>
      </c>
      <c r="B986" s="0" t="n">
        <v>1000</v>
      </c>
      <c r="C986" s="0" t="n">
        <v>4000</v>
      </c>
      <c r="D986" s="0" t="n">
        <v>0.25</v>
      </c>
      <c r="E986" s="0" t="s">
        <v>3070</v>
      </c>
    </row>
    <row r="987" customFormat="false" ht="15" hidden="false" customHeight="false" outlineLevel="0" collapsed="false">
      <c r="A987" s="0" t="s">
        <v>158</v>
      </c>
      <c r="B987" s="0" t="n">
        <v>1000</v>
      </c>
      <c r="C987" s="0" t="n">
        <v>4000</v>
      </c>
      <c r="D987" s="0" t="n">
        <v>0.25</v>
      </c>
      <c r="E987" s="0" t="s">
        <v>3082</v>
      </c>
    </row>
    <row r="988" customFormat="false" ht="15" hidden="false" customHeight="false" outlineLevel="0" collapsed="false">
      <c r="A988" s="0" t="s">
        <v>158</v>
      </c>
      <c r="B988" s="0" t="n">
        <v>1000</v>
      </c>
      <c r="C988" s="0" t="n">
        <v>4000</v>
      </c>
      <c r="D988" s="0" t="n">
        <v>0.25</v>
      </c>
      <c r="E988" s="0" t="s">
        <v>3093</v>
      </c>
    </row>
    <row r="989" customFormat="false" ht="15" hidden="false" customHeight="false" outlineLevel="0" collapsed="false">
      <c r="A989" s="0" t="s">
        <v>158</v>
      </c>
      <c r="B989" s="0" t="n">
        <v>1000</v>
      </c>
      <c r="C989" s="0" t="n">
        <v>4000</v>
      </c>
      <c r="D989" s="0" t="n">
        <v>0.25</v>
      </c>
      <c r="E989" s="0" t="s">
        <v>3104</v>
      </c>
    </row>
    <row r="990" customFormat="false" ht="15" hidden="false" customHeight="false" outlineLevel="0" collapsed="false">
      <c r="A990" s="0" t="s">
        <v>158</v>
      </c>
      <c r="B990" s="0" t="n">
        <v>1000</v>
      </c>
      <c r="C990" s="0" t="n">
        <v>4000</v>
      </c>
      <c r="D990" s="0" t="n">
        <v>0.25</v>
      </c>
      <c r="E990" s="0" t="s">
        <v>3116</v>
      </c>
    </row>
    <row r="991" customFormat="false" ht="15" hidden="false" customHeight="false" outlineLevel="0" collapsed="false">
      <c r="A991" s="0" t="s">
        <v>158</v>
      </c>
      <c r="B991" s="0" t="n">
        <v>1000</v>
      </c>
      <c r="C991" s="0" t="n">
        <v>4000</v>
      </c>
      <c r="D991" s="0" t="n">
        <v>0.25</v>
      </c>
      <c r="E991" s="0" t="s">
        <v>3128</v>
      </c>
    </row>
    <row r="992" customFormat="false" ht="15" hidden="false" customHeight="false" outlineLevel="0" collapsed="false">
      <c r="A992" s="0" t="s">
        <v>158</v>
      </c>
      <c r="B992" s="0" t="n">
        <v>1000</v>
      </c>
      <c r="C992" s="0" t="n">
        <v>4000</v>
      </c>
      <c r="D992" s="0" t="n">
        <v>0.25</v>
      </c>
      <c r="E992" s="0" t="s">
        <v>3139</v>
      </c>
    </row>
    <row r="993" customFormat="false" ht="15" hidden="false" customHeight="false" outlineLevel="0" collapsed="false">
      <c r="A993" s="0" t="s">
        <v>158</v>
      </c>
      <c r="B993" s="0" t="n">
        <v>1000</v>
      </c>
      <c r="C993" s="0" t="n">
        <v>4000</v>
      </c>
      <c r="D993" s="0" t="n">
        <v>0.25</v>
      </c>
      <c r="E993" s="0" t="s">
        <v>3150</v>
      </c>
    </row>
    <row r="994" customFormat="false" ht="15" hidden="false" customHeight="false" outlineLevel="0" collapsed="false">
      <c r="A994" s="0" t="s">
        <v>158</v>
      </c>
      <c r="B994" s="0" t="n">
        <v>1000</v>
      </c>
      <c r="C994" s="0" t="n">
        <v>4000</v>
      </c>
      <c r="D994" s="0" t="n">
        <v>0.25</v>
      </c>
      <c r="E994" s="0" t="s">
        <v>3161</v>
      </c>
    </row>
    <row r="995" customFormat="false" ht="15" hidden="false" customHeight="false" outlineLevel="0" collapsed="false">
      <c r="A995" s="0" t="s">
        <v>158</v>
      </c>
      <c r="B995" s="0" t="n">
        <v>1000</v>
      </c>
      <c r="C995" s="0" t="n">
        <v>4000</v>
      </c>
      <c r="D995" s="0" t="n">
        <v>0.25</v>
      </c>
      <c r="E995" s="0" t="s">
        <v>3172</v>
      </c>
    </row>
    <row r="996" customFormat="false" ht="15" hidden="false" customHeight="false" outlineLevel="0" collapsed="false">
      <c r="A996" s="0" t="s">
        <v>158</v>
      </c>
      <c r="B996" s="0" t="n">
        <v>2000</v>
      </c>
      <c r="C996" s="0" t="n">
        <v>4000</v>
      </c>
      <c r="D996" s="0" t="n">
        <v>0.5</v>
      </c>
      <c r="E996" s="0" t="s">
        <v>3184</v>
      </c>
    </row>
    <row r="997" customFormat="false" ht="15" hidden="false" customHeight="false" outlineLevel="0" collapsed="false">
      <c r="A997" s="0" t="s">
        <v>158</v>
      </c>
      <c r="B997" s="0" t="n">
        <v>2000</v>
      </c>
      <c r="C997" s="0" t="n">
        <v>4000</v>
      </c>
      <c r="D997" s="0" t="n">
        <v>0.5</v>
      </c>
      <c r="E997" s="0" t="s">
        <v>3197</v>
      </c>
    </row>
    <row r="998" customFormat="false" ht="15" hidden="false" customHeight="false" outlineLevel="0" collapsed="false">
      <c r="A998" s="0" t="s">
        <v>158</v>
      </c>
      <c r="B998" s="0" t="n">
        <v>2000</v>
      </c>
      <c r="C998" s="0" t="n">
        <v>4000</v>
      </c>
      <c r="D998" s="0" t="n">
        <v>0.5</v>
      </c>
      <c r="E998" s="0" t="s">
        <v>3208</v>
      </c>
    </row>
    <row r="999" customFormat="false" ht="15" hidden="false" customHeight="false" outlineLevel="0" collapsed="false">
      <c r="A999" s="0" t="s">
        <v>158</v>
      </c>
      <c r="B999" s="0" t="n">
        <v>2000</v>
      </c>
      <c r="C999" s="0" t="n">
        <v>4000</v>
      </c>
      <c r="D999" s="0" t="n">
        <v>0.5</v>
      </c>
      <c r="E999" s="0" t="s">
        <v>3220</v>
      </c>
    </row>
    <row r="1000" customFormat="false" ht="15" hidden="false" customHeight="false" outlineLevel="0" collapsed="false">
      <c r="A1000" s="0" t="s">
        <v>158</v>
      </c>
      <c r="B1000" s="0" t="n">
        <v>2000</v>
      </c>
      <c r="C1000" s="0" t="n">
        <v>4000</v>
      </c>
      <c r="D1000" s="0" t="n">
        <v>0.5</v>
      </c>
      <c r="E1000" s="0" t="s">
        <v>3231</v>
      </c>
    </row>
    <row r="1001" customFormat="false" ht="15" hidden="false" customHeight="false" outlineLevel="0" collapsed="false">
      <c r="A1001" s="0" t="s">
        <v>158</v>
      </c>
      <c r="B1001" s="0" t="n">
        <v>2000</v>
      </c>
      <c r="C1001" s="0" t="n">
        <v>4000</v>
      </c>
      <c r="D1001" s="0" t="n">
        <v>0.5</v>
      </c>
      <c r="E1001" s="0" t="s">
        <v>3242</v>
      </c>
    </row>
    <row r="1002" customFormat="false" ht="15" hidden="false" customHeight="false" outlineLevel="0" collapsed="false">
      <c r="A1002" s="0" t="s">
        <v>158</v>
      </c>
      <c r="B1002" s="0" t="n">
        <v>2000</v>
      </c>
      <c r="C1002" s="0" t="n">
        <v>4000</v>
      </c>
      <c r="D1002" s="0" t="n">
        <v>0.5</v>
      </c>
      <c r="E1002" s="0" t="s">
        <v>3255</v>
      </c>
    </row>
    <row r="1003" customFormat="false" ht="15" hidden="false" customHeight="false" outlineLevel="0" collapsed="false">
      <c r="A1003" s="0" t="s">
        <v>158</v>
      </c>
      <c r="B1003" s="0" t="n">
        <v>2000</v>
      </c>
      <c r="C1003" s="0" t="n">
        <v>4000</v>
      </c>
      <c r="D1003" s="0" t="n">
        <v>0.5</v>
      </c>
      <c r="E1003" s="0" t="s">
        <v>3268</v>
      </c>
    </row>
    <row r="1004" customFormat="false" ht="15" hidden="false" customHeight="false" outlineLevel="0" collapsed="false">
      <c r="A1004" s="0" t="s">
        <v>158</v>
      </c>
      <c r="B1004" s="0" t="n">
        <v>2000</v>
      </c>
      <c r="C1004" s="0" t="n">
        <v>4000</v>
      </c>
      <c r="D1004" s="0" t="n">
        <v>0.5</v>
      </c>
      <c r="E1004" s="0" t="s">
        <v>3283</v>
      </c>
    </row>
    <row r="1005" customFormat="false" ht="15" hidden="false" customHeight="false" outlineLevel="0" collapsed="false">
      <c r="A1005" s="0" t="s">
        <v>158</v>
      </c>
      <c r="B1005" s="0" t="n">
        <v>2000</v>
      </c>
      <c r="C1005" s="0" t="n">
        <v>4000</v>
      </c>
      <c r="D1005" s="0" t="n">
        <v>0.5</v>
      </c>
      <c r="E1005" s="0" t="s">
        <v>3303</v>
      </c>
    </row>
    <row r="1006" customFormat="false" ht="15" hidden="false" customHeight="false" outlineLevel="0" collapsed="false">
      <c r="A1006" s="0" t="s">
        <v>158</v>
      </c>
      <c r="B1006" s="0" t="n">
        <v>2000</v>
      </c>
      <c r="C1006" s="0" t="n">
        <v>4000</v>
      </c>
      <c r="D1006" s="0" t="n">
        <v>0.5</v>
      </c>
      <c r="E1006" s="0" t="s">
        <v>3323</v>
      </c>
    </row>
    <row r="1007" customFormat="false" ht="15" hidden="false" customHeight="false" outlineLevel="0" collapsed="false">
      <c r="A1007" s="0" t="s">
        <v>158</v>
      </c>
      <c r="B1007" s="0" t="n">
        <v>2000</v>
      </c>
      <c r="C1007" s="0" t="n">
        <v>4000</v>
      </c>
      <c r="D1007" s="0" t="n">
        <v>0.5</v>
      </c>
      <c r="E1007" s="0" t="s">
        <v>3337</v>
      </c>
    </row>
    <row r="1008" customFormat="false" ht="15" hidden="false" customHeight="false" outlineLevel="0" collapsed="false">
      <c r="A1008" s="0" t="s">
        <v>158</v>
      </c>
      <c r="B1008" s="0" t="n">
        <v>1000</v>
      </c>
      <c r="C1008" s="0" t="n">
        <v>3700</v>
      </c>
      <c r="D1008" s="0" t="n">
        <v>0.27027027027027</v>
      </c>
      <c r="E1008" s="0" t="s">
        <v>3353</v>
      </c>
    </row>
    <row r="1009" customFormat="false" ht="15" hidden="false" customHeight="false" outlineLevel="0" collapsed="false">
      <c r="A1009" s="0" t="s">
        <v>203</v>
      </c>
      <c r="B1009" s="0" t="n">
        <v>10000</v>
      </c>
      <c r="C1009" s="0" t="n">
        <v>4000</v>
      </c>
      <c r="D1009" s="0" t="n">
        <v>2.5</v>
      </c>
      <c r="E1009" s="0" t="s">
        <v>204</v>
      </c>
    </row>
    <row r="1010" customFormat="false" ht="15" hidden="false" customHeight="false" outlineLevel="0" collapsed="false">
      <c r="A1010" s="0" t="s">
        <v>203</v>
      </c>
      <c r="B1010" s="0" t="n">
        <v>769.230769230769</v>
      </c>
      <c r="C1010" s="0" t="n">
        <v>4000</v>
      </c>
      <c r="D1010" s="0" t="n">
        <v>0.192307692307692</v>
      </c>
      <c r="E1010" s="0" t="s">
        <v>223</v>
      </c>
    </row>
    <row r="1011" customFormat="false" ht="15" hidden="false" customHeight="false" outlineLevel="0" collapsed="false">
      <c r="A1011" s="0" t="s">
        <v>203</v>
      </c>
      <c r="B1011" s="0" t="n">
        <v>769.230769230769</v>
      </c>
      <c r="C1011" s="0" t="n">
        <v>4000</v>
      </c>
      <c r="D1011" s="0" t="n">
        <v>0.192307692307692</v>
      </c>
      <c r="E1011" s="0" t="s">
        <v>238</v>
      </c>
    </row>
    <row r="1012" customFormat="false" ht="15" hidden="false" customHeight="false" outlineLevel="0" collapsed="false">
      <c r="A1012" s="0" t="s">
        <v>203</v>
      </c>
      <c r="B1012" s="0" t="n">
        <v>769.230769230769</v>
      </c>
      <c r="C1012" s="0" t="n">
        <v>4000</v>
      </c>
      <c r="D1012" s="0" t="n">
        <v>0.192307692307692</v>
      </c>
      <c r="E1012" s="0" t="s">
        <v>253</v>
      </c>
    </row>
    <row r="1013" customFormat="false" ht="15" hidden="false" customHeight="false" outlineLevel="0" collapsed="false">
      <c r="A1013" s="0" t="s">
        <v>203</v>
      </c>
      <c r="B1013" s="0" t="n">
        <v>769.230769230769</v>
      </c>
      <c r="C1013" s="0" t="n">
        <v>4000</v>
      </c>
      <c r="D1013" s="0" t="n">
        <v>0.192307692307692</v>
      </c>
      <c r="E1013" s="0" t="s">
        <v>266</v>
      </c>
    </row>
    <row r="1014" customFormat="false" ht="15" hidden="false" customHeight="false" outlineLevel="0" collapsed="false">
      <c r="A1014" s="0" t="s">
        <v>203</v>
      </c>
      <c r="B1014" s="0" t="n">
        <v>4000</v>
      </c>
      <c r="C1014" s="0" t="n">
        <v>3800</v>
      </c>
      <c r="D1014" s="0" t="n">
        <v>1.05263157894737</v>
      </c>
      <c r="E1014" s="0" t="s">
        <v>691</v>
      </c>
    </row>
    <row r="1015" customFormat="false" ht="15" hidden="false" customHeight="false" outlineLevel="0" collapsed="false">
      <c r="A1015" s="0" t="s">
        <v>203</v>
      </c>
      <c r="B1015" s="0" t="n">
        <v>2500</v>
      </c>
      <c r="C1015" s="0" t="n">
        <v>3800</v>
      </c>
      <c r="D1015" s="0" t="n">
        <v>0.657894736842105</v>
      </c>
      <c r="E1015" s="0" t="s">
        <v>760</v>
      </c>
    </row>
    <row r="1016" customFormat="false" ht="15" hidden="false" customHeight="false" outlineLevel="0" collapsed="false">
      <c r="A1016" s="0" t="s">
        <v>203</v>
      </c>
      <c r="B1016" s="0" t="n">
        <v>4500</v>
      </c>
      <c r="C1016" s="0" t="n">
        <v>3800</v>
      </c>
      <c r="D1016" s="0" t="n">
        <v>1.18421052631579</v>
      </c>
      <c r="E1016" s="0" t="s">
        <v>789</v>
      </c>
    </row>
    <row r="1017" customFormat="false" ht="15" hidden="false" customHeight="false" outlineLevel="0" collapsed="false">
      <c r="A1017" s="0" t="s">
        <v>203</v>
      </c>
      <c r="B1017" s="0" t="n">
        <v>2000</v>
      </c>
      <c r="C1017" s="0" t="n">
        <v>3800</v>
      </c>
      <c r="D1017" s="0" t="n">
        <v>0.526315789473684</v>
      </c>
      <c r="E1017" s="0" t="s">
        <v>900</v>
      </c>
    </row>
    <row r="1018" customFormat="false" ht="15" hidden="false" customHeight="false" outlineLevel="0" collapsed="false">
      <c r="A1018" s="0" t="s">
        <v>203</v>
      </c>
      <c r="B1018" s="0" t="n">
        <v>11000</v>
      </c>
      <c r="C1018" s="0" t="n">
        <v>3800</v>
      </c>
      <c r="D1018" s="0" t="n">
        <v>2.89473684210526</v>
      </c>
      <c r="E1018" s="0" t="s">
        <v>914</v>
      </c>
    </row>
    <row r="1019" customFormat="false" ht="15" hidden="false" customHeight="false" outlineLevel="0" collapsed="false">
      <c r="A1019" s="0" t="s">
        <v>203</v>
      </c>
      <c r="B1019" s="0" t="n">
        <v>1500</v>
      </c>
      <c r="C1019" s="0" t="n">
        <v>4000</v>
      </c>
      <c r="D1019" s="0" t="n">
        <v>0.375</v>
      </c>
      <c r="E1019" s="0" t="s">
        <v>998</v>
      </c>
    </row>
    <row r="1020" customFormat="false" ht="15" hidden="false" customHeight="false" outlineLevel="0" collapsed="false">
      <c r="A1020" s="0" t="s">
        <v>203</v>
      </c>
      <c r="B1020" s="0" t="n">
        <v>1000</v>
      </c>
      <c r="C1020" s="0" t="n">
        <v>4000</v>
      </c>
      <c r="D1020" s="0" t="n">
        <v>0.25</v>
      </c>
      <c r="E1020" s="0" t="s">
        <v>1011</v>
      </c>
    </row>
    <row r="1021" customFormat="false" ht="15" hidden="false" customHeight="false" outlineLevel="0" collapsed="false">
      <c r="A1021" s="0" t="s">
        <v>203</v>
      </c>
      <c r="B1021" s="0" t="n">
        <v>2500</v>
      </c>
      <c r="C1021" s="0" t="n">
        <v>4000</v>
      </c>
      <c r="D1021" s="0" t="n">
        <v>0.625</v>
      </c>
      <c r="E1021" s="0" t="s">
        <v>1025</v>
      </c>
    </row>
    <row r="1022" customFormat="false" ht="15" hidden="false" customHeight="false" outlineLevel="0" collapsed="false">
      <c r="A1022" s="0" t="s">
        <v>203</v>
      </c>
      <c r="B1022" s="0" t="n">
        <v>3000</v>
      </c>
      <c r="C1022" s="0" t="n">
        <v>3800</v>
      </c>
      <c r="D1022" s="0" t="n">
        <v>0.789473684210526</v>
      </c>
      <c r="E1022" s="0" t="s">
        <v>1041</v>
      </c>
    </row>
    <row r="1023" customFormat="false" ht="15" hidden="false" customHeight="false" outlineLevel="0" collapsed="false">
      <c r="A1023" s="0" t="s">
        <v>203</v>
      </c>
      <c r="B1023" s="0" t="n">
        <v>3000</v>
      </c>
      <c r="C1023" s="0" t="n">
        <v>3800</v>
      </c>
      <c r="D1023" s="0" t="n">
        <v>0.789473684210526</v>
      </c>
      <c r="E1023" s="0" t="s">
        <v>1055</v>
      </c>
    </row>
    <row r="1024" customFormat="false" ht="15" hidden="false" customHeight="false" outlineLevel="0" collapsed="false">
      <c r="A1024" s="0" t="s">
        <v>203</v>
      </c>
      <c r="B1024" s="0" t="n">
        <v>4000</v>
      </c>
      <c r="C1024" s="0" t="n">
        <v>3800</v>
      </c>
      <c r="D1024" s="0" t="n">
        <v>1.05263157894737</v>
      </c>
      <c r="E1024" s="0" t="s">
        <v>1070</v>
      </c>
    </row>
    <row r="1025" customFormat="false" ht="15" hidden="false" customHeight="false" outlineLevel="0" collapsed="false">
      <c r="A1025" s="0" t="s">
        <v>203</v>
      </c>
      <c r="B1025" s="0" t="n">
        <v>500</v>
      </c>
      <c r="C1025" s="0" t="n">
        <v>4000</v>
      </c>
      <c r="D1025" s="0" t="n">
        <v>0.125</v>
      </c>
      <c r="E1025" s="0" t="s">
        <v>1087</v>
      </c>
    </row>
    <row r="1026" customFormat="false" ht="15" hidden="false" customHeight="false" outlineLevel="0" collapsed="false">
      <c r="A1026" s="0" t="s">
        <v>203</v>
      </c>
      <c r="B1026" s="0" t="n">
        <v>5000</v>
      </c>
      <c r="C1026" s="0" t="n">
        <v>4000</v>
      </c>
      <c r="D1026" s="0" t="n">
        <v>1.25</v>
      </c>
      <c r="E1026" s="0" t="s">
        <v>1116</v>
      </c>
    </row>
    <row r="1027" customFormat="false" ht="15" hidden="false" customHeight="false" outlineLevel="0" collapsed="false">
      <c r="A1027" s="0" t="s">
        <v>203</v>
      </c>
      <c r="B1027" s="0" t="n">
        <v>1000</v>
      </c>
      <c r="C1027" s="0" t="n">
        <v>4000</v>
      </c>
      <c r="D1027" s="0" t="n">
        <v>0.25</v>
      </c>
      <c r="E1027" s="0" t="s">
        <v>1148</v>
      </c>
    </row>
    <row r="1028" customFormat="false" ht="15" hidden="false" customHeight="false" outlineLevel="0" collapsed="false">
      <c r="A1028" s="0" t="s">
        <v>203</v>
      </c>
      <c r="B1028" s="0" t="n">
        <v>500</v>
      </c>
      <c r="C1028" s="0" t="n">
        <v>4000</v>
      </c>
      <c r="D1028" s="0" t="n">
        <v>0.125</v>
      </c>
      <c r="E1028" s="0" t="s">
        <v>1202</v>
      </c>
    </row>
    <row r="1029" customFormat="false" ht="15" hidden="false" customHeight="false" outlineLevel="0" collapsed="false">
      <c r="A1029" s="0" t="s">
        <v>203</v>
      </c>
      <c r="B1029" s="0" t="n">
        <v>2000</v>
      </c>
      <c r="C1029" s="0" t="n">
        <v>4000</v>
      </c>
      <c r="D1029" s="0" t="n">
        <v>0.5</v>
      </c>
      <c r="E1029" s="0" t="s">
        <v>1231</v>
      </c>
    </row>
    <row r="1030" customFormat="false" ht="15" hidden="false" customHeight="false" outlineLevel="0" collapsed="false">
      <c r="A1030" s="0" t="s">
        <v>203</v>
      </c>
      <c r="B1030" s="0" t="n">
        <v>500</v>
      </c>
      <c r="C1030" s="0" t="n">
        <v>4000</v>
      </c>
      <c r="D1030" s="0" t="n">
        <v>0.125</v>
      </c>
      <c r="E1030" s="0" t="s">
        <v>1245</v>
      </c>
    </row>
    <row r="1031" customFormat="false" ht="15" hidden="false" customHeight="false" outlineLevel="0" collapsed="false">
      <c r="A1031" s="0" t="s">
        <v>203</v>
      </c>
      <c r="B1031" s="0" t="n">
        <v>1500</v>
      </c>
      <c r="C1031" s="0" t="n">
        <v>4000</v>
      </c>
      <c r="D1031" s="0" t="n">
        <v>0.375</v>
      </c>
      <c r="E1031" s="0" t="s">
        <v>1309</v>
      </c>
    </row>
    <row r="1032" customFormat="false" ht="15" hidden="false" customHeight="false" outlineLevel="0" collapsed="false">
      <c r="A1032" s="0" t="s">
        <v>203</v>
      </c>
      <c r="B1032" s="0" t="n">
        <v>4500</v>
      </c>
      <c r="C1032" s="0" t="n">
        <v>4000</v>
      </c>
      <c r="D1032" s="0" t="n">
        <v>1.125</v>
      </c>
      <c r="E1032" s="0" t="s">
        <v>1339</v>
      </c>
    </row>
    <row r="1033" customFormat="false" ht="15" hidden="false" customHeight="false" outlineLevel="0" collapsed="false">
      <c r="A1033" s="0" t="s">
        <v>203</v>
      </c>
      <c r="B1033" s="0" t="n">
        <v>3000</v>
      </c>
      <c r="C1033" s="0" t="n">
        <v>4000</v>
      </c>
      <c r="D1033" s="0" t="n">
        <v>0.75</v>
      </c>
      <c r="E1033" s="0" t="s">
        <v>1368</v>
      </c>
    </row>
    <row r="1034" customFormat="false" ht="15" hidden="false" customHeight="false" outlineLevel="0" collapsed="false">
      <c r="A1034" s="0" t="s">
        <v>203</v>
      </c>
      <c r="B1034" s="0" t="n">
        <v>500</v>
      </c>
      <c r="C1034" s="0" t="n">
        <v>3800</v>
      </c>
      <c r="D1034" s="0" t="n">
        <v>0.131578947368421</v>
      </c>
      <c r="E1034" s="0" t="s">
        <v>1463</v>
      </c>
    </row>
    <row r="1035" customFormat="false" ht="15" hidden="false" customHeight="false" outlineLevel="0" collapsed="false">
      <c r="A1035" s="0" t="s">
        <v>203</v>
      </c>
      <c r="B1035" s="0" t="n">
        <v>1000</v>
      </c>
      <c r="C1035" s="0" t="n">
        <v>3800</v>
      </c>
      <c r="D1035" s="0" t="n">
        <v>0.263157894736842</v>
      </c>
      <c r="E1035" s="0" t="s">
        <v>1858</v>
      </c>
    </row>
    <row r="1036" customFormat="false" ht="15" hidden="false" customHeight="false" outlineLevel="0" collapsed="false">
      <c r="A1036" s="0" t="s">
        <v>203</v>
      </c>
      <c r="B1036" s="0" t="n">
        <v>1000</v>
      </c>
      <c r="C1036" s="0" t="n">
        <v>3800</v>
      </c>
      <c r="D1036" s="0" t="n">
        <v>0.263157894736842</v>
      </c>
      <c r="E1036" s="0" t="s">
        <v>1876</v>
      </c>
    </row>
    <row r="1037" customFormat="false" ht="15" hidden="false" customHeight="false" outlineLevel="0" collapsed="false">
      <c r="A1037" s="0" t="s">
        <v>203</v>
      </c>
      <c r="B1037" s="0" t="n">
        <v>1000</v>
      </c>
      <c r="C1037" s="0" t="n">
        <v>3800</v>
      </c>
      <c r="D1037" s="0" t="n">
        <v>0.263157894736842</v>
      </c>
      <c r="E1037" s="0" t="s">
        <v>1891</v>
      </c>
    </row>
    <row r="1038" customFormat="false" ht="15" hidden="false" customHeight="false" outlineLevel="0" collapsed="false">
      <c r="A1038" s="0" t="s">
        <v>203</v>
      </c>
      <c r="B1038" s="0" t="n">
        <v>1000</v>
      </c>
      <c r="C1038" s="0" t="n">
        <v>3800</v>
      </c>
      <c r="D1038" s="0" t="n">
        <v>0.263157894736842</v>
      </c>
      <c r="E1038" s="0" t="s">
        <v>1906</v>
      </c>
    </row>
    <row r="1039" customFormat="false" ht="15" hidden="false" customHeight="false" outlineLevel="0" collapsed="false">
      <c r="A1039" s="0" t="s">
        <v>203</v>
      </c>
      <c r="B1039" s="0" t="n">
        <v>500</v>
      </c>
      <c r="C1039" s="0" t="n">
        <v>3800</v>
      </c>
      <c r="D1039" s="0" t="n">
        <v>0.131578947368421</v>
      </c>
      <c r="E1039" s="0" t="s">
        <v>2229</v>
      </c>
    </row>
    <row r="1040" customFormat="false" ht="15" hidden="false" customHeight="false" outlineLevel="0" collapsed="false">
      <c r="A1040" s="0" t="s">
        <v>203</v>
      </c>
      <c r="B1040" s="0" t="n">
        <v>500</v>
      </c>
      <c r="C1040" s="0" t="n">
        <v>3800</v>
      </c>
      <c r="D1040" s="0" t="n">
        <v>0.131578947368421</v>
      </c>
      <c r="E1040" s="0" t="s">
        <v>2243</v>
      </c>
    </row>
    <row r="1041" customFormat="false" ht="15" hidden="false" customHeight="false" outlineLevel="0" collapsed="false">
      <c r="A1041" s="0" t="s">
        <v>203</v>
      </c>
      <c r="B1041" s="0" t="n">
        <v>500</v>
      </c>
      <c r="C1041" s="0" t="n">
        <v>3800</v>
      </c>
      <c r="D1041" s="0" t="n">
        <v>0.131578947368421</v>
      </c>
      <c r="E1041" s="0" t="s">
        <v>2272</v>
      </c>
    </row>
    <row r="1042" customFormat="false" ht="15" hidden="false" customHeight="false" outlineLevel="0" collapsed="false">
      <c r="A1042" s="0" t="s">
        <v>203</v>
      </c>
      <c r="B1042" s="0" t="n">
        <v>500</v>
      </c>
      <c r="C1042" s="0" t="n">
        <v>3800</v>
      </c>
      <c r="D1042" s="0" t="n">
        <v>0.131578947368421</v>
      </c>
      <c r="E1042" s="0" t="s">
        <v>2286</v>
      </c>
    </row>
    <row r="1043" customFormat="false" ht="15" hidden="false" customHeight="false" outlineLevel="0" collapsed="false">
      <c r="A1043" s="0" t="s">
        <v>203</v>
      </c>
      <c r="B1043" s="0" t="n">
        <v>1000</v>
      </c>
      <c r="C1043" s="0" t="n">
        <v>3800</v>
      </c>
      <c r="D1043" s="0" t="n">
        <v>0.263157894736842</v>
      </c>
      <c r="E1043" s="0" t="s">
        <v>2314</v>
      </c>
    </row>
    <row r="1044" customFormat="false" ht="15" hidden="false" customHeight="false" outlineLevel="0" collapsed="false">
      <c r="A1044" s="0" t="s">
        <v>203</v>
      </c>
      <c r="B1044" s="0" t="n">
        <v>3000</v>
      </c>
      <c r="C1044" s="0" t="n">
        <v>3800</v>
      </c>
      <c r="D1044" s="0" t="n">
        <v>0.789473684210526</v>
      </c>
      <c r="E1044" s="0" t="s">
        <v>2501</v>
      </c>
    </row>
    <row r="1045" customFormat="false" ht="15" hidden="false" customHeight="false" outlineLevel="0" collapsed="false">
      <c r="A1045" s="0" t="s">
        <v>203</v>
      </c>
      <c r="B1045" s="0" t="n">
        <v>6000</v>
      </c>
      <c r="C1045" s="0" t="n">
        <v>3800</v>
      </c>
      <c r="D1045" s="0" t="n">
        <v>1.57894736842105</v>
      </c>
      <c r="E1045" s="0" t="s">
        <v>2514</v>
      </c>
    </row>
    <row r="1046" customFormat="false" ht="15" hidden="false" customHeight="false" outlineLevel="0" collapsed="false">
      <c r="A1046" s="0" t="s">
        <v>203</v>
      </c>
      <c r="B1046" s="0" t="n">
        <v>3000</v>
      </c>
      <c r="C1046" s="0" t="n">
        <v>3800</v>
      </c>
      <c r="D1046" s="0" t="n">
        <v>0.789473684210526</v>
      </c>
      <c r="E1046" s="0" t="s">
        <v>2666</v>
      </c>
    </row>
    <row r="1047" customFormat="false" ht="15" hidden="false" customHeight="false" outlineLevel="0" collapsed="false">
      <c r="A1047" s="0" t="s">
        <v>203</v>
      </c>
      <c r="B1047" s="0" t="n">
        <v>5000</v>
      </c>
      <c r="C1047" s="0" t="n">
        <v>4500</v>
      </c>
      <c r="D1047" s="0" t="n">
        <v>1.11111111111111</v>
      </c>
      <c r="E1047" s="0" t="s">
        <v>2704</v>
      </c>
    </row>
    <row r="1048" customFormat="false" ht="15" hidden="false" customHeight="false" outlineLevel="0" collapsed="false">
      <c r="A1048" s="0" t="s">
        <v>203</v>
      </c>
      <c r="B1048" s="0" t="n">
        <v>2000</v>
      </c>
      <c r="C1048" s="0" t="n">
        <v>3800</v>
      </c>
      <c r="D1048" s="0" t="n">
        <v>0.526315789473684</v>
      </c>
      <c r="E1048" s="0" t="s">
        <v>2751</v>
      </c>
    </row>
    <row r="1049" customFormat="false" ht="15" hidden="false" customHeight="false" outlineLevel="0" collapsed="false">
      <c r="A1049" s="0" t="s">
        <v>203</v>
      </c>
      <c r="B1049" s="0" t="n">
        <v>1000</v>
      </c>
      <c r="C1049" s="0" t="n">
        <v>4000</v>
      </c>
      <c r="D1049" s="0" t="n">
        <v>0.25</v>
      </c>
      <c r="E1049" s="0" t="s">
        <v>2963</v>
      </c>
    </row>
    <row r="1050" customFormat="false" ht="15" hidden="false" customHeight="false" outlineLevel="0" collapsed="false">
      <c r="A1050" s="0" t="s">
        <v>203</v>
      </c>
      <c r="B1050" s="0" t="n">
        <v>1500</v>
      </c>
      <c r="C1050" s="0" t="n">
        <v>3900</v>
      </c>
      <c r="D1050" s="0" t="n">
        <v>0.384615384615385</v>
      </c>
      <c r="E1050" s="0" t="s">
        <v>3364</v>
      </c>
    </row>
    <row r="1051" customFormat="false" ht="15" hidden="false" customHeight="false" outlineLevel="0" collapsed="false">
      <c r="A1051" s="0" t="s">
        <v>203</v>
      </c>
      <c r="B1051" s="0" t="n">
        <v>500</v>
      </c>
      <c r="C1051" s="0" t="n">
        <v>4000</v>
      </c>
      <c r="D1051" s="0" t="n">
        <v>0.125</v>
      </c>
      <c r="E1051" s="0" t="s">
        <v>3378</v>
      </c>
    </row>
    <row r="1052" customFormat="false" ht="15" hidden="false" customHeight="false" outlineLevel="0" collapsed="false">
      <c r="A1052" s="0" t="s">
        <v>218</v>
      </c>
      <c r="B1052" s="0" t="n">
        <v>866.666666666667</v>
      </c>
      <c r="C1052" s="0" t="n">
        <v>4000</v>
      </c>
      <c r="D1052" s="0" t="n">
        <v>0.216666666666667</v>
      </c>
      <c r="E1052" s="0" t="s">
        <v>219</v>
      </c>
    </row>
    <row r="1053" customFormat="false" ht="15" hidden="false" customHeight="false" outlineLevel="0" collapsed="false">
      <c r="A1053" s="0" t="s">
        <v>218</v>
      </c>
      <c r="B1053" s="0" t="n">
        <v>866.666666666667</v>
      </c>
      <c r="C1053" s="0" t="n">
        <v>4000</v>
      </c>
      <c r="D1053" s="0" t="n">
        <v>0.216666666666667</v>
      </c>
      <c r="E1053" s="0" t="s">
        <v>233</v>
      </c>
    </row>
    <row r="1054" customFormat="false" ht="15" hidden="false" customHeight="false" outlineLevel="0" collapsed="false">
      <c r="A1054" s="0" t="s">
        <v>218</v>
      </c>
      <c r="B1054" s="0" t="n">
        <v>4000</v>
      </c>
      <c r="C1054" s="0" t="n">
        <v>4000</v>
      </c>
      <c r="D1054" s="0" t="n">
        <v>1</v>
      </c>
      <c r="E1054" s="0" t="s">
        <v>248</v>
      </c>
    </row>
    <row r="1055" customFormat="false" ht="15" hidden="false" customHeight="false" outlineLevel="0" collapsed="false">
      <c r="A1055" s="0" t="s">
        <v>218</v>
      </c>
      <c r="B1055" s="0" t="n">
        <v>866.666666666667</v>
      </c>
      <c r="C1055" s="0" t="n">
        <v>4000</v>
      </c>
      <c r="D1055" s="0" t="n">
        <v>0.216666666666667</v>
      </c>
      <c r="E1055" s="0" t="s">
        <v>262</v>
      </c>
    </row>
    <row r="1056" customFormat="false" ht="15" hidden="false" customHeight="false" outlineLevel="0" collapsed="false">
      <c r="A1056" s="0" t="s">
        <v>218</v>
      </c>
      <c r="B1056" s="0" t="n">
        <v>3000</v>
      </c>
      <c r="C1056" s="0" t="n">
        <v>4000</v>
      </c>
      <c r="D1056" s="0" t="n">
        <v>0.75</v>
      </c>
      <c r="E1056" s="0" t="s">
        <v>275</v>
      </c>
    </row>
    <row r="1057" customFormat="false" ht="15" hidden="false" customHeight="false" outlineLevel="0" collapsed="false">
      <c r="A1057" s="0" t="s">
        <v>218</v>
      </c>
      <c r="B1057" s="0" t="n">
        <v>3000</v>
      </c>
      <c r="C1057" s="0" t="n">
        <v>4000</v>
      </c>
      <c r="D1057" s="0" t="n">
        <v>0.75</v>
      </c>
      <c r="E1057" s="0" t="s">
        <v>288</v>
      </c>
    </row>
    <row r="1058" customFormat="false" ht="15" hidden="false" customHeight="false" outlineLevel="0" collapsed="false">
      <c r="A1058" s="0" t="s">
        <v>218</v>
      </c>
      <c r="B1058" s="0" t="n">
        <v>750</v>
      </c>
      <c r="C1058" s="0" t="n">
        <v>4000</v>
      </c>
      <c r="D1058" s="0" t="n">
        <v>0.1875</v>
      </c>
      <c r="E1058" s="0" t="s">
        <v>2976</v>
      </c>
    </row>
    <row r="1059" customFormat="false" ht="15" hidden="false" customHeight="false" outlineLevel="0" collapsed="false">
      <c r="A1059" s="0" t="s">
        <v>218</v>
      </c>
      <c r="B1059" s="0" t="n">
        <v>750</v>
      </c>
      <c r="C1059" s="0" t="n">
        <v>4000</v>
      </c>
      <c r="D1059" s="0" t="n">
        <v>0.1875</v>
      </c>
      <c r="E1059" s="0" t="s">
        <v>2989</v>
      </c>
    </row>
    <row r="1060" customFormat="false" ht="15" hidden="false" customHeight="false" outlineLevel="0" collapsed="false">
      <c r="A1060" s="0" t="s">
        <v>218</v>
      </c>
      <c r="B1060" s="0" t="n">
        <v>750</v>
      </c>
      <c r="C1060" s="0" t="n">
        <v>4000</v>
      </c>
      <c r="D1060" s="0" t="n">
        <v>0.1875</v>
      </c>
      <c r="E1060" s="0" t="s">
        <v>3000</v>
      </c>
    </row>
    <row r="1061" customFormat="false" ht="15" hidden="false" customHeight="false" outlineLevel="0" collapsed="false">
      <c r="A1061" s="0" t="s">
        <v>218</v>
      </c>
      <c r="B1061" s="0" t="n">
        <v>750</v>
      </c>
      <c r="C1061" s="0" t="n">
        <v>4000</v>
      </c>
      <c r="D1061" s="0" t="n">
        <v>0.1875</v>
      </c>
      <c r="E1061" s="0" t="s">
        <v>3012</v>
      </c>
    </row>
    <row r="1062" customFormat="false" ht="15" hidden="false" customHeight="false" outlineLevel="0" collapsed="false">
      <c r="A1062" s="0" t="s">
        <v>218</v>
      </c>
      <c r="B1062" s="0" t="n">
        <v>750</v>
      </c>
      <c r="C1062" s="0" t="n">
        <v>4000</v>
      </c>
      <c r="D1062" s="0" t="n">
        <v>0.1875</v>
      </c>
      <c r="E1062" s="0" t="s">
        <v>3024</v>
      </c>
    </row>
    <row r="1063" customFormat="false" ht="15" hidden="false" customHeight="false" outlineLevel="0" collapsed="false">
      <c r="A1063" s="0" t="s">
        <v>218</v>
      </c>
      <c r="B1063" s="0" t="n">
        <v>750</v>
      </c>
      <c r="C1063" s="0" t="n">
        <v>4000</v>
      </c>
      <c r="D1063" s="0" t="n">
        <v>0.1875</v>
      </c>
      <c r="E1063" s="0" t="s">
        <v>3035</v>
      </c>
    </row>
    <row r="1064" customFormat="false" ht="15" hidden="false" customHeight="false" outlineLevel="0" collapsed="false">
      <c r="A1064" s="0" t="s">
        <v>301</v>
      </c>
      <c r="B1064" s="0" t="n">
        <v>1500</v>
      </c>
      <c r="C1064" s="0" t="n">
        <v>4000</v>
      </c>
      <c r="D1064" s="0" t="n">
        <v>0.375</v>
      </c>
      <c r="E1064" s="0" t="s">
        <v>302</v>
      </c>
    </row>
    <row r="1065" customFormat="false" ht="15" hidden="false" customHeight="false" outlineLevel="0" collapsed="false">
      <c r="A1065" s="0" t="s">
        <v>301</v>
      </c>
      <c r="B1065" s="0" t="n">
        <v>1125</v>
      </c>
      <c r="C1065" s="0" t="n">
        <v>4000</v>
      </c>
      <c r="D1065" s="0" t="n">
        <v>0.28125</v>
      </c>
      <c r="E1065" s="0" t="s">
        <v>315</v>
      </c>
    </row>
    <row r="1066" customFormat="false" ht="15" hidden="false" customHeight="false" outlineLevel="0" collapsed="false">
      <c r="A1066" s="0" t="s">
        <v>301</v>
      </c>
      <c r="B1066" s="0" t="n">
        <v>6000</v>
      </c>
      <c r="C1066" s="0" t="n">
        <v>4000</v>
      </c>
      <c r="D1066" s="0" t="n">
        <v>1.5</v>
      </c>
      <c r="E1066" s="0" t="s">
        <v>328</v>
      </c>
    </row>
    <row r="1067" customFormat="false" ht="15" hidden="false" customHeight="false" outlineLevel="0" collapsed="false">
      <c r="A1067" s="0" t="s">
        <v>301</v>
      </c>
      <c r="B1067" s="0" t="n">
        <v>6600</v>
      </c>
      <c r="C1067" s="0" t="n">
        <v>4000</v>
      </c>
      <c r="D1067" s="0" t="n">
        <v>1.65</v>
      </c>
      <c r="E1067" s="0" t="s">
        <v>340</v>
      </c>
    </row>
    <row r="1068" customFormat="false" ht="15" hidden="false" customHeight="false" outlineLevel="0" collapsed="false">
      <c r="A1068" s="0" t="s">
        <v>301</v>
      </c>
      <c r="B1068" s="0" t="n">
        <v>14300</v>
      </c>
      <c r="C1068" s="0" t="n">
        <v>4000</v>
      </c>
      <c r="D1068" s="0" t="n">
        <v>3.575</v>
      </c>
      <c r="E1068" s="0" t="s">
        <v>354</v>
      </c>
    </row>
    <row r="1069" customFormat="false" ht="15" hidden="false" customHeight="false" outlineLevel="0" collapsed="false">
      <c r="A1069" s="0" t="s">
        <v>301</v>
      </c>
      <c r="B1069" s="0" t="n">
        <v>4500</v>
      </c>
      <c r="C1069" s="0" t="n">
        <v>4000</v>
      </c>
      <c r="D1069" s="0" t="n">
        <v>1.125</v>
      </c>
      <c r="E1069" s="0" t="s">
        <v>367</v>
      </c>
    </row>
    <row r="1070" customFormat="false" ht="15" hidden="false" customHeight="false" outlineLevel="0" collapsed="false">
      <c r="A1070" s="0" t="s">
        <v>301</v>
      </c>
      <c r="B1070" s="0" t="n">
        <v>1500</v>
      </c>
      <c r="C1070" s="0" t="n">
        <v>4000</v>
      </c>
      <c r="D1070" s="0" t="n">
        <v>0.375</v>
      </c>
      <c r="E1070" s="0" t="s">
        <v>3046</v>
      </c>
    </row>
    <row r="1071" customFormat="false" ht="15" hidden="false" customHeight="false" outlineLevel="0" collapsed="false">
      <c r="A1071" s="0" t="s">
        <v>301</v>
      </c>
      <c r="B1071" s="0" t="n">
        <v>1125</v>
      </c>
      <c r="C1071" s="0" t="n">
        <v>4000</v>
      </c>
      <c r="D1071" s="0" t="n">
        <v>0.28125</v>
      </c>
      <c r="E1071" s="0" t="s">
        <v>3058</v>
      </c>
    </row>
    <row r="1072" customFormat="false" ht="15" hidden="false" customHeight="false" outlineLevel="0" collapsed="false">
      <c r="A1072" s="0" t="s">
        <v>301</v>
      </c>
      <c r="B1072" s="0" t="n">
        <v>1500</v>
      </c>
      <c r="C1072" s="0" t="n">
        <v>4000</v>
      </c>
      <c r="D1072" s="0" t="n">
        <v>0.375</v>
      </c>
      <c r="E1072" s="0" t="s">
        <v>3069</v>
      </c>
    </row>
    <row r="1073" customFormat="false" ht="15" hidden="false" customHeight="false" outlineLevel="0" collapsed="false">
      <c r="A1073" s="0" t="s">
        <v>301</v>
      </c>
      <c r="B1073" s="0" t="n">
        <v>1125</v>
      </c>
      <c r="C1073" s="0" t="n">
        <v>4000</v>
      </c>
      <c r="D1073" s="0" t="n">
        <v>0.28125</v>
      </c>
      <c r="E1073" s="0" t="s">
        <v>3081</v>
      </c>
    </row>
    <row r="1074" customFormat="false" ht="15" hidden="false" customHeight="false" outlineLevel="0" collapsed="false">
      <c r="A1074" s="0" t="s">
        <v>301</v>
      </c>
      <c r="B1074" s="0" t="n">
        <v>1500</v>
      </c>
      <c r="C1074" s="0" t="n">
        <v>4000</v>
      </c>
      <c r="D1074" s="0" t="n">
        <v>0.375</v>
      </c>
      <c r="E1074" s="0" t="s">
        <v>3092</v>
      </c>
    </row>
    <row r="1075" customFormat="false" ht="15" hidden="false" customHeight="false" outlineLevel="0" collapsed="false">
      <c r="A1075" s="0" t="s">
        <v>301</v>
      </c>
      <c r="B1075" s="0" t="n">
        <v>1500</v>
      </c>
      <c r="C1075" s="0" t="n">
        <v>4000</v>
      </c>
      <c r="D1075" s="0" t="n">
        <v>0.375</v>
      </c>
      <c r="E1075" s="0" t="s">
        <v>3103</v>
      </c>
    </row>
    <row r="1076" customFormat="false" ht="15" hidden="false" customHeight="false" outlineLevel="0" collapsed="false">
      <c r="A1076" s="0" t="s">
        <v>379</v>
      </c>
      <c r="B1076" s="0" t="n">
        <v>2500</v>
      </c>
      <c r="C1076" s="0" t="n">
        <v>4000</v>
      </c>
      <c r="D1076" s="0" t="n">
        <v>0.625</v>
      </c>
      <c r="E1076" s="0" t="s">
        <v>380</v>
      </c>
    </row>
    <row r="1077" customFormat="false" ht="15" hidden="false" customHeight="false" outlineLevel="0" collapsed="false">
      <c r="A1077" s="0" t="s">
        <v>379</v>
      </c>
      <c r="B1077" s="0" t="n">
        <v>2500</v>
      </c>
      <c r="C1077" s="0" t="n">
        <v>4000</v>
      </c>
      <c r="D1077" s="0" t="n">
        <v>0.625</v>
      </c>
      <c r="E1077" s="0" t="s">
        <v>392</v>
      </c>
    </row>
    <row r="1078" customFormat="false" ht="15" hidden="false" customHeight="false" outlineLevel="0" collapsed="false">
      <c r="A1078" s="0" t="s">
        <v>379</v>
      </c>
      <c r="B1078" s="0" t="n">
        <v>6000</v>
      </c>
      <c r="C1078" s="0" t="n">
        <v>4000</v>
      </c>
      <c r="D1078" s="0" t="n">
        <v>1.5</v>
      </c>
      <c r="E1078" s="0" t="s">
        <v>404</v>
      </c>
    </row>
    <row r="1079" customFormat="false" ht="15" hidden="false" customHeight="false" outlineLevel="0" collapsed="false">
      <c r="A1079" s="0" t="s">
        <v>379</v>
      </c>
      <c r="B1079" s="0" t="n">
        <v>3750</v>
      </c>
      <c r="C1079" s="0" t="n">
        <v>4000</v>
      </c>
      <c r="D1079" s="0" t="n">
        <v>0.9375</v>
      </c>
      <c r="E1079" s="0" t="s">
        <v>416</v>
      </c>
    </row>
    <row r="1080" customFormat="false" ht="15" hidden="false" customHeight="false" outlineLevel="0" collapsed="false">
      <c r="A1080" s="0" t="s">
        <v>379</v>
      </c>
      <c r="B1080" s="0" t="n">
        <v>13000</v>
      </c>
      <c r="C1080" s="0" t="n">
        <v>4000</v>
      </c>
      <c r="D1080" s="0" t="n">
        <v>3.25</v>
      </c>
      <c r="E1080" s="0" t="s">
        <v>429</v>
      </c>
    </row>
    <row r="1081" customFormat="false" ht="15" hidden="false" customHeight="false" outlineLevel="0" collapsed="false">
      <c r="A1081" s="0" t="s">
        <v>379</v>
      </c>
      <c r="B1081" s="0" t="n">
        <v>8750</v>
      </c>
      <c r="C1081" s="0" t="n">
        <v>4000</v>
      </c>
      <c r="D1081" s="0" t="n">
        <v>2.1875</v>
      </c>
      <c r="E1081" s="0" t="s">
        <v>442</v>
      </c>
    </row>
    <row r="1082" customFormat="false" ht="15" hidden="false" customHeight="false" outlineLevel="0" collapsed="false">
      <c r="A1082" s="0" t="s">
        <v>379</v>
      </c>
      <c r="B1082" s="0" t="n">
        <v>9100</v>
      </c>
      <c r="C1082" s="0" t="n">
        <v>4000</v>
      </c>
      <c r="D1082" s="0" t="n">
        <v>2.275</v>
      </c>
      <c r="E1082" s="0" t="s">
        <v>454</v>
      </c>
    </row>
    <row r="1083" customFormat="false" ht="15" hidden="false" customHeight="false" outlineLevel="0" collapsed="false">
      <c r="A1083" s="0" t="s">
        <v>379</v>
      </c>
      <c r="B1083" s="0" t="n">
        <v>5500</v>
      </c>
      <c r="C1083" s="0" t="n">
        <v>4000</v>
      </c>
      <c r="D1083" s="0" t="n">
        <v>1.375</v>
      </c>
      <c r="E1083" s="0" t="s">
        <v>467</v>
      </c>
    </row>
    <row r="1084" customFormat="false" ht="15" hidden="false" customHeight="false" outlineLevel="0" collapsed="false">
      <c r="A1084" s="0" t="s">
        <v>379</v>
      </c>
      <c r="B1084" s="0" t="n">
        <v>13000</v>
      </c>
      <c r="C1084" s="0" t="n">
        <v>4000</v>
      </c>
      <c r="D1084" s="0" t="n">
        <v>3.25</v>
      </c>
      <c r="E1084" s="0" t="s">
        <v>479</v>
      </c>
    </row>
    <row r="1085" customFormat="false" ht="15" hidden="false" customHeight="false" outlineLevel="0" collapsed="false">
      <c r="A1085" s="0" t="s">
        <v>379</v>
      </c>
      <c r="B1085" s="0" t="n">
        <v>8000</v>
      </c>
      <c r="C1085" s="0" t="n">
        <v>4000</v>
      </c>
      <c r="D1085" s="0" t="n">
        <v>2</v>
      </c>
      <c r="E1085" s="0" t="s">
        <v>492</v>
      </c>
    </row>
    <row r="1086" customFormat="false" ht="15" hidden="false" customHeight="false" outlineLevel="0" collapsed="false">
      <c r="A1086" s="0" t="s">
        <v>379</v>
      </c>
      <c r="B1086" s="0" t="n">
        <v>6000</v>
      </c>
      <c r="C1086" s="0" t="n">
        <v>4000</v>
      </c>
      <c r="D1086" s="0" t="n">
        <v>1.5</v>
      </c>
      <c r="E1086" s="0" t="s">
        <v>504</v>
      </c>
    </row>
    <row r="1087" customFormat="false" ht="15" hidden="false" customHeight="false" outlineLevel="0" collapsed="false">
      <c r="A1087" s="0" t="s">
        <v>379</v>
      </c>
      <c r="B1087" s="0" t="n">
        <v>8500</v>
      </c>
      <c r="C1087" s="0" t="n">
        <v>4000</v>
      </c>
      <c r="D1087" s="0" t="n">
        <v>2.125</v>
      </c>
      <c r="E1087" s="0" t="s">
        <v>517</v>
      </c>
    </row>
    <row r="1088" customFormat="false" ht="15" hidden="false" customHeight="false" outlineLevel="0" collapsed="false">
      <c r="A1088" s="0" t="s">
        <v>379</v>
      </c>
      <c r="B1088" s="0" t="n">
        <v>23400</v>
      </c>
      <c r="C1088" s="0" t="n">
        <v>3800</v>
      </c>
      <c r="D1088" s="0" t="n">
        <v>6.15789473684211</v>
      </c>
      <c r="E1088" s="0" t="s">
        <v>848</v>
      </c>
    </row>
    <row r="1089" customFormat="false" ht="15" hidden="false" customHeight="false" outlineLevel="0" collapsed="false">
      <c r="A1089" s="0" t="s">
        <v>379</v>
      </c>
      <c r="B1089" s="0" t="n">
        <v>19500</v>
      </c>
      <c r="C1089" s="0" t="n">
        <v>3800</v>
      </c>
      <c r="D1089" s="0" t="n">
        <v>5.13157894736842</v>
      </c>
      <c r="E1089" s="0" t="s">
        <v>882</v>
      </c>
    </row>
    <row r="1090" customFormat="false" ht="15" hidden="false" customHeight="false" outlineLevel="0" collapsed="false">
      <c r="A1090" s="0" t="s">
        <v>379</v>
      </c>
      <c r="B1090" s="0" t="n">
        <v>14300</v>
      </c>
      <c r="C1090" s="0" t="n">
        <v>4000</v>
      </c>
      <c r="D1090" s="0" t="n">
        <v>3.575</v>
      </c>
      <c r="E1090" s="0" t="s">
        <v>1102</v>
      </c>
    </row>
    <row r="1091" customFormat="false" ht="15" hidden="false" customHeight="false" outlineLevel="0" collapsed="false">
      <c r="A1091" s="0" t="s">
        <v>379</v>
      </c>
      <c r="B1091" s="0" t="n">
        <v>13636.3636363636</v>
      </c>
      <c r="C1091" s="0" t="n">
        <v>4000</v>
      </c>
      <c r="D1091" s="0" t="n">
        <v>3.40909090909091</v>
      </c>
      <c r="E1091" s="0" t="s">
        <v>1131</v>
      </c>
    </row>
    <row r="1092" customFormat="false" ht="15" hidden="false" customHeight="false" outlineLevel="0" collapsed="false">
      <c r="A1092" s="0" t="s">
        <v>379</v>
      </c>
      <c r="B1092" s="0" t="n">
        <v>10400</v>
      </c>
      <c r="C1092" s="0" t="n">
        <v>4000</v>
      </c>
      <c r="D1092" s="0" t="n">
        <v>2.6</v>
      </c>
      <c r="E1092" s="0" t="s">
        <v>1216</v>
      </c>
    </row>
    <row r="1093" customFormat="false" ht="15" hidden="false" customHeight="false" outlineLevel="0" collapsed="false">
      <c r="A1093" s="0" t="s">
        <v>379</v>
      </c>
      <c r="B1093" s="0" t="n">
        <v>14250</v>
      </c>
      <c r="C1093" s="0" t="n">
        <v>4000</v>
      </c>
      <c r="D1093" s="0" t="n">
        <v>3.5625</v>
      </c>
      <c r="E1093" s="0" t="s">
        <v>1324</v>
      </c>
    </row>
    <row r="1094" customFormat="false" ht="15" hidden="false" customHeight="false" outlineLevel="0" collapsed="false">
      <c r="A1094" s="0" t="s">
        <v>379</v>
      </c>
      <c r="B1094" s="0" t="n">
        <v>13000</v>
      </c>
      <c r="C1094" s="0" t="n">
        <v>4000</v>
      </c>
      <c r="D1094" s="0" t="n">
        <v>3.25</v>
      </c>
      <c r="E1094" s="0" t="s">
        <v>1355</v>
      </c>
    </row>
    <row r="1095" customFormat="false" ht="15" hidden="false" customHeight="false" outlineLevel="0" collapsed="false">
      <c r="A1095" s="0" t="s">
        <v>379</v>
      </c>
      <c r="B1095" s="0" t="n">
        <v>21000</v>
      </c>
      <c r="C1095" s="0" t="n">
        <v>3800</v>
      </c>
      <c r="D1095" s="0" t="n">
        <v>5.52631578947368</v>
      </c>
      <c r="E1095" s="0" t="s">
        <v>1412</v>
      </c>
    </row>
    <row r="1096" customFormat="false" ht="15" hidden="false" customHeight="false" outlineLevel="0" collapsed="false">
      <c r="A1096" s="0" t="s">
        <v>379</v>
      </c>
      <c r="B1096" s="0" t="n">
        <v>5500</v>
      </c>
      <c r="C1096" s="0" t="n">
        <v>3800</v>
      </c>
      <c r="D1096" s="0" t="n">
        <v>1.44736842105263</v>
      </c>
      <c r="E1096" s="0" t="s">
        <v>1520</v>
      </c>
    </row>
    <row r="1097" customFormat="false" ht="15" hidden="false" customHeight="false" outlineLevel="0" collapsed="false">
      <c r="A1097" s="0" t="s">
        <v>379</v>
      </c>
      <c r="B1097" s="0" t="n">
        <v>7000</v>
      </c>
      <c r="C1097" s="0" t="n">
        <v>3800</v>
      </c>
      <c r="D1097" s="0" t="n">
        <v>1.8421052631579</v>
      </c>
      <c r="E1097" s="0" t="s">
        <v>1536</v>
      </c>
    </row>
    <row r="1098" customFormat="false" ht="15" hidden="false" customHeight="false" outlineLevel="0" collapsed="false">
      <c r="A1098" s="0" t="s">
        <v>379</v>
      </c>
      <c r="B1098" s="0" t="n">
        <v>8000</v>
      </c>
      <c r="C1098" s="0" t="n">
        <v>3800</v>
      </c>
      <c r="D1098" s="0" t="n">
        <v>2.10526315789474</v>
      </c>
      <c r="E1098" s="0" t="s">
        <v>1552</v>
      </c>
    </row>
    <row r="1099" customFormat="false" ht="15" hidden="false" customHeight="false" outlineLevel="0" collapsed="false">
      <c r="A1099" s="0" t="s">
        <v>379</v>
      </c>
      <c r="B1099" s="0" t="n">
        <v>1000</v>
      </c>
      <c r="C1099" s="0" t="n">
        <v>3800</v>
      </c>
      <c r="D1099" s="0" t="n">
        <v>0.263157894736842</v>
      </c>
      <c r="E1099" s="0" t="s">
        <v>1664</v>
      </c>
    </row>
    <row r="1100" customFormat="false" ht="15" hidden="false" customHeight="false" outlineLevel="0" collapsed="false">
      <c r="A1100" s="0" t="s">
        <v>379</v>
      </c>
      <c r="B1100" s="0" t="n">
        <v>10800</v>
      </c>
      <c r="C1100" s="0" t="n">
        <v>4000</v>
      </c>
      <c r="D1100" s="0" t="n">
        <v>2.7</v>
      </c>
      <c r="E1100" s="0" t="s">
        <v>1710</v>
      </c>
    </row>
    <row r="1101" customFormat="false" ht="15" hidden="false" customHeight="false" outlineLevel="0" collapsed="false">
      <c r="A1101" s="0" t="s">
        <v>379</v>
      </c>
      <c r="B1101" s="0" t="n">
        <v>22000</v>
      </c>
      <c r="C1101" s="0" t="n">
        <v>3800</v>
      </c>
      <c r="D1101" s="0" t="n">
        <v>5.78947368421053</v>
      </c>
      <c r="E1101" s="0" t="s">
        <v>1738</v>
      </c>
    </row>
    <row r="1102" customFormat="false" ht="15" hidden="false" customHeight="false" outlineLevel="0" collapsed="false">
      <c r="A1102" s="0" t="s">
        <v>379</v>
      </c>
      <c r="B1102" s="0" t="n">
        <v>2500</v>
      </c>
      <c r="C1102" s="0" t="n">
        <v>4000</v>
      </c>
      <c r="D1102" s="0" t="n">
        <v>0.625</v>
      </c>
      <c r="E1102" s="0" t="s">
        <v>1821</v>
      </c>
    </row>
    <row r="1103" customFormat="false" ht="15" hidden="false" customHeight="false" outlineLevel="0" collapsed="false">
      <c r="A1103" s="0" t="s">
        <v>379</v>
      </c>
      <c r="B1103" s="0" t="n">
        <v>4250</v>
      </c>
      <c r="C1103" s="0" t="n">
        <v>4000</v>
      </c>
      <c r="D1103" s="0" t="n">
        <v>1.0625</v>
      </c>
      <c r="E1103" s="0" t="s">
        <v>1838</v>
      </c>
    </row>
    <row r="1104" customFormat="false" ht="15" hidden="false" customHeight="false" outlineLevel="0" collapsed="false">
      <c r="A1104" s="0" t="s">
        <v>379</v>
      </c>
      <c r="B1104" s="0" t="n">
        <v>8500</v>
      </c>
      <c r="C1104" s="0" t="n">
        <v>4000</v>
      </c>
      <c r="D1104" s="0" t="n">
        <v>2.125</v>
      </c>
      <c r="E1104" s="0" t="s">
        <v>1925</v>
      </c>
    </row>
    <row r="1105" customFormat="false" ht="15" hidden="false" customHeight="false" outlineLevel="0" collapsed="false">
      <c r="A1105" s="0" t="s">
        <v>379</v>
      </c>
      <c r="B1105" s="0" t="n">
        <v>9000</v>
      </c>
      <c r="C1105" s="0" t="n">
        <v>4000</v>
      </c>
      <c r="D1105" s="0" t="n">
        <v>2.25</v>
      </c>
      <c r="E1105" s="0" t="s">
        <v>1941</v>
      </c>
    </row>
    <row r="1106" customFormat="false" ht="15" hidden="false" customHeight="false" outlineLevel="0" collapsed="false">
      <c r="A1106" s="0" t="s">
        <v>379</v>
      </c>
      <c r="B1106" s="0" t="n">
        <v>3500</v>
      </c>
      <c r="C1106" s="0" t="n">
        <v>4000</v>
      </c>
      <c r="D1106" s="0" t="n">
        <v>0.875</v>
      </c>
      <c r="E1106" s="0" t="s">
        <v>1956</v>
      </c>
    </row>
    <row r="1107" customFormat="false" ht="15" hidden="false" customHeight="false" outlineLevel="0" collapsed="false">
      <c r="A1107" s="0" t="s">
        <v>379</v>
      </c>
      <c r="B1107" s="0" t="n">
        <v>8550</v>
      </c>
      <c r="C1107" s="0" t="n">
        <v>4000</v>
      </c>
      <c r="D1107" s="0" t="n">
        <v>2.1375</v>
      </c>
      <c r="E1107" s="0" t="s">
        <v>1988</v>
      </c>
    </row>
    <row r="1108" customFormat="false" ht="15" hidden="false" customHeight="false" outlineLevel="0" collapsed="false">
      <c r="A1108" s="0" t="s">
        <v>379</v>
      </c>
      <c r="B1108" s="0" t="n">
        <v>3500</v>
      </c>
      <c r="C1108" s="0" t="n">
        <v>4000</v>
      </c>
      <c r="D1108" s="0" t="n">
        <v>0.875</v>
      </c>
      <c r="E1108" s="0" t="s">
        <v>2005</v>
      </c>
    </row>
    <row r="1109" customFormat="false" ht="15" hidden="false" customHeight="false" outlineLevel="0" collapsed="false">
      <c r="A1109" s="0" t="s">
        <v>379</v>
      </c>
      <c r="B1109" s="0" t="n">
        <v>8800</v>
      </c>
      <c r="C1109" s="0" t="n">
        <v>4000</v>
      </c>
      <c r="D1109" s="0" t="n">
        <v>2.2</v>
      </c>
      <c r="E1109" s="0" t="s">
        <v>2115</v>
      </c>
    </row>
    <row r="1110" customFormat="false" ht="15" hidden="false" customHeight="false" outlineLevel="0" collapsed="false">
      <c r="A1110" s="0" t="s">
        <v>379</v>
      </c>
      <c r="B1110" s="0" t="n">
        <v>13000</v>
      </c>
      <c r="C1110" s="0" t="n">
        <v>3800</v>
      </c>
      <c r="D1110" s="0" t="n">
        <v>3.42105263157895</v>
      </c>
      <c r="E1110" s="0" t="s">
        <v>2258</v>
      </c>
    </row>
    <row r="1111" customFormat="false" ht="15" hidden="false" customHeight="false" outlineLevel="0" collapsed="false">
      <c r="A1111" s="0" t="s">
        <v>379</v>
      </c>
      <c r="B1111" s="0" t="n">
        <v>6000</v>
      </c>
      <c r="C1111" s="0" t="n">
        <v>3800</v>
      </c>
      <c r="D1111" s="0" t="n">
        <v>1.57894736842105</v>
      </c>
      <c r="E1111" s="0" t="s">
        <v>2398</v>
      </c>
    </row>
    <row r="1112" customFormat="false" ht="15" hidden="false" customHeight="false" outlineLevel="0" collapsed="false">
      <c r="A1112" s="0" t="s">
        <v>379</v>
      </c>
      <c r="B1112" s="0" t="n">
        <v>1000</v>
      </c>
      <c r="C1112" s="0" t="n">
        <v>3800</v>
      </c>
      <c r="D1112" s="0" t="n">
        <v>0.263157894736842</v>
      </c>
      <c r="E1112" s="0" t="s">
        <v>2440</v>
      </c>
    </row>
    <row r="1113" customFormat="false" ht="15" hidden="false" customHeight="false" outlineLevel="0" collapsed="false">
      <c r="A1113" s="0" t="s">
        <v>379</v>
      </c>
      <c r="B1113" s="0" t="n">
        <v>7500</v>
      </c>
      <c r="C1113" s="0" t="n">
        <v>3800</v>
      </c>
      <c r="D1113" s="0" t="n">
        <v>1.97368421052632</v>
      </c>
      <c r="E1113" s="0" t="s">
        <v>2458</v>
      </c>
    </row>
    <row r="1114" customFormat="false" ht="15" hidden="false" customHeight="false" outlineLevel="0" collapsed="false">
      <c r="A1114" s="0" t="s">
        <v>379</v>
      </c>
      <c r="B1114" s="0" t="n">
        <v>16500</v>
      </c>
      <c r="C1114" s="0" t="n">
        <v>3800</v>
      </c>
      <c r="D1114" s="0" t="n">
        <v>4.3421052631579</v>
      </c>
      <c r="E1114" s="0" t="s">
        <v>2566</v>
      </c>
    </row>
    <row r="1115" customFormat="false" ht="15" hidden="false" customHeight="false" outlineLevel="0" collapsed="false">
      <c r="A1115" s="0" t="s">
        <v>379</v>
      </c>
      <c r="B1115" s="0" t="n">
        <v>11000</v>
      </c>
      <c r="C1115" s="0" t="n">
        <v>3800</v>
      </c>
      <c r="D1115" s="0" t="n">
        <v>2.89473684210526</v>
      </c>
      <c r="E1115" s="0" t="s">
        <v>2579</v>
      </c>
    </row>
    <row r="1116" customFormat="false" ht="15" hidden="false" customHeight="false" outlineLevel="0" collapsed="false">
      <c r="A1116" s="0" t="s">
        <v>379</v>
      </c>
      <c r="B1116" s="0" t="n">
        <v>19500</v>
      </c>
      <c r="C1116" s="0" t="n">
        <v>3800</v>
      </c>
      <c r="D1116" s="0" t="n">
        <v>5.13157894736842</v>
      </c>
      <c r="E1116" s="0" t="s">
        <v>2599</v>
      </c>
    </row>
    <row r="1117" customFormat="false" ht="15" hidden="false" customHeight="false" outlineLevel="0" collapsed="false">
      <c r="A1117" s="0" t="s">
        <v>379</v>
      </c>
      <c r="B1117" s="0" t="n">
        <v>2500</v>
      </c>
      <c r="C1117" s="0" t="n">
        <v>4000</v>
      </c>
      <c r="D1117" s="0" t="n">
        <v>0.625</v>
      </c>
      <c r="E1117" s="0" t="s">
        <v>3115</v>
      </c>
    </row>
    <row r="1118" customFormat="false" ht="15" hidden="false" customHeight="false" outlineLevel="0" collapsed="false">
      <c r="A1118" s="0" t="s">
        <v>379</v>
      </c>
      <c r="B1118" s="0" t="n">
        <v>2500</v>
      </c>
      <c r="C1118" s="0" t="n">
        <v>4000</v>
      </c>
      <c r="D1118" s="0" t="n">
        <v>0.625</v>
      </c>
      <c r="E1118" s="0" t="s">
        <v>3126</v>
      </c>
    </row>
    <row r="1119" customFormat="false" ht="15" hidden="false" customHeight="false" outlineLevel="0" collapsed="false">
      <c r="A1119" s="0" t="s">
        <v>379</v>
      </c>
      <c r="B1119" s="0" t="n">
        <v>3750</v>
      </c>
      <c r="C1119" s="0" t="n">
        <v>4000</v>
      </c>
      <c r="D1119" s="0" t="n">
        <v>0.9375</v>
      </c>
      <c r="E1119" s="0" t="s">
        <v>3138</v>
      </c>
    </row>
    <row r="1120" customFormat="false" ht="15" hidden="false" customHeight="false" outlineLevel="0" collapsed="false">
      <c r="A1120" s="0" t="s">
        <v>379</v>
      </c>
      <c r="B1120" s="0" t="n">
        <v>3750</v>
      </c>
      <c r="C1120" s="0" t="n">
        <v>4000</v>
      </c>
      <c r="D1120" s="0" t="n">
        <v>0.9375</v>
      </c>
      <c r="E1120" s="0" t="s">
        <v>3149</v>
      </c>
    </row>
    <row r="1121" customFormat="false" ht="15" hidden="false" customHeight="false" outlineLevel="0" collapsed="false">
      <c r="A1121" s="0" t="s">
        <v>379</v>
      </c>
      <c r="B1121" s="0" t="n">
        <v>3750</v>
      </c>
      <c r="C1121" s="0" t="n">
        <v>4000</v>
      </c>
      <c r="D1121" s="0" t="n">
        <v>0.9375</v>
      </c>
      <c r="E1121" s="0" t="s">
        <v>3160</v>
      </c>
    </row>
    <row r="1122" customFormat="false" ht="15" hidden="false" customHeight="false" outlineLevel="0" collapsed="false">
      <c r="A1122" s="0" t="s">
        <v>379</v>
      </c>
      <c r="B1122" s="0" t="n">
        <v>3750</v>
      </c>
      <c r="C1122" s="0" t="n">
        <v>4000</v>
      </c>
      <c r="D1122" s="0" t="n">
        <v>0.9375</v>
      </c>
      <c r="E1122" s="0" t="s">
        <v>3171</v>
      </c>
    </row>
    <row r="1123" customFormat="false" ht="15" hidden="false" customHeight="false" outlineLevel="0" collapsed="false">
      <c r="A1123" s="0" t="s">
        <v>379</v>
      </c>
      <c r="B1123" s="0" t="n">
        <v>8823.52941176471</v>
      </c>
      <c r="C1123" s="0" t="n">
        <v>4000</v>
      </c>
      <c r="D1123" s="0" t="n">
        <v>2.20588235294118</v>
      </c>
      <c r="E1123" s="0" t="s">
        <v>3182</v>
      </c>
    </row>
    <row r="1124" customFormat="false" ht="15" hidden="false" customHeight="false" outlineLevel="0" collapsed="false">
      <c r="A1124" s="0" t="s">
        <v>379</v>
      </c>
      <c r="B1124" s="0" t="n">
        <v>6500</v>
      </c>
      <c r="C1124" s="0" t="n">
        <v>4000</v>
      </c>
      <c r="D1124" s="0" t="n">
        <v>1.625</v>
      </c>
      <c r="E1124" s="0" t="s">
        <v>3195</v>
      </c>
    </row>
    <row r="1125" customFormat="false" ht="15" hidden="false" customHeight="false" outlineLevel="0" collapsed="false">
      <c r="A1125" s="0" t="s">
        <v>379</v>
      </c>
      <c r="B1125" s="0" t="n">
        <v>10000</v>
      </c>
      <c r="C1125" s="0" t="n">
        <v>4000</v>
      </c>
      <c r="D1125" s="0" t="n">
        <v>2.5</v>
      </c>
      <c r="E1125" s="0" t="s">
        <v>3207</v>
      </c>
    </row>
    <row r="1126" customFormat="false" ht="15" hidden="false" customHeight="false" outlineLevel="0" collapsed="false">
      <c r="A1126" s="0" t="s">
        <v>379</v>
      </c>
      <c r="B1126" s="0" t="n">
        <v>8666.66666666667</v>
      </c>
      <c r="C1126" s="0" t="n">
        <v>4000</v>
      </c>
      <c r="D1126" s="0" t="n">
        <v>2.16666666666667</v>
      </c>
      <c r="E1126" s="0" t="s">
        <v>3218</v>
      </c>
    </row>
    <row r="1127" customFormat="false" ht="15" hidden="false" customHeight="false" outlineLevel="0" collapsed="false">
      <c r="A1127" s="0" t="s">
        <v>379</v>
      </c>
      <c r="B1127" s="0" t="n">
        <v>13000</v>
      </c>
      <c r="C1127" s="0" t="n">
        <v>4000</v>
      </c>
      <c r="D1127" s="0" t="n">
        <v>3.25</v>
      </c>
      <c r="E1127" s="0" t="s">
        <v>3230</v>
      </c>
    </row>
    <row r="1128" customFormat="false" ht="15" hidden="false" customHeight="false" outlineLevel="0" collapsed="false">
      <c r="A1128" s="0" t="s">
        <v>379</v>
      </c>
      <c r="B1128" s="0" t="n">
        <v>13000</v>
      </c>
      <c r="C1128" s="0" t="n">
        <v>4000</v>
      </c>
      <c r="D1128" s="0" t="n">
        <v>3.25</v>
      </c>
      <c r="E1128" s="0" t="s">
        <v>3241</v>
      </c>
    </row>
    <row r="1129" customFormat="false" ht="15" hidden="false" customHeight="false" outlineLevel="0" collapsed="false">
      <c r="A1129" s="0" t="s">
        <v>531</v>
      </c>
      <c r="B1129" s="0" t="n">
        <v>4000</v>
      </c>
      <c r="C1129" s="0" t="n">
        <v>4000</v>
      </c>
      <c r="D1129" s="0" t="n">
        <v>1</v>
      </c>
      <c r="E1129" s="0" t="s">
        <v>532</v>
      </c>
    </row>
    <row r="1130" customFormat="false" ht="15" hidden="false" customHeight="false" outlineLevel="0" collapsed="false">
      <c r="A1130" s="0" t="s">
        <v>531</v>
      </c>
      <c r="B1130" s="0" t="n">
        <v>4000</v>
      </c>
      <c r="C1130" s="0" t="n">
        <v>4000</v>
      </c>
      <c r="D1130" s="0" t="n">
        <v>1</v>
      </c>
      <c r="E1130" s="0" t="s">
        <v>560</v>
      </c>
    </row>
    <row r="1131" customFormat="false" ht="15" hidden="false" customHeight="false" outlineLevel="0" collapsed="false">
      <c r="A1131" s="0" t="s">
        <v>531</v>
      </c>
      <c r="B1131" s="0" t="n">
        <v>4000</v>
      </c>
      <c r="C1131" s="0" t="n">
        <v>4000</v>
      </c>
      <c r="D1131" s="0" t="n">
        <v>1</v>
      </c>
      <c r="E1131" s="0" t="s">
        <v>601</v>
      </c>
    </row>
    <row r="1132" customFormat="false" ht="15" hidden="false" customHeight="false" outlineLevel="0" collapsed="false">
      <c r="A1132" s="0" t="s">
        <v>531</v>
      </c>
      <c r="B1132" s="0" t="n">
        <v>4000</v>
      </c>
      <c r="C1132" s="0" t="n">
        <v>4000</v>
      </c>
      <c r="D1132" s="0" t="n">
        <v>1</v>
      </c>
      <c r="E1132" s="0" t="s">
        <v>614</v>
      </c>
    </row>
    <row r="1133" customFormat="false" ht="15" hidden="false" customHeight="false" outlineLevel="0" collapsed="false">
      <c r="A1133" s="0" t="s">
        <v>531</v>
      </c>
      <c r="B1133" s="0" t="n">
        <v>3000</v>
      </c>
      <c r="C1133" s="0" t="n">
        <v>4000</v>
      </c>
      <c r="D1133" s="0" t="n">
        <v>0.75</v>
      </c>
      <c r="E1133" s="0" t="s">
        <v>3254</v>
      </c>
    </row>
    <row r="1134" customFormat="false" ht="15" hidden="false" customHeight="false" outlineLevel="0" collapsed="false">
      <c r="A1134" s="0" t="s">
        <v>531</v>
      </c>
      <c r="B1134" s="0" t="n">
        <v>3000</v>
      </c>
      <c r="C1134" s="0" t="n">
        <v>4000</v>
      </c>
      <c r="D1134" s="0" t="n">
        <v>0.75</v>
      </c>
      <c r="E1134" s="0" t="s">
        <v>3281</v>
      </c>
    </row>
    <row r="1135" customFormat="false" ht="15" hidden="false" customHeight="false" outlineLevel="0" collapsed="false">
      <c r="A1135" s="0" t="s">
        <v>531</v>
      </c>
      <c r="B1135" s="0" t="n">
        <v>4000</v>
      </c>
      <c r="C1135" s="0" t="n">
        <v>4000</v>
      </c>
      <c r="D1135" s="0" t="n">
        <v>1</v>
      </c>
      <c r="E1135" s="0" t="s">
        <v>3322</v>
      </c>
    </row>
    <row r="1136" customFormat="false" ht="15" hidden="false" customHeight="false" outlineLevel="0" collapsed="false">
      <c r="A1136" s="0" t="s">
        <v>531</v>
      </c>
      <c r="B1136" s="0" t="n">
        <v>4000</v>
      </c>
      <c r="C1136" s="0" t="n">
        <v>4000</v>
      </c>
      <c r="D1136" s="0" t="n">
        <v>1</v>
      </c>
      <c r="E1136" s="0" t="s">
        <v>3335</v>
      </c>
    </row>
    <row r="1137" customFormat="false" ht="15" hidden="false" customHeight="false" outlineLevel="0" collapsed="false">
      <c r="A1137" s="0" t="s">
        <v>545</v>
      </c>
      <c r="B1137" s="0" t="n">
        <v>4000</v>
      </c>
      <c r="C1137" s="0" t="n">
        <v>4000</v>
      </c>
      <c r="D1137" s="0" t="n">
        <v>1</v>
      </c>
      <c r="E1137" s="0" t="s">
        <v>546</v>
      </c>
    </row>
    <row r="1138" customFormat="false" ht="15" hidden="false" customHeight="false" outlineLevel="0" collapsed="false">
      <c r="A1138" s="0" t="s">
        <v>545</v>
      </c>
      <c r="B1138" s="0" t="n">
        <v>4000</v>
      </c>
      <c r="C1138" s="0" t="n">
        <v>4000</v>
      </c>
      <c r="D1138" s="0" t="n">
        <v>1</v>
      </c>
      <c r="E1138" s="0" t="s">
        <v>580</v>
      </c>
    </row>
    <row r="1139" customFormat="false" ht="15" hidden="false" customHeight="false" outlineLevel="0" collapsed="false">
      <c r="A1139" s="0" t="s">
        <v>545</v>
      </c>
      <c r="B1139" s="0" t="n">
        <v>2500</v>
      </c>
      <c r="C1139" s="0" t="n">
        <v>4000</v>
      </c>
      <c r="D1139" s="0" t="n">
        <v>0.625</v>
      </c>
      <c r="E1139" s="0" t="s">
        <v>3267</v>
      </c>
    </row>
    <row r="1140" customFormat="false" ht="15" hidden="false" customHeight="false" outlineLevel="0" collapsed="false">
      <c r="A1140" s="0" t="s">
        <v>545</v>
      </c>
      <c r="B1140" s="0" t="n">
        <v>2500</v>
      </c>
      <c r="C1140" s="0" t="n">
        <v>4000</v>
      </c>
      <c r="D1140" s="0" t="n">
        <v>0.625</v>
      </c>
      <c r="E1140" s="0" t="s">
        <v>3301</v>
      </c>
    </row>
    <row r="1141" customFormat="false" ht="15" hidden="false" customHeight="false" outlineLevel="0" collapsed="false">
      <c r="A1141" s="0" t="s">
        <v>1263</v>
      </c>
      <c r="B1141" s="0" t="n">
        <v>7000</v>
      </c>
      <c r="C1141" s="0" t="n">
        <v>4000</v>
      </c>
      <c r="D1141" s="0" t="n">
        <v>1.75</v>
      </c>
      <c r="E1141" s="0" t="s">
        <v>1264</v>
      </c>
    </row>
    <row r="1142" customFormat="false" ht="15" hidden="false" customHeight="false" outlineLevel="0" collapsed="false">
      <c r="A1142" s="0" t="s">
        <v>1263</v>
      </c>
      <c r="B1142" s="0" t="n">
        <v>15000</v>
      </c>
      <c r="C1142" s="0" t="n">
        <v>3900</v>
      </c>
      <c r="D1142" s="0" t="n">
        <v>3.84615384615385</v>
      </c>
      <c r="E1142" s="0" t="s">
        <v>1574</v>
      </c>
    </row>
    <row r="1143" customFormat="false" ht="15" hidden="false" customHeight="false" outlineLevel="0" collapsed="false">
      <c r="A1143" s="0" t="s">
        <v>1263</v>
      </c>
      <c r="B1143" s="0" t="n">
        <v>13000</v>
      </c>
      <c r="C1143" s="0" t="n">
        <v>3800</v>
      </c>
      <c r="D1143" s="0" t="n">
        <v>3.42105263157895</v>
      </c>
      <c r="E1143" s="0" t="s">
        <v>1693</v>
      </c>
    </row>
    <row r="1144" customFormat="false" ht="15" hidden="false" customHeight="false" outlineLevel="0" collapsed="false">
      <c r="A1144" s="0" t="s">
        <v>1263</v>
      </c>
      <c r="B1144" s="0" t="n">
        <v>13000</v>
      </c>
      <c r="C1144" s="0" t="n">
        <v>3800</v>
      </c>
      <c r="D1144" s="0" t="n">
        <v>3.42105263157895</v>
      </c>
      <c r="E1144" s="0" t="s">
        <v>1726</v>
      </c>
    </row>
    <row r="1145" customFormat="false" ht="15" hidden="false" customHeight="false" outlineLevel="0" collapsed="false">
      <c r="A1145" s="0" t="s">
        <v>1263</v>
      </c>
      <c r="B1145" s="0" t="n">
        <v>22000</v>
      </c>
      <c r="C1145" s="0" t="n">
        <v>3800</v>
      </c>
      <c r="D1145" s="0" t="n">
        <v>5.78947368421053</v>
      </c>
      <c r="E1145" s="0" t="s">
        <v>1804</v>
      </c>
    </row>
    <row r="1146" customFormat="false" ht="15" hidden="false" customHeight="false" outlineLevel="0" collapsed="false">
      <c r="A1146" s="0" t="s">
        <v>1855</v>
      </c>
      <c r="B1146" s="0" t="n">
        <v>5000</v>
      </c>
      <c r="C1146" s="0" t="n">
        <v>3800</v>
      </c>
      <c r="D1146" s="0" t="n">
        <v>1.31578947368421</v>
      </c>
      <c r="E1146" s="0" t="s">
        <v>1856</v>
      </c>
    </row>
    <row r="1147" customFormat="false" ht="15" hidden="false" customHeight="false" outlineLevel="0" collapsed="false">
      <c r="A1147" s="0" t="s">
        <v>1855</v>
      </c>
      <c r="B1147" s="0" t="n">
        <v>5000</v>
      </c>
      <c r="C1147" s="0" t="n">
        <v>3800</v>
      </c>
      <c r="D1147" s="0" t="n">
        <v>1.31578947368421</v>
      </c>
      <c r="E1147" s="0" t="s">
        <v>1875</v>
      </c>
    </row>
    <row r="1148" customFormat="false" ht="15" hidden="false" customHeight="false" outlineLevel="0" collapsed="false">
      <c r="A1148" s="0" t="s">
        <v>1855</v>
      </c>
      <c r="B1148" s="0" t="n">
        <v>5000</v>
      </c>
      <c r="C1148" s="0" t="n">
        <v>3800</v>
      </c>
      <c r="D1148" s="0" t="n">
        <v>1.31578947368421</v>
      </c>
      <c r="E1148" s="0" t="s">
        <v>1890</v>
      </c>
    </row>
    <row r="1149" customFormat="false" ht="15" hidden="false" customHeight="false" outlineLevel="0" collapsed="false">
      <c r="A1149" s="0" t="s">
        <v>1855</v>
      </c>
      <c r="B1149" s="0" t="n">
        <v>5000</v>
      </c>
      <c r="C1149" s="0" t="n">
        <v>3800</v>
      </c>
      <c r="D1149" s="0" t="n">
        <v>1.31578947368421</v>
      </c>
      <c r="E1149" s="0" t="s">
        <v>1905</v>
      </c>
    </row>
    <row r="1150" customFormat="false" ht="15" hidden="false" customHeight="false" outlineLevel="0" collapsed="false">
      <c r="A1150" s="0" t="s">
        <v>2135</v>
      </c>
      <c r="B1150" s="0" t="n">
        <v>11538.4615384615</v>
      </c>
      <c r="C1150" s="0" t="n">
        <v>3800</v>
      </c>
      <c r="D1150" s="0" t="n">
        <v>3.03643724696356</v>
      </c>
      <c r="E1150" s="0" t="s">
        <v>2136</v>
      </c>
    </row>
    <row r="1151" customFormat="false" ht="15" hidden="false" customHeight="false" outlineLevel="0" collapsed="false">
      <c r="A1151" s="0" t="s">
        <v>2135</v>
      </c>
      <c r="B1151" s="0" t="n">
        <v>7500</v>
      </c>
      <c r="C1151" s="0" t="n">
        <v>3800</v>
      </c>
      <c r="D1151" s="0" t="n">
        <v>1.97368421052632</v>
      </c>
      <c r="E1151" s="0" t="s">
        <v>2150</v>
      </c>
    </row>
    <row r="1152" customFormat="false" ht="15" hidden="false" customHeight="false" outlineLevel="0" collapsed="false">
      <c r="A1152" s="0" t="s">
        <v>2135</v>
      </c>
      <c r="B1152" s="0" t="n">
        <v>7500</v>
      </c>
      <c r="C1152" s="0" t="n">
        <v>3800</v>
      </c>
      <c r="D1152" s="0" t="n">
        <v>1.97368421052632</v>
      </c>
      <c r="E1152" s="0" t="s">
        <v>2182</v>
      </c>
    </row>
    <row r="1153" customFormat="false" ht="15" hidden="false" customHeight="false" outlineLevel="0" collapsed="false">
      <c r="A1153" s="0" t="s">
        <v>2135</v>
      </c>
      <c r="B1153" s="0" t="n">
        <v>10000</v>
      </c>
      <c r="C1153" s="0" t="n">
        <v>3800</v>
      </c>
      <c r="D1153" s="0" t="n">
        <v>2.63157894736842</v>
      </c>
      <c r="E1153" s="0" t="s">
        <v>2196</v>
      </c>
    </row>
    <row r="1154" customFormat="false" ht="15" hidden="false" customHeight="false" outlineLevel="0" collapsed="false">
      <c r="A1154" s="0" t="s">
        <v>2135</v>
      </c>
      <c r="B1154" s="0" t="n">
        <v>6533.33333333333</v>
      </c>
      <c r="C1154" s="0" t="n">
        <v>3800</v>
      </c>
      <c r="D1154" s="0" t="n">
        <v>1.71929824561404</v>
      </c>
      <c r="E1154" s="0" t="s">
        <v>2325</v>
      </c>
    </row>
    <row r="1155" customFormat="false" ht="15" hidden="false" customHeight="false" outlineLevel="0" collapsed="false">
      <c r="A1155" s="0" t="s">
        <v>2135</v>
      </c>
      <c r="B1155" s="0" t="n">
        <v>6066.66666666667</v>
      </c>
      <c r="C1155" s="0" t="n">
        <v>3800</v>
      </c>
      <c r="D1155" s="0" t="n">
        <v>1.59649122807018</v>
      </c>
      <c r="E1155" s="0" t="s">
        <v>2343</v>
      </c>
    </row>
    <row r="1156" customFormat="false" ht="15" hidden="false" customHeight="false" outlineLevel="0" collapsed="false">
      <c r="A1156" s="0" t="s">
        <v>2135</v>
      </c>
      <c r="B1156" s="0" t="n">
        <v>3500</v>
      </c>
      <c r="C1156" s="0" t="n">
        <v>3800</v>
      </c>
      <c r="D1156" s="0" t="n">
        <v>0.921052631578947</v>
      </c>
      <c r="E1156" s="0" t="s">
        <v>2376</v>
      </c>
    </row>
    <row r="1157" customFormat="false" ht="15" hidden="false" customHeight="false" outlineLevel="0" collapsed="false">
      <c r="A1157" s="0" t="s">
        <v>2164</v>
      </c>
      <c r="B1157" s="0" t="n">
        <v>15000</v>
      </c>
      <c r="C1157" s="0" t="n">
        <v>3800</v>
      </c>
      <c r="D1157" s="0" t="n">
        <v>3.94736842105263</v>
      </c>
      <c r="E1157" s="0" t="s">
        <v>2165</v>
      </c>
    </row>
    <row r="1158" customFormat="false" ht="15" hidden="false" customHeight="false" outlineLevel="0" collapsed="false">
      <c r="A1158" s="0" t="s">
        <v>2164</v>
      </c>
      <c r="B1158" s="0" t="n">
        <v>15000</v>
      </c>
      <c r="C1158" s="0" t="n">
        <v>3800</v>
      </c>
      <c r="D1158" s="0" t="n">
        <v>3.94736842105263</v>
      </c>
      <c r="E1158" s="0" t="s">
        <v>2210</v>
      </c>
    </row>
    <row r="1159" customFormat="false" ht="15" hidden="false" customHeight="false" outlineLevel="0" collapsed="false">
      <c r="A1159" s="0" t="s">
        <v>2411</v>
      </c>
      <c r="B1159" s="0" t="n">
        <v>1000</v>
      </c>
      <c r="C1159" s="0" t="n">
        <v>3800</v>
      </c>
      <c r="D1159" s="0" t="n">
        <v>0.263157894736842</v>
      </c>
      <c r="E1159" s="0" t="s">
        <v>2412</v>
      </c>
    </row>
    <row r="1160" customFormat="false" ht="15" hidden="false" customHeight="false" outlineLevel="0" collapsed="false">
      <c r="A1160" s="0" t="s">
        <v>2465</v>
      </c>
      <c r="B1160" s="0" t="n">
        <v>160.15625</v>
      </c>
      <c r="C1160" s="0" t="n">
        <v>3800</v>
      </c>
      <c r="D1160" s="0" t="n">
        <v>0.0421463815789474</v>
      </c>
      <c r="E1160" s="0" t="s">
        <v>2466</v>
      </c>
    </row>
    <row r="1161" customFormat="false" ht="15" hidden="false" customHeight="false" outlineLevel="0" collapsed="false">
      <c r="A1161" s="0" t="s">
        <v>2465</v>
      </c>
      <c r="B1161" s="0" t="n">
        <v>167.96875</v>
      </c>
      <c r="C1161" s="0" t="n">
        <v>3800</v>
      </c>
      <c r="D1161" s="0" t="n">
        <v>0.044202302631579</v>
      </c>
      <c r="E1161" s="0" t="s">
        <v>2487</v>
      </c>
    </row>
    <row r="1162" customFormat="false" ht="15" hidden="false" customHeight="false" outlineLevel="0" collapsed="false">
      <c r="A1162" s="0" t="s">
        <v>2468</v>
      </c>
      <c r="B1162" s="0" t="n">
        <v>50</v>
      </c>
      <c r="C1162" s="0" t="n">
        <v>3800</v>
      </c>
      <c r="D1162" s="0" t="n">
        <v>0.0131578947368421</v>
      </c>
      <c r="E1162" s="0" t="s">
        <v>2469</v>
      </c>
    </row>
    <row r="1163" customFormat="false" ht="15" hidden="false" customHeight="false" outlineLevel="0" collapsed="false">
      <c r="A1163" s="0" t="s">
        <v>2468</v>
      </c>
      <c r="B1163" s="0" t="n">
        <v>477.777777777778</v>
      </c>
      <c r="C1163" s="0" t="n">
        <v>3800</v>
      </c>
      <c r="D1163" s="0" t="n">
        <v>0.125730994152047</v>
      </c>
      <c r="E1163" s="0" t="s">
        <v>2489</v>
      </c>
    </row>
    <row r="1164" customFormat="false" ht="15" hidden="false" customHeight="false" outlineLevel="0" collapsed="false">
      <c r="A1164" s="0" t="s">
        <v>2470</v>
      </c>
      <c r="B1164" s="0" t="n">
        <v>66.6666666666667</v>
      </c>
      <c r="C1164" s="0" t="n">
        <v>3800</v>
      </c>
      <c r="D1164" s="0" t="n">
        <v>0.0175438596491228</v>
      </c>
      <c r="E1164" s="0" t="s">
        <v>2471</v>
      </c>
    </row>
    <row r="1165" customFormat="false" ht="15" hidden="false" customHeight="false" outlineLevel="0" collapsed="false">
      <c r="A1165" s="0" t="s">
        <v>2470</v>
      </c>
      <c r="B1165" s="0" t="n">
        <v>66.6666666666667</v>
      </c>
      <c r="C1165" s="0" t="n">
        <v>3800</v>
      </c>
      <c r="D1165" s="0" t="n">
        <v>0.0175438596491228</v>
      </c>
      <c r="E1165" s="0" t="s">
        <v>2491</v>
      </c>
    </row>
    <row r="1166" customFormat="false" ht="15" hidden="false" customHeight="false" outlineLevel="0" collapsed="false">
      <c r="A1166" s="0" t="s">
        <v>2463</v>
      </c>
      <c r="B1166" s="0" t="n">
        <v>195.454545454546</v>
      </c>
      <c r="C1166" s="0" t="n">
        <v>3800</v>
      </c>
      <c r="D1166" s="0" t="n">
        <v>0.0514354066985646</v>
      </c>
      <c r="E1166" s="0" t="s">
        <v>2485</v>
      </c>
    </row>
    <row r="1167" customFormat="false" ht="15" hidden="false" customHeight="false" outlineLevel="0" collapsed="false">
      <c r="A1167" s="0" t="s">
        <v>2554</v>
      </c>
      <c r="B1167" s="0" t="n">
        <v>1000</v>
      </c>
      <c r="C1167" s="0" t="n">
        <v>3800</v>
      </c>
      <c r="D1167" s="0" t="n">
        <v>0.263157894736842</v>
      </c>
      <c r="E1167" s="0" t="s">
        <v>2555</v>
      </c>
    </row>
    <row r="1168" customFormat="false" ht="15" hidden="false" customHeight="false" outlineLevel="0" collapsed="false">
      <c r="A1168" s="0" t="s">
        <v>2554</v>
      </c>
      <c r="B1168" s="0" t="n">
        <v>2000</v>
      </c>
      <c r="C1168" s="0" t="n">
        <v>3800</v>
      </c>
      <c r="D1168" s="0" t="n">
        <v>0.526315789473684</v>
      </c>
      <c r="E1168" s="0" t="s">
        <v>2568</v>
      </c>
    </row>
    <row r="1169" customFormat="false" ht="15" hidden="false" customHeight="false" outlineLevel="0" collapsed="false">
      <c r="A1169" s="0" t="s">
        <v>2554</v>
      </c>
      <c r="B1169" s="0" t="n">
        <v>2000</v>
      </c>
      <c r="C1169" s="0" t="n">
        <v>3800</v>
      </c>
      <c r="D1169" s="0" t="n">
        <v>0.526315789473684</v>
      </c>
      <c r="E1169" s="0" t="s">
        <v>2581</v>
      </c>
    </row>
    <row r="1170" customFormat="false" ht="15" hidden="false" customHeight="false" outlineLevel="0" collapsed="false">
      <c r="A1170" s="0" t="s">
        <v>2554</v>
      </c>
      <c r="B1170" s="0" t="n">
        <v>1500</v>
      </c>
      <c r="C1170" s="0" t="n">
        <v>3700</v>
      </c>
      <c r="D1170" s="0" t="n">
        <v>0.405405405405405</v>
      </c>
      <c r="E1170" s="0" t="s">
        <v>3352</v>
      </c>
    </row>
    <row r="1171" customFormat="false" ht="15" hidden="false" customHeight="false" outlineLevel="0" collapsed="false">
      <c r="A1171" s="0" t="s">
        <v>2554</v>
      </c>
      <c r="B1171" s="0" t="n">
        <v>500</v>
      </c>
      <c r="C1171" s="0" t="n">
        <v>3900</v>
      </c>
      <c r="D1171" s="0" t="n">
        <v>0.128205128205128</v>
      </c>
      <c r="E1171" s="0" t="s">
        <v>3363</v>
      </c>
    </row>
    <row r="1172" customFormat="false" ht="15" hidden="false" customHeight="false" outlineLevel="0" collapsed="false">
      <c r="A1172" s="0" t="s">
        <v>2554</v>
      </c>
      <c r="B1172" s="0" t="n">
        <v>500</v>
      </c>
      <c r="C1172" s="0" t="n">
        <v>4000</v>
      </c>
      <c r="D1172" s="0" t="n">
        <v>0.125</v>
      </c>
      <c r="E1172" s="0" t="s">
        <v>3376</v>
      </c>
    </row>
    <row r="1173" customFormat="false" ht="15" hidden="false" customHeight="false" outlineLevel="0" collapsed="false">
      <c r="A1173" s="0" t="s">
        <v>2385</v>
      </c>
      <c r="B1173" s="0" t="n">
        <v>800</v>
      </c>
      <c r="C1173" s="0" t="n">
        <v>3800</v>
      </c>
      <c r="D1173" s="0" t="n">
        <v>0.210526315789474</v>
      </c>
      <c r="E1173" s="0" t="s">
        <v>2632</v>
      </c>
    </row>
    <row r="1174" customFormat="false" ht="15" hidden="false" customHeight="false" outlineLevel="0" collapsed="false">
      <c r="A1174" s="0" t="s">
        <v>2385</v>
      </c>
      <c r="B1174" s="0" t="n">
        <v>1500</v>
      </c>
      <c r="C1174" s="0" t="n">
        <v>4000</v>
      </c>
      <c r="D1174" s="0" t="n">
        <v>0.375</v>
      </c>
      <c r="E1174" s="0" t="s">
        <v>3377</v>
      </c>
    </row>
    <row r="1175" customFormat="false" ht="15" hidden="false" customHeight="false" outlineLevel="0" collapsed="false">
      <c r="A1175" s="0" t="s">
        <v>2649</v>
      </c>
      <c r="B1175" s="0" t="n">
        <v>5000</v>
      </c>
      <c r="C1175" s="0" t="n">
        <v>3800</v>
      </c>
      <c r="D1175" s="0" t="n">
        <v>1.31578947368421</v>
      </c>
      <c r="E1175" s="0" t="s">
        <v>2650</v>
      </c>
    </row>
    <row r="1176" customFormat="false" ht="15" hidden="false" customHeight="false" outlineLevel="0" collapsed="false">
      <c r="A1176" s="0" t="s">
        <v>2689</v>
      </c>
      <c r="B1176" s="0" t="n">
        <v>3000</v>
      </c>
      <c r="C1176" s="0" t="n">
        <v>4000</v>
      </c>
      <c r="D1176" s="0" t="n">
        <v>0.75</v>
      </c>
      <c r="E1176" s="0" t="s">
        <v>2690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4021</v>
      </c>
      <c r="B1" s="0" t="s">
        <v>40</v>
      </c>
      <c r="C1" s="0" t="s">
        <v>3444</v>
      </c>
      <c r="D1" s="0" t="s">
        <v>4022</v>
      </c>
      <c r="E1" s="0" t="s">
        <v>3440</v>
      </c>
      <c r="F1" s="0" t="s">
        <v>4023</v>
      </c>
    </row>
    <row r="2" customFormat="false" ht="15" hidden="false" customHeight="false" outlineLevel="0" collapsed="false">
      <c r="A2" s="0" t="s">
        <v>4024</v>
      </c>
      <c r="B2" s="0" t="s">
        <v>51</v>
      </c>
      <c r="C2" s="0" t="s">
        <v>4025</v>
      </c>
      <c r="D2" s="0" t="s">
        <v>4026</v>
      </c>
      <c r="E2" s="0" t="s">
        <v>283</v>
      </c>
      <c r="F2" s="0" t="s">
        <v>4027</v>
      </c>
    </row>
    <row r="3" customFormat="false" ht="15" hidden="false" customHeight="false" outlineLevel="0" collapsed="false">
      <c r="A3" s="0" t="s">
        <v>4024</v>
      </c>
      <c r="B3" s="0" t="s">
        <v>51</v>
      </c>
      <c r="C3" s="0" t="s">
        <v>4028</v>
      </c>
      <c r="D3" s="0" t="s">
        <v>4029</v>
      </c>
      <c r="E3" s="0" t="s">
        <v>349</v>
      </c>
      <c r="F3" s="0" t="s">
        <v>4027</v>
      </c>
    </row>
    <row r="4" customFormat="false" ht="15" hidden="false" customHeight="false" outlineLevel="0" collapsed="false">
      <c r="A4" s="0" t="s">
        <v>4024</v>
      </c>
      <c r="B4" s="0" t="s">
        <v>1081</v>
      </c>
      <c r="C4" s="0" t="s">
        <v>4030</v>
      </c>
      <c r="D4" s="0" t="s">
        <v>4031</v>
      </c>
      <c r="E4" s="0" t="s">
        <v>1291</v>
      </c>
      <c r="F4" s="0" t="s">
        <v>4027</v>
      </c>
    </row>
    <row r="5" customFormat="false" ht="15" hidden="false" customHeight="false" outlineLevel="0" collapsed="false">
      <c r="A5" s="0" t="s">
        <v>4024</v>
      </c>
      <c r="B5" s="0" t="s">
        <v>1566</v>
      </c>
      <c r="C5" s="0" t="s">
        <v>4032</v>
      </c>
      <c r="D5" s="0" t="s">
        <v>4033</v>
      </c>
      <c r="E5" s="0" t="s">
        <v>1596</v>
      </c>
      <c r="F5" s="0" t="s">
        <v>4027</v>
      </c>
    </row>
    <row r="6" customFormat="false" ht="28.35" hidden="false" customHeight="false" outlineLevel="0" collapsed="false">
      <c r="A6" s="0" t="s">
        <v>4024</v>
      </c>
      <c r="B6" s="0" t="s">
        <v>1669</v>
      </c>
      <c r="C6" s="0" t="s">
        <v>4034</v>
      </c>
      <c r="D6" s="0" t="s">
        <v>4035</v>
      </c>
      <c r="E6" s="22" t="s">
        <v>1702</v>
      </c>
      <c r="F6" s="0" t="s">
        <v>4027</v>
      </c>
    </row>
    <row r="7" customFormat="false" ht="28.35" hidden="false" customHeight="false" outlineLevel="0" collapsed="false">
      <c r="A7" s="0" t="s">
        <v>4024</v>
      </c>
      <c r="B7" s="0" t="s">
        <v>1669</v>
      </c>
      <c r="C7" s="0" t="s">
        <v>4036</v>
      </c>
      <c r="D7" s="0" t="s">
        <v>4037</v>
      </c>
      <c r="E7" s="22" t="s">
        <v>1702</v>
      </c>
      <c r="F7" s="0" t="s">
        <v>4027</v>
      </c>
    </row>
    <row r="8" customFormat="false" ht="15" hidden="false" customHeight="false" outlineLevel="0" collapsed="false">
      <c r="A8" s="0" t="s">
        <v>4024</v>
      </c>
      <c r="B8" s="0" t="s">
        <v>1814</v>
      </c>
      <c r="C8" s="0" t="s">
        <v>4038</v>
      </c>
      <c r="D8" s="0" t="s">
        <v>4029</v>
      </c>
      <c r="E8" s="0" t="s">
        <v>1833</v>
      </c>
      <c r="F8" s="0" t="s">
        <v>4027</v>
      </c>
    </row>
    <row r="9" customFormat="false" ht="15" hidden="false" customHeight="false" outlineLevel="0" collapsed="false">
      <c r="A9" s="0" t="s">
        <v>4024</v>
      </c>
      <c r="B9" s="0" t="s">
        <v>1918</v>
      </c>
      <c r="C9" s="0" t="s">
        <v>4039</v>
      </c>
      <c r="D9" s="0" t="s">
        <v>4029</v>
      </c>
      <c r="E9" s="0" t="s">
        <v>1920</v>
      </c>
      <c r="F9" s="0" t="s">
        <v>4027</v>
      </c>
    </row>
    <row r="10" customFormat="false" ht="15" hidden="false" customHeight="false" outlineLevel="0" collapsed="false">
      <c r="A10" s="0" t="s">
        <v>4024</v>
      </c>
      <c r="B10" s="0" t="s">
        <v>1918</v>
      </c>
      <c r="C10" s="0" t="s">
        <v>4040</v>
      </c>
      <c r="D10" s="0" t="s">
        <v>4031</v>
      </c>
      <c r="E10" s="0" t="s">
        <v>1920</v>
      </c>
      <c r="F10" s="0" t="s">
        <v>4027</v>
      </c>
    </row>
    <row r="11" customFormat="false" ht="15" hidden="false" customHeight="false" outlineLevel="0" collapsed="false">
      <c r="A11" s="0" t="s">
        <v>4024</v>
      </c>
      <c r="B11" s="0" t="s">
        <v>1918</v>
      </c>
      <c r="C11" s="0" t="s">
        <v>4041</v>
      </c>
      <c r="D11" s="0" t="s">
        <v>4042</v>
      </c>
      <c r="E11" s="0" t="s">
        <v>311</v>
      </c>
      <c r="F11" s="0" t="s">
        <v>4027</v>
      </c>
    </row>
    <row r="12" customFormat="false" ht="15" hidden="false" customHeight="false" outlineLevel="0" collapsed="false">
      <c r="A12" s="0" t="s">
        <v>4024</v>
      </c>
      <c r="B12" s="0" t="s">
        <v>1918</v>
      </c>
      <c r="C12" s="0" t="s">
        <v>4043</v>
      </c>
      <c r="D12" s="0" t="s">
        <v>4026</v>
      </c>
      <c r="E12" s="0" t="s">
        <v>349</v>
      </c>
      <c r="F12" s="0" t="s">
        <v>4027</v>
      </c>
    </row>
    <row r="13" customFormat="false" ht="15" hidden="false" customHeight="false" outlineLevel="0" collapsed="false">
      <c r="A13" s="0" t="s">
        <v>4024</v>
      </c>
      <c r="B13" s="0" t="s">
        <v>2220</v>
      </c>
      <c r="C13" s="0" t="s">
        <v>4044</v>
      </c>
      <c r="D13" s="0" t="s">
        <v>4042</v>
      </c>
      <c r="E13" s="0" t="s">
        <v>311</v>
      </c>
      <c r="F13" s="0" t="s">
        <v>4027</v>
      </c>
    </row>
    <row r="14" customFormat="false" ht="15" hidden="false" customHeight="false" outlineLevel="0" collapsed="false">
      <c r="A14" s="0" t="s">
        <v>4024</v>
      </c>
      <c r="B14" s="0" t="s">
        <v>2220</v>
      </c>
      <c r="C14" s="0" t="s">
        <v>4045</v>
      </c>
      <c r="D14" s="0" t="s">
        <v>4046</v>
      </c>
      <c r="E14" s="0" t="s">
        <v>2221</v>
      </c>
      <c r="F14" s="0" t="s">
        <v>4027</v>
      </c>
    </row>
    <row r="15" customFormat="false" ht="15" hidden="false" customHeight="false" outlineLevel="0" collapsed="false">
      <c r="A15" s="0" t="s">
        <v>4024</v>
      </c>
      <c r="B15" s="0" t="s">
        <v>2220</v>
      </c>
      <c r="C15" s="0" t="s">
        <v>4047</v>
      </c>
      <c r="D15" s="0" t="s">
        <v>4042</v>
      </c>
      <c r="E15" s="0" t="s">
        <v>2221</v>
      </c>
      <c r="F15" s="0" t="s">
        <v>4027</v>
      </c>
    </row>
    <row r="16" customFormat="false" ht="15" hidden="false" customHeight="false" outlineLevel="0" collapsed="false">
      <c r="A16" s="0" t="s">
        <v>4024</v>
      </c>
      <c r="B16" s="0" t="s">
        <v>2220</v>
      </c>
      <c r="C16" s="0" t="s">
        <v>4048</v>
      </c>
      <c r="D16" s="0" t="s">
        <v>4042</v>
      </c>
      <c r="E16" s="0" t="s">
        <v>2322</v>
      </c>
      <c r="F16" s="0" t="s">
        <v>4027</v>
      </c>
    </row>
    <row r="17" customFormat="false" ht="15" hidden="false" customHeight="false" outlineLevel="0" collapsed="false">
      <c r="A17" s="0" t="s">
        <v>4024</v>
      </c>
      <c r="B17" s="0" t="s">
        <v>2220</v>
      </c>
      <c r="C17" s="0" t="s">
        <v>4049</v>
      </c>
      <c r="D17" s="0" t="s">
        <v>4050</v>
      </c>
      <c r="E17" s="0" t="s">
        <v>2322</v>
      </c>
      <c r="F17" s="0" t="s">
        <v>4027</v>
      </c>
    </row>
    <row r="18" customFormat="false" ht="15" hidden="false" customHeight="false" outlineLevel="0" collapsed="false">
      <c r="A18" s="0" t="s">
        <v>4024</v>
      </c>
      <c r="B18" s="0" t="s">
        <v>2220</v>
      </c>
      <c r="C18" s="0" t="s">
        <v>4051</v>
      </c>
      <c r="D18" s="0" t="s">
        <v>4042</v>
      </c>
      <c r="E18" s="0" t="s">
        <v>2357</v>
      </c>
      <c r="F18" s="0" t="s">
        <v>4027</v>
      </c>
    </row>
    <row r="19" customFormat="false" ht="15" hidden="false" customHeight="false" outlineLevel="0" collapsed="false">
      <c r="A19" s="0" t="s">
        <v>4024</v>
      </c>
      <c r="B19" s="0" t="s">
        <v>2220</v>
      </c>
      <c r="C19" s="0" t="s">
        <v>4052</v>
      </c>
      <c r="D19" s="0" t="s">
        <v>4042</v>
      </c>
      <c r="E19" s="0" t="s">
        <v>2391</v>
      </c>
      <c r="F19" s="0" t="s">
        <v>4027</v>
      </c>
    </row>
    <row r="20" customFormat="false" ht="15" hidden="false" customHeight="false" outlineLevel="0" collapsed="false">
      <c r="A20" s="0" t="s">
        <v>4024</v>
      </c>
      <c r="B20" s="0" t="s">
        <v>2220</v>
      </c>
      <c r="C20" s="0" t="s">
        <v>4053</v>
      </c>
      <c r="D20" s="0" t="s">
        <v>4042</v>
      </c>
      <c r="E20" s="0" t="s">
        <v>2322</v>
      </c>
      <c r="F20" s="0" t="s">
        <v>4027</v>
      </c>
    </row>
    <row r="21" customFormat="false" ht="15" hidden="false" customHeight="false" outlineLevel="0" collapsed="false">
      <c r="A21" s="0" t="s">
        <v>4024</v>
      </c>
      <c r="B21" s="0" t="s">
        <v>2220</v>
      </c>
      <c r="C21" s="0" t="s">
        <v>4054</v>
      </c>
      <c r="D21" s="0" t="s">
        <v>4055</v>
      </c>
      <c r="E21" s="0" t="s">
        <v>2423</v>
      </c>
      <c r="F21" s="0" t="s">
        <v>4027</v>
      </c>
    </row>
    <row r="22" customFormat="false" ht="15" hidden="false" customHeight="false" outlineLevel="0" collapsed="false">
      <c r="A22" s="0" t="s">
        <v>4024</v>
      </c>
      <c r="B22" s="0" t="s">
        <v>2220</v>
      </c>
      <c r="C22" s="0" t="s">
        <v>4056</v>
      </c>
      <c r="D22" s="0" t="s">
        <v>4042</v>
      </c>
      <c r="E22" s="0" t="s">
        <v>2322</v>
      </c>
      <c r="F22" s="0" t="s">
        <v>4027</v>
      </c>
    </row>
    <row r="23" customFormat="false" ht="15" hidden="false" customHeight="false" outlineLevel="0" collapsed="false">
      <c r="A23" s="0" t="s">
        <v>4024</v>
      </c>
      <c r="B23" s="0" t="s">
        <v>2797</v>
      </c>
      <c r="C23" s="0" t="s">
        <v>4057</v>
      </c>
      <c r="D23" s="0" t="s">
        <v>4058</v>
      </c>
      <c r="E23" s="0" t="s">
        <v>2814</v>
      </c>
      <c r="F23" s="0" t="s">
        <v>4027</v>
      </c>
    </row>
    <row r="24" customFormat="false" ht="15" hidden="false" customHeight="false" outlineLevel="0" collapsed="false">
      <c r="A24" s="0" t="s">
        <v>4024</v>
      </c>
      <c r="B24" s="0" t="s">
        <v>2822</v>
      </c>
      <c r="C24" s="0" t="s">
        <v>4059</v>
      </c>
      <c r="D24" s="0" t="s">
        <v>4026</v>
      </c>
      <c r="E24" s="0" t="s">
        <v>2945</v>
      </c>
      <c r="F24" s="0" t="s">
        <v>4027</v>
      </c>
    </row>
    <row r="25" customFormat="false" ht="15" hidden="false" customHeight="false" outlineLevel="0" collapsed="false">
      <c r="A25" s="0" t="s">
        <v>4060</v>
      </c>
      <c r="B25" s="0" t="s">
        <v>51</v>
      </c>
      <c r="C25" s="0" t="s">
        <v>53</v>
      </c>
      <c r="D25" s="0" t="s">
        <v>4061</v>
      </c>
      <c r="F25" s="0" t="s">
        <v>4062</v>
      </c>
    </row>
    <row r="26" customFormat="false" ht="15" hidden="false" customHeight="false" outlineLevel="0" collapsed="false">
      <c r="A26" s="0" t="s">
        <v>4060</v>
      </c>
      <c r="B26" s="0" t="s">
        <v>51</v>
      </c>
      <c r="C26" s="0" t="s">
        <v>60</v>
      </c>
      <c r="D26" s="0" t="s">
        <v>4063</v>
      </c>
      <c r="F26" s="0" t="s">
        <v>4062</v>
      </c>
    </row>
    <row r="27" customFormat="false" ht="15" hidden="false" customHeight="false" outlineLevel="0" collapsed="false">
      <c r="A27" s="0" t="s">
        <v>4060</v>
      </c>
      <c r="B27" s="0" t="s">
        <v>51</v>
      </c>
      <c r="C27" s="0" t="s">
        <v>62</v>
      </c>
      <c r="D27" s="0" t="s">
        <v>4064</v>
      </c>
      <c r="F27" s="0" t="s">
        <v>4062</v>
      </c>
    </row>
    <row r="28" customFormat="false" ht="15" hidden="false" customHeight="false" outlineLevel="0" collapsed="false">
      <c r="A28" s="0" t="s">
        <v>4060</v>
      </c>
      <c r="B28" s="0" t="s">
        <v>51</v>
      </c>
      <c r="C28" s="0" t="s">
        <v>64</v>
      </c>
      <c r="D28" s="0" t="s">
        <v>4065</v>
      </c>
      <c r="F28" s="0" t="s">
        <v>4062</v>
      </c>
    </row>
    <row r="29" customFormat="false" ht="15" hidden="false" customHeight="false" outlineLevel="0" collapsed="false">
      <c r="A29" s="0" t="s">
        <v>4060</v>
      </c>
      <c r="B29" s="0" t="s">
        <v>51</v>
      </c>
      <c r="C29" s="0" t="s">
        <v>66</v>
      </c>
      <c r="D29" s="0" t="s">
        <v>4066</v>
      </c>
      <c r="F29" s="0" t="s">
        <v>4062</v>
      </c>
    </row>
    <row r="30" customFormat="false" ht="15" hidden="false" customHeight="false" outlineLevel="0" collapsed="false">
      <c r="A30" s="0" t="s">
        <v>4060</v>
      </c>
      <c r="B30" s="0" t="s">
        <v>733</v>
      </c>
      <c r="C30" s="0" t="s">
        <v>740</v>
      </c>
      <c r="D30" s="0" t="s">
        <v>4067</v>
      </c>
      <c r="F30" s="0" t="s">
        <v>4062</v>
      </c>
    </row>
    <row r="31" customFormat="false" ht="15" hidden="false" customHeight="false" outlineLevel="0" collapsed="false">
      <c r="A31" s="0" t="s">
        <v>4060</v>
      </c>
      <c r="B31" s="0" t="s">
        <v>826</v>
      </c>
      <c r="C31" s="0" t="s">
        <v>828</v>
      </c>
      <c r="D31" s="0" t="s">
        <v>4068</v>
      </c>
      <c r="F31" s="0" t="s">
        <v>4062</v>
      </c>
    </row>
    <row r="32" customFormat="false" ht="15" hidden="false" customHeight="false" outlineLevel="0" collapsed="false">
      <c r="A32" s="0" t="s">
        <v>4060</v>
      </c>
      <c r="B32" s="0" t="s">
        <v>1033</v>
      </c>
      <c r="C32" s="0" t="s">
        <v>1035</v>
      </c>
      <c r="D32" s="0" t="s">
        <v>4069</v>
      </c>
      <c r="F32" s="0" t="s">
        <v>4062</v>
      </c>
    </row>
    <row r="33" customFormat="false" ht="15" hidden="false" customHeight="false" outlineLevel="0" collapsed="false">
      <c r="A33" s="0" t="s">
        <v>4060</v>
      </c>
      <c r="B33" s="0" t="s">
        <v>1421</v>
      </c>
      <c r="C33" s="0" t="s">
        <v>1428</v>
      </c>
      <c r="D33" s="0" t="s">
        <v>4070</v>
      </c>
      <c r="F33" s="0" t="s">
        <v>4062</v>
      </c>
    </row>
    <row r="34" customFormat="false" ht="15" hidden="false" customHeight="false" outlineLevel="0" collapsed="false">
      <c r="A34" s="0" t="s">
        <v>4060</v>
      </c>
      <c r="B34" s="0" t="s">
        <v>1566</v>
      </c>
      <c r="C34" s="0" t="s">
        <v>1567</v>
      </c>
      <c r="D34" s="0" t="s">
        <v>4071</v>
      </c>
      <c r="F34" s="0" t="s">
        <v>4062</v>
      </c>
    </row>
    <row r="35" customFormat="false" ht="15" hidden="false" customHeight="false" outlineLevel="0" collapsed="false">
      <c r="A35" s="0" t="s">
        <v>4060</v>
      </c>
      <c r="B35" s="0" t="s">
        <v>1669</v>
      </c>
      <c r="C35" s="0" t="s">
        <v>1671</v>
      </c>
      <c r="D35" s="0" t="s">
        <v>4072</v>
      </c>
      <c r="F35" s="0" t="s">
        <v>4062</v>
      </c>
    </row>
    <row r="36" customFormat="false" ht="15" hidden="false" customHeight="false" outlineLevel="0" collapsed="false">
      <c r="A36" s="0" t="s">
        <v>4060</v>
      </c>
      <c r="B36" s="0" t="s">
        <v>1814</v>
      </c>
      <c r="C36" s="0" t="s">
        <v>4016</v>
      </c>
      <c r="D36" s="0" t="s">
        <v>4073</v>
      </c>
      <c r="F36" s="0" t="s">
        <v>4062</v>
      </c>
    </row>
    <row r="37" customFormat="false" ht="15" hidden="false" customHeight="false" outlineLevel="0" collapsed="false">
      <c r="A37" s="0" t="s">
        <v>4060</v>
      </c>
      <c r="B37" s="0" t="s">
        <v>2588</v>
      </c>
      <c r="C37" s="0" t="s">
        <v>2592</v>
      </c>
      <c r="D37" s="0" t="s">
        <v>4074</v>
      </c>
      <c r="F37" s="0" t="s">
        <v>4062</v>
      </c>
    </row>
    <row r="38" customFormat="false" ht="15" hidden="false" customHeight="false" outlineLevel="0" collapsed="false">
      <c r="A38" s="0" t="s">
        <v>4060</v>
      </c>
      <c r="B38" s="0" t="s">
        <v>2608</v>
      </c>
      <c r="C38" s="0" t="s">
        <v>2612</v>
      </c>
      <c r="D38" s="0" t="s">
        <v>4075</v>
      </c>
      <c r="F38" s="0" t="s">
        <v>4062</v>
      </c>
    </row>
    <row r="39" customFormat="false" ht="15" hidden="false" customHeight="false" outlineLevel="0" collapsed="false">
      <c r="A39" s="0" t="s">
        <v>4060</v>
      </c>
      <c r="B39" s="0" t="s">
        <v>2640</v>
      </c>
      <c r="C39" s="0" t="s">
        <v>2642</v>
      </c>
      <c r="D39" s="0" t="s">
        <v>4076</v>
      </c>
      <c r="F39" s="0" t="s">
        <v>4062</v>
      </c>
    </row>
    <row r="40" customFormat="false" ht="15" hidden="false" customHeight="false" outlineLevel="0" collapsed="false">
      <c r="A40" s="0" t="s">
        <v>4060</v>
      </c>
      <c r="B40" s="0" t="s">
        <v>2640</v>
      </c>
      <c r="C40" s="0" t="s">
        <v>2653</v>
      </c>
      <c r="D40" s="0" t="s">
        <v>4077</v>
      </c>
      <c r="F40" s="0" t="s">
        <v>4062</v>
      </c>
    </row>
    <row r="41" customFormat="false" ht="15" hidden="false" customHeight="false" outlineLevel="0" collapsed="false">
      <c r="A41" s="0" t="s">
        <v>4060</v>
      </c>
      <c r="B41" s="0" t="s">
        <v>2640</v>
      </c>
      <c r="C41" s="0" t="s">
        <v>2698</v>
      </c>
      <c r="D41" s="0" t="s">
        <v>4078</v>
      </c>
      <c r="F41" s="0" t="s">
        <v>4062</v>
      </c>
    </row>
    <row r="42" customFormat="false" ht="15" hidden="false" customHeight="false" outlineLevel="0" collapsed="false">
      <c r="A42" s="0" t="s">
        <v>4060</v>
      </c>
      <c r="B42" s="0" t="s">
        <v>2797</v>
      </c>
      <c r="C42" s="0" t="s">
        <v>2798</v>
      </c>
      <c r="D42" s="0" t="s">
        <v>4079</v>
      </c>
      <c r="F42" s="0" t="s">
        <v>4062</v>
      </c>
    </row>
    <row r="43" customFormat="false" ht="15" hidden="false" customHeight="false" outlineLevel="0" collapsed="false">
      <c r="A43" s="0" t="s">
        <v>4080</v>
      </c>
      <c r="B43" s="0" t="s">
        <v>51</v>
      </c>
      <c r="C43" s="0" t="s">
        <v>56</v>
      </c>
      <c r="D43" s="0" t="s">
        <v>4081</v>
      </c>
      <c r="F43" s="0" t="s">
        <v>4062</v>
      </c>
    </row>
    <row r="44" customFormat="false" ht="15" hidden="false" customHeight="false" outlineLevel="0" collapsed="false">
      <c r="A44" s="0" t="s">
        <v>4080</v>
      </c>
      <c r="B44" s="0" t="s">
        <v>51</v>
      </c>
      <c r="C44" s="0" t="s">
        <v>58</v>
      </c>
      <c r="D44" s="0" t="s">
        <v>4082</v>
      </c>
      <c r="F44" s="0" t="s">
        <v>4062</v>
      </c>
    </row>
    <row r="45" customFormat="false" ht="15" hidden="false" customHeight="false" outlineLevel="0" collapsed="false">
      <c r="A45" s="0" t="s">
        <v>4080</v>
      </c>
      <c r="B45" s="0" t="s">
        <v>51</v>
      </c>
      <c r="C45" s="0" t="s">
        <v>106</v>
      </c>
      <c r="D45" s="0" t="s">
        <v>4083</v>
      </c>
      <c r="F45" s="0" t="s">
        <v>4062</v>
      </c>
    </row>
    <row r="46" customFormat="false" ht="15" hidden="false" customHeight="false" outlineLevel="0" collapsed="false">
      <c r="A46" s="0" t="s">
        <v>4080</v>
      </c>
      <c r="B46" s="0" t="s">
        <v>51</v>
      </c>
      <c r="C46" s="0" t="s">
        <v>128</v>
      </c>
      <c r="D46" s="0" t="s">
        <v>4084</v>
      </c>
      <c r="F46" s="0" t="s">
        <v>4062</v>
      </c>
    </row>
    <row r="47" customFormat="false" ht="15" hidden="false" customHeight="false" outlineLevel="0" collapsed="false">
      <c r="A47" s="0" t="s">
        <v>4080</v>
      </c>
      <c r="B47" s="0" t="s">
        <v>51</v>
      </c>
      <c r="C47" s="0" t="s">
        <v>130</v>
      </c>
      <c r="D47" s="0" t="s">
        <v>4085</v>
      </c>
      <c r="F47" s="0" t="s">
        <v>4062</v>
      </c>
    </row>
    <row r="48" customFormat="false" ht="15" hidden="false" customHeight="false" outlineLevel="0" collapsed="false">
      <c r="A48" s="0" t="s">
        <v>4080</v>
      </c>
      <c r="B48" s="0" t="s">
        <v>51</v>
      </c>
      <c r="C48" s="0" t="s">
        <v>132</v>
      </c>
      <c r="D48" s="0" t="s">
        <v>4086</v>
      </c>
      <c r="F48" s="0" t="s">
        <v>4062</v>
      </c>
    </row>
    <row r="49" customFormat="false" ht="15" hidden="false" customHeight="false" outlineLevel="0" collapsed="false">
      <c r="A49" s="0" t="s">
        <v>4080</v>
      </c>
      <c r="B49" s="0" t="s">
        <v>51</v>
      </c>
      <c r="C49" s="0" t="s">
        <v>134</v>
      </c>
      <c r="D49" s="0" t="s">
        <v>4087</v>
      </c>
      <c r="F49" s="0" t="s">
        <v>4062</v>
      </c>
    </row>
    <row r="50" customFormat="false" ht="15" hidden="false" customHeight="false" outlineLevel="0" collapsed="false">
      <c r="A50" s="0" t="s">
        <v>4080</v>
      </c>
      <c r="B50" s="0" t="s">
        <v>51</v>
      </c>
      <c r="C50" s="0" t="s">
        <v>158</v>
      </c>
      <c r="D50" s="0" t="s">
        <v>4088</v>
      </c>
      <c r="F50" s="0" t="s">
        <v>4062</v>
      </c>
    </row>
    <row r="51" customFormat="false" ht="15" hidden="false" customHeight="false" outlineLevel="0" collapsed="false">
      <c r="A51" s="0" t="s">
        <v>4080</v>
      </c>
      <c r="B51" s="0" t="s">
        <v>51</v>
      </c>
      <c r="C51" s="0" t="s">
        <v>203</v>
      </c>
      <c r="D51" s="0" t="s">
        <v>4089</v>
      </c>
      <c r="F51" s="0" t="s">
        <v>4062</v>
      </c>
    </row>
    <row r="52" customFormat="false" ht="15" hidden="false" customHeight="false" outlineLevel="0" collapsed="false">
      <c r="A52" s="0" t="s">
        <v>4080</v>
      </c>
      <c r="B52" s="0" t="s">
        <v>51</v>
      </c>
      <c r="C52" s="0" t="s">
        <v>218</v>
      </c>
      <c r="D52" s="0" t="s">
        <v>4090</v>
      </c>
      <c r="F52" s="0" t="s">
        <v>4062</v>
      </c>
    </row>
    <row r="53" customFormat="false" ht="15" hidden="false" customHeight="false" outlineLevel="0" collapsed="false">
      <c r="A53" s="0" t="s">
        <v>4080</v>
      </c>
      <c r="B53" s="0" t="s">
        <v>51</v>
      </c>
      <c r="C53" s="0" t="s">
        <v>301</v>
      </c>
      <c r="D53" s="0" t="s">
        <v>4091</v>
      </c>
      <c r="F53" s="0" t="s">
        <v>4062</v>
      </c>
    </row>
    <row r="54" customFormat="false" ht="15" hidden="false" customHeight="false" outlineLevel="0" collapsed="false">
      <c r="A54" s="0" t="s">
        <v>4080</v>
      </c>
      <c r="B54" s="0" t="s">
        <v>51</v>
      </c>
      <c r="C54" s="0" t="s">
        <v>379</v>
      </c>
      <c r="D54" s="0" t="s">
        <v>4092</v>
      </c>
      <c r="F54" s="0" t="s">
        <v>4062</v>
      </c>
    </row>
    <row r="55" customFormat="false" ht="15" hidden="false" customHeight="false" outlineLevel="0" collapsed="false">
      <c r="A55" s="0" t="s">
        <v>4080</v>
      </c>
      <c r="B55" s="0" t="s">
        <v>51</v>
      </c>
      <c r="C55" s="0" t="s">
        <v>531</v>
      </c>
      <c r="D55" s="0" t="s">
        <v>4093</v>
      </c>
      <c r="F55" s="0" t="s">
        <v>4062</v>
      </c>
    </row>
    <row r="56" customFormat="false" ht="15" hidden="false" customHeight="false" outlineLevel="0" collapsed="false">
      <c r="A56" s="0" t="s">
        <v>4080</v>
      </c>
      <c r="B56" s="0" t="s">
        <v>51</v>
      </c>
      <c r="C56" s="0" t="s">
        <v>545</v>
      </c>
      <c r="D56" s="0" t="s">
        <v>4094</v>
      </c>
      <c r="F56" s="0" t="s">
        <v>4062</v>
      </c>
    </row>
    <row r="57" customFormat="false" ht="15" hidden="false" customHeight="false" outlineLevel="0" collapsed="false">
      <c r="A57" s="0" t="s">
        <v>4080</v>
      </c>
      <c r="B57" s="0" t="s">
        <v>1081</v>
      </c>
      <c r="C57" s="0" t="s">
        <v>1263</v>
      </c>
      <c r="D57" s="0" t="s">
        <v>4095</v>
      </c>
      <c r="F57" s="0" t="s">
        <v>4062</v>
      </c>
    </row>
    <row r="58" customFormat="false" ht="15" hidden="false" customHeight="false" outlineLevel="0" collapsed="false">
      <c r="A58" s="0" t="s">
        <v>4080</v>
      </c>
      <c r="B58" s="0" t="s">
        <v>2128</v>
      </c>
      <c r="C58" s="0" t="s">
        <v>2135</v>
      </c>
      <c r="D58" s="0" t="s">
        <v>4096</v>
      </c>
      <c r="F58" s="0" t="s">
        <v>4062</v>
      </c>
    </row>
    <row r="59" customFormat="false" ht="15" hidden="false" customHeight="false" outlineLevel="0" collapsed="false">
      <c r="A59" s="0" t="s">
        <v>4080</v>
      </c>
      <c r="B59" s="0" t="s">
        <v>2452</v>
      </c>
      <c r="C59" s="0" t="s">
        <v>2465</v>
      </c>
      <c r="D59" s="0" t="s">
        <v>4097</v>
      </c>
      <c r="F59" s="0" t="s">
        <v>4062</v>
      </c>
    </row>
    <row r="60" customFormat="false" ht="15" hidden="false" customHeight="false" outlineLevel="0" collapsed="false">
      <c r="A60" s="0" t="s">
        <v>4080</v>
      </c>
      <c r="B60" s="0" t="s">
        <v>2452</v>
      </c>
      <c r="C60" s="0" t="s">
        <v>2468</v>
      </c>
      <c r="D60" s="0" t="s">
        <v>4098</v>
      </c>
      <c r="F60" s="0" t="s">
        <v>4062</v>
      </c>
    </row>
    <row r="61" customFormat="false" ht="15" hidden="false" customHeight="false" outlineLevel="0" collapsed="false">
      <c r="A61" s="0" t="s">
        <v>4080</v>
      </c>
      <c r="B61" s="0" t="s">
        <v>2495</v>
      </c>
      <c r="C61" s="0" t="s">
        <v>2554</v>
      </c>
      <c r="D61" s="0" t="s">
        <v>4099</v>
      </c>
      <c r="F61" s="0" t="s">
        <v>4062</v>
      </c>
    </row>
    <row r="62" customFormat="false" ht="15" hidden="false" customHeight="false" outlineLevel="0" collapsed="false">
      <c r="A62" s="0" t="s">
        <v>4080</v>
      </c>
      <c r="B62" s="0" t="s">
        <v>2626</v>
      </c>
      <c r="C62" s="0" t="s">
        <v>2385</v>
      </c>
      <c r="D62" s="0" t="s">
        <v>4100</v>
      </c>
      <c r="F62" s="0" t="s">
        <v>4062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4" min="3" style="0" width="22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8" t="s">
        <v>39</v>
      </c>
      <c r="B1" s="8" t="s">
        <v>40</v>
      </c>
      <c r="C1" s="8" t="s">
        <v>41</v>
      </c>
      <c r="D1" s="8" t="s">
        <v>42</v>
      </c>
      <c r="E1" s="8" t="s">
        <v>4101</v>
      </c>
    </row>
    <row r="2" customFormat="false" ht="15" hidden="false" customHeight="false" outlineLevel="0" collapsed="false">
      <c r="A2" s="24" t="n">
        <v>1</v>
      </c>
      <c r="B2" s="24" t="s">
        <v>51</v>
      </c>
      <c r="C2" s="24" t="s">
        <v>52</v>
      </c>
      <c r="D2" s="24" t="s">
        <v>52</v>
      </c>
      <c r="E2" s="24" t="str">
        <f aca="false">TRIM(B2)&amp;" — "&amp;TRIM(D2)&amp;"  [#"&amp;A2&amp;"]"</f>
        <v>FRA MUSE MICR — MUSELINA DAMA  [#1]</v>
      </c>
    </row>
    <row r="3" customFormat="false" ht="15" hidden="false" customHeight="false" outlineLevel="0" collapsed="false">
      <c r="A3" s="24" t="n">
        <v>2</v>
      </c>
      <c r="B3" s="24" t="s">
        <v>51</v>
      </c>
      <c r="C3" s="24" t="s">
        <v>52</v>
      </c>
      <c r="D3" s="24" t="s">
        <v>70</v>
      </c>
      <c r="E3" s="24" t="str">
        <f aca="false">TRIM(B3)&amp;" — "&amp;TRIM(D3)&amp;"  [#"&amp;A3&amp;"]"</f>
        <v>FRA MUSE MICR — MICRO DAMA  [#2]</v>
      </c>
    </row>
    <row r="4" customFormat="false" ht="15" hidden="false" customHeight="false" outlineLevel="0" collapsed="false">
      <c r="A4" s="24" t="n">
        <v>3</v>
      </c>
      <c r="B4" s="24" t="s">
        <v>51</v>
      </c>
      <c r="C4" s="24" t="s">
        <v>80</v>
      </c>
      <c r="D4" s="24" t="s">
        <v>80</v>
      </c>
      <c r="E4" s="24" t="str">
        <f aca="false">TRIM(B4)&amp;" — "&amp;TRIM(D4)&amp;"  [#"&amp;A4&amp;"]"</f>
        <v>FRA MUSE MICR — MUSELINA NIÑO  [#3]</v>
      </c>
    </row>
    <row r="5" customFormat="false" ht="15" hidden="false" customHeight="false" outlineLevel="0" collapsed="false">
      <c r="A5" s="24" t="n">
        <v>4</v>
      </c>
      <c r="B5" s="24" t="s">
        <v>51</v>
      </c>
      <c r="C5" s="24" t="s">
        <v>80</v>
      </c>
      <c r="D5" s="24" t="s">
        <v>90</v>
      </c>
      <c r="E5" s="24" t="str">
        <f aca="false">TRIM(B5)&amp;" — "&amp;TRIM(D5)&amp;"  [#"&amp;A5&amp;"]"</f>
        <v>FRA MUSE MICR — MICRO NIÑO  [#4]</v>
      </c>
    </row>
    <row r="6" customFormat="false" ht="15" hidden="false" customHeight="false" outlineLevel="0" collapsed="false">
      <c r="A6" s="24" t="n">
        <v>5</v>
      </c>
      <c r="B6" s="24" t="s">
        <v>51</v>
      </c>
      <c r="C6" s="24" t="s">
        <v>101</v>
      </c>
      <c r="D6" s="24" t="s">
        <v>101</v>
      </c>
      <c r="E6" s="24" t="str">
        <f aca="false">TRIM(B6)&amp;" — "&amp;TRIM(D6)&amp;"  [#"&amp;A6&amp;"]"</f>
        <v>FRA MUSE MICR — MUSELINA CABALLERO  [#5]</v>
      </c>
    </row>
    <row r="7" customFormat="false" ht="15" hidden="false" customHeight="false" outlineLevel="0" collapsed="false">
      <c r="A7" s="24" t="n">
        <v>6</v>
      </c>
      <c r="B7" s="24" t="s">
        <v>51</v>
      </c>
      <c r="C7" s="24" t="s">
        <v>101</v>
      </c>
      <c r="D7" s="24" t="s">
        <v>113</v>
      </c>
      <c r="E7" s="24" t="str">
        <f aca="false">TRIM(B7)&amp;" — "&amp;TRIM(D7)&amp;"  [#"&amp;A7&amp;"]"</f>
        <v>FRA MUSE MICR — MICRO CABALLERO  [#6]</v>
      </c>
    </row>
    <row r="8" customFormat="false" ht="15" hidden="false" customHeight="false" outlineLevel="0" collapsed="false">
      <c r="A8" s="24" t="n">
        <v>7</v>
      </c>
      <c r="B8" s="24" t="s">
        <v>51</v>
      </c>
      <c r="C8" s="24" t="s">
        <v>52</v>
      </c>
      <c r="D8" s="24" t="s">
        <v>52</v>
      </c>
      <c r="E8" s="24" t="str">
        <f aca="false">TRIM(B8)&amp;" — "&amp;TRIM(D8)&amp;"  [#"&amp;A8&amp;"]"</f>
        <v>FRA MUSE MICR — MUSELINA DAMA  [#7]</v>
      </c>
    </row>
    <row r="9" customFormat="false" ht="15" hidden="false" customHeight="false" outlineLevel="0" collapsed="false">
      <c r="A9" s="24" t="n">
        <v>8</v>
      </c>
      <c r="B9" s="24" t="s">
        <v>51</v>
      </c>
      <c r="C9" s="24" t="s">
        <v>52</v>
      </c>
      <c r="D9" s="24" t="s">
        <v>141</v>
      </c>
      <c r="E9" s="24" t="str">
        <f aca="false">TRIM(B9)&amp;" — "&amp;TRIM(D9)&amp;"  [#"&amp;A9&amp;"]"</f>
        <v>FRA MUSE MICR — MUSELINA NIÑO  [#8]</v>
      </c>
    </row>
    <row r="10" customFormat="false" ht="15" hidden="false" customHeight="false" outlineLevel="0" collapsed="false">
      <c r="A10" s="24" t="n">
        <v>9</v>
      </c>
      <c r="B10" s="24" t="s">
        <v>51</v>
      </c>
      <c r="C10" s="24" t="s">
        <v>70</v>
      </c>
      <c r="D10" s="24" t="s">
        <v>70</v>
      </c>
      <c r="E10" s="24" t="str">
        <f aca="false">TRIM(B10)&amp;" — "&amp;TRIM(D10)&amp;"  [#"&amp;A10&amp;"]"</f>
        <v>FRA MUSE MICR — MICRO DAMA  [#9]</v>
      </c>
    </row>
    <row r="11" customFormat="false" ht="15" hidden="false" customHeight="false" outlineLevel="0" collapsed="false">
      <c r="A11" s="24" t="n">
        <v>10</v>
      </c>
      <c r="B11" s="24" t="s">
        <v>51</v>
      </c>
      <c r="C11" s="24" t="s">
        <v>70</v>
      </c>
      <c r="D11" s="24" t="s">
        <v>90</v>
      </c>
      <c r="E11" s="24" t="str">
        <f aca="false">TRIM(B11)&amp;" — "&amp;TRIM(D11)&amp;"  [#"&amp;A11&amp;"]"</f>
        <v>FRA MUSE MICR — MICRO NIÑO  [#10]</v>
      </c>
    </row>
    <row r="12" customFormat="false" ht="15" hidden="false" customHeight="false" outlineLevel="0" collapsed="false">
      <c r="A12" s="24" t="n">
        <v>11</v>
      </c>
      <c r="B12" s="24" t="s">
        <v>51</v>
      </c>
      <c r="C12" s="24" t="s">
        <v>184</v>
      </c>
      <c r="D12" s="24" t="s">
        <v>184</v>
      </c>
      <c r="E12" s="24" t="str">
        <f aca="false">TRIM(B12)&amp;" — "&amp;TRIM(D12)&amp;"  [#"&amp;A12&amp;"]"</f>
        <v>FRA MUSE MICR — MUSE CABALLERO  [#11]</v>
      </c>
    </row>
    <row r="13" customFormat="false" ht="15" hidden="false" customHeight="false" outlineLevel="0" collapsed="false">
      <c r="A13" s="24" t="n">
        <v>12</v>
      </c>
      <c r="B13" s="24" t="s">
        <v>51</v>
      </c>
      <c r="C13" s="24" t="s">
        <v>184</v>
      </c>
      <c r="D13" s="24" t="s">
        <v>198</v>
      </c>
      <c r="E13" s="24" t="str">
        <f aca="false">TRIM(B13)&amp;" — "&amp;TRIM(D13)&amp;"  [#"&amp;A13&amp;"]"</f>
        <v>FRA MUSE MICR — MICRO CABALLERO  [#12]</v>
      </c>
    </row>
    <row r="14" customFormat="false" ht="15" hidden="false" customHeight="false" outlineLevel="0" collapsed="false">
      <c r="A14" s="24" t="n">
        <v>13</v>
      </c>
      <c r="B14" s="24" t="s">
        <v>51</v>
      </c>
      <c r="C14" s="24" t="s">
        <v>213</v>
      </c>
      <c r="D14" s="24" t="s">
        <v>213</v>
      </c>
      <c r="E14" s="24" t="str">
        <f aca="false">TRIM(B14)&amp;" — "&amp;TRIM(D14)&amp;"  [#"&amp;A14&amp;"]"</f>
        <v>FRA MUSE MICR — MUSELINA DAMA  [#13]</v>
      </c>
    </row>
    <row r="15" customFormat="false" ht="15" hidden="false" customHeight="false" outlineLevel="0" collapsed="false">
      <c r="A15" s="24" t="n">
        <v>14</v>
      </c>
      <c r="B15" s="24" t="s">
        <v>51</v>
      </c>
      <c r="C15" s="24" t="s">
        <v>213</v>
      </c>
      <c r="D15" s="24" t="s">
        <v>228</v>
      </c>
      <c r="E15" s="24" t="str">
        <f aca="false">TRIM(B15)&amp;" — "&amp;TRIM(D15)&amp;"  [#"&amp;A15&amp;"]"</f>
        <v>FRA MUSE MICR — MUSELINA NIÑO  [#14]</v>
      </c>
    </row>
    <row r="16" customFormat="false" ht="15" hidden="false" customHeight="false" outlineLevel="0" collapsed="false">
      <c r="A16" s="24" t="n">
        <v>15</v>
      </c>
      <c r="B16" s="24" t="s">
        <v>51</v>
      </c>
      <c r="C16" s="24" t="s">
        <v>243</v>
      </c>
      <c r="D16" s="24" t="s">
        <v>243</v>
      </c>
      <c r="E16" s="24" t="str">
        <f aca="false">TRIM(B16)&amp;" — "&amp;TRIM(D16)&amp;"  [#"&amp;A16&amp;"]"</f>
        <v>FRA MUSE MICR — micro DAMA  [#15]</v>
      </c>
    </row>
    <row r="17" customFormat="false" ht="15" hidden="false" customHeight="false" outlineLevel="0" collapsed="false">
      <c r="A17" s="24" t="n">
        <v>16</v>
      </c>
      <c r="B17" s="24" t="s">
        <v>51</v>
      </c>
      <c r="C17" s="24" t="s">
        <v>243</v>
      </c>
      <c r="D17" s="24" t="s">
        <v>257</v>
      </c>
      <c r="E17" s="24" t="str">
        <f aca="false">TRIM(B17)&amp;" — "&amp;TRIM(D17)&amp;"  [#"&amp;A17&amp;"]"</f>
        <v>FRA MUSE MICR — micro NIÑO  [#16]</v>
      </c>
    </row>
    <row r="18" customFormat="false" ht="15" hidden="false" customHeight="false" outlineLevel="0" collapsed="false">
      <c r="A18" s="24" t="n">
        <v>17</v>
      </c>
      <c r="B18" s="24" t="s">
        <v>51</v>
      </c>
      <c r="C18" s="24" t="s">
        <v>270</v>
      </c>
      <c r="D18" s="24" t="s">
        <v>270</v>
      </c>
      <c r="E18" s="24" t="str">
        <f aca="false">TRIM(B18)&amp;" — "&amp;TRIM(D18)&amp;"  [#"&amp;A18&amp;"]"</f>
        <v>FRA MUSE MICR — MUSE CABALLERO  [#17]</v>
      </c>
    </row>
    <row r="19" customFormat="false" ht="15" hidden="false" customHeight="false" outlineLevel="0" collapsed="false">
      <c r="A19" s="24" t="n">
        <v>18</v>
      </c>
      <c r="B19" s="24" t="s">
        <v>51</v>
      </c>
      <c r="C19" s="24" t="s">
        <v>270</v>
      </c>
      <c r="D19" s="24" t="s">
        <v>283</v>
      </c>
      <c r="E19" s="24" t="str">
        <f aca="false">TRIM(B19)&amp;" — "&amp;TRIM(D19)&amp;"  [#"&amp;A19&amp;"]"</f>
        <v>FRA MUSE MICR — MICRO CABALLERO  [#18]</v>
      </c>
    </row>
    <row r="20" customFormat="false" ht="15" hidden="false" customHeight="false" outlineLevel="0" collapsed="false">
      <c r="A20" s="24" t="n">
        <v>19</v>
      </c>
      <c r="B20" s="24" t="s">
        <v>51</v>
      </c>
      <c r="C20" s="24" t="s">
        <v>68</v>
      </c>
      <c r="D20" s="24" t="s">
        <v>296</v>
      </c>
      <c r="E20" s="24" t="str">
        <f aca="false">TRIM(B20)&amp;" — "&amp;TRIM(D20)&amp;"  [#"&amp;A20&amp;"]"</f>
        <v>FRA MUSE MICR — DAMA  [#19]</v>
      </c>
    </row>
    <row r="21" customFormat="false" ht="15" hidden="false" customHeight="false" outlineLevel="0" collapsed="false">
      <c r="A21" s="24" t="n">
        <v>20</v>
      </c>
      <c r="B21" s="24" t="s">
        <v>51</v>
      </c>
      <c r="C21" s="24" t="s">
        <v>68</v>
      </c>
      <c r="D21" s="24" t="s">
        <v>311</v>
      </c>
      <c r="E21" s="24" t="str">
        <f aca="false">TRIM(B21)&amp;" — "&amp;TRIM(D21)&amp;"  [#"&amp;A21&amp;"]"</f>
        <v>FRA MUSE MICR — NIÑO  [#20]</v>
      </c>
    </row>
    <row r="22" customFormat="false" ht="15" hidden="false" customHeight="false" outlineLevel="0" collapsed="false">
      <c r="A22" s="24" t="n">
        <v>21</v>
      </c>
      <c r="B22" s="24" t="s">
        <v>51</v>
      </c>
      <c r="C22" s="24" t="s">
        <v>68</v>
      </c>
      <c r="D22" s="24" t="s">
        <v>296</v>
      </c>
      <c r="E22" s="24" t="str">
        <f aca="false">TRIM(B22)&amp;" — "&amp;TRIM(D22)&amp;"  [#"&amp;A22&amp;"]"</f>
        <v>FRA MUSE MICR — DAMA  [#21]</v>
      </c>
    </row>
    <row r="23" customFormat="false" ht="15" hidden="false" customHeight="false" outlineLevel="0" collapsed="false">
      <c r="A23" s="24" t="n">
        <v>22</v>
      </c>
      <c r="B23" s="24" t="s">
        <v>51</v>
      </c>
      <c r="C23" s="24" t="s">
        <v>68</v>
      </c>
      <c r="D23" s="24" t="s">
        <v>311</v>
      </c>
      <c r="E23" s="24" t="str">
        <f aca="false">TRIM(B23)&amp;" — "&amp;TRIM(D23)&amp;"  [#"&amp;A23&amp;"]"</f>
        <v>FRA MUSE MICR — NIÑO  [#22]</v>
      </c>
    </row>
    <row r="24" customFormat="false" ht="15" hidden="false" customHeight="false" outlineLevel="0" collapsed="false">
      <c r="A24" s="24" t="n">
        <v>23</v>
      </c>
      <c r="B24" s="24" t="s">
        <v>51</v>
      </c>
      <c r="C24" s="24" t="s">
        <v>68</v>
      </c>
      <c r="D24" s="24" t="s">
        <v>349</v>
      </c>
      <c r="E24" s="24" t="str">
        <f aca="false">TRIM(B24)&amp;" — "&amp;TRIM(D24)&amp;"  [#"&amp;A24&amp;"]"</f>
        <v>FRA MUSE MICR — CABALLERO  [#23]</v>
      </c>
    </row>
    <row r="25" customFormat="false" ht="15" hidden="false" customHeight="false" outlineLevel="0" collapsed="false">
      <c r="A25" s="24" t="n">
        <v>24</v>
      </c>
      <c r="B25" s="24" t="s">
        <v>51</v>
      </c>
      <c r="C25" s="24" t="s">
        <v>68</v>
      </c>
      <c r="D25" s="24" t="s">
        <v>349</v>
      </c>
      <c r="E25" s="24" t="str">
        <f aca="false">TRIM(B25)&amp;" — "&amp;TRIM(D25)&amp;"  [#"&amp;A25&amp;"]"</f>
        <v>FRA MUSE MICR — CABALLERO  [#24]</v>
      </c>
    </row>
    <row r="26" customFormat="false" ht="15" hidden="false" customHeight="false" outlineLevel="0" collapsed="false">
      <c r="A26" s="24" t="n">
        <v>25</v>
      </c>
      <c r="B26" s="24" t="s">
        <v>51</v>
      </c>
      <c r="C26" s="24" t="s">
        <v>68</v>
      </c>
      <c r="D26" s="24" t="s">
        <v>296</v>
      </c>
      <c r="E26" s="24" t="str">
        <f aca="false">TRIM(B26)&amp;" — "&amp;TRIM(D26)&amp;"  [#"&amp;A26&amp;"]"</f>
        <v>FRA MUSE MICR — DAMA  [#25]</v>
      </c>
    </row>
    <row r="27" customFormat="false" ht="15" hidden="false" customHeight="false" outlineLevel="0" collapsed="false">
      <c r="A27" s="24" t="n">
        <v>26</v>
      </c>
      <c r="B27" s="24" t="s">
        <v>51</v>
      </c>
      <c r="C27" s="24" t="s">
        <v>68</v>
      </c>
      <c r="D27" s="24" t="s">
        <v>311</v>
      </c>
      <c r="E27" s="24" t="str">
        <f aca="false">TRIM(B27)&amp;" — "&amp;TRIM(D27)&amp;"  [#"&amp;A27&amp;"]"</f>
        <v>FRA MUSE MICR — NIÑO  [#26]</v>
      </c>
    </row>
    <row r="28" customFormat="false" ht="15" hidden="false" customHeight="false" outlineLevel="0" collapsed="false">
      <c r="A28" s="24" t="n">
        <v>27</v>
      </c>
      <c r="B28" s="24" t="s">
        <v>51</v>
      </c>
      <c r="C28" s="24" t="s">
        <v>68</v>
      </c>
      <c r="D28" s="24" t="s">
        <v>296</v>
      </c>
      <c r="E28" s="24" t="str">
        <f aca="false">TRIM(B28)&amp;" — "&amp;TRIM(D28)&amp;"  [#"&amp;A28&amp;"]"</f>
        <v>FRA MUSE MICR — DAMA  [#27]</v>
      </c>
    </row>
    <row r="29" customFormat="false" ht="15" hidden="false" customHeight="false" outlineLevel="0" collapsed="false">
      <c r="A29" s="24" t="n">
        <v>28</v>
      </c>
      <c r="B29" s="24" t="s">
        <v>51</v>
      </c>
      <c r="C29" s="24" t="s">
        <v>68</v>
      </c>
      <c r="D29" s="24" t="s">
        <v>311</v>
      </c>
      <c r="E29" s="24" t="str">
        <f aca="false">TRIM(B29)&amp;" — "&amp;TRIM(D29)&amp;"  [#"&amp;A29&amp;"]"</f>
        <v>FRA MUSE MICR — NIÑO  [#28]</v>
      </c>
    </row>
    <row r="30" customFormat="false" ht="15" hidden="false" customHeight="false" outlineLevel="0" collapsed="false">
      <c r="A30" s="24" t="n">
        <v>29</v>
      </c>
      <c r="B30" s="24" t="s">
        <v>51</v>
      </c>
      <c r="C30" s="24" t="s">
        <v>68</v>
      </c>
      <c r="D30" s="24" t="s">
        <v>349</v>
      </c>
      <c r="E30" s="24" t="str">
        <f aca="false">TRIM(B30)&amp;" — "&amp;TRIM(D30)&amp;"  [#"&amp;A30&amp;"]"</f>
        <v>FRA MUSE MICR — CABALLERO  [#29]</v>
      </c>
    </row>
    <row r="31" customFormat="false" ht="15" hidden="false" customHeight="false" outlineLevel="0" collapsed="false">
      <c r="A31" s="24" t="n">
        <v>30</v>
      </c>
      <c r="B31" s="24" t="s">
        <v>51</v>
      </c>
      <c r="C31" s="24" t="s">
        <v>68</v>
      </c>
      <c r="D31" s="24" t="s">
        <v>349</v>
      </c>
      <c r="E31" s="24" t="str">
        <f aca="false">TRIM(B31)&amp;" — "&amp;TRIM(D31)&amp;"  [#"&amp;A31&amp;"]"</f>
        <v>FRA MUSE MICR — CABALLERO  [#30]</v>
      </c>
    </row>
    <row r="32" customFormat="false" ht="15" hidden="false" customHeight="false" outlineLevel="0" collapsed="false">
      <c r="A32" s="24" t="n">
        <v>31</v>
      </c>
      <c r="B32" s="24" t="s">
        <v>51</v>
      </c>
      <c r="C32" s="24" t="s">
        <v>68</v>
      </c>
      <c r="D32" s="24" t="s">
        <v>311</v>
      </c>
      <c r="E32" s="24" t="str">
        <f aca="false">TRIM(B32)&amp;" — "&amp;TRIM(D32)&amp;"  [#"&amp;A32&amp;"]"</f>
        <v>FRA MUSE MICR — NIÑO  [#31]</v>
      </c>
    </row>
    <row r="33" customFormat="false" ht="15" hidden="false" customHeight="false" outlineLevel="0" collapsed="false">
      <c r="A33" s="24" t="n">
        <v>32</v>
      </c>
      <c r="B33" s="24" t="s">
        <v>51</v>
      </c>
      <c r="C33" s="24" t="s">
        <v>68</v>
      </c>
      <c r="D33" s="24" t="s">
        <v>311</v>
      </c>
      <c r="E33" s="24" t="str">
        <f aca="false">TRIM(B33)&amp;" — "&amp;TRIM(D33)&amp;"  [#"&amp;A33&amp;"]"</f>
        <v>FRA MUSE MICR — NIÑO  [#32]</v>
      </c>
    </row>
    <row r="34" customFormat="false" ht="15" hidden="false" customHeight="false" outlineLevel="0" collapsed="false">
      <c r="A34" s="24" t="n">
        <v>33</v>
      </c>
      <c r="B34" s="24" t="s">
        <v>51</v>
      </c>
      <c r="C34" s="24" t="s">
        <v>68</v>
      </c>
      <c r="D34" s="24" t="s">
        <v>296</v>
      </c>
      <c r="E34" s="24" t="str">
        <f aca="false">TRIM(B34)&amp;" — "&amp;TRIM(D34)&amp;"  [#"&amp;A34&amp;"]"</f>
        <v>FRA MUSE MICR — DAMA  [#33]</v>
      </c>
    </row>
    <row r="35" customFormat="false" ht="15" hidden="false" customHeight="false" outlineLevel="0" collapsed="false">
      <c r="A35" s="24" t="n">
        <v>34</v>
      </c>
      <c r="B35" s="24" t="s">
        <v>51</v>
      </c>
      <c r="C35" s="24" t="s">
        <v>68</v>
      </c>
      <c r="D35" s="24" t="s">
        <v>296</v>
      </c>
      <c r="E35" s="24" t="str">
        <f aca="false">TRIM(B35)&amp;" — "&amp;TRIM(D35)&amp;"  [#"&amp;A35&amp;"]"</f>
        <v>FRA MUSE MICR — DAMA  [#34]</v>
      </c>
    </row>
    <row r="36" customFormat="false" ht="15" hidden="false" customHeight="false" outlineLevel="0" collapsed="false">
      <c r="A36" s="24" t="n">
        <v>35</v>
      </c>
      <c r="B36" s="24" t="s">
        <v>51</v>
      </c>
      <c r="C36" s="24" t="s">
        <v>68</v>
      </c>
      <c r="D36" s="24" t="s">
        <v>349</v>
      </c>
      <c r="E36" s="24" t="str">
        <f aca="false">TRIM(B36)&amp;" — "&amp;TRIM(D36)&amp;"  [#"&amp;A36&amp;"]"</f>
        <v>FRA MUSE MICR — CABALLERO  [#35]</v>
      </c>
    </row>
    <row r="37" customFormat="false" ht="15" hidden="false" customHeight="false" outlineLevel="0" collapsed="false">
      <c r="A37" s="24" t="n">
        <v>36</v>
      </c>
      <c r="B37" s="24" t="s">
        <v>51</v>
      </c>
      <c r="C37" s="24" t="s">
        <v>68</v>
      </c>
      <c r="D37" s="24" t="s">
        <v>349</v>
      </c>
      <c r="E37" s="24" t="str">
        <f aca="false">TRIM(B37)&amp;" — "&amp;TRIM(D37)&amp;"  [#"&amp;A37&amp;"]"</f>
        <v>FRA MUSE MICR — CABALLERO  [#36]</v>
      </c>
    </row>
    <row r="38" customFormat="false" ht="15" hidden="false" customHeight="false" outlineLevel="0" collapsed="false">
      <c r="A38" s="24" t="n">
        <v>37</v>
      </c>
      <c r="B38" s="24" t="s">
        <v>51</v>
      </c>
      <c r="C38" s="24" t="s">
        <v>68</v>
      </c>
      <c r="D38" s="24" t="s">
        <v>296</v>
      </c>
      <c r="E38" s="24" t="str">
        <f aca="false">TRIM(B38)&amp;" — "&amp;TRIM(D38)&amp;"  [#"&amp;A38&amp;"]"</f>
        <v>FRA MUSE MICR — DAMA  [#37]</v>
      </c>
    </row>
    <row r="39" customFormat="false" ht="15" hidden="false" customHeight="false" outlineLevel="0" collapsed="false">
      <c r="A39" s="24" t="n">
        <v>38</v>
      </c>
      <c r="B39" s="24" t="s">
        <v>51</v>
      </c>
      <c r="C39" s="24" t="s">
        <v>68</v>
      </c>
      <c r="D39" s="24" t="s">
        <v>311</v>
      </c>
      <c r="E39" s="24" t="str">
        <f aca="false">TRIM(B39)&amp;" — "&amp;TRIM(D39)&amp;"  [#"&amp;A39&amp;"]"</f>
        <v>FRA MUSE MICR — NIÑO  [#38]</v>
      </c>
    </row>
    <row r="40" customFormat="false" ht="15" hidden="false" customHeight="false" outlineLevel="0" collapsed="false">
      <c r="A40" s="24" t="n">
        <v>39</v>
      </c>
      <c r="B40" s="24" t="s">
        <v>51</v>
      </c>
      <c r="C40" s="24" t="s">
        <v>70</v>
      </c>
      <c r="D40" s="24" t="s">
        <v>70</v>
      </c>
      <c r="E40" s="24" t="str">
        <f aca="false">TRIM(B40)&amp;" — "&amp;TRIM(D40)&amp;"  [#"&amp;A40&amp;"]"</f>
        <v>FRA MUSE MICR — MICRO DAMA  [#39]</v>
      </c>
    </row>
    <row r="41" customFormat="false" ht="15" hidden="false" customHeight="false" outlineLevel="0" collapsed="false">
      <c r="A41" s="24" t="n">
        <v>40</v>
      </c>
      <c r="B41" s="24" t="s">
        <v>51</v>
      </c>
      <c r="C41" s="24" t="s">
        <v>70</v>
      </c>
      <c r="D41" s="24" t="s">
        <v>90</v>
      </c>
      <c r="E41" s="24" t="str">
        <f aca="false">TRIM(B41)&amp;" — "&amp;TRIM(D41)&amp;"  [#"&amp;A41&amp;"]"</f>
        <v>FRA MUSE MICR — MICRO NIÑO  [#40]</v>
      </c>
    </row>
    <row r="42" customFormat="false" ht="15" hidden="false" customHeight="false" outlineLevel="0" collapsed="false">
      <c r="A42" s="24" t="n">
        <v>41</v>
      </c>
      <c r="B42" s="24" t="s">
        <v>51</v>
      </c>
      <c r="C42" s="24" t="s">
        <v>68</v>
      </c>
      <c r="D42" s="24" t="s">
        <v>349</v>
      </c>
      <c r="E42" s="24" t="str">
        <f aca="false">TRIM(B42)&amp;" — "&amp;TRIM(D42)&amp;"  [#"&amp;A42&amp;"]"</f>
        <v>FRA MUSE MICR — CABALLERO  [#41]</v>
      </c>
    </row>
    <row r="43" customFormat="false" ht="15" hidden="false" customHeight="false" outlineLevel="0" collapsed="false">
      <c r="A43" s="24" t="n">
        <v>42</v>
      </c>
      <c r="B43" s="24" t="s">
        <v>51</v>
      </c>
      <c r="C43" s="24" t="s">
        <v>68</v>
      </c>
      <c r="D43" s="24" t="s">
        <v>349</v>
      </c>
      <c r="E43" s="24" t="str">
        <f aca="false">TRIM(B43)&amp;" — "&amp;TRIM(D43)&amp;"  [#"&amp;A43&amp;"]"</f>
        <v>FRA MUSE MICR — CABALLERO  [#42]</v>
      </c>
    </row>
    <row r="44" customFormat="false" ht="15" hidden="false" customHeight="false" outlineLevel="0" collapsed="false">
      <c r="A44" s="24" t="n">
        <v>43</v>
      </c>
      <c r="B44" s="24" t="s">
        <v>625</v>
      </c>
      <c r="C44" s="24" t="s">
        <v>626</v>
      </c>
      <c r="D44" s="24" t="s">
        <v>626</v>
      </c>
      <c r="E44" s="24" t="str">
        <f aca="false">TRIM(B44)&amp;" — "&amp;TRIM(D44)&amp;"  [#"&amp;A44&amp;"]"</f>
        <v>franelas cucuta — COTTONE DAMA  [#43]</v>
      </c>
    </row>
    <row r="45" customFormat="false" ht="15" hidden="false" customHeight="false" outlineLevel="0" collapsed="false">
      <c r="A45" s="24" t="n">
        <v>44</v>
      </c>
      <c r="B45" s="24" t="s">
        <v>625</v>
      </c>
      <c r="C45" s="24" t="s">
        <v>626</v>
      </c>
      <c r="D45" s="24" t="s">
        <v>636</v>
      </c>
      <c r="E45" s="24" t="str">
        <f aca="false">TRIM(B45)&amp;" — "&amp;TRIM(D45)&amp;"  [#"&amp;A45&amp;"]"</f>
        <v>franelas cucuta — COTTONE CABALLERO  [#44]</v>
      </c>
    </row>
    <row r="46" customFormat="false" ht="15" hidden="false" customHeight="false" outlineLevel="0" collapsed="false">
      <c r="A46" s="24" t="n">
        <v>45</v>
      </c>
      <c r="B46" s="24" t="s">
        <v>625</v>
      </c>
      <c r="C46" s="24" t="s">
        <v>648</v>
      </c>
      <c r="D46" s="24" t="s">
        <v>648</v>
      </c>
      <c r="E46" s="24" t="str">
        <f aca="false">TRIM(B46)&amp;" — "&amp;TRIM(D46)&amp;"  [#"&amp;A46&amp;"]"</f>
        <v>franelas cucuta — KEIRA PLUS DAMA  [#45]</v>
      </c>
    </row>
    <row r="47" customFormat="false" ht="15" hidden="false" customHeight="false" outlineLevel="0" collapsed="false">
      <c r="A47" s="24" t="n">
        <v>46</v>
      </c>
      <c r="B47" s="24" t="s">
        <v>625</v>
      </c>
      <c r="C47" s="24" t="s">
        <v>648</v>
      </c>
      <c r="D47" s="24" t="s">
        <v>660</v>
      </c>
      <c r="E47" s="24" t="str">
        <f aca="false">TRIM(B47)&amp;" — "&amp;TRIM(D47)&amp;"  [#"&amp;A47&amp;"]"</f>
        <v>franelas cucuta — KEIRA PLUS CABALLERO  [#46]</v>
      </c>
    </row>
    <row r="48" customFormat="false" ht="15" hidden="false" customHeight="false" outlineLevel="0" collapsed="false">
      <c r="A48" s="24" t="n">
        <v>47</v>
      </c>
      <c r="B48" s="24" t="s">
        <v>625</v>
      </c>
      <c r="C48" s="24" t="s">
        <v>670</v>
      </c>
      <c r="D48" s="24" t="s">
        <v>670</v>
      </c>
      <c r="E48" s="24" t="str">
        <f aca="false">TRIM(B48)&amp;" — "&amp;TRIM(D48)&amp;"  [#"&amp;A48&amp;"]"</f>
        <v>franelas cucuta — CENTAURO DAMA  [#47]</v>
      </c>
    </row>
    <row r="49" customFormat="false" ht="15" hidden="false" customHeight="false" outlineLevel="0" collapsed="false">
      <c r="A49" s="24" t="n">
        <v>48</v>
      </c>
      <c r="B49" s="24" t="s">
        <v>625</v>
      </c>
      <c r="C49" s="24" t="s">
        <v>68</v>
      </c>
      <c r="D49" s="24" t="s">
        <v>682</v>
      </c>
      <c r="E49" s="24" t="str">
        <f aca="false">TRIM(B49)&amp;" — "&amp;TRIM(D49)&amp;"  [#"&amp;A49&amp;"]"</f>
        <v>franelas cucuta — CENTAURO CABALLERO  [#48]</v>
      </c>
    </row>
    <row r="50" customFormat="false" ht="15" hidden="false" customHeight="false" outlineLevel="0" collapsed="false">
      <c r="A50" s="24" t="n">
        <v>49</v>
      </c>
      <c r="B50" s="24" t="s">
        <v>625</v>
      </c>
      <c r="C50" s="24" t="s">
        <v>693</v>
      </c>
      <c r="D50" s="24" t="s">
        <v>693</v>
      </c>
      <c r="E50" s="24" t="str">
        <f aca="false">TRIM(B50)&amp;" — "&amp;TRIM(D50)&amp;"  [#"&amp;A50&amp;"]"</f>
        <v>franelas cucuta — CENTAHELADA DAMA  [#49]</v>
      </c>
    </row>
    <row r="51" customFormat="false" ht="15" hidden="false" customHeight="false" outlineLevel="0" collapsed="false">
      <c r="A51" s="24" t="n">
        <v>50</v>
      </c>
      <c r="B51" s="24" t="s">
        <v>625</v>
      </c>
      <c r="C51" s="24" t="s">
        <v>693</v>
      </c>
      <c r="D51" s="24" t="s">
        <v>703</v>
      </c>
      <c r="E51" s="24" t="str">
        <f aca="false">TRIM(B51)&amp;" — "&amp;TRIM(D51)&amp;"  [#"&amp;A51&amp;"]"</f>
        <v>franelas cucuta — CENTAHELADA CAB  [#50]</v>
      </c>
    </row>
    <row r="52" customFormat="false" ht="15" hidden="false" customHeight="false" outlineLevel="0" collapsed="false">
      <c r="A52" s="24" t="n">
        <v>51</v>
      </c>
      <c r="B52" s="24" t="s">
        <v>625</v>
      </c>
      <c r="C52" s="24" t="s">
        <v>713</v>
      </c>
      <c r="D52" s="24" t="s">
        <v>713</v>
      </c>
      <c r="E52" s="24" t="str">
        <f aca="false">TRIM(B52)&amp;" — "&amp;TRIM(D52)&amp;"  [#"&amp;A52&amp;"]"</f>
        <v>franelas cucuta — CENTAURO EGIPCIO DAMA  [#51]</v>
      </c>
    </row>
    <row r="53" customFormat="false" ht="15" hidden="false" customHeight="false" outlineLevel="0" collapsed="false">
      <c r="A53" s="24" t="n">
        <v>52</v>
      </c>
      <c r="B53" s="24" t="s">
        <v>625</v>
      </c>
      <c r="C53" s="24" t="s">
        <v>713</v>
      </c>
      <c r="D53" s="24" t="s">
        <v>723</v>
      </c>
      <c r="E53" s="24" t="str">
        <f aca="false">TRIM(B53)&amp;" — "&amp;TRIM(D53)&amp;"  [#"&amp;A53&amp;"]"</f>
        <v>franelas cucuta — CENTAURO EGIPCIO CAB  [#52]</v>
      </c>
    </row>
    <row r="54" customFormat="false" ht="15" hidden="false" customHeight="false" outlineLevel="0" collapsed="false">
      <c r="A54" s="24" t="n">
        <v>53</v>
      </c>
      <c r="B54" s="24" t="s">
        <v>733</v>
      </c>
      <c r="C54" s="24" t="s">
        <v>734</v>
      </c>
      <c r="D54" s="24" t="s">
        <v>734</v>
      </c>
      <c r="E54" s="24" t="str">
        <f aca="false">TRIM(B54)&amp;" — "&amp;TRIM(D54)&amp;"  [#"&amp;A54&amp;"]"</f>
        <v>CHALECOS — CORTA VIENTO DAMA  [#53]</v>
      </c>
    </row>
    <row r="55" customFormat="false" ht="15" hidden="false" customHeight="false" outlineLevel="0" collapsed="false">
      <c r="A55" s="24" t="n">
        <v>54</v>
      </c>
      <c r="B55" s="24" t="s">
        <v>733</v>
      </c>
      <c r="C55" s="24" t="s">
        <v>753</v>
      </c>
      <c r="D55" s="24" t="s">
        <v>753</v>
      </c>
      <c r="E55" s="24" t="str">
        <f aca="false">TRIM(B55)&amp;" — "&amp;TRIM(D55)&amp;"  [#"&amp;A55&amp;"]"</f>
        <v>CHALECOS — CHALECO TODO SUBLIMADO  [#54]</v>
      </c>
    </row>
    <row r="56" customFormat="false" ht="15" hidden="false" customHeight="false" outlineLevel="0" collapsed="false">
      <c r="A56" s="24" t="n">
        <v>55</v>
      </c>
      <c r="B56" s="24" t="s">
        <v>769</v>
      </c>
      <c r="C56" s="24" t="s">
        <v>770</v>
      </c>
      <c r="D56" s="24" t="s">
        <v>296</v>
      </c>
      <c r="E56" s="24" t="str">
        <f aca="false">TRIM(B56)&amp;" — "&amp;TRIM(D56)&amp;"  [#"&amp;A56&amp;"]"</f>
        <v>FRA ALGODON — DAMA  [#55]</v>
      </c>
    </row>
    <row r="57" customFormat="false" ht="15" hidden="false" customHeight="false" outlineLevel="0" collapsed="false">
      <c r="A57" s="24" t="n">
        <v>56</v>
      </c>
      <c r="B57" s="24" t="s">
        <v>769</v>
      </c>
      <c r="C57" s="24" t="s">
        <v>68</v>
      </c>
      <c r="D57" s="24" t="s">
        <v>349</v>
      </c>
      <c r="E57" s="24" t="str">
        <f aca="false">TRIM(B57)&amp;" — "&amp;TRIM(D57)&amp;"  [#"&amp;A57&amp;"]"</f>
        <v>FRA ALGODON — CABALLERO  [#56]</v>
      </c>
    </row>
    <row r="58" customFormat="false" ht="15" hidden="false" customHeight="false" outlineLevel="0" collapsed="false">
      <c r="A58" s="24" t="n">
        <v>57</v>
      </c>
      <c r="B58" s="24" t="s">
        <v>769</v>
      </c>
      <c r="C58" s="24" t="s">
        <v>798</v>
      </c>
      <c r="D58" s="24" t="s">
        <v>296</v>
      </c>
      <c r="E58" s="24" t="str">
        <f aca="false">TRIM(B58)&amp;" — "&amp;TRIM(D58)&amp;"  [#"&amp;A58&amp;"]"</f>
        <v>FRA ALGODON — DAMA  [#57]</v>
      </c>
    </row>
    <row r="59" customFormat="false" ht="15" hidden="false" customHeight="false" outlineLevel="0" collapsed="false">
      <c r="A59" s="24" t="n">
        <v>58</v>
      </c>
      <c r="B59" s="24" t="s">
        <v>769</v>
      </c>
      <c r="C59" s="24" t="s">
        <v>68</v>
      </c>
      <c r="D59" s="24" t="s">
        <v>349</v>
      </c>
      <c r="E59" s="24" t="str">
        <f aca="false">TRIM(B59)&amp;" — "&amp;TRIM(D59)&amp;"  [#"&amp;A59&amp;"]"</f>
        <v>FRA ALGODON — CABALLERO  [#58]</v>
      </c>
    </row>
    <row r="60" customFormat="false" ht="15" hidden="false" customHeight="false" outlineLevel="0" collapsed="false">
      <c r="A60" s="24" t="n">
        <v>59</v>
      </c>
      <c r="B60" s="24" t="s">
        <v>826</v>
      </c>
      <c r="C60" s="24" t="s">
        <v>827</v>
      </c>
      <c r="D60" s="24" t="s">
        <v>296</v>
      </c>
      <c r="E60" s="24" t="str">
        <f aca="false">TRIM(B60)&amp;" — "&amp;TRIM(D60)&amp;"  [#"&amp;A60&amp;"]"</f>
        <v>HODDI MONO — DAMA  [#59]</v>
      </c>
    </row>
    <row r="61" customFormat="false" ht="15" hidden="false" customHeight="false" outlineLevel="0" collapsed="false">
      <c r="A61" s="24" t="n">
        <v>60</v>
      </c>
      <c r="B61" s="24" t="s">
        <v>826</v>
      </c>
      <c r="C61" s="24" t="s">
        <v>827</v>
      </c>
      <c r="D61" s="24" t="s">
        <v>296</v>
      </c>
      <c r="E61" s="24" t="str">
        <f aca="false">TRIM(B61)&amp;" — "&amp;TRIM(D61)&amp;"  [#"&amp;A61&amp;"]"</f>
        <v>HODDI MONO — DAMA  [#60]</v>
      </c>
    </row>
    <row r="62" customFormat="false" ht="15" hidden="false" customHeight="false" outlineLevel="0" collapsed="false">
      <c r="A62" s="24" t="n">
        <v>61</v>
      </c>
      <c r="B62" s="24" t="s">
        <v>826</v>
      </c>
      <c r="C62" s="24" t="s">
        <v>68</v>
      </c>
      <c r="D62" s="24" t="s">
        <v>311</v>
      </c>
      <c r="E62" s="24" t="str">
        <f aca="false">TRIM(B62)&amp;" — "&amp;TRIM(D62)&amp;"  [#"&amp;A62&amp;"]"</f>
        <v>HODDI MONO — NIÑO  [#61]</v>
      </c>
    </row>
    <row r="63" customFormat="false" ht="15" hidden="false" customHeight="false" outlineLevel="0" collapsed="false">
      <c r="A63" s="24" t="n">
        <v>62</v>
      </c>
      <c r="B63" s="24" t="s">
        <v>826</v>
      </c>
      <c r="C63" s="24" t="s">
        <v>68</v>
      </c>
      <c r="D63" s="24" t="s">
        <v>311</v>
      </c>
      <c r="E63" s="24" t="str">
        <f aca="false">TRIM(B63)&amp;" — "&amp;TRIM(D63)&amp;"  [#"&amp;A63&amp;"]"</f>
        <v>HODDI MONO — NIÑO  [#62]</v>
      </c>
    </row>
    <row r="64" customFormat="false" ht="15" hidden="false" customHeight="false" outlineLevel="0" collapsed="false">
      <c r="A64" s="24" t="n">
        <v>63</v>
      </c>
      <c r="B64" s="24" t="s">
        <v>826</v>
      </c>
      <c r="C64" s="24" t="s">
        <v>68</v>
      </c>
      <c r="D64" s="24" t="s">
        <v>349</v>
      </c>
      <c r="E64" s="24" t="str">
        <f aca="false">TRIM(B64)&amp;" — "&amp;TRIM(D64)&amp;"  [#"&amp;A64&amp;"]"</f>
        <v>HODDI MONO — CABALLERO  [#63]</v>
      </c>
    </row>
    <row r="65" customFormat="false" ht="15" hidden="false" customHeight="false" outlineLevel="0" collapsed="false">
      <c r="A65" s="24" t="n">
        <v>64</v>
      </c>
      <c r="B65" s="24" t="s">
        <v>826</v>
      </c>
      <c r="C65" s="24" t="s">
        <v>132</v>
      </c>
      <c r="D65" s="24" t="s">
        <v>349</v>
      </c>
      <c r="E65" s="24" t="str">
        <f aca="false">TRIM(B65)&amp;" — "&amp;TRIM(D65)&amp;"  [#"&amp;A65&amp;"]"</f>
        <v>HODDI MONO — CABALLERO  [#64]</v>
      </c>
    </row>
    <row r="66" customFormat="false" ht="15" hidden="false" customHeight="false" outlineLevel="0" collapsed="false">
      <c r="A66" s="24" t="n">
        <v>65</v>
      </c>
      <c r="B66" s="24" t="s">
        <v>826</v>
      </c>
      <c r="C66" s="24" t="s">
        <v>921</v>
      </c>
      <c r="D66" s="24" t="s">
        <v>296</v>
      </c>
      <c r="E66" s="24" t="str">
        <f aca="false">TRIM(B66)&amp;" — "&amp;TRIM(D66)&amp;"  [#"&amp;A66&amp;"]"</f>
        <v>HODDI MONO — DAMA  [#65]</v>
      </c>
    </row>
    <row r="67" customFormat="false" ht="15" hidden="false" customHeight="false" outlineLevel="0" collapsed="false">
      <c r="A67" s="24" t="n">
        <v>66</v>
      </c>
      <c r="B67" s="24" t="s">
        <v>826</v>
      </c>
      <c r="C67" s="24" t="s">
        <v>68</v>
      </c>
      <c r="D67" s="24" t="s">
        <v>311</v>
      </c>
      <c r="E67" s="24" t="str">
        <f aca="false">TRIM(B67)&amp;" — "&amp;TRIM(D67)&amp;"  [#"&amp;A67&amp;"]"</f>
        <v>HODDI MONO — NIÑO  [#66]</v>
      </c>
    </row>
    <row r="68" customFormat="false" ht="15" hidden="false" customHeight="false" outlineLevel="0" collapsed="false">
      <c r="A68" s="24" t="n">
        <v>67</v>
      </c>
      <c r="B68" s="24" t="s">
        <v>826</v>
      </c>
      <c r="C68" s="24" t="s">
        <v>68</v>
      </c>
      <c r="D68" s="24" t="s">
        <v>349</v>
      </c>
      <c r="E68" s="24" t="str">
        <f aca="false">TRIM(B68)&amp;" — "&amp;TRIM(D68)&amp;"  [#"&amp;A68&amp;"]"</f>
        <v>HODDI MONO — CABALLERO  [#67]</v>
      </c>
    </row>
    <row r="69" customFormat="false" ht="15" hidden="false" customHeight="false" outlineLevel="0" collapsed="false">
      <c r="A69" s="24" t="n">
        <v>68</v>
      </c>
      <c r="B69" s="24" t="s">
        <v>970</v>
      </c>
      <c r="C69" s="24" t="s">
        <v>971</v>
      </c>
      <c r="D69" s="24" t="s">
        <v>972</v>
      </c>
      <c r="E69" s="24" t="str">
        <f aca="false">TRIM(B69)&amp;" — "&amp;TRIM(D69)&amp;"  [#"&amp;A69&amp;"]"</f>
        <v>CHAQUETA NORF — CAB  [#68]</v>
      </c>
    </row>
    <row r="70" customFormat="false" ht="15" hidden="false" customHeight="false" outlineLevel="0" collapsed="false">
      <c r="A70" s="24" t="n">
        <v>69</v>
      </c>
      <c r="B70" s="24" t="s">
        <v>990</v>
      </c>
      <c r="C70" s="24" t="s">
        <v>991</v>
      </c>
      <c r="D70" s="24" t="s">
        <v>296</v>
      </c>
      <c r="E70" s="24" t="str">
        <f aca="false">TRIM(B70)&amp;" — "&amp;TRIM(D70)&amp;"  [#"&amp;A70&amp;"]"</f>
        <v>PANTALON MONO — DAMA  [#69]</v>
      </c>
    </row>
    <row r="71" customFormat="false" ht="15" hidden="false" customHeight="false" outlineLevel="0" collapsed="false">
      <c r="A71" s="24" t="n">
        <v>70</v>
      </c>
      <c r="B71" s="24" t="s">
        <v>990</v>
      </c>
      <c r="C71" s="24" t="s">
        <v>68</v>
      </c>
      <c r="D71" s="24" t="s">
        <v>1005</v>
      </c>
      <c r="E71" s="24" t="str">
        <f aca="false">TRIM(B71)&amp;" — "&amp;TRIM(D71)&amp;"  [#"&amp;A71&amp;"]"</f>
        <v>PANTALON MONO — HODDI NIÑO  [#70]</v>
      </c>
    </row>
    <row r="72" customFormat="false" ht="15" hidden="false" customHeight="false" outlineLevel="0" collapsed="false">
      <c r="A72" s="24" t="n">
        <v>71</v>
      </c>
      <c r="B72" s="24" t="s">
        <v>990</v>
      </c>
      <c r="C72" s="24" t="s">
        <v>1019</v>
      </c>
      <c r="D72" s="24" t="s">
        <v>1019</v>
      </c>
      <c r="E72" s="24" t="str">
        <f aca="false">TRIM(B72)&amp;" — "&amp;TRIM(D72)&amp;"  [#"&amp;A72&amp;"]"</f>
        <v>PANTALON MONO — HODDI CABALLERO  [#71]</v>
      </c>
    </row>
    <row r="73" customFormat="false" ht="15" hidden="false" customHeight="false" outlineLevel="0" collapsed="false">
      <c r="A73" s="24" t="n">
        <v>72</v>
      </c>
      <c r="B73" s="24" t="s">
        <v>1033</v>
      </c>
      <c r="C73" s="24" t="s">
        <v>68</v>
      </c>
      <c r="D73" s="24" t="s">
        <v>1034</v>
      </c>
      <c r="E73" s="24" t="str">
        <f aca="false">TRIM(B73)&amp;" — "&amp;TRIM(D73)&amp;"  [#"&amp;A73&amp;"]"</f>
        <v>SUETER — SUETER DAMA  [#72]</v>
      </c>
    </row>
    <row r="74" customFormat="false" ht="15" hidden="false" customHeight="false" outlineLevel="0" collapsed="false">
      <c r="A74" s="24" t="n">
        <v>73</v>
      </c>
      <c r="B74" s="24" t="s">
        <v>1033</v>
      </c>
      <c r="C74" s="24" t="s">
        <v>68</v>
      </c>
      <c r="D74" s="24" t="s">
        <v>1033</v>
      </c>
      <c r="E74" s="24" t="str">
        <f aca="false">TRIM(B74)&amp;" — "&amp;TRIM(D74)&amp;"  [#"&amp;A74&amp;"]"</f>
        <v>SUETER — SUETER  [#73]</v>
      </c>
    </row>
    <row r="75" customFormat="false" ht="15" hidden="false" customHeight="false" outlineLevel="0" collapsed="false">
      <c r="A75" s="24" t="n">
        <v>74</v>
      </c>
      <c r="B75" s="24" t="s">
        <v>1033</v>
      </c>
      <c r="C75" s="24" t="s">
        <v>1066</v>
      </c>
      <c r="D75" s="24" t="s">
        <v>1066</v>
      </c>
      <c r="E75" s="24" t="str">
        <f aca="false">TRIM(B75)&amp;" — "&amp;TRIM(D75)&amp;"  [#"&amp;A75&amp;"]"</f>
        <v>SUETER — SUETER CABALLERO  [#74]</v>
      </c>
    </row>
    <row r="76" customFormat="false" ht="15" hidden="false" customHeight="false" outlineLevel="0" collapsed="false">
      <c r="A76" s="24" t="n">
        <v>75</v>
      </c>
      <c r="B76" s="24" t="s">
        <v>1081</v>
      </c>
      <c r="C76" s="24"/>
      <c r="D76" s="24" t="s">
        <v>1082</v>
      </c>
      <c r="E76" s="24" t="str">
        <f aca="false">TRIM(B76)&amp;" — "&amp;TRIM(D76)&amp;"  [#"&amp;A76&amp;"]"</f>
        <v>BUZO — BUZO DAMA  [#75]</v>
      </c>
    </row>
    <row r="77" customFormat="false" ht="15" hidden="false" customHeight="false" outlineLevel="0" collapsed="false">
      <c r="A77" s="24" t="n">
        <v>76</v>
      </c>
      <c r="B77" s="24" t="s">
        <v>1081</v>
      </c>
      <c r="C77" s="24"/>
      <c r="D77" s="24" t="s">
        <v>1082</v>
      </c>
      <c r="E77" s="24" t="str">
        <f aca="false">TRIM(B77)&amp;" — "&amp;TRIM(D77)&amp;"  [#"&amp;A77&amp;"]"</f>
        <v>BUZO — BUZO DAMA  [#76]</v>
      </c>
    </row>
    <row r="78" customFormat="false" ht="15" hidden="false" customHeight="false" outlineLevel="0" collapsed="false">
      <c r="A78" s="24" t="n">
        <v>77</v>
      </c>
      <c r="B78" s="24" t="s">
        <v>1081</v>
      </c>
      <c r="C78" s="24"/>
      <c r="D78" s="24" t="s">
        <v>1111</v>
      </c>
      <c r="E78" s="24" t="str">
        <f aca="false">TRIM(B78)&amp;" — "&amp;TRIM(D78)&amp;"  [#"&amp;A78&amp;"]"</f>
        <v>BUZO — BUZO DAMA  [#77]</v>
      </c>
    </row>
    <row r="79" customFormat="false" ht="15" hidden="false" customHeight="false" outlineLevel="0" collapsed="false">
      <c r="A79" s="24" t="n">
        <v>78</v>
      </c>
      <c r="B79" s="24" t="s">
        <v>1081</v>
      </c>
      <c r="C79" s="24"/>
      <c r="D79" s="24" t="s">
        <v>1082</v>
      </c>
      <c r="E79" s="24" t="str">
        <f aca="false">TRIM(B79)&amp;" — "&amp;TRIM(D79)&amp;"  [#"&amp;A79&amp;"]"</f>
        <v>BUZO — BUZO DAMA  [#78]</v>
      </c>
    </row>
    <row r="80" customFormat="false" ht="15" hidden="false" customHeight="false" outlineLevel="0" collapsed="false">
      <c r="A80" s="24" t="n">
        <v>79</v>
      </c>
      <c r="B80" s="24" t="s">
        <v>1081</v>
      </c>
      <c r="C80" s="24"/>
      <c r="D80" s="24" t="s">
        <v>1082</v>
      </c>
      <c r="E80" s="24" t="str">
        <f aca="false">TRIM(B80)&amp;" — "&amp;TRIM(D80)&amp;"  [#"&amp;A80&amp;"]"</f>
        <v>BUZO — BUZO DAMA  [#79]</v>
      </c>
    </row>
    <row r="81" customFormat="false" ht="15" hidden="false" customHeight="false" outlineLevel="0" collapsed="false">
      <c r="A81" s="24" t="n">
        <v>80</v>
      </c>
      <c r="B81" s="24" t="s">
        <v>1081</v>
      </c>
      <c r="C81" s="24"/>
      <c r="D81" s="24" t="s">
        <v>1082</v>
      </c>
      <c r="E81" s="24" t="str">
        <f aca="false">TRIM(B81)&amp;" — "&amp;TRIM(D81)&amp;"  [#"&amp;A81&amp;"]"</f>
        <v>BUZO — BUZO DAMA  [#80]</v>
      </c>
    </row>
    <row r="82" customFormat="false" ht="15" hidden="false" customHeight="false" outlineLevel="0" collapsed="false">
      <c r="A82" s="24" t="n">
        <v>81</v>
      </c>
      <c r="B82" s="24" t="s">
        <v>1081</v>
      </c>
      <c r="C82" s="24"/>
      <c r="D82" s="24" t="s">
        <v>1082</v>
      </c>
      <c r="E82" s="24" t="str">
        <f aca="false">TRIM(B82)&amp;" — "&amp;TRIM(D82)&amp;"  [#"&amp;A82&amp;"]"</f>
        <v>BUZO — BUZO DAMA  [#81]</v>
      </c>
    </row>
    <row r="83" customFormat="false" ht="15" hidden="false" customHeight="false" outlineLevel="0" collapsed="false">
      <c r="A83" s="24" t="n">
        <v>82</v>
      </c>
      <c r="B83" s="24" t="s">
        <v>1081</v>
      </c>
      <c r="C83" s="24"/>
      <c r="D83" s="24" t="s">
        <v>1197</v>
      </c>
      <c r="E83" s="24" t="str">
        <f aca="false">TRIM(B83)&amp;" — "&amp;TRIM(D83)&amp;"  [#"&amp;A83&amp;"]"</f>
        <v>BUZO — BUZO NIÑO  [#82]</v>
      </c>
    </row>
    <row r="84" customFormat="false" ht="15" hidden="false" customHeight="false" outlineLevel="0" collapsed="false">
      <c r="A84" s="24" t="n">
        <v>83</v>
      </c>
      <c r="B84" s="24" t="s">
        <v>1081</v>
      </c>
      <c r="C84" s="24"/>
      <c r="D84" s="24" t="s">
        <v>1197</v>
      </c>
      <c r="E84" s="24" t="str">
        <f aca="false">TRIM(B84)&amp;" — "&amp;TRIM(D84)&amp;"  [#"&amp;A84&amp;"]"</f>
        <v>BUZO — BUZO NIÑO  [#83]</v>
      </c>
    </row>
    <row r="85" customFormat="false" ht="15" hidden="false" customHeight="false" outlineLevel="0" collapsed="false">
      <c r="A85" s="24" t="n">
        <v>84</v>
      </c>
      <c r="B85" s="24" t="s">
        <v>1081</v>
      </c>
      <c r="C85" s="24"/>
      <c r="D85" s="24" t="s">
        <v>1227</v>
      </c>
      <c r="E85" s="24" t="str">
        <f aca="false">TRIM(B85)&amp;" — "&amp;TRIM(D85)&amp;"  [#"&amp;A85&amp;"]"</f>
        <v>BUZO — BUZO NIÑO  [#84]</v>
      </c>
    </row>
    <row r="86" customFormat="false" ht="15" hidden="false" customHeight="false" outlineLevel="0" collapsed="false">
      <c r="A86" s="24" t="n">
        <v>85</v>
      </c>
      <c r="B86" s="24" t="s">
        <v>1081</v>
      </c>
      <c r="C86" s="24"/>
      <c r="D86" s="24" t="s">
        <v>1197</v>
      </c>
      <c r="E86" s="24" t="str">
        <f aca="false">TRIM(B86)&amp;" — "&amp;TRIM(D86)&amp;"  [#"&amp;A86&amp;"]"</f>
        <v>BUZO — BUZO NIÑO  [#85]</v>
      </c>
    </row>
    <row r="87" customFormat="false" ht="15" hidden="false" customHeight="false" outlineLevel="0" collapsed="false">
      <c r="A87" s="24" t="n">
        <v>86</v>
      </c>
      <c r="B87" s="24" t="s">
        <v>1081</v>
      </c>
      <c r="C87" s="24"/>
      <c r="D87" s="24" t="s">
        <v>1197</v>
      </c>
      <c r="E87" s="24" t="str">
        <f aca="false">TRIM(B87)&amp;" — "&amp;TRIM(D87)&amp;"  [#"&amp;A87&amp;"]"</f>
        <v>BUZO — BUZO NIÑO  [#86]</v>
      </c>
    </row>
    <row r="88" customFormat="false" ht="15" hidden="false" customHeight="false" outlineLevel="0" collapsed="false">
      <c r="A88" s="24" t="n">
        <v>87</v>
      </c>
      <c r="B88" s="24" t="s">
        <v>1081</v>
      </c>
      <c r="C88" s="24"/>
      <c r="D88" s="24" t="s">
        <v>1197</v>
      </c>
      <c r="E88" s="24" t="str">
        <f aca="false">TRIM(B88)&amp;" — "&amp;TRIM(D88)&amp;"  [#"&amp;A88&amp;"]"</f>
        <v>BUZO — BUZO NIÑO  [#87]</v>
      </c>
    </row>
    <row r="89" customFormat="false" ht="15" hidden="false" customHeight="false" outlineLevel="0" collapsed="false">
      <c r="A89" s="24" t="n">
        <v>88</v>
      </c>
      <c r="B89" s="24" t="s">
        <v>1081</v>
      </c>
      <c r="C89" s="24"/>
      <c r="D89" s="24" t="s">
        <v>1291</v>
      </c>
      <c r="E89" s="24" t="str">
        <f aca="false">TRIM(B89)&amp;" — "&amp;TRIM(D89)&amp;"  [#"&amp;A89&amp;"]"</f>
        <v>BUZO — BUZO CABALLERO  [#88]</v>
      </c>
    </row>
    <row r="90" customFormat="false" ht="15" hidden="false" customHeight="false" outlineLevel="0" collapsed="false">
      <c r="A90" s="24" t="n">
        <v>89</v>
      </c>
      <c r="B90" s="24" t="s">
        <v>1081</v>
      </c>
      <c r="C90" s="24"/>
      <c r="D90" s="24" t="s">
        <v>1291</v>
      </c>
      <c r="E90" s="24" t="str">
        <f aca="false">TRIM(B90)&amp;" — "&amp;TRIM(D90)&amp;"  [#"&amp;A90&amp;"]"</f>
        <v>BUZO — BUZO CABALLERO  [#89]</v>
      </c>
    </row>
    <row r="91" customFormat="false" ht="15" hidden="false" customHeight="false" outlineLevel="0" collapsed="false">
      <c r="A91" s="24" t="n">
        <v>90</v>
      </c>
      <c r="B91" s="24" t="s">
        <v>1081</v>
      </c>
      <c r="C91" s="24"/>
      <c r="D91" s="24" t="s">
        <v>1291</v>
      </c>
      <c r="E91" s="24" t="str">
        <f aca="false">TRIM(B91)&amp;" — "&amp;TRIM(D91)&amp;"  [#"&amp;A91&amp;"]"</f>
        <v>BUZO — BUZO CABALLERO  [#90]</v>
      </c>
    </row>
    <row r="92" customFormat="false" ht="15" hidden="false" customHeight="false" outlineLevel="0" collapsed="false">
      <c r="A92" s="24" t="n">
        <v>91</v>
      </c>
      <c r="B92" s="24" t="s">
        <v>1081</v>
      </c>
      <c r="C92" s="24"/>
      <c r="D92" s="24" t="s">
        <v>1081</v>
      </c>
      <c r="E92" s="24" t="str">
        <f aca="false">TRIM(B92)&amp;" — "&amp;TRIM(D92)&amp;"  [#"&amp;A92&amp;"]"</f>
        <v>BUZO — BUZO  [#91]</v>
      </c>
    </row>
    <row r="93" customFormat="false" ht="15" hidden="false" customHeight="false" outlineLevel="0" collapsed="false">
      <c r="A93" s="24" t="n">
        <v>92</v>
      </c>
      <c r="B93" s="24" t="s">
        <v>1081</v>
      </c>
      <c r="C93" s="24"/>
      <c r="D93" s="24" t="s">
        <v>1291</v>
      </c>
      <c r="E93" s="24" t="str">
        <f aca="false">TRIM(B93)&amp;" — "&amp;TRIM(D93)&amp;"  [#"&amp;A93&amp;"]"</f>
        <v>BUZO — BUZO CABALLERO  [#92]</v>
      </c>
    </row>
    <row r="94" customFormat="false" ht="15" hidden="false" customHeight="false" outlineLevel="0" collapsed="false">
      <c r="A94" s="24" t="n">
        <v>93</v>
      </c>
      <c r="B94" s="24" t="s">
        <v>1081</v>
      </c>
      <c r="C94" s="24"/>
      <c r="D94" s="24" t="s">
        <v>1291</v>
      </c>
      <c r="E94" s="24" t="str">
        <f aca="false">TRIM(B94)&amp;" — "&amp;TRIM(D94)&amp;"  [#"&amp;A94&amp;"]"</f>
        <v>BUZO — BUZO CABALLERO  [#93]</v>
      </c>
    </row>
    <row r="95" customFormat="false" ht="15" hidden="false" customHeight="false" outlineLevel="0" collapsed="false">
      <c r="A95" s="24" t="n">
        <v>94</v>
      </c>
      <c r="B95" s="24" t="s">
        <v>1081</v>
      </c>
      <c r="C95" s="24"/>
      <c r="D95" s="24" t="s">
        <v>1291</v>
      </c>
      <c r="E95" s="24" t="str">
        <f aca="false">TRIM(B95)&amp;" — "&amp;TRIM(D95)&amp;"  [#"&amp;A95&amp;"]"</f>
        <v>BUZO — BUZO CABALLERO  [#94]</v>
      </c>
    </row>
    <row r="96" customFormat="false" ht="15" hidden="false" customHeight="false" outlineLevel="0" collapsed="false">
      <c r="A96" s="24" t="n">
        <v>95</v>
      </c>
      <c r="B96" s="24" t="s">
        <v>1081</v>
      </c>
      <c r="C96" s="24"/>
      <c r="D96" s="24" t="s">
        <v>1291</v>
      </c>
      <c r="E96" s="24" t="str">
        <f aca="false">TRIM(B96)&amp;" — "&amp;TRIM(D96)&amp;"  [#"&amp;A96&amp;"]"</f>
        <v>BUZO — BUZO CABALLERO  [#95]</v>
      </c>
    </row>
    <row r="97" customFormat="false" ht="15" hidden="false" customHeight="false" outlineLevel="0" collapsed="false">
      <c r="A97" s="24" t="n">
        <v>96</v>
      </c>
      <c r="B97" s="24" t="s">
        <v>1406</v>
      </c>
      <c r="C97" s="24"/>
      <c r="D97" s="24" t="s">
        <v>1407</v>
      </c>
      <c r="E97" s="24" t="str">
        <f aca="false">TRIM(B97)&amp;" — "&amp;TRIM(D97)&amp;"  [#"&amp;A97&amp;"]"</f>
        <v>ESTANDARTE — SHORT NIÑO  [#96]</v>
      </c>
    </row>
    <row r="98" customFormat="false" ht="15" hidden="false" customHeight="false" outlineLevel="0" collapsed="false">
      <c r="A98" s="24" t="n">
        <v>97</v>
      </c>
      <c r="B98" s="24" t="s">
        <v>1421</v>
      </c>
      <c r="C98" s="24"/>
      <c r="D98" s="24" t="s">
        <v>1407</v>
      </c>
      <c r="E98" s="24" t="str">
        <f aca="false">TRIM(B98)&amp;" — "&amp;TRIM(D98)&amp;"  [#"&amp;A98&amp;"]"</f>
        <v>SHORT — SHORT NIÑO  [#97]</v>
      </c>
    </row>
    <row r="99" customFormat="false" ht="15" hidden="false" customHeight="false" outlineLevel="0" collapsed="false">
      <c r="A99" s="24" t="n">
        <v>98</v>
      </c>
      <c r="B99" s="24" t="s">
        <v>1421</v>
      </c>
      <c r="C99" s="24" t="s">
        <v>68</v>
      </c>
      <c r="D99" s="24" t="s">
        <v>1439</v>
      </c>
      <c r="E99" s="24" t="str">
        <f aca="false">TRIM(B99)&amp;" — "&amp;TRIM(D99)&amp;"  [#"&amp;A99&amp;"]"</f>
        <v>SHORT — SHORT DAMA  [#98]</v>
      </c>
    </row>
    <row r="100" customFormat="false" ht="15" hidden="false" customHeight="false" outlineLevel="0" collapsed="false">
      <c r="A100" s="24" t="n">
        <v>99</v>
      </c>
      <c r="B100" s="24" t="s">
        <v>1421</v>
      </c>
      <c r="C100" s="24" t="s">
        <v>1455</v>
      </c>
      <c r="D100" s="24" t="s">
        <v>1455</v>
      </c>
      <c r="E100" s="24" t="str">
        <f aca="false">TRIM(B100)&amp;" — "&amp;TRIM(D100)&amp;"  [#"&amp;A100&amp;"]"</f>
        <v>SHORT — SHORT CABALLERO  [#99]</v>
      </c>
    </row>
    <row r="101" customFormat="false" ht="15" hidden="false" customHeight="false" outlineLevel="0" collapsed="false">
      <c r="A101" s="24" t="n">
        <v>100</v>
      </c>
      <c r="B101" s="24" t="s">
        <v>1421</v>
      </c>
      <c r="C101" s="24" t="s">
        <v>68</v>
      </c>
      <c r="D101" s="24" t="s">
        <v>1407</v>
      </c>
      <c r="E101" s="24" t="str">
        <f aca="false">TRIM(B101)&amp;" — "&amp;TRIM(D101)&amp;"  [#"&amp;A101&amp;"]"</f>
        <v>SHORT — SHORT NIÑO  [#100]</v>
      </c>
    </row>
    <row r="102" customFormat="false" ht="15" hidden="false" customHeight="false" outlineLevel="0" collapsed="false">
      <c r="A102" s="24" t="n">
        <v>101</v>
      </c>
      <c r="B102" s="24" t="s">
        <v>1421</v>
      </c>
      <c r="C102" s="24" t="s">
        <v>68</v>
      </c>
      <c r="D102" s="24" t="s">
        <v>1439</v>
      </c>
      <c r="E102" s="24" t="str">
        <f aca="false">TRIM(B102)&amp;" — "&amp;TRIM(D102)&amp;"  [#"&amp;A102&amp;"]"</f>
        <v>SHORT — SHORT DAMA  [#101]</v>
      </c>
    </row>
    <row r="103" customFormat="false" ht="15" hidden="false" customHeight="false" outlineLevel="0" collapsed="false">
      <c r="A103" s="24" t="n">
        <v>102</v>
      </c>
      <c r="B103" s="24" t="s">
        <v>1421</v>
      </c>
      <c r="C103" s="24" t="s">
        <v>1455</v>
      </c>
      <c r="D103" s="24" t="s">
        <v>1455</v>
      </c>
      <c r="E103" s="24" t="str">
        <f aca="false">TRIM(B103)&amp;" — "&amp;TRIM(D103)&amp;"  [#"&amp;A103&amp;"]"</f>
        <v>SHORT — SHORT CABALLERO  [#102]</v>
      </c>
    </row>
    <row r="104" customFormat="false" ht="15" hidden="false" customHeight="false" outlineLevel="0" collapsed="false">
      <c r="A104" s="24" t="n">
        <v>103</v>
      </c>
      <c r="B104" s="24" t="s">
        <v>1421</v>
      </c>
      <c r="C104" s="24" t="s">
        <v>68</v>
      </c>
      <c r="D104" s="24" t="s">
        <v>1407</v>
      </c>
      <c r="E104" s="24" t="str">
        <f aca="false">TRIM(B104)&amp;" — "&amp;TRIM(D104)&amp;"  [#"&amp;A104&amp;"]"</f>
        <v>SHORT — SHORT NIÑO  [#103]</v>
      </c>
    </row>
    <row r="105" customFormat="false" ht="15" hidden="false" customHeight="false" outlineLevel="0" collapsed="false">
      <c r="A105" s="24" t="n">
        <v>104</v>
      </c>
      <c r="B105" s="24" t="s">
        <v>1421</v>
      </c>
      <c r="C105" s="24" t="s">
        <v>68</v>
      </c>
      <c r="D105" s="24" t="s">
        <v>1439</v>
      </c>
      <c r="E105" s="24" t="str">
        <f aca="false">TRIM(B105)&amp;" — "&amp;TRIM(D105)&amp;"  [#"&amp;A105&amp;"]"</f>
        <v>SHORT — SHORT DAMA  [#104]</v>
      </c>
    </row>
    <row r="106" customFormat="false" ht="15" hidden="false" customHeight="false" outlineLevel="0" collapsed="false">
      <c r="A106" s="24" t="n">
        <v>105</v>
      </c>
      <c r="B106" s="24" t="s">
        <v>1421</v>
      </c>
      <c r="C106" s="24" t="s">
        <v>1455</v>
      </c>
      <c r="D106" s="24" t="s">
        <v>1455</v>
      </c>
      <c r="E106" s="24" t="str">
        <f aca="false">TRIM(B106)&amp;" — "&amp;TRIM(D106)&amp;"  [#"&amp;A106&amp;"]"</f>
        <v>SHORT — SHORT CABALLERO  [#105]</v>
      </c>
    </row>
    <row r="107" customFormat="false" ht="15" hidden="false" customHeight="false" outlineLevel="0" collapsed="false">
      <c r="A107" s="24" t="n">
        <v>106</v>
      </c>
      <c r="B107" s="24" t="s">
        <v>1566</v>
      </c>
      <c r="C107" s="24" t="s">
        <v>734</v>
      </c>
      <c r="D107" s="24" t="s">
        <v>734</v>
      </c>
      <c r="E107" s="24" t="str">
        <f aca="false">TRIM(B107)&amp;" — "&amp;TRIM(D107)&amp;"  [#"&amp;A107&amp;"]"</f>
        <v>CV TASLAN — CORTA VIENTO DAMA  [#106]</v>
      </c>
    </row>
    <row r="108" customFormat="false" ht="15" hidden="false" customHeight="false" outlineLevel="0" collapsed="false">
      <c r="A108" s="24" t="n">
        <v>107</v>
      </c>
      <c r="B108" s="24" t="s">
        <v>1566</v>
      </c>
      <c r="C108" s="24" t="s">
        <v>734</v>
      </c>
      <c r="D108" s="24" t="s">
        <v>734</v>
      </c>
      <c r="E108" s="24" t="str">
        <f aca="false">TRIM(B108)&amp;" — "&amp;TRIM(D108)&amp;"  [#"&amp;A108&amp;"]"</f>
        <v>CV TASLAN — CORTA VIENTO DAMA  [#107]</v>
      </c>
    </row>
    <row r="109" customFormat="false" ht="15" hidden="false" customHeight="false" outlineLevel="0" collapsed="false">
      <c r="A109" s="24" t="n">
        <v>108</v>
      </c>
      <c r="B109" s="24" t="s">
        <v>1566</v>
      </c>
      <c r="C109" s="24" t="s">
        <v>1596</v>
      </c>
      <c r="D109" s="24" t="s">
        <v>1596</v>
      </c>
      <c r="E109" s="24" t="str">
        <f aca="false">TRIM(B109)&amp;" — "&amp;TRIM(D109)&amp;"  [#"&amp;A109&amp;"]"</f>
        <v>CV TASLAN — CORTA VIENTO CABALLERO  [#108]</v>
      </c>
    </row>
    <row r="110" customFormat="false" ht="15" hidden="false" customHeight="false" outlineLevel="0" collapsed="false">
      <c r="A110" s="24" t="n">
        <v>109</v>
      </c>
      <c r="B110" s="24" t="s">
        <v>1566</v>
      </c>
      <c r="C110" s="24" t="s">
        <v>1596</v>
      </c>
      <c r="D110" s="24" t="s">
        <v>1596</v>
      </c>
      <c r="E110" s="24" t="str">
        <f aca="false">TRIM(B110)&amp;" — "&amp;TRIM(D110)&amp;"  [#"&amp;A110&amp;"]"</f>
        <v>CV TASLAN — CORTA VIENTO CABALLERO  [#109]</v>
      </c>
    </row>
    <row r="111" customFormat="false" ht="15" hidden="false" customHeight="false" outlineLevel="0" collapsed="false">
      <c r="A111" s="24" t="n">
        <v>110</v>
      </c>
      <c r="B111" s="24" t="s">
        <v>1566</v>
      </c>
      <c r="C111" s="24" t="s">
        <v>1596</v>
      </c>
      <c r="D111" s="24" t="s">
        <v>1596</v>
      </c>
      <c r="E111" s="24" t="str">
        <f aca="false">TRIM(B111)&amp;" — "&amp;TRIM(D111)&amp;"  [#"&amp;A111&amp;"]"</f>
        <v>CV TASLAN — CORTA VIENTO CABALLERO  [#110]</v>
      </c>
    </row>
    <row r="112" customFormat="false" ht="15" hidden="false" customHeight="false" outlineLevel="0" collapsed="false">
      <c r="A112" s="24" t="n">
        <v>111</v>
      </c>
      <c r="B112" s="24" t="s">
        <v>1566</v>
      </c>
      <c r="C112" s="24" t="s">
        <v>1596</v>
      </c>
      <c r="D112" s="24" t="s">
        <v>991</v>
      </c>
      <c r="E112" s="24" t="str">
        <f aca="false">TRIM(B112)&amp;" — "&amp;TRIM(D112)&amp;"  [#"&amp;A112&amp;"]"</f>
        <v>CV TASLAN — PANTALON DE MONO  [#111]</v>
      </c>
    </row>
    <row r="113" customFormat="false" ht="15" hidden="false" customHeight="false" outlineLevel="0" collapsed="false">
      <c r="A113" s="24" t="n">
        <v>112</v>
      </c>
      <c r="B113" s="24" t="s">
        <v>1662</v>
      </c>
      <c r="C113" s="24"/>
      <c r="D113" s="24" t="s">
        <v>1662</v>
      </c>
      <c r="E113" s="24" t="str">
        <f aca="false">TRIM(B113)&amp;" — "&amp;TRIM(D113)&amp;"  [#"&amp;A113&amp;"]"</f>
        <v>MOUSE — MOUSE  [#112]</v>
      </c>
    </row>
    <row r="114" customFormat="false" ht="23.85" hidden="false" customHeight="false" outlineLevel="0" collapsed="false">
      <c r="A114" s="24" t="n">
        <v>113</v>
      </c>
      <c r="B114" s="24" t="s">
        <v>1669</v>
      </c>
      <c r="C114" s="25" t="s">
        <v>1670</v>
      </c>
      <c r="D114" s="25" t="s">
        <v>1670</v>
      </c>
      <c r="E114" s="25" t="str">
        <f aca="false">TRIM(B114)&amp;" — "&amp;TRIM(D114)&amp;"  [#"&amp;A114&amp;"]"</f>
        <v>CV MEMORY — CORTA VIENTO
 DAMA  [#113]</v>
      </c>
    </row>
    <row r="115" customFormat="false" ht="15" hidden="false" customHeight="false" outlineLevel="0" collapsed="false">
      <c r="A115" s="24" t="n">
        <v>114</v>
      </c>
      <c r="B115" s="24" t="s">
        <v>1669</v>
      </c>
      <c r="C115" s="25" t="s">
        <v>1670</v>
      </c>
      <c r="D115" s="24" t="s">
        <v>296</v>
      </c>
      <c r="E115" s="24" t="str">
        <f aca="false">TRIM(B115)&amp;" — "&amp;TRIM(D115)&amp;"  [#"&amp;A115&amp;"]"</f>
        <v>CV MEMORY — DAMA  [#114]</v>
      </c>
    </row>
    <row r="116" customFormat="false" ht="23.85" hidden="false" customHeight="false" outlineLevel="0" collapsed="false">
      <c r="A116" s="24" t="n">
        <v>115</v>
      </c>
      <c r="B116" s="24" t="s">
        <v>1669</v>
      </c>
      <c r="C116" s="25" t="s">
        <v>1702</v>
      </c>
      <c r="D116" s="25" t="s">
        <v>1702</v>
      </c>
      <c r="E116" s="25" t="str">
        <f aca="false">TRIM(B116)&amp;" — "&amp;TRIM(D116)&amp;"  [#"&amp;A116&amp;"]"</f>
        <v>CV MEMORY — CORTA VIENTO
 NIÑO  [#115]</v>
      </c>
    </row>
    <row r="117" customFormat="false" ht="23.85" hidden="false" customHeight="false" outlineLevel="0" collapsed="false">
      <c r="A117" s="24" t="n">
        <v>116</v>
      </c>
      <c r="B117" s="24" t="s">
        <v>1669</v>
      </c>
      <c r="C117" s="25" t="s">
        <v>1702</v>
      </c>
      <c r="D117" s="25" t="s">
        <v>1702</v>
      </c>
      <c r="E117" s="25" t="str">
        <f aca="false">TRIM(B117)&amp;" — "&amp;TRIM(D117)&amp;"  [#"&amp;A117&amp;"]"</f>
        <v>CV MEMORY — CORTA VIENTO
 NIÑO  [#116]</v>
      </c>
    </row>
    <row r="118" customFormat="false" ht="23.85" hidden="false" customHeight="false" outlineLevel="0" collapsed="false">
      <c r="A118" s="24" t="n">
        <v>117</v>
      </c>
      <c r="B118" s="24" t="s">
        <v>1669</v>
      </c>
      <c r="C118" s="25" t="s">
        <v>1735</v>
      </c>
      <c r="D118" s="25" t="s">
        <v>1735</v>
      </c>
      <c r="E118" s="25" t="str">
        <f aca="false">TRIM(B118)&amp;" — "&amp;TRIM(D118)&amp;"  [#"&amp;A118&amp;"]"</f>
        <v>CV MEMORY — CORTA VIENTO con Gorro 
CABALLERO  [#117]</v>
      </c>
    </row>
    <row r="119" customFormat="false" ht="23.85" hidden="false" customHeight="false" outlineLevel="0" collapsed="false">
      <c r="A119" s="24" t="n">
        <v>118</v>
      </c>
      <c r="B119" s="24" t="s">
        <v>1669</v>
      </c>
      <c r="C119" s="25" t="s">
        <v>1735</v>
      </c>
      <c r="D119" s="25" t="s">
        <v>1757</v>
      </c>
      <c r="E119" s="25" t="str">
        <f aca="false">TRIM(B119)&amp;" — "&amp;TRIM(D119)&amp;"  [#"&amp;A119&amp;"]"</f>
        <v>CV MEMORY — CORTA VIENTO 
CABALLERO  [#118]</v>
      </c>
    </row>
    <row r="120" customFormat="false" ht="23.85" hidden="false" customHeight="false" outlineLevel="0" collapsed="false">
      <c r="A120" s="24" t="n">
        <v>119</v>
      </c>
      <c r="B120" s="24" t="s">
        <v>1669</v>
      </c>
      <c r="C120" s="25" t="s">
        <v>1757</v>
      </c>
      <c r="D120" s="25" t="s">
        <v>1757</v>
      </c>
      <c r="E120" s="25" t="str">
        <f aca="false">TRIM(B120)&amp;" — "&amp;TRIM(D120)&amp;"  [#"&amp;A120&amp;"]"</f>
        <v>CV MEMORY — CORTA VIENTO 
CABALLERO  [#119]</v>
      </c>
    </row>
    <row r="121" customFormat="false" ht="23.85" hidden="false" customHeight="false" outlineLevel="0" collapsed="false">
      <c r="A121" s="24" t="n">
        <v>120</v>
      </c>
      <c r="B121" s="24" t="s">
        <v>1669</v>
      </c>
      <c r="C121" s="25" t="s">
        <v>1757</v>
      </c>
      <c r="D121" s="25" t="s">
        <v>1757</v>
      </c>
      <c r="E121" s="25" t="str">
        <f aca="false">TRIM(B121)&amp;" — "&amp;TRIM(D121)&amp;"  [#"&amp;A121&amp;"]"</f>
        <v>CV MEMORY — CORTA VIENTO 
CABALLERO  [#120]</v>
      </c>
    </row>
    <row r="122" customFormat="false" ht="15" hidden="false" customHeight="false" outlineLevel="0" collapsed="false">
      <c r="A122" s="24" t="n">
        <v>121</v>
      </c>
      <c r="B122" s="24" t="s">
        <v>1814</v>
      </c>
      <c r="C122" s="24" t="s">
        <v>1815</v>
      </c>
      <c r="D122" s="24" t="s">
        <v>1815</v>
      </c>
      <c r="E122" s="24" t="str">
        <f aca="false">TRIM(B122)&amp;" — "&amp;TRIM(D122)&amp;"  [#"&amp;A122&amp;"]"</f>
        <v>KSAKAS — KASAKAS SOLO LOGO  [#121]</v>
      </c>
    </row>
    <row r="123" customFormat="false" ht="15" hidden="false" customHeight="false" outlineLevel="0" collapsed="false">
      <c r="A123" s="24" t="n">
        <v>122</v>
      </c>
      <c r="B123" s="24" t="s">
        <v>1814</v>
      </c>
      <c r="C123" s="24" t="s">
        <v>1833</v>
      </c>
      <c r="D123" s="24" t="s">
        <v>1833</v>
      </c>
      <c r="E123" s="24" t="str">
        <f aca="false">TRIM(B123)&amp;" — "&amp;TRIM(D123)&amp;"  [#"&amp;A123&amp;"]"</f>
        <v>KSAKAS — KASAKAS SUBLIMACION TOTAL  [#122]</v>
      </c>
    </row>
    <row r="124" customFormat="false" ht="15" hidden="false" customHeight="false" outlineLevel="0" collapsed="false">
      <c r="A124" s="24" t="n">
        <v>123</v>
      </c>
      <c r="B124" s="24" t="s">
        <v>1850</v>
      </c>
      <c r="C124" s="24"/>
      <c r="D124" s="24" t="s">
        <v>349</v>
      </c>
      <c r="E124" s="24" t="str">
        <f aca="false">TRIM(B124)&amp;" — "&amp;TRIM(D124)&amp;"  [#"&amp;A124&amp;"]"</f>
        <v>F. SUBLIM 1,3 — CABALLERO  [#123]</v>
      </c>
    </row>
    <row r="125" customFormat="false" ht="15" hidden="false" customHeight="false" outlineLevel="0" collapsed="false">
      <c r="A125" s="24" t="n">
        <v>124</v>
      </c>
      <c r="B125" s="24" t="s">
        <v>1850</v>
      </c>
      <c r="C125" s="24"/>
      <c r="D125" s="24" t="s">
        <v>349</v>
      </c>
      <c r="E125" s="24" t="str">
        <f aca="false">TRIM(B125)&amp;" — "&amp;TRIM(D125)&amp;"  [#"&amp;A125&amp;"]"</f>
        <v>F. SUBLIM 1,3 — CABALLERO  [#124]</v>
      </c>
    </row>
    <row r="126" customFormat="false" ht="15" hidden="false" customHeight="false" outlineLevel="0" collapsed="false">
      <c r="A126" s="24" t="n">
        <v>125</v>
      </c>
      <c r="B126" s="24" t="s">
        <v>1850</v>
      </c>
      <c r="C126" s="24" t="s">
        <v>68</v>
      </c>
      <c r="D126" s="24" t="s">
        <v>296</v>
      </c>
      <c r="E126" s="24" t="str">
        <f aca="false">TRIM(B126)&amp;" — "&amp;TRIM(D126)&amp;"  [#"&amp;A126&amp;"]"</f>
        <v>F. SUBLIM 1,3 — DAMA  [#125]</v>
      </c>
    </row>
    <row r="127" customFormat="false" ht="15" hidden="false" customHeight="false" outlineLevel="0" collapsed="false">
      <c r="A127" s="24" t="n">
        <v>126</v>
      </c>
      <c r="B127" s="24" t="s">
        <v>1850</v>
      </c>
      <c r="C127" s="24" t="s">
        <v>68</v>
      </c>
      <c r="D127" s="24" t="s">
        <v>296</v>
      </c>
      <c r="E127" s="24" t="str">
        <f aca="false">TRIM(B127)&amp;" — "&amp;TRIM(D127)&amp;"  [#"&amp;A127&amp;"]"</f>
        <v>F. SUBLIM 1,3 — DAMA  [#126]</v>
      </c>
    </row>
    <row r="128" customFormat="false" ht="15" hidden="false" customHeight="false" outlineLevel="0" collapsed="false">
      <c r="A128" s="24" t="n">
        <v>127</v>
      </c>
      <c r="B128" s="24" t="s">
        <v>1918</v>
      </c>
      <c r="C128" s="24" t="s">
        <v>1919</v>
      </c>
      <c r="D128" s="24" t="s">
        <v>1920</v>
      </c>
      <c r="E128" s="24" t="str">
        <f aca="false">TRIM(B128)&amp;" — "&amp;TRIM(D128)&amp;"  [#"&amp;A128&amp;"]"</f>
        <v>UNI FUTBOL — MUSELINA  [#127]</v>
      </c>
    </row>
    <row r="129" customFormat="false" ht="15" hidden="false" customHeight="false" outlineLevel="0" collapsed="false">
      <c r="A129" s="24" t="n">
        <v>128</v>
      </c>
      <c r="B129" s="24" t="s">
        <v>1918</v>
      </c>
      <c r="C129" s="24" t="s">
        <v>1919</v>
      </c>
      <c r="D129" s="24" t="s">
        <v>1920</v>
      </c>
      <c r="E129" s="24" t="str">
        <f aca="false">TRIM(B129)&amp;" — "&amp;TRIM(D129)&amp;"  [#"&amp;A129&amp;"]"</f>
        <v>UNI FUTBOL — MUSELINA  [#128]</v>
      </c>
    </row>
    <row r="130" customFormat="false" ht="15" hidden="false" customHeight="false" outlineLevel="0" collapsed="false">
      <c r="A130" s="24" t="n">
        <v>129</v>
      </c>
      <c r="B130" s="24" t="s">
        <v>1918</v>
      </c>
      <c r="C130" s="24" t="s">
        <v>68</v>
      </c>
      <c r="D130" s="24" t="s">
        <v>1920</v>
      </c>
      <c r="E130" s="24" t="str">
        <f aca="false">TRIM(B130)&amp;" — "&amp;TRIM(D130)&amp;"  [#"&amp;A130&amp;"]"</f>
        <v>UNI FUTBOL — MUSELINA  [#129]</v>
      </c>
    </row>
    <row r="131" customFormat="false" ht="15" hidden="false" customHeight="false" outlineLevel="0" collapsed="false">
      <c r="A131" s="24" t="n">
        <v>130</v>
      </c>
      <c r="B131" s="24" t="s">
        <v>1918</v>
      </c>
      <c r="C131" s="24" t="s">
        <v>68</v>
      </c>
      <c r="D131" s="24" t="s">
        <v>1920</v>
      </c>
      <c r="E131" s="24" t="str">
        <f aca="false">TRIM(B131)&amp;" — "&amp;TRIM(D131)&amp;"  [#"&amp;A131&amp;"]"</f>
        <v>UNI FUTBOL — MUSELINA  [#130]</v>
      </c>
    </row>
    <row r="132" customFormat="false" ht="15" hidden="false" customHeight="false" outlineLevel="0" collapsed="false">
      <c r="A132" s="24" t="n">
        <v>131</v>
      </c>
      <c r="B132" s="24" t="s">
        <v>1918</v>
      </c>
      <c r="C132" s="24" t="s">
        <v>1983</v>
      </c>
      <c r="D132" s="24" t="s">
        <v>1920</v>
      </c>
      <c r="E132" s="24" t="str">
        <f aca="false">TRIM(B132)&amp;" — "&amp;TRIM(D132)&amp;"  [#"&amp;A132&amp;"]"</f>
        <v>UNI FUTBOL — MUSELINA  [#131]</v>
      </c>
    </row>
    <row r="133" customFormat="false" ht="15" hidden="false" customHeight="false" outlineLevel="0" collapsed="false">
      <c r="A133" s="24" t="n">
        <v>132</v>
      </c>
      <c r="B133" s="24" t="s">
        <v>1918</v>
      </c>
      <c r="C133" s="24" t="s">
        <v>68</v>
      </c>
      <c r="D133" s="24" t="s">
        <v>1920</v>
      </c>
      <c r="E133" s="24" t="str">
        <f aca="false">TRIM(B133)&amp;" — "&amp;TRIM(D133)&amp;"  [#"&amp;A133&amp;"]"</f>
        <v>UNI FUTBOL — MUSELINA  [#132]</v>
      </c>
    </row>
    <row r="134" customFormat="false" ht="15" hidden="false" customHeight="false" outlineLevel="0" collapsed="false">
      <c r="A134" s="24" t="n">
        <v>133</v>
      </c>
      <c r="B134" s="24" t="s">
        <v>1918</v>
      </c>
      <c r="C134" s="24" t="s">
        <v>68</v>
      </c>
      <c r="D134" s="24" t="s">
        <v>1407</v>
      </c>
      <c r="E134" s="24" t="str">
        <f aca="false">TRIM(B134)&amp;" — "&amp;TRIM(D134)&amp;"  [#"&amp;A134&amp;"]"</f>
        <v>UNI FUTBOL — SHORT NIÑO  [#133]</v>
      </c>
    </row>
    <row r="135" customFormat="false" ht="15" hidden="false" customHeight="false" outlineLevel="0" collapsed="false">
      <c r="A135" s="24" t="n">
        <v>134</v>
      </c>
      <c r="B135" s="24" t="s">
        <v>1918</v>
      </c>
      <c r="C135" s="24" t="s">
        <v>68</v>
      </c>
      <c r="D135" s="24" t="s">
        <v>311</v>
      </c>
      <c r="E135" s="24" t="str">
        <f aca="false">TRIM(B135)&amp;" — "&amp;TRIM(D135)&amp;"  [#"&amp;A135&amp;"]"</f>
        <v>UNI FUTBOL — NIÑO  [#134]</v>
      </c>
    </row>
    <row r="136" customFormat="false" ht="15" hidden="false" customHeight="false" outlineLevel="0" collapsed="false">
      <c r="A136" s="24" t="n">
        <v>135</v>
      </c>
      <c r="B136" s="24" t="s">
        <v>1918</v>
      </c>
      <c r="C136" s="24" t="s">
        <v>68</v>
      </c>
      <c r="D136" s="24" t="s">
        <v>2047</v>
      </c>
      <c r="E136" s="24" t="str">
        <f aca="false">TRIM(B136)&amp;" — "&amp;TRIM(D136)&amp;"  [#"&amp;A136&amp;"]"</f>
        <v>UNI FUTBOL — Caballero  [#135]</v>
      </c>
    </row>
    <row r="137" customFormat="false" ht="15" hidden="false" customHeight="false" outlineLevel="0" collapsed="false">
      <c r="A137" s="24" t="n">
        <v>136</v>
      </c>
      <c r="B137" s="24" t="s">
        <v>1918</v>
      </c>
      <c r="C137" s="24" t="s">
        <v>68</v>
      </c>
      <c r="D137" s="24" t="s">
        <v>2063</v>
      </c>
      <c r="E137" s="24" t="str">
        <f aca="false">TRIM(B137)&amp;" — "&amp;TRIM(D137)&amp;"  [#"&amp;A137&amp;"]"</f>
        <v>UNI FUTBOL — NIÑO/DAMA  [#136]</v>
      </c>
    </row>
    <row r="138" customFormat="false" ht="15" hidden="false" customHeight="false" outlineLevel="0" collapsed="false">
      <c r="A138" s="24" t="n">
        <v>137</v>
      </c>
      <c r="B138" s="24" t="s">
        <v>1918</v>
      </c>
      <c r="C138" s="24" t="s">
        <v>68</v>
      </c>
      <c r="D138" s="24" t="s">
        <v>349</v>
      </c>
      <c r="E138" s="24" t="str">
        <f aca="false">TRIM(B138)&amp;" — "&amp;TRIM(D138)&amp;"  [#"&amp;A138&amp;"]"</f>
        <v>UNI FUTBOL — CABALLERO  [#137]</v>
      </c>
    </row>
    <row r="139" customFormat="false" ht="15" hidden="false" customHeight="false" outlineLevel="0" collapsed="false">
      <c r="A139" s="24" t="n">
        <v>138</v>
      </c>
      <c r="B139" s="24" t="s">
        <v>1918</v>
      </c>
      <c r="C139" s="24" t="s">
        <v>68</v>
      </c>
      <c r="D139" s="24" t="s">
        <v>1407</v>
      </c>
      <c r="E139" s="24" t="str">
        <f aca="false">TRIM(B139)&amp;" — "&amp;TRIM(D139)&amp;"  [#"&amp;A139&amp;"]"</f>
        <v>UNI FUTBOL — SHORT NIÑO  [#138]</v>
      </c>
    </row>
    <row r="140" customFormat="false" ht="15" hidden="false" customHeight="false" outlineLevel="0" collapsed="false">
      <c r="A140" s="24" t="n">
        <v>139</v>
      </c>
      <c r="B140" s="24" t="s">
        <v>1918</v>
      </c>
      <c r="C140" s="24" t="s">
        <v>68</v>
      </c>
      <c r="D140" s="24" t="s">
        <v>2110</v>
      </c>
      <c r="E140" s="24" t="str">
        <f aca="false">TRIM(B140)&amp;" — "&amp;TRIM(D140)&amp;"  [#"&amp;A140&amp;"]"</f>
        <v>UNI FUTBOL — MUSE/ATLE  [#139]</v>
      </c>
    </row>
    <row r="141" customFormat="false" ht="15" hidden="false" customHeight="false" outlineLevel="0" collapsed="false">
      <c r="A141" s="24" t="n">
        <v>140</v>
      </c>
      <c r="B141" s="24" t="s">
        <v>2128</v>
      </c>
      <c r="C141" s="24"/>
      <c r="D141" s="24" t="s">
        <v>2129</v>
      </c>
      <c r="E141" s="24" t="str">
        <f aca="false">TRIM(B141)&amp;" — "&amp;TRIM(D141)&amp;"  [#"&amp;A141&amp;"]"</f>
        <v>FULL SUBLI — MICRO DAMA  [#140]</v>
      </c>
    </row>
    <row r="142" customFormat="false" ht="15" hidden="false" customHeight="false" outlineLevel="0" collapsed="false">
      <c r="A142" s="24" t="n">
        <v>141</v>
      </c>
      <c r="B142" s="24" t="s">
        <v>2128</v>
      </c>
      <c r="C142" s="24"/>
      <c r="D142" s="24" t="s">
        <v>90</v>
      </c>
      <c r="E142" s="24" t="str">
        <f aca="false">TRIM(B142)&amp;" — "&amp;TRIM(D142)&amp;"  [#"&amp;A142&amp;"]"</f>
        <v>FULL SUBLI — MICRO NIÑO  [#141]</v>
      </c>
    </row>
    <row r="143" customFormat="false" ht="15" hidden="false" customHeight="false" outlineLevel="0" collapsed="false">
      <c r="A143" s="24" t="n">
        <v>142</v>
      </c>
      <c r="B143" s="24" t="s">
        <v>2128</v>
      </c>
      <c r="C143" s="24" t="s">
        <v>2160</v>
      </c>
      <c r="D143" s="24" t="s">
        <v>2160</v>
      </c>
      <c r="E143" s="24" t="str">
        <f aca="false">TRIM(B143)&amp;" — "&amp;TRIM(D143)&amp;"  [#"&amp;A143&amp;"]"</f>
        <v>FULL SUBLI — MICRO CABALLERO  [#142]</v>
      </c>
    </row>
    <row r="144" customFormat="false" ht="15" hidden="false" customHeight="false" outlineLevel="0" collapsed="false">
      <c r="A144" s="24" t="n">
        <v>143</v>
      </c>
      <c r="B144" s="24" t="s">
        <v>2128</v>
      </c>
      <c r="C144" s="24" t="s">
        <v>68</v>
      </c>
      <c r="D144" s="24" t="s">
        <v>2176</v>
      </c>
      <c r="E144" s="24" t="str">
        <f aca="false">TRIM(B144)&amp;" — "&amp;TRIM(D144)&amp;"  [#"&amp;A144&amp;"]"</f>
        <v>FULL SUBLI — MUSELINA NIÑO  [#143]</v>
      </c>
    </row>
    <row r="145" customFormat="false" ht="15" hidden="false" customHeight="false" outlineLevel="0" collapsed="false">
      <c r="A145" s="24" t="n">
        <v>144</v>
      </c>
      <c r="B145" s="24" t="s">
        <v>2128</v>
      </c>
      <c r="C145" s="24" t="s">
        <v>52</v>
      </c>
      <c r="D145" s="24" t="s">
        <v>52</v>
      </c>
      <c r="E145" s="24" t="str">
        <f aca="false">TRIM(B145)&amp;" — "&amp;TRIM(D145)&amp;"  [#"&amp;A145&amp;"]"</f>
        <v>FULL SUBLI — MUSELINA DAMA  [#144]</v>
      </c>
    </row>
    <row r="146" customFormat="false" ht="15" hidden="false" customHeight="false" outlineLevel="0" collapsed="false">
      <c r="A146" s="24" t="n">
        <v>145</v>
      </c>
      <c r="B146" s="24" t="s">
        <v>2128</v>
      </c>
      <c r="C146" s="24" t="s">
        <v>68</v>
      </c>
      <c r="D146" s="24" t="s">
        <v>349</v>
      </c>
      <c r="E146" s="24" t="str">
        <f aca="false">TRIM(B146)&amp;" — "&amp;TRIM(D146)&amp;"  [#"&amp;A146&amp;"]"</f>
        <v>FULL SUBLI — CABALLERO  [#145]</v>
      </c>
    </row>
    <row r="147" customFormat="false" ht="15" hidden="false" customHeight="false" outlineLevel="0" collapsed="false">
      <c r="A147" s="24" t="n">
        <v>146</v>
      </c>
      <c r="B147" s="24" t="s">
        <v>2220</v>
      </c>
      <c r="C147" s="24" t="s">
        <v>2221</v>
      </c>
      <c r="D147" s="24" t="s">
        <v>311</v>
      </c>
      <c r="E147" s="24" t="str">
        <f aca="false">TRIM(B147)&amp;" — "&amp;TRIM(D147)&amp;"  [#"&amp;A147&amp;"]"</f>
        <v>LICRAS — NIÑO  [#146]</v>
      </c>
    </row>
    <row r="148" customFormat="false" ht="15" hidden="false" customHeight="false" outlineLevel="0" collapsed="false">
      <c r="A148" s="24" t="n">
        <v>147</v>
      </c>
      <c r="B148" s="24" t="s">
        <v>2220</v>
      </c>
      <c r="C148" s="24" t="s">
        <v>2221</v>
      </c>
      <c r="D148" s="24" t="s">
        <v>311</v>
      </c>
      <c r="E148" s="24" t="str">
        <f aca="false">TRIM(B148)&amp;" — "&amp;TRIM(D148)&amp;"  [#"&amp;A148&amp;"]"</f>
        <v>LICRAS — NIÑO  [#147]</v>
      </c>
    </row>
    <row r="149" customFormat="false" ht="15" hidden="false" customHeight="false" outlineLevel="0" collapsed="false">
      <c r="A149" s="24" t="n">
        <v>148</v>
      </c>
      <c r="B149" s="24" t="s">
        <v>2220</v>
      </c>
      <c r="C149" s="24" t="s">
        <v>2221</v>
      </c>
      <c r="D149" s="24" t="s">
        <v>311</v>
      </c>
      <c r="E149" s="24" t="str">
        <f aca="false">TRIM(B149)&amp;" — "&amp;TRIM(D149)&amp;"  [#"&amp;A149&amp;"]"</f>
        <v>LICRAS — NIÑO  [#148]</v>
      </c>
    </row>
    <row r="150" customFormat="false" ht="15" hidden="false" customHeight="false" outlineLevel="0" collapsed="false">
      <c r="A150" s="24" t="n">
        <v>149</v>
      </c>
      <c r="B150" s="24" t="s">
        <v>2220</v>
      </c>
      <c r="C150" s="24" t="s">
        <v>68</v>
      </c>
      <c r="D150" s="24" t="s">
        <v>2221</v>
      </c>
      <c r="E150" s="24" t="str">
        <f aca="false">TRIM(B150)&amp;" — "&amp;TRIM(D150)&amp;"  [#"&amp;A150&amp;"]"</f>
        <v>LICRAS — PANTALON LICRA  [#149]</v>
      </c>
    </row>
    <row r="151" customFormat="false" ht="15" hidden="false" customHeight="false" outlineLevel="0" collapsed="false">
      <c r="A151" s="24" t="n">
        <v>150</v>
      </c>
      <c r="B151" s="24" t="s">
        <v>2220</v>
      </c>
      <c r="C151" s="24" t="s">
        <v>2221</v>
      </c>
      <c r="D151" s="24" t="s">
        <v>2221</v>
      </c>
      <c r="E151" s="24" t="str">
        <f aca="false">TRIM(B151)&amp;" — "&amp;TRIM(D151)&amp;"  [#"&amp;A151&amp;"]"</f>
        <v>LICRAS — PANTALON LICRA  [#150]</v>
      </c>
    </row>
    <row r="152" customFormat="false" ht="15" hidden="false" customHeight="false" outlineLevel="0" collapsed="false">
      <c r="A152" s="24" t="n">
        <v>151</v>
      </c>
      <c r="B152" s="24" t="s">
        <v>2220</v>
      </c>
      <c r="C152" s="24" t="s">
        <v>68</v>
      </c>
      <c r="D152" s="24" t="s">
        <v>349</v>
      </c>
      <c r="E152" s="24" t="str">
        <f aca="false">TRIM(B152)&amp;" — "&amp;TRIM(D152)&amp;"  [#"&amp;A152&amp;"]"</f>
        <v>LICRAS — CABALLERO  [#151]</v>
      </c>
    </row>
    <row r="153" customFormat="false" ht="15" hidden="false" customHeight="false" outlineLevel="0" collapsed="false">
      <c r="A153" s="24" t="n">
        <v>152</v>
      </c>
      <c r="B153" s="24" t="s">
        <v>2220</v>
      </c>
      <c r="C153" s="24" t="s">
        <v>68</v>
      </c>
      <c r="D153" s="24" t="s">
        <v>311</v>
      </c>
      <c r="E153" s="24" t="str">
        <f aca="false">TRIM(B153)&amp;" — "&amp;TRIM(D153)&amp;"  [#"&amp;A153&amp;"]"</f>
        <v>LICRAS — NIÑO  [#152]</v>
      </c>
    </row>
    <row r="154" customFormat="false" ht="15" hidden="false" customHeight="false" outlineLevel="0" collapsed="false">
      <c r="A154" s="24" t="n">
        <v>153</v>
      </c>
      <c r="B154" s="24" t="s">
        <v>2220</v>
      </c>
      <c r="C154" s="24" t="s">
        <v>68</v>
      </c>
      <c r="D154" s="24" t="s">
        <v>2322</v>
      </c>
      <c r="E154" s="24" t="str">
        <f aca="false">TRIM(B154)&amp;" — "&amp;TRIM(D154)&amp;"  [#"&amp;A154&amp;"]"</f>
        <v>LICRAS — T8 A T16  [#153]</v>
      </c>
    </row>
    <row r="155" customFormat="false" ht="15" hidden="false" customHeight="false" outlineLevel="0" collapsed="false">
      <c r="A155" s="24" t="n">
        <v>154</v>
      </c>
      <c r="B155" s="24" t="s">
        <v>2220</v>
      </c>
      <c r="C155" s="24" t="s">
        <v>68</v>
      </c>
      <c r="D155" s="24" t="s">
        <v>2340</v>
      </c>
      <c r="E155" s="24" t="str">
        <f aca="false">TRIM(B155)&amp;" — "&amp;TRIM(D155)&amp;"  [#"&amp;A155&amp;"]"</f>
        <v>LICRAS — TALLAS DAMA  [#154]</v>
      </c>
    </row>
    <row r="156" customFormat="false" ht="15" hidden="false" customHeight="false" outlineLevel="0" collapsed="false">
      <c r="A156" s="24" t="n">
        <v>155</v>
      </c>
      <c r="B156" s="24" t="s">
        <v>2220</v>
      </c>
      <c r="C156" s="24" t="s">
        <v>68</v>
      </c>
      <c r="D156" s="24" t="s">
        <v>2357</v>
      </c>
      <c r="E156" s="24" t="str">
        <f aca="false">TRIM(B156)&amp;" — "&amp;TRIM(D156)&amp;"  [#"&amp;A156&amp;"]"</f>
        <v>LICRAS — CORTA VIENTO  [#155]</v>
      </c>
    </row>
    <row r="157" customFormat="false" ht="15" hidden="false" customHeight="false" outlineLevel="0" collapsed="false">
      <c r="A157" s="24" t="n">
        <v>156</v>
      </c>
      <c r="B157" s="24" t="s">
        <v>2220</v>
      </c>
      <c r="C157" s="24" t="s">
        <v>68</v>
      </c>
      <c r="D157" s="24" t="s">
        <v>2322</v>
      </c>
      <c r="E157" s="24" t="str">
        <f aca="false">TRIM(B157)&amp;" — "&amp;TRIM(D157)&amp;"  [#"&amp;A157&amp;"]"</f>
        <v>LICRAS — T8 A T16  [#156]</v>
      </c>
    </row>
    <row r="158" customFormat="false" ht="15" hidden="false" customHeight="false" outlineLevel="0" collapsed="false">
      <c r="A158" s="24" t="n">
        <v>157</v>
      </c>
      <c r="B158" s="24" t="s">
        <v>2220</v>
      </c>
      <c r="C158" s="24" t="s">
        <v>68</v>
      </c>
      <c r="D158" s="24" t="s">
        <v>2391</v>
      </c>
      <c r="E158" s="24" t="str">
        <f aca="false">TRIM(B158)&amp;" — "&amp;TRIM(D158)&amp;"  [#"&amp;A158&amp;"]"</f>
        <v>LICRAS — TALLAS 8-16  [#157]</v>
      </c>
    </row>
    <row r="159" customFormat="false" ht="15" hidden="false" customHeight="false" outlineLevel="0" collapsed="false">
      <c r="A159" s="24" t="n">
        <v>158</v>
      </c>
      <c r="B159" s="24" t="s">
        <v>2220</v>
      </c>
      <c r="C159" s="24" t="s">
        <v>68</v>
      </c>
      <c r="D159" s="24" t="s">
        <v>2322</v>
      </c>
      <c r="E159" s="24" t="str">
        <f aca="false">TRIM(B159)&amp;" — "&amp;TRIM(D159)&amp;"  [#"&amp;A159&amp;"]"</f>
        <v>LICRAS — T8 A T16  [#158]</v>
      </c>
    </row>
    <row r="160" customFormat="false" ht="15" hidden="false" customHeight="false" outlineLevel="0" collapsed="false">
      <c r="A160" s="24" t="n">
        <v>159</v>
      </c>
      <c r="B160" s="24" t="s">
        <v>2220</v>
      </c>
      <c r="C160" s="24" t="s">
        <v>68</v>
      </c>
      <c r="D160" s="24" t="s">
        <v>2423</v>
      </c>
      <c r="E160" s="24" t="str">
        <f aca="false">TRIM(B160)&amp;" — "&amp;TRIM(D160)&amp;"  [#"&amp;A160&amp;"]"</f>
        <v>LICRAS — MONO  [#159]</v>
      </c>
    </row>
    <row r="161" customFormat="false" ht="15" hidden="false" customHeight="false" outlineLevel="0" collapsed="false">
      <c r="A161" s="24" t="n">
        <v>160</v>
      </c>
      <c r="B161" s="24" t="s">
        <v>2220</v>
      </c>
      <c r="C161" s="24" t="s">
        <v>68</v>
      </c>
      <c r="D161" s="24" t="s">
        <v>2322</v>
      </c>
      <c r="E161" s="24" t="str">
        <f aca="false">TRIM(B161)&amp;" — "&amp;TRIM(D161)&amp;"  [#"&amp;A161&amp;"]"</f>
        <v>LICRAS — T8 A T16  [#160]</v>
      </c>
    </row>
    <row r="162" customFormat="false" ht="15" hidden="false" customHeight="false" outlineLevel="0" collapsed="false">
      <c r="A162" s="24" t="n">
        <v>161</v>
      </c>
      <c r="B162" s="24" t="s">
        <v>2452</v>
      </c>
      <c r="C162" s="24" t="s">
        <v>2453</v>
      </c>
      <c r="D162" s="24" t="s">
        <v>2453</v>
      </c>
      <c r="E162" s="24" t="str">
        <f aca="false">TRIM(B162)&amp;" — "&amp;TRIM(D162)&amp;"  [#"&amp;A162&amp;"]"</f>
        <v>PIJAMAS — niños pijama buzo  [#161]</v>
      </c>
    </row>
    <row r="163" customFormat="false" ht="15" hidden="false" customHeight="false" outlineLevel="0" collapsed="false">
      <c r="A163" s="24" t="n">
        <v>162</v>
      </c>
      <c r="B163" s="24" t="s">
        <v>2452</v>
      </c>
      <c r="C163" s="24" t="s">
        <v>2476</v>
      </c>
      <c r="D163" s="24" t="s">
        <v>2476</v>
      </c>
      <c r="E163" s="24" t="str">
        <f aca="false">TRIM(B163)&amp;" — "&amp;TRIM(D163)&amp;"  [#"&amp;A163&amp;"]"</f>
        <v>PIJAMAS — niños pijama pantalon  [#162]</v>
      </c>
    </row>
    <row r="164" customFormat="false" ht="15" hidden="false" customHeight="false" outlineLevel="0" collapsed="false">
      <c r="A164" s="24" t="n">
        <v>163</v>
      </c>
      <c r="B164" s="24" t="s">
        <v>2495</v>
      </c>
      <c r="C164" s="24"/>
      <c r="D164" s="24" t="s">
        <v>296</v>
      </c>
      <c r="E164" s="24" t="str">
        <f aca="false">TRIM(B164)&amp;" — "&amp;TRIM(D164)&amp;"  [#"&amp;A164&amp;"]"</f>
        <v>CHEMIS — DAMA  [#163]</v>
      </c>
    </row>
    <row r="165" customFormat="false" ht="15" hidden="false" customHeight="false" outlineLevel="0" collapsed="false">
      <c r="A165" s="24" t="n">
        <v>164</v>
      </c>
      <c r="B165" s="24" t="s">
        <v>2495</v>
      </c>
      <c r="C165" s="24"/>
      <c r="D165" s="24" t="s">
        <v>311</v>
      </c>
      <c r="E165" s="24" t="str">
        <f aca="false">TRIM(B165)&amp;" — "&amp;TRIM(D165)&amp;"  [#"&amp;A165&amp;"]"</f>
        <v>CHEMIS — NIÑO  [#164]</v>
      </c>
    </row>
    <row r="166" customFormat="false" ht="15" hidden="false" customHeight="false" outlineLevel="0" collapsed="false">
      <c r="A166" s="24" t="n">
        <v>165</v>
      </c>
      <c r="B166" s="24" t="s">
        <v>2495</v>
      </c>
      <c r="C166" s="24" t="s">
        <v>68</v>
      </c>
      <c r="D166" s="24" t="s">
        <v>296</v>
      </c>
      <c r="E166" s="24" t="str">
        <f aca="false">TRIM(B166)&amp;" — "&amp;TRIM(D166)&amp;"  [#"&amp;A166&amp;"]"</f>
        <v>CHEMIS — DAMA  [#165]</v>
      </c>
    </row>
    <row r="167" customFormat="false" ht="15" hidden="false" customHeight="false" outlineLevel="0" collapsed="false">
      <c r="A167" s="24" t="n">
        <v>166</v>
      </c>
      <c r="B167" s="24" t="s">
        <v>2495</v>
      </c>
      <c r="C167" s="24" t="s">
        <v>68</v>
      </c>
      <c r="D167" s="24" t="s">
        <v>311</v>
      </c>
      <c r="E167" s="24" t="str">
        <f aca="false">TRIM(B167)&amp;" — "&amp;TRIM(D167)&amp;"  [#"&amp;A167&amp;"]"</f>
        <v>CHEMIS — NIÑO  [#166]</v>
      </c>
    </row>
    <row r="168" customFormat="false" ht="15" hidden="false" customHeight="false" outlineLevel="0" collapsed="false">
      <c r="A168" s="24" t="n">
        <v>167</v>
      </c>
      <c r="B168" s="24" t="s">
        <v>2495</v>
      </c>
      <c r="C168" s="24" t="s">
        <v>68</v>
      </c>
      <c r="D168" s="24" t="s">
        <v>349</v>
      </c>
      <c r="E168" s="24" t="str">
        <f aca="false">TRIM(B168)&amp;" — "&amp;TRIM(D168)&amp;"  [#"&amp;A168&amp;"]"</f>
        <v>CHEMIS — CABALLERO  [#167]</v>
      </c>
    </row>
    <row r="169" customFormat="false" ht="15" hidden="false" customHeight="false" outlineLevel="0" collapsed="false">
      <c r="A169" s="24" t="n">
        <v>168</v>
      </c>
      <c r="B169" s="24" t="s">
        <v>2495</v>
      </c>
      <c r="C169" s="24" t="s">
        <v>68</v>
      </c>
      <c r="D169" s="24" t="s">
        <v>349</v>
      </c>
      <c r="E169" s="24" t="str">
        <f aca="false">TRIM(B169)&amp;" — "&amp;TRIM(D169)&amp;"  [#"&amp;A169&amp;"]"</f>
        <v>CHEMIS — CABALLERO  [#168]</v>
      </c>
    </row>
    <row r="170" customFormat="false" ht="15" hidden="false" customHeight="false" outlineLevel="0" collapsed="false">
      <c r="A170" s="24" t="n">
        <v>169</v>
      </c>
      <c r="B170" s="24" t="s">
        <v>2495</v>
      </c>
      <c r="C170" s="24" t="s">
        <v>68</v>
      </c>
      <c r="D170" s="24" t="s">
        <v>349</v>
      </c>
      <c r="E170" s="24" t="str">
        <f aca="false">TRIM(B170)&amp;" — "&amp;TRIM(D170)&amp;"  [#"&amp;A170&amp;"]"</f>
        <v>CHEMIS — CABALLERO  [#169]</v>
      </c>
    </row>
    <row r="171" customFormat="false" ht="15" hidden="false" customHeight="false" outlineLevel="0" collapsed="false">
      <c r="A171" s="24" t="n">
        <v>170</v>
      </c>
      <c r="B171" s="24" t="s">
        <v>2588</v>
      </c>
      <c r="C171" s="24"/>
      <c r="D171" s="24" t="s">
        <v>2588</v>
      </c>
      <c r="E171" s="24" t="str">
        <f aca="false">TRIM(B171)&amp;" — "&amp;TRIM(D171)&amp;"  [#"&amp;A171&amp;"]"</f>
        <v>BEISBOL — BEISBOL  [#170]</v>
      </c>
    </row>
    <row r="172" customFormat="false" ht="15" hidden="false" customHeight="false" outlineLevel="0" collapsed="false">
      <c r="A172" s="24" t="n">
        <v>171</v>
      </c>
      <c r="B172" s="24" t="s">
        <v>2608</v>
      </c>
      <c r="C172" s="24" t="s">
        <v>68</v>
      </c>
      <c r="D172" s="24" t="s">
        <v>2609</v>
      </c>
      <c r="E172" s="24" t="str">
        <f aca="false">TRIM(B172)&amp;" — "&amp;TRIM(D172)&amp;"  [#"&amp;A172&amp;"]"</f>
        <v>VELAS — VELAS  [#171]</v>
      </c>
    </row>
    <row r="173" customFormat="false" ht="15" hidden="false" customHeight="false" outlineLevel="0" collapsed="false">
      <c r="A173" s="24" t="n">
        <v>172</v>
      </c>
      <c r="B173" s="24" t="s">
        <v>2626</v>
      </c>
      <c r="C173" s="24"/>
      <c r="D173" s="24" t="s">
        <v>2626</v>
      </c>
      <c r="E173" s="24" t="str">
        <f aca="false">TRIM(B173)&amp;" — "&amp;TRIM(D173)&amp;"  [#"&amp;A173&amp;"]"</f>
        <v>BOLSAS POP — BOLSAS POP  [#172]</v>
      </c>
    </row>
    <row r="174" customFormat="false" ht="15" hidden="false" customHeight="false" outlineLevel="0" collapsed="false">
      <c r="A174" s="24" t="n">
        <v>173</v>
      </c>
      <c r="B174" s="24" t="s">
        <v>2640</v>
      </c>
      <c r="C174" s="24" t="s">
        <v>2641</v>
      </c>
      <c r="D174" s="24" t="s">
        <v>349</v>
      </c>
      <c r="E174" s="24" t="str">
        <f aca="false">TRIM(B174)&amp;" — "&amp;TRIM(D174)&amp;"  [#"&amp;A174&amp;"]"</f>
        <v>CAMISAS — CABALLERO  [#173]</v>
      </c>
    </row>
    <row r="175" customFormat="false" ht="15" hidden="false" customHeight="false" outlineLevel="0" collapsed="false">
      <c r="A175" s="24" t="n">
        <v>174</v>
      </c>
      <c r="B175" s="24" t="s">
        <v>2640</v>
      </c>
      <c r="C175" s="24" t="s">
        <v>2641</v>
      </c>
      <c r="D175" s="24" t="s">
        <v>349</v>
      </c>
      <c r="E175" s="24" t="str">
        <f aca="false">TRIM(B175)&amp;" — "&amp;TRIM(D175)&amp;"  [#"&amp;A175&amp;"]"</f>
        <v>CAMISAS — CABALLERO  [#174]</v>
      </c>
    </row>
    <row r="176" customFormat="false" ht="15" hidden="false" customHeight="false" outlineLevel="0" collapsed="false">
      <c r="A176" s="24" t="n">
        <v>175</v>
      </c>
      <c r="B176" s="24" t="s">
        <v>2640</v>
      </c>
      <c r="C176" s="24" t="s">
        <v>2641</v>
      </c>
      <c r="D176" s="24" t="s">
        <v>349</v>
      </c>
      <c r="E176" s="24" t="str">
        <f aca="false">TRIM(B176)&amp;" — "&amp;TRIM(D176)&amp;"  [#"&amp;A176&amp;"]"</f>
        <v>CAMISAS — CABALLERO  [#175]</v>
      </c>
    </row>
    <row r="177" customFormat="false" ht="15" hidden="false" customHeight="false" outlineLevel="0" collapsed="false">
      <c r="A177" s="24" t="n">
        <v>176</v>
      </c>
      <c r="B177" s="24" t="s">
        <v>2640</v>
      </c>
      <c r="C177" s="24" t="s">
        <v>2641</v>
      </c>
      <c r="D177" s="24" t="s">
        <v>349</v>
      </c>
      <c r="E177" s="24" t="str">
        <f aca="false">TRIM(B177)&amp;" — "&amp;TRIM(D177)&amp;"  [#"&amp;A177&amp;"]"</f>
        <v>CAMISAS — CABALLERO  [#176]</v>
      </c>
    </row>
    <row r="178" customFormat="false" ht="15" hidden="false" customHeight="false" outlineLevel="0" collapsed="false">
      <c r="A178" s="24" t="n">
        <v>177</v>
      </c>
      <c r="B178" s="24" t="s">
        <v>2640</v>
      </c>
      <c r="C178" s="24" t="s">
        <v>2716</v>
      </c>
      <c r="D178" s="24" t="s">
        <v>349</v>
      </c>
      <c r="E178" s="24" t="str">
        <f aca="false">TRIM(B178)&amp;" — "&amp;TRIM(D178)&amp;"  [#"&amp;A178&amp;"]"</f>
        <v>CAMISAS — CABALLERO  [#177]</v>
      </c>
    </row>
    <row r="179" customFormat="false" ht="15" hidden="false" customHeight="false" outlineLevel="0" collapsed="false">
      <c r="A179" s="24" t="n">
        <v>178</v>
      </c>
      <c r="B179" s="24" t="s">
        <v>2640</v>
      </c>
      <c r="C179" s="24" t="s">
        <v>2716</v>
      </c>
      <c r="D179" s="24" t="s">
        <v>349</v>
      </c>
      <c r="E179" s="24" t="str">
        <f aca="false">TRIM(B179)&amp;" — "&amp;TRIM(D179)&amp;"  [#"&amp;A179&amp;"]"</f>
        <v>CAMISAS — CABALLERO  [#178]</v>
      </c>
    </row>
    <row r="180" customFormat="false" ht="15" hidden="false" customHeight="false" outlineLevel="0" collapsed="false">
      <c r="A180" s="24" t="n">
        <v>179</v>
      </c>
      <c r="B180" s="24" t="s">
        <v>2640</v>
      </c>
      <c r="C180" s="24" t="s">
        <v>2716</v>
      </c>
      <c r="D180" s="24" t="s">
        <v>349</v>
      </c>
      <c r="E180" s="24" t="str">
        <f aca="false">TRIM(B180)&amp;" — "&amp;TRIM(D180)&amp;"  [#"&amp;A180&amp;"]"</f>
        <v>CAMISAS — CABALLERO  [#179]</v>
      </c>
    </row>
    <row r="181" customFormat="false" ht="15" hidden="false" customHeight="false" outlineLevel="0" collapsed="false">
      <c r="A181" s="24" t="n">
        <v>180</v>
      </c>
      <c r="B181" s="24" t="s">
        <v>2640</v>
      </c>
      <c r="C181" s="24" t="s">
        <v>2761</v>
      </c>
      <c r="D181" s="24" t="s">
        <v>2761</v>
      </c>
      <c r="E181" s="24" t="str">
        <f aca="false">TRIM(B181)&amp;" — "&amp;TRIM(D181)&amp;"  [#"&amp;A181&amp;"]"</f>
        <v>CAMISAS — CAMISA BASICA SUBLIMADA TODA  [#180]</v>
      </c>
    </row>
    <row r="182" customFormat="false" ht="15" hidden="false" customHeight="false" outlineLevel="0" collapsed="false">
      <c r="A182" s="24" t="n">
        <v>181</v>
      </c>
      <c r="B182" s="24" t="s">
        <v>2774</v>
      </c>
      <c r="C182" s="24" t="s">
        <v>2761</v>
      </c>
      <c r="D182" s="24" t="s">
        <v>2761</v>
      </c>
      <c r="E182" s="24" t="str">
        <f aca="false">TRIM(B182)&amp;" — "&amp;TRIM(D182)&amp;"  [#"&amp;A182&amp;"]"</f>
        <v>FILIPINA — CAMISA BASICA SUBLIMADA TODA  [#181]</v>
      </c>
    </row>
    <row r="183" customFormat="false" ht="15" hidden="false" customHeight="false" outlineLevel="0" collapsed="false">
      <c r="A183" s="24" t="n">
        <v>182</v>
      </c>
      <c r="B183" s="24" t="s">
        <v>2789</v>
      </c>
      <c r="C183" s="24" t="s">
        <v>2789</v>
      </c>
      <c r="D183" s="24" t="s">
        <v>2789</v>
      </c>
      <c r="E183" s="24" t="str">
        <f aca="false">TRIM(B183)&amp;" — "&amp;TRIM(D183)&amp;"  [#"&amp;A183&amp;"]"</f>
        <v>MONO QUIRURGICO — MONO QUIRURGICO  [#182]</v>
      </c>
    </row>
    <row r="184" customFormat="false" ht="15" hidden="false" customHeight="false" outlineLevel="0" collapsed="false">
      <c r="A184" s="24" t="n">
        <v>183</v>
      </c>
      <c r="B184" s="24" t="s">
        <v>2797</v>
      </c>
      <c r="C184" s="24"/>
      <c r="D184" s="24" t="s">
        <v>296</v>
      </c>
      <c r="E184" s="24" t="str">
        <f aca="false">TRIM(B184)&amp;" — "&amp;TRIM(D184)&amp;"  [#"&amp;A184&amp;"]"</f>
        <v>TUTU — DAMA  [#183]</v>
      </c>
    </row>
    <row r="185" customFormat="false" ht="15" hidden="false" customHeight="false" outlineLevel="0" collapsed="false">
      <c r="A185" s="24" t="n">
        <v>184</v>
      </c>
      <c r="B185" s="24" t="s">
        <v>2797</v>
      </c>
      <c r="C185" s="24"/>
      <c r="D185" s="24" t="s">
        <v>296</v>
      </c>
      <c r="E185" s="24" t="str">
        <f aca="false">TRIM(B185)&amp;" — "&amp;TRIM(D185)&amp;"  [#"&amp;A185&amp;"]"</f>
        <v>TUTU — DAMA  [#184]</v>
      </c>
    </row>
    <row r="186" customFormat="false" ht="15" hidden="false" customHeight="false" outlineLevel="0" collapsed="false">
      <c r="A186" s="24" t="n">
        <v>185</v>
      </c>
      <c r="B186" s="24" t="s">
        <v>2797</v>
      </c>
      <c r="C186" s="24" t="s">
        <v>68</v>
      </c>
      <c r="D186" s="24" t="s">
        <v>2814</v>
      </c>
      <c r="E186" s="24" t="str">
        <f aca="false">TRIM(B186)&amp;" — "&amp;TRIM(D186)&amp;"  [#"&amp;A186&amp;"]"</f>
        <v>TUTU — JUVENIL  [#185]</v>
      </c>
    </row>
    <row r="187" customFormat="false" ht="15" hidden="false" customHeight="false" outlineLevel="0" collapsed="false">
      <c r="A187" s="24" t="n">
        <v>186</v>
      </c>
      <c r="B187" s="24" t="s">
        <v>2822</v>
      </c>
      <c r="C187" s="24" t="s">
        <v>2823</v>
      </c>
      <c r="D187" s="24" t="s">
        <v>296</v>
      </c>
      <c r="E187" s="24" t="str">
        <f aca="false">TRIM(B187)&amp;" — "&amp;TRIM(D187)&amp;"  [#"&amp;A187&amp;"]"</f>
        <v>FRANELILLAS — DAMA  [#186]</v>
      </c>
    </row>
    <row r="188" customFormat="false" ht="15" hidden="false" customHeight="false" outlineLevel="0" collapsed="false">
      <c r="A188" s="24" t="n">
        <v>187</v>
      </c>
      <c r="B188" s="24" t="s">
        <v>2822</v>
      </c>
      <c r="C188" s="24" t="s">
        <v>2823</v>
      </c>
      <c r="D188" s="24" t="s">
        <v>296</v>
      </c>
      <c r="E188" s="24" t="str">
        <f aca="false">TRIM(B188)&amp;" — "&amp;TRIM(D188)&amp;"  [#"&amp;A188&amp;"]"</f>
        <v>FRANELILLAS — DAMA  [#187]</v>
      </c>
    </row>
    <row r="189" customFormat="false" ht="15" hidden="false" customHeight="false" outlineLevel="0" collapsed="false">
      <c r="A189" s="24" t="n">
        <v>188</v>
      </c>
      <c r="B189" s="24" t="s">
        <v>2822</v>
      </c>
      <c r="C189" s="24" t="s">
        <v>68</v>
      </c>
      <c r="D189" s="24" t="s">
        <v>311</v>
      </c>
      <c r="E189" s="24" t="str">
        <f aca="false">TRIM(B189)&amp;" — "&amp;TRIM(D189)&amp;"  [#"&amp;A189&amp;"]"</f>
        <v>FRANELILLAS — NIÑO  [#188]</v>
      </c>
    </row>
    <row r="190" customFormat="false" ht="15" hidden="false" customHeight="false" outlineLevel="0" collapsed="false">
      <c r="A190" s="24" t="n">
        <v>189</v>
      </c>
      <c r="B190" s="24" t="s">
        <v>2822</v>
      </c>
      <c r="C190" s="24" t="s">
        <v>68</v>
      </c>
      <c r="D190" s="24" t="s">
        <v>311</v>
      </c>
      <c r="E190" s="24" t="str">
        <f aca="false">TRIM(B190)&amp;" — "&amp;TRIM(D190)&amp;"  [#"&amp;A190&amp;"]"</f>
        <v>FRANELILLAS — NIÑO  [#189]</v>
      </c>
    </row>
    <row r="191" customFormat="false" ht="15" hidden="false" customHeight="false" outlineLevel="0" collapsed="false">
      <c r="A191" s="24" t="n">
        <v>190</v>
      </c>
      <c r="B191" s="24" t="s">
        <v>2822</v>
      </c>
      <c r="C191" s="24" t="s">
        <v>68</v>
      </c>
      <c r="D191" s="24" t="s">
        <v>349</v>
      </c>
      <c r="E191" s="24" t="str">
        <f aca="false">TRIM(B191)&amp;" — "&amp;TRIM(D191)&amp;"  [#"&amp;A191&amp;"]"</f>
        <v>FRANELILLAS — CABALLERO  [#190]</v>
      </c>
    </row>
    <row r="192" customFormat="false" ht="15" hidden="false" customHeight="false" outlineLevel="0" collapsed="false">
      <c r="A192" s="24" t="n">
        <v>191</v>
      </c>
      <c r="B192" s="24" t="s">
        <v>2822</v>
      </c>
      <c r="C192" s="24" t="s">
        <v>68</v>
      </c>
      <c r="D192" s="24" t="s">
        <v>349</v>
      </c>
      <c r="E192" s="24" t="str">
        <f aca="false">TRIM(B192)&amp;" — "&amp;TRIM(D192)&amp;"  [#"&amp;A192&amp;"]"</f>
        <v>FRANELILLAS — CABALLERO  [#191]</v>
      </c>
    </row>
    <row r="193" customFormat="false" ht="15" hidden="false" customHeight="false" outlineLevel="0" collapsed="false">
      <c r="A193" s="24" t="n">
        <v>192</v>
      </c>
      <c r="B193" s="24" t="s">
        <v>2822</v>
      </c>
      <c r="C193" s="24" t="s">
        <v>2880</v>
      </c>
      <c r="D193" s="24" t="s">
        <v>296</v>
      </c>
      <c r="E193" s="24" t="str">
        <f aca="false">TRIM(B193)&amp;" — "&amp;TRIM(D193)&amp;"  [#"&amp;A193&amp;"]"</f>
        <v>FRANELILLAS — DAMA  [#192]</v>
      </c>
    </row>
    <row r="194" customFormat="false" ht="15" hidden="false" customHeight="false" outlineLevel="0" collapsed="false">
      <c r="A194" s="24" t="n">
        <v>193</v>
      </c>
      <c r="B194" s="24" t="s">
        <v>2822</v>
      </c>
      <c r="C194" s="24" t="s">
        <v>2880</v>
      </c>
      <c r="D194" s="24" t="s">
        <v>311</v>
      </c>
      <c r="E194" s="24" t="str">
        <f aca="false">TRIM(B194)&amp;" — "&amp;TRIM(D194)&amp;"  [#"&amp;A194&amp;"]"</f>
        <v>FRANELILLAS — NIÑO  [#193]</v>
      </c>
    </row>
    <row r="195" customFormat="false" ht="15" hidden="false" customHeight="false" outlineLevel="0" collapsed="false">
      <c r="A195" s="24" t="n">
        <v>194</v>
      </c>
      <c r="B195" s="24" t="s">
        <v>2822</v>
      </c>
      <c r="C195" s="24" t="s">
        <v>70</v>
      </c>
      <c r="D195" s="24" t="s">
        <v>70</v>
      </c>
      <c r="E195" s="24" t="str">
        <f aca="false">TRIM(B195)&amp;" — "&amp;TRIM(D195)&amp;"  [#"&amp;A195&amp;"]"</f>
        <v>FRANELILLAS — MICRO DAMA  [#194]</v>
      </c>
    </row>
    <row r="196" customFormat="false" ht="15" hidden="false" customHeight="false" outlineLevel="0" collapsed="false">
      <c r="A196" s="24" t="n">
        <v>195</v>
      </c>
      <c r="B196" s="24" t="s">
        <v>2822</v>
      </c>
      <c r="C196" s="24" t="s">
        <v>70</v>
      </c>
      <c r="D196" s="24" t="s">
        <v>90</v>
      </c>
      <c r="E196" s="24" t="str">
        <f aca="false">TRIM(B196)&amp;" — "&amp;TRIM(D196)&amp;"  [#"&amp;A196&amp;"]"</f>
        <v>FRANELILLAS — MICRO NIÑO  [#195]</v>
      </c>
    </row>
    <row r="197" customFormat="false" ht="15" hidden="false" customHeight="false" outlineLevel="0" collapsed="false">
      <c r="A197" s="24" t="n">
        <v>196</v>
      </c>
      <c r="B197" s="24" t="s">
        <v>2822</v>
      </c>
      <c r="C197" s="24" t="s">
        <v>68</v>
      </c>
      <c r="D197" s="24" t="s">
        <v>2945</v>
      </c>
      <c r="E197" s="24" t="str">
        <f aca="false">TRIM(B197)&amp;" — "&amp;TRIM(D197)&amp;"  [#"&amp;A197&amp;"]"</f>
        <v>FRANELILLAS — MUSE  [#196]</v>
      </c>
    </row>
    <row r="198" customFormat="false" ht="15" hidden="false" customHeight="false" outlineLevel="0" collapsed="false">
      <c r="A198" s="24" t="n">
        <v>197</v>
      </c>
      <c r="B198" s="24" t="s">
        <v>2822</v>
      </c>
      <c r="C198" s="24" t="s">
        <v>68</v>
      </c>
      <c r="D198" s="24" t="s">
        <v>349</v>
      </c>
      <c r="E198" s="24" t="str">
        <f aca="false">TRIM(B198)&amp;" — "&amp;TRIM(D198)&amp;"  [#"&amp;A198&amp;"]"</f>
        <v>FRANELILLAS — CABALLERO  [#197]</v>
      </c>
    </row>
    <row r="199" customFormat="false" ht="15" hidden="false" customHeight="false" outlineLevel="0" collapsed="false">
      <c r="A199" s="24" t="n">
        <v>198</v>
      </c>
      <c r="B199" s="24" t="s">
        <v>2822</v>
      </c>
      <c r="C199" s="24" t="s">
        <v>68</v>
      </c>
      <c r="D199" s="24" t="s">
        <v>296</v>
      </c>
      <c r="E199" s="24" t="str">
        <f aca="false">TRIM(B199)&amp;" — "&amp;TRIM(D199)&amp;"  [#"&amp;A199&amp;"]"</f>
        <v>FRANELILLAS — DAMA  [#198]</v>
      </c>
    </row>
    <row r="200" customFormat="false" ht="15" hidden="false" customHeight="false" outlineLevel="0" collapsed="false">
      <c r="A200" s="24" t="n">
        <v>199</v>
      </c>
      <c r="B200" s="24" t="s">
        <v>2822</v>
      </c>
      <c r="C200" s="24" t="s">
        <v>68</v>
      </c>
      <c r="D200" s="24" t="s">
        <v>311</v>
      </c>
      <c r="E200" s="24" t="str">
        <f aca="false">TRIM(B200)&amp;" — "&amp;TRIM(D200)&amp;"  [#"&amp;A200&amp;"]"</f>
        <v>FRANELILLAS — NIÑO  [#199]</v>
      </c>
    </row>
    <row r="201" customFormat="false" ht="15" hidden="false" customHeight="false" outlineLevel="0" collapsed="false">
      <c r="A201" s="24" t="n">
        <v>200</v>
      </c>
      <c r="B201" s="24" t="s">
        <v>2822</v>
      </c>
      <c r="C201" s="24" t="s">
        <v>68</v>
      </c>
      <c r="D201" s="24" t="s">
        <v>296</v>
      </c>
      <c r="E201" s="24" t="str">
        <f aca="false">TRIM(B201)&amp;" — "&amp;TRIM(D201)&amp;"  [#"&amp;A201&amp;"]"</f>
        <v>FRANELILLAS — DAMA  [#200]</v>
      </c>
    </row>
    <row r="202" customFormat="false" ht="15" hidden="false" customHeight="false" outlineLevel="0" collapsed="false">
      <c r="A202" s="24" t="n">
        <v>201</v>
      </c>
      <c r="B202" s="24" t="s">
        <v>2822</v>
      </c>
      <c r="C202" s="24" t="s">
        <v>68</v>
      </c>
      <c r="D202" s="24" t="s">
        <v>311</v>
      </c>
      <c r="E202" s="24" t="str">
        <f aca="false">TRIM(B202)&amp;" — "&amp;TRIM(D202)&amp;"  [#"&amp;A202&amp;"]"</f>
        <v>FRANELILLAS — NIÑO  [#201]</v>
      </c>
    </row>
    <row r="203" customFormat="false" ht="15" hidden="false" customHeight="false" outlineLevel="0" collapsed="false">
      <c r="A203" s="24" t="n">
        <v>202</v>
      </c>
      <c r="B203" s="24" t="s">
        <v>2822</v>
      </c>
      <c r="C203" s="24" t="s">
        <v>68</v>
      </c>
      <c r="D203" s="24" t="s">
        <v>349</v>
      </c>
      <c r="E203" s="24" t="str">
        <f aca="false">TRIM(B203)&amp;" — "&amp;TRIM(D203)&amp;"  [#"&amp;A203&amp;"]"</f>
        <v>FRANELILLAS — CABALLERO  [#202]</v>
      </c>
    </row>
    <row r="204" customFormat="false" ht="15" hidden="false" customHeight="false" outlineLevel="0" collapsed="false">
      <c r="A204" s="24" t="n">
        <v>203</v>
      </c>
      <c r="B204" s="24" t="s">
        <v>2822</v>
      </c>
      <c r="C204" s="24" t="s">
        <v>68</v>
      </c>
      <c r="D204" s="24" t="s">
        <v>349</v>
      </c>
      <c r="E204" s="24" t="str">
        <f aca="false">TRIM(B204)&amp;" — "&amp;TRIM(D204)&amp;"  [#"&amp;A204&amp;"]"</f>
        <v>FRANELILLAS — CABALLERO  [#203]</v>
      </c>
    </row>
    <row r="205" customFormat="false" ht="15" hidden="false" customHeight="false" outlineLevel="0" collapsed="false">
      <c r="A205" s="24" t="n">
        <v>204</v>
      </c>
      <c r="B205" s="24" t="s">
        <v>2822</v>
      </c>
      <c r="C205" s="24" t="s">
        <v>68</v>
      </c>
      <c r="D205" s="24" t="s">
        <v>296</v>
      </c>
      <c r="E205" s="24" t="str">
        <f aca="false">TRIM(B205)&amp;" — "&amp;TRIM(D205)&amp;"  [#"&amp;A205&amp;"]"</f>
        <v>FRANELILLAS — DAMA  [#204]</v>
      </c>
    </row>
    <row r="206" customFormat="false" ht="15" hidden="false" customHeight="false" outlineLevel="0" collapsed="false">
      <c r="A206" s="24" t="n">
        <v>205</v>
      </c>
      <c r="B206" s="24" t="s">
        <v>2822</v>
      </c>
      <c r="C206" s="24" t="s">
        <v>68</v>
      </c>
      <c r="D206" s="24" t="s">
        <v>311</v>
      </c>
      <c r="E206" s="24" t="str">
        <f aca="false">TRIM(B206)&amp;" — "&amp;TRIM(D206)&amp;"  [#"&amp;A206&amp;"]"</f>
        <v>FRANELILLAS — NIÑO  [#205]</v>
      </c>
    </row>
    <row r="207" customFormat="false" ht="15" hidden="false" customHeight="false" outlineLevel="0" collapsed="false">
      <c r="A207" s="24" t="n">
        <v>206</v>
      </c>
      <c r="B207" s="24" t="s">
        <v>2822</v>
      </c>
      <c r="C207" s="24" t="s">
        <v>68</v>
      </c>
      <c r="D207" s="24" t="s">
        <v>296</v>
      </c>
      <c r="E207" s="24" t="str">
        <f aca="false">TRIM(B207)&amp;" — "&amp;TRIM(D207)&amp;"  [#"&amp;A207&amp;"]"</f>
        <v>FRANELILLAS — DAMA  [#206]</v>
      </c>
    </row>
    <row r="208" customFormat="false" ht="15" hidden="false" customHeight="false" outlineLevel="0" collapsed="false">
      <c r="A208" s="24" t="n">
        <v>207</v>
      </c>
      <c r="B208" s="24" t="s">
        <v>2822</v>
      </c>
      <c r="C208" s="24" t="s">
        <v>68</v>
      </c>
      <c r="D208" s="24" t="s">
        <v>311</v>
      </c>
      <c r="E208" s="24" t="str">
        <f aca="false">TRIM(B208)&amp;" — "&amp;TRIM(D208)&amp;"  [#"&amp;A208&amp;"]"</f>
        <v>FRANELILLAS — NIÑO  [#207]</v>
      </c>
    </row>
    <row r="209" customFormat="false" ht="15" hidden="false" customHeight="false" outlineLevel="0" collapsed="false">
      <c r="A209" s="24" t="n">
        <v>208</v>
      </c>
      <c r="B209" s="24" t="s">
        <v>2822</v>
      </c>
      <c r="C209" s="24" t="s">
        <v>68</v>
      </c>
      <c r="D209" s="24" t="s">
        <v>349</v>
      </c>
      <c r="E209" s="24" t="str">
        <f aca="false">TRIM(B209)&amp;" — "&amp;TRIM(D209)&amp;"  [#"&amp;A209&amp;"]"</f>
        <v>FRANELILLAS — CABALLERO  [#208]</v>
      </c>
    </row>
    <row r="210" customFormat="false" ht="15" hidden="false" customHeight="false" outlineLevel="0" collapsed="false">
      <c r="A210" s="24" t="n">
        <v>209</v>
      </c>
      <c r="B210" s="24" t="s">
        <v>2822</v>
      </c>
      <c r="C210" s="24" t="s">
        <v>68</v>
      </c>
      <c r="D210" s="24" t="s">
        <v>349</v>
      </c>
      <c r="E210" s="24" t="str">
        <f aca="false">TRIM(B210)&amp;" — "&amp;TRIM(D210)&amp;"  [#"&amp;A210&amp;"]"</f>
        <v>FRANELILLAS — CABALLERO  [#209]</v>
      </c>
    </row>
    <row r="211" customFormat="false" ht="15" hidden="false" customHeight="false" outlineLevel="0" collapsed="false">
      <c r="A211" s="24" t="n">
        <v>210</v>
      </c>
      <c r="B211" s="24" t="s">
        <v>2822</v>
      </c>
      <c r="C211" s="24" t="s">
        <v>68</v>
      </c>
      <c r="D211" s="24" t="s">
        <v>296</v>
      </c>
      <c r="E211" s="24" t="str">
        <f aca="false">TRIM(B211)&amp;" — "&amp;TRIM(D211)&amp;"  [#"&amp;A211&amp;"]"</f>
        <v>FRANELILLAS — DAMA  [#210]</v>
      </c>
    </row>
    <row r="212" customFormat="false" ht="15" hidden="false" customHeight="false" outlineLevel="0" collapsed="false">
      <c r="A212" s="24" t="n">
        <v>211</v>
      </c>
      <c r="B212" s="24" t="s">
        <v>2822</v>
      </c>
      <c r="C212" s="24" t="s">
        <v>68</v>
      </c>
      <c r="D212" s="24" t="s">
        <v>311</v>
      </c>
      <c r="E212" s="24" t="str">
        <f aca="false">TRIM(B212)&amp;" — "&amp;TRIM(D212)&amp;"  [#"&amp;A212&amp;"]"</f>
        <v>FRANELILLAS — NIÑO  [#211]</v>
      </c>
    </row>
    <row r="213" customFormat="false" ht="15" hidden="false" customHeight="false" outlineLevel="0" collapsed="false">
      <c r="A213" s="24" t="n">
        <v>212</v>
      </c>
      <c r="B213" s="24" t="s">
        <v>2822</v>
      </c>
      <c r="C213" s="24" t="s">
        <v>68</v>
      </c>
      <c r="D213" s="24" t="s">
        <v>296</v>
      </c>
      <c r="E213" s="24" t="str">
        <f aca="false">TRIM(B213)&amp;" — "&amp;TRIM(D213)&amp;"  [#"&amp;A213&amp;"]"</f>
        <v>FRANELILLAS — DAMA  [#212]</v>
      </c>
    </row>
    <row r="214" customFormat="false" ht="15" hidden="false" customHeight="false" outlineLevel="0" collapsed="false">
      <c r="A214" s="24" t="n">
        <v>213</v>
      </c>
      <c r="B214" s="24" t="s">
        <v>2822</v>
      </c>
      <c r="C214" s="24" t="s">
        <v>68</v>
      </c>
      <c r="D214" s="24" t="s">
        <v>311</v>
      </c>
      <c r="E214" s="24" t="str">
        <f aca="false">TRIM(B214)&amp;" — "&amp;TRIM(D214)&amp;"  [#"&amp;A214&amp;"]"</f>
        <v>FRANELILLAS — NIÑO  [#213]</v>
      </c>
    </row>
    <row r="215" customFormat="false" ht="15" hidden="false" customHeight="false" outlineLevel="0" collapsed="false">
      <c r="A215" s="24" t="n">
        <v>214</v>
      </c>
      <c r="B215" s="24" t="s">
        <v>2822</v>
      </c>
      <c r="C215" s="24" t="s">
        <v>68</v>
      </c>
      <c r="D215" s="24" t="s">
        <v>349</v>
      </c>
      <c r="E215" s="24" t="str">
        <f aca="false">TRIM(B215)&amp;" — "&amp;TRIM(D215)&amp;"  [#"&amp;A215&amp;"]"</f>
        <v>FRANELILLAS — CABALLERO  [#214]</v>
      </c>
    </row>
    <row r="216" customFormat="false" ht="15" hidden="false" customHeight="false" outlineLevel="0" collapsed="false">
      <c r="A216" s="24" t="n">
        <v>215</v>
      </c>
      <c r="B216" s="24" t="s">
        <v>2822</v>
      </c>
      <c r="C216" s="24" t="s">
        <v>68</v>
      </c>
      <c r="D216" s="24" t="s">
        <v>349</v>
      </c>
      <c r="E216" s="24" t="str">
        <f aca="false">TRIM(B216)&amp;" — "&amp;TRIM(D216)&amp;"  [#"&amp;A216&amp;"]"</f>
        <v>FRANELILLAS — CABALLERO  [#215]</v>
      </c>
    </row>
    <row r="217" customFormat="false" ht="15" hidden="false" customHeight="false" outlineLevel="0" collapsed="false">
      <c r="A217" s="24" t="n">
        <v>216</v>
      </c>
      <c r="B217" s="24" t="s">
        <v>2822</v>
      </c>
      <c r="C217" s="24" t="s">
        <v>68</v>
      </c>
      <c r="D217" s="24" t="s">
        <v>311</v>
      </c>
      <c r="E217" s="24" t="str">
        <f aca="false">TRIM(B217)&amp;" — "&amp;TRIM(D217)&amp;"  [#"&amp;A217&amp;"]"</f>
        <v>FRANELILLAS — NIÑO  [#216]</v>
      </c>
    </row>
    <row r="218" customFormat="false" ht="15" hidden="false" customHeight="false" outlineLevel="0" collapsed="false">
      <c r="A218" s="24" t="n">
        <v>217</v>
      </c>
      <c r="B218" s="24" t="s">
        <v>2822</v>
      </c>
      <c r="C218" s="24" t="s">
        <v>68</v>
      </c>
      <c r="D218" s="24" t="s">
        <v>311</v>
      </c>
      <c r="E218" s="24" t="str">
        <f aca="false">TRIM(B218)&amp;" — "&amp;TRIM(D218)&amp;"  [#"&amp;A218&amp;"]"</f>
        <v>FRANELILLAS — NIÑO  [#217]</v>
      </c>
    </row>
    <row r="219" customFormat="false" ht="15" hidden="false" customHeight="false" outlineLevel="0" collapsed="false">
      <c r="A219" s="24" t="n">
        <v>218</v>
      </c>
      <c r="B219" s="24" t="s">
        <v>2822</v>
      </c>
      <c r="C219" s="24" t="s">
        <v>68</v>
      </c>
      <c r="D219" s="24" t="s">
        <v>296</v>
      </c>
      <c r="E219" s="24" t="str">
        <f aca="false">TRIM(B219)&amp;" — "&amp;TRIM(D219)&amp;"  [#"&amp;A219&amp;"]"</f>
        <v>FRANELILLAS — DAMA  [#218]</v>
      </c>
    </row>
    <row r="220" customFormat="false" ht="15" hidden="false" customHeight="false" outlineLevel="0" collapsed="false">
      <c r="A220" s="24" t="n">
        <v>219</v>
      </c>
      <c r="B220" s="24" t="s">
        <v>2822</v>
      </c>
      <c r="C220" s="24" t="s">
        <v>68</v>
      </c>
      <c r="D220" s="24" t="s">
        <v>296</v>
      </c>
      <c r="E220" s="24" t="str">
        <f aca="false">TRIM(B220)&amp;" — "&amp;TRIM(D220)&amp;"  [#"&amp;A220&amp;"]"</f>
        <v>FRANELILLAS — DAMA  [#219]</v>
      </c>
    </row>
    <row r="221" customFormat="false" ht="15" hidden="false" customHeight="false" outlineLevel="0" collapsed="false">
      <c r="A221" s="24" t="n">
        <v>220</v>
      </c>
      <c r="B221" s="24" t="s">
        <v>2822</v>
      </c>
      <c r="C221" s="24" t="s">
        <v>68</v>
      </c>
      <c r="D221" s="24" t="s">
        <v>349</v>
      </c>
      <c r="E221" s="24" t="str">
        <f aca="false">TRIM(B221)&amp;" — "&amp;TRIM(D221)&amp;"  [#"&amp;A221&amp;"]"</f>
        <v>FRANELILLAS — CABALLERO  [#220]</v>
      </c>
    </row>
    <row r="222" customFormat="false" ht="15" hidden="false" customHeight="false" outlineLevel="0" collapsed="false">
      <c r="A222" s="24" t="n">
        <v>221</v>
      </c>
      <c r="B222" s="24" t="s">
        <v>2822</v>
      </c>
      <c r="C222" s="24" t="s">
        <v>68</v>
      </c>
      <c r="D222" s="24" t="s">
        <v>349</v>
      </c>
      <c r="E222" s="24" t="str">
        <f aca="false">TRIM(B222)&amp;" — "&amp;TRIM(D222)&amp;"  [#"&amp;A222&amp;"]"</f>
        <v>FRANELILLAS — CABALLERO  [#221]</v>
      </c>
    </row>
    <row r="223" customFormat="false" ht="15" hidden="false" customHeight="false" outlineLevel="0" collapsed="false">
      <c r="A223" s="24" t="n">
        <v>222</v>
      </c>
      <c r="B223" s="24" t="s">
        <v>2822</v>
      </c>
      <c r="C223" s="24" t="s">
        <v>68</v>
      </c>
      <c r="D223" s="24" t="s">
        <v>296</v>
      </c>
      <c r="E223" s="24" t="str">
        <f aca="false">TRIM(B223)&amp;" — "&amp;TRIM(D223)&amp;"  [#"&amp;A223&amp;"]"</f>
        <v>FRANELILLAS — DAMA  [#222]</v>
      </c>
    </row>
    <row r="224" customFormat="false" ht="15" hidden="false" customHeight="false" outlineLevel="0" collapsed="false">
      <c r="A224" s="24" t="n">
        <v>223</v>
      </c>
      <c r="B224" s="24" t="s">
        <v>2822</v>
      </c>
      <c r="C224" s="24" t="s">
        <v>68</v>
      </c>
      <c r="D224" s="24" t="s">
        <v>311</v>
      </c>
      <c r="E224" s="24" t="str">
        <f aca="false">TRIM(B224)&amp;" — "&amp;TRIM(D224)&amp;"  [#"&amp;A224&amp;"]"</f>
        <v>FRANELILLAS — NIÑO  [#223]</v>
      </c>
    </row>
    <row r="225" customFormat="false" ht="15" hidden="false" customHeight="false" outlineLevel="0" collapsed="false">
      <c r="A225" s="24" t="n">
        <v>224</v>
      </c>
      <c r="B225" s="24" t="s">
        <v>2822</v>
      </c>
      <c r="C225" s="24" t="s">
        <v>70</v>
      </c>
      <c r="D225" s="24" t="s">
        <v>70</v>
      </c>
      <c r="E225" s="24" t="str">
        <f aca="false">TRIM(B225)&amp;" — "&amp;TRIM(D225)&amp;"  [#"&amp;A225&amp;"]"</f>
        <v>FRANELILLAS — MICRO DAMA  [#224]</v>
      </c>
    </row>
    <row r="226" customFormat="false" ht="15" hidden="false" customHeight="false" outlineLevel="0" collapsed="false">
      <c r="A226" s="24" t="n">
        <v>225</v>
      </c>
      <c r="B226" s="24" t="s">
        <v>2822</v>
      </c>
      <c r="C226" s="24" t="s">
        <v>70</v>
      </c>
      <c r="D226" s="24" t="s">
        <v>90</v>
      </c>
      <c r="E226" s="24" t="str">
        <f aca="false">TRIM(B226)&amp;" — "&amp;TRIM(D226)&amp;"  [#"&amp;A226&amp;"]"</f>
        <v>FRANELILLAS — MICRO NIÑO  [#225]</v>
      </c>
    </row>
    <row r="227" customFormat="false" ht="15" hidden="false" customHeight="false" outlineLevel="0" collapsed="false">
      <c r="A227" s="24" t="n">
        <v>226</v>
      </c>
      <c r="B227" s="24" t="s">
        <v>2822</v>
      </c>
      <c r="C227" s="24" t="s">
        <v>68</v>
      </c>
      <c r="D227" s="24" t="s">
        <v>349</v>
      </c>
      <c r="E227" s="24" t="str">
        <f aca="false">TRIM(B227)&amp;" — "&amp;TRIM(D227)&amp;"  [#"&amp;A227&amp;"]"</f>
        <v>FRANELILLAS — CABALLERO  [#226]</v>
      </c>
    </row>
    <row r="228" customFormat="false" ht="15" hidden="false" customHeight="false" outlineLevel="0" collapsed="false">
      <c r="A228" s="24" t="n">
        <v>227</v>
      </c>
      <c r="B228" s="24" t="s">
        <v>2822</v>
      </c>
      <c r="C228" s="24" t="s">
        <v>68</v>
      </c>
      <c r="D228" s="24" t="s">
        <v>349</v>
      </c>
      <c r="E228" s="24" t="str">
        <f aca="false">TRIM(B228)&amp;" — "&amp;TRIM(D228)&amp;"  [#"&amp;A228&amp;"]"</f>
        <v>FRANELILLAS — CABALLERO  [#227]</v>
      </c>
    </row>
    <row r="229" customFormat="false" ht="15" hidden="false" customHeight="false" outlineLevel="0" collapsed="false">
      <c r="A229" s="24" t="n">
        <v>228</v>
      </c>
      <c r="B229" s="24" t="s">
        <v>3346</v>
      </c>
      <c r="C229" s="24" t="s">
        <v>3347</v>
      </c>
      <c r="D229" s="24" t="s">
        <v>3347</v>
      </c>
      <c r="E229" s="24" t="str">
        <f aca="false">TRIM(B229)&amp;" — "&amp;TRIM(D229)&amp;"  [#"&amp;A229&amp;"]"</f>
        <v>MANGAS — PAR DE MANGAS  [#228]</v>
      </c>
    </row>
    <row r="230" customFormat="false" ht="15" hidden="false" customHeight="false" outlineLevel="0" collapsed="false">
      <c r="A230" s="24" t="n">
        <v>229</v>
      </c>
      <c r="B230" s="24" t="s">
        <v>3346</v>
      </c>
      <c r="C230" s="24" t="s">
        <v>3347</v>
      </c>
      <c r="D230" s="24" t="s">
        <v>3347</v>
      </c>
      <c r="E230" s="24" t="str">
        <f aca="false">TRIM(B230)&amp;" — "&amp;TRIM(D230)&amp;"  [#"&amp;A230&amp;"]"</f>
        <v>MANGAS — PAR DE MANGAS  [#229]</v>
      </c>
    </row>
    <row r="231" customFormat="false" ht="15" hidden="false" customHeight="false" outlineLevel="0" collapsed="false">
      <c r="A231" s="24" t="n">
        <v>230</v>
      </c>
      <c r="B231" s="24" t="s">
        <v>3372</v>
      </c>
      <c r="C231" s="24" t="s">
        <v>3373</v>
      </c>
      <c r="D231" s="24" t="s">
        <v>3373</v>
      </c>
      <c r="E231" s="24" t="str">
        <f aca="false">TRIM(B231)&amp;" — "&amp;TRIM(D231)&amp;"  [#"&amp;A231&amp;"]"</f>
        <v>GORRA — GORRA DE MALLA  [#230]</v>
      </c>
    </row>
    <row r="232" customFormat="false" ht="15" hidden="false" customHeight="false" outlineLevel="0" collapsed="false">
      <c r="A232" s="24" t="n">
        <v>231</v>
      </c>
      <c r="B232" s="24" t="s">
        <v>3384</v>
      </c>
      <c r="C232" s="24" t="s">
        <v>2823</v>
      </c>
      <c r="D232" s="24" t="s">
        <v>296</v>
      </c>
      <c r="E232" s="24" t="str">
        <f aca="false">TRIM(B232)&amp;" — "&amp;TRIM(D232)&amp;"  [#"&amp;A232&amp;"]"</f>
        <v>TOP DAMA — DAMA  [#231]</v>
      </c>
    </row>
    <row r="233" customFormat="false" ht="15" hidden="false" customHeight="false" outlineLevel="0" collapsed="false">
      <c r="A233" s="24" t="n">
        <v>232</v>
      </c>
      <c r="B233" s="24" t="s">
        <v>3384</v>
      </c>
      <c r="C233" s="24" t="s">
        <v>2823</v>
      </c>
      <c r="D233" s="24" t="s">
        <v>296</v>
      </c>
      <c r="E233" s="24" t="str">
        <f aca="false">TRIM(B233)&amp;" — "&amp;TRIM(D233)&amp;"  [#"&amp;A233&amp;"]"</f>
        <v>TOP DAMA — DAMA  [#232]</v>
      </c>
    </row>
    <row r="234" customFormat="false" ht="15" hidden="false" customHeight="false" outlineLevel="0" collapsed="false">
      <c r="A234" s="24" t="n">
        <v>233</v>
      </c>
      <c r="B234" s="24" t="s">
        <v>3384</v>
      </c>
      <c r="C234" s="24" t="s">
        <v>68</v>
      </c>
      <c r="D234" s="24" t="s">
        <v>311</v>
      </c>
      <c r="E234" s="24" t="str">
        <f aca="false">TRIM(B234)&amp;" — "&amp;TRIM(D234)&amp;"  [#"&amp;A234&amp;"]"</f>
        <v>TOP DAMA — NIÑO  [#233]</v>
      </c>
    </row>
    <row r="235" customFormat="false" ht="15" hidden="false" customHeight="false" outlineLevel="0" collapsed="false">
      <c r="A235" s="24" t="n">
        <v>234</v>
      </c>
      <c r="B235" s="24" t="s">
        <v>3384</v>
      </c>
      <c r="C235" s="24" t="s">
        <v>68</v>
      </c>
      <c r="D235" s="24" t="s">
        <v>311</v>
      </c>
      <c r="E235" s="24" t="str">
        <f aca="false">TRIM(B235)&amp;" — "&amp;TRIM(D235)&amp;"  [#"&amp;A235&amp;"]"</f>
        <v>TOP DAMA — NIÑO  [#234]</v>
      </c>
    </row>
    <row r="236" customFormat="false" ht="15" hidden="false" customHeight="false" outlineLevel="0" collapsed="false">
      <c r="A236" s="24" t="n">
        <v>235</v>
      </c>
      <c r="B236" s="24" t="s">
        <v>3384</v>
      </c>
      <c r="C236" s="24" t="s">
        <v>68</v>
      </c>
      <c r="D236" s="24" t="s">
        <v>349</v>
      </c>
      <c r="E236" s="24" t="str">
        <f aca="false">TRIM(B236)&amp;" — "&amp;TRIM(D236)&amp;"  [#"&amp;A236&amp;"]"</f>
        <v>TOP DAMA — CABALLERO  [#235]</v>
      </c>
    </row>
    <row r="237" customFormat="false" ht="15" hidden="false" customHeight="false" outlineLevel="0" collapsed="false">
      <c r="A237" s="24" t="n">
        <v>236</v>
      </c>
      <c r="B237" s="24" t="s">
        <v>3384</v>
      </c>
      <c r="C237" s="24" t="s">
        <v>68</v>
      </c>
      <c r="D237" s="24" t="s">
        <v>349</v>
      </c>
      <c r="E237" s="24" t="str">
        <f aca="false">TRIM(B237)&amp;" — "&amp;TRIM(D237)&amp;"  [#"&amp;A237&amp;"]"</f>
        <v>TOP DAMA — CABALLERO  [#236]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2026-08-10T06:48:20Z</dcterms:created>
  <dc:creator>openpyxl</dc:creator>
  <dc:description/>
  <dc:language>en-US</dc:language>
  <cp:lastModifiedBy/>
  <dcterms:modified xsi:type="dcterms:W3CDTF">2026-08-17T02:43:15Z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